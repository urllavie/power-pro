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ocuments\GitHub\power-pro\PythonApplication1\PythonApplication1\"/>
    </mc:Choice>
  </mc:AlternateContent>
  <xr:revisionPtr revIDLastSave="0" documentId="13_ncr:1_{436D1BD3-99A4-483F-9746-0F3E248D50EE}" xr6:coauthVersionLast="45" xr6:coauthVersionMax="45" xr10:uidLastSave="{00000000-0000-0000-0000-000000000000}"/>
  <bookViews>
    <workbookView xWindow="-110" yWindow="-110" windowWidth="22780" windowHeight="14660" activeTab="1" xr2:uid="{DC37FFB4-60E8-4900-8BC1-282FA68B8F01}"/>
  </bookViews>
  <sheets>
    <sheet name="解析データ" sheetId="3" r:id="rId1"/>
    <sheet name="output" sheetId="7" r:id="rId2"/>
    <sheet name="球種変換表" sheetId="13" r:id="rId3"/>
    <sheet name="フレーム変換表" sheetId="14" r:id="rId4"/>
  </sheets>
  <definedNames>
    <definedName name="_xlnm._FilterDatabase" localSheetId="1" hidden="1">output!$A$1:$P$178</definedName>
    <definedName name="_xlnm._FilterDatabase" localSheetId="0" hidden="1">解析データ!$A$1:$P$441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9" i="7" l="1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D1" i="13"/>
  <c r="D1" i="14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2" i="7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I2" i="3"/>
  <c r="I3" i="3"/>
  <c r="I4" i="3"/>
  <c r="I5" i="3"/>
  <c r="I6" i="3"/>
  <c r="I7" i="3"/>
  <c r="I8" i="3"/>
  <c r="I1" i="3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4" i="7"/>
  <c r="I195" i="7"/>
  <c r="I196" i="7"/>
  <c r="I197" i="7"/>
  <c r="I198" i="7"/>
  <c r="I199" i="7"/>
  <c r="I200" i="7"/>
  <c r="I202" i="7"/>
  <c r="I203" i="7"/>
  <c r="I206" i="7"/>
  <c r="I207" i="7"/>
  <c r="I209" i="7"/>
  <c r="I212" i="7"/>
  <c r="I214" i="7"/>
  <c r="I216" i="7"/>
  <c r="I21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I193" i="7"/>
  <c r="I201" i="7"/>
  <c r="I204" i="7"/>
  <c r="I205" i="7"/>
  <c r="I208" i="7"/>
  <c r="I210" i="7"/>
  <c r="I211" i="7"/>
  <c r="I213" i="7"/>
  <c r="I215" i="7"/>
  <c r="I217" i="7"/>
  <c r="I3" i="7"/>
  <c r="I7" i="7"/>
  <c r="I11" i="7"/>
  <c r="I15" i="7"/>
  <c r="I19" i="7"/>
  <c r="I23" i="7"/>
  <c r="I27" i="7"/>
  <c r="I31" i="7"/>
  <c r="I35" i="7"/>
  <c r="I39" i="7"/>
  <c r="I43" i="7"/>
  <c r="I47" i="7"/>
  <c r="I51" i="7"/>
  <c r="I55" i="7"/>
  <c r="I59" i="7"/>
  <c r="I63" i="7"/>
  <c r="I67" i="7"/>
  <c r="I71" i="7"/>
  <c r="I75" i="7"/>
  <c r="I79" i="7"/>
  <c r="I83" i="7"/>
  <c r="I87" i="7"/>
  <c r="I91" i="7"/>
  <c r="I95" i="7"/>
  <c r="I99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59" i="7"/>
  <c r="I163" i="7"/>
  <c r="I167" i="7"/>
  <c r="I171" i="7"/>
  <c r="I175" i="7"/>
  <c r="I154" i="7"/>
  <c r="I178" i="7"/>
  <c r="I4" i="7"/>
  <c r="I8" i="7"/>
  <c r="I12" i="7"/>
  <c r="I16" i="7"/>
  <c r="I20" i="7"/>
  <c r="I24" i="7"/>
  <c r="I28" i="7"/>
  <c r="I32" i="7"/>
  <c r="I36" i="7"/>
  <c r="I40" i="7"/>
  <c r="I44" i="7"/>
  <c r="I48" i="7"/>
  <c r="I52" i="7"/>
  <c r="I56" i="7"/>
  <c r="I60" i="7"/>
  <c r="I64" i="7"/>
  <c r="I68" i="7"/>
  <c r="I72" i="7"/>
  <c r="I76" i="7"/>
  <c r="I80" i="7"/>
  <c r="I84" i="7"/>
  <c r="I88" i="7"/>
  <c r="I92" i="7"/>
  <c r="I96" i="7"/>
  <c r="I100" i="7"/>
  <c r="I104" i="7"/>
  <c r="I108" i="7"/>
  <c r="I112" i="7"/>
  <c r="I116" i="7"/>
  <c r="I120" i="7"/>
  <c r="I124" i="7"/>
  <c r="I128" i="7"/>
  <c r="I132" i="7"/>
  <c r="I136" i="7"/>
  <c r="I140" i="7"/>
  <c r="I144" i="7"/>
  <c r="I148" i="7"/>
  <c r="I152" i="7"/>
  <c r="I156" i="7"/>
  <c r="I160" i="7"/>
  <c r="I164" i="7"/>
  <c r="I168" i="7"/>
  <c r="I172" i="7"/>
  <c r="I176" i="7"/>
  <c r="I161" i="7"/>
  <c r="I173" i="7"/>
  <c r="I6" i="7"/>
  <c r="I14" i="7"/>
  <c r="I22" i="7"/>
  <c r="I34" i="7"/>
  <c r="I42" i="7"/>
  <c r="I50" i="7"/>
  <c r="I58" i="7"/>
  <c r="I70" i="7"/>
  <c r="I78" i="7"/>
  <c r="I86" i="7"/>
  <c r="I94" i="7"/>
  <c r="I102" i="7"/>
  <c r="I114" i="7"/>
  <c r="I122" i="7"/>
  <c r="I130" i="7"/>
  <c r="I138" i="7"/>
  <c r="I146" i="7"/>
  <c r="I150" i="7"/>
  <c r="I162" i="7"/>
  <c r="I170" i="7"/>
  <c r="I174" i="7"/>
  <c r="I5" i="7"/>
  <c r="I9" i="7"/>
  <c r="I13" i="7"/>
  <c r="I17" i="7"/>
  <c r="I21" i="7"/>
  <c r="I25" i="7"/>
  <c r="I29" i="7"/>
  <c r="I33" i="7"/>
  <c r="I37" i="7"/>
  <c r="I41" i="7"/>
  <c r="I45" i="7"/>
  <c r="I49" i="7"/>
  <c r="I53" i="7"/>
  <c r="I57" i="7"/>
  <c r="I61" i="7"/>
  <c r="I65" i="7"/>
  <c r="I69" i="7"/>
  <c r="I73" i="7"/>
  <c r="I77" i="7"/>
  <c r="I81" i="7"/>
  <c r="I85" i="7"/>
  <c r="I89" i="7"/>
  <c r="I93" i="7"/>
  <c r="I97" i="7"/>
  <c r="I101" i="7"/>
  <c r="I105" i="7"/>
  <c r="I109" i="7"/>
  <c r="I113" i="7"/>
  <c r="I117" i="7"/>
  <c r="I121" i="7"/>
  <c r="I125" i="7"/>
  <c r="I129" i="7"/>
  <c r="I133" i="7"/>
  <c r="I137" i="7"/>
  <c r="I141" i="7"/>
  <c r="I145" i="7"/>
  <c r="I149" i="7"/>
  <c r="I153" i="7"/>
  <c r="I157" i="7"/>
  <c r="I165" i="7"/>
  <c r="I169" i="7"/>
  <c r="I177" i="7"/>
  <c r="I10" i="7"/>
  <c r="I18" i="7"/>
  <c r="I26" i="7"/>
  <c r="I30" i="7"/>
  <c r="I38" i="7"/>
  <c r="I46" i="7"/>
  <c r="I54" i="7"/>
  <c r="I62" i="7"/>
  <c r="I66" i="7"/>
  <c r="I74" i="7"/>
  <c r="I82" i="7"/>
  <c r="I90" i="7"/>
  <c r="I98" i="7"/>
  <c r="I106" i="7"/>
  <c r="I110" i="7"/>
  <c r="I118" i="7"/>
  <c r="I126" i="7"/>
  <c r="I134" i="7"/>
  <c r="I142" i="7"/>
  <c r="I158" i="7"/>
  <c r="I166" i="7"/>
  <c r="I2" i="7"/>
  <c r="J3" i="7"/>
  <c r="J7" i="7"/>
  <c r="J11" i="7"/>
  <c r="J15" i="7"/>
  <c r="J19" i="7"/>
  <c r="J23" i="7"/>
  <c r="J27" i="7"/>
  <c r="J31" i="7"/>
  <c r="J35" i="7"/>
  <c r="J39" i="7"/>
  <c r="J43" i="7"/>
  <c r="J47" i="7"/>
  <c r="J51" i="7"/>
  <c r="J55" i="7"/>
  <c r="J59" i="7"/>
  <c r="J63" i="7"/>
  <c r="J67" i="7"/>
  <c r="J71" i="7"/>
  <c r="J75" i="7"/>
  <c r="J79" i="7"/>
  <c r="J83" i="7"/>
  <c r="J87" i="7"/>
  <c r="J91" i="7"/>
  <c r="J95" i="7"/>
  <c r="J99" i="7"/>
  <c r="J103" i="7"/>
  <c r="J107" i="7"/>
  <c r="J111" i="7"/>
  <c r="J115" i="7"/>
  <c r="J119" i="7"/>
  <c r="J123" i="7"/>
  <c r="J127" i="7"/>
  <c r="J131" i="7"/>
  <c r="J135" i="7"/>
  <c r="J139" i="7"/>
  <c r="J143" i="7"/>
  <c r="J147" i="7"/>
  <c r="J151" i="7"/>
  <c r="J155" i="7"/>
  <c r="J159" i="7"/>
  <c r="J163" i="7"/>
  <c r="J167" i="7"/>
  <c r="J171" i="7"/>
  <c r="J175" i="7"/>
  <c r="J140" i="7"/>
  <c r="J144" i="7"/>
  <c r="J148" i="7"/>
  <c r="J152" i="7"/>
  <c r="J156" i="7"/>
  <c r="J160" i="7"/>
  <c r="J164" i="7"/>
  <c r="J168" i="7"/>
  <c r="J172" i="7"/>
  <c r="J176" i="7"/>
  <c r="J5" i="7"/>
  <c r="J9" i="7"/>
  <c r="J13" i="7"/>
  <c r="J17" i="7"/>
  <c r="J21" i="7"/>
  <c r="J25" i="7"/>
  <c r="J29" i="7"/>
  <c r="J33" i="7"/>
  <c r="J37" i="7"/>
  <c r="J41" i="7"/>
  <c r="J45" i="7"/>
  <c r="J49" i="7"/>
  <c r="J53" i="7"/>
  <c r="J57" i="7"/>
  <c r="J61" i="7"/>
  <c r="J65" i="7"/>
  <c r="J73" i="7"/>
  <c r="J77" i="7"/>
  <c r="J81" i="7"/>
  <c r="J85" i="7"/>
  <c r="J93" i="7"/>
  <c r="J117" i="7"/>
  <c r="J133" i="7"/>
  <c r="J137" i="7"/>
  <c r="J145" i="7"/>
  <c r="J157" i="7"/>
  <c r="J169" i="7"/>
  <c r="J6" i="7"/>
  <c r="J98" i="7"/>
  <c r="J110" i="7"/>
  <c r="J122" i="7"/>
  <c r="J134" i="7"/>
  <c r="J146" i="7"/>
  <c r="J154" i="7"/>
  <c r="J166" i="7"/>
  <c r="J174" i="7"/>
  <c r="J4" i="7"/>
  <c r="J8" i="7"/>
  <c r="J12" i="7"/>
  <c r="J16" i="7"/>
  <c r="J20" i="7"/>
  <c r="J24" i="7"/>
  <c r="J28" i="7"/>
  <c r="J32" i="7"/>
  <c r="J36" i="7"/>
  <c r="J40" i="7"/>
  <c r="J44" i="7"/>
  <c r="J48" i="7"/>
  <c r="J52" i="7"/>
  <c r="J56" i="7"/>
  <c r="J60" i="7"/>
  <c r="J64" i="7"/>
  <c r="J68" i="7"/>
  <c r="J72" i="7"/>
  <c r="J76" i="7"/>
  <c r="J80" i="7"/>
  <c r="J84" i="7"/>
  <c r="J88" i="7"/>
  <c r="J92" i="7"/>
  <c r="J96" i="7"/>
  <c r="J100" i="7"/>
  <c r="J104" i="7"/>
  <c r="J108" i="7"/>
  <c r="J112" i="7"/>
  <c r="J116" i="7"/>
  <c r="J120" i="7"/>
  <c r="J124" i="7"/>
  <c r="J128" i="7"/>
  <c r="J132" i="7"/>
  <c r="J136" i="7"/>
  <c r="J69" i="7"/>
  <c r="J89" i="7"/>
  <c r="J97" i="7"/>
  <c r="J101" i="7"/>
  <c r="J105" i="7"/>
  <c r="J109" i="7"/>
  <c r="J113" i="7"/>
  <c r="J121" i="7"/>
  <c r="J129" i="7"/>
  <c r="J141" i="7"/>
  <c r="J149" i="7"/>
  <c r="J161" i="7"/>
  <c r="J173" i="7"/>
  <c r="J14" i="7"/>
  <c r="J18" i="7"/>
  <c r="J22" i="7"/>
  <c r="J26" i="7"/>
  <c r="J34" i="7"/>
  <c r="J42" i="7"/>
  <c r="J54" i="7"/>
  <c r="J58" i="7"/>
  <c r="J62" i="7"/>
  <c r="J66" i="7"/>
  <c r="J70" i="7"/>
  <c r="J78" i="7"/>
  <c r="J86" i="7"/>
  <c r="J102" i="7"/>
  <c r="J114" i="7"/>
  <c r="J126" i="7"/>
  <c r="J142" i="7"/>
  <c r="J158" i="7"/>
  <c r="J178" i="7"/>
  <c r="J125" i="7"/>
  <c r="J153" i="7"/>
  <c r="J165" i="7"/>
  <c r="J177" i="7"/>
  <c r="J10" i="7"/>
  <c r="J30" i="7"/>
  <c r="J38" i="7"/>
  <c r="J46" i="7"/>
  <c r="J50" i="7"/>
  <c r="J74" i="7"/>
  <c r="J82" i="7"/>
  <c r="J90" i="7"/>
  <c r="J94" i="7"/>
  <c r="J106" i="7"/>
  <c r="J118" i="7"/>
  <c r="J130" i="7"/>
  <c r="J138" i="7"/>
  <c r="J150" i="7"/>
  <c r="J162" i="7"/>
  <c r="J170" i="7"/>
  <c r="J2" i="7"/>
  <c r="L217" i="7" l="1"/>
  <c r="L215" i="7"/>
  <c r="L213" i="7"/>
  <c r="L211" i="7"/>
  <c r="L210" i="7"/>
  <c r="L208" i="7"/>
  <c r="L205" i="7"/>
  <c r="L204" i="7"/>
  <c r="L201" i="7"/>
  <c r="L193" i="7"/>
  <c r="L218" i="7"/>
  <c r="L216" i="7"/>
  <c r="L214" i="7"/>
  <c r="L212" i="7"/>
  <c r="L209" i="7"/>
  <c r="L207" i="7"/>
  <c r="L206" i="7"/>
  <c r="L203" i="7"/>
  <c r="L202" i="7"/>
  <c r="L200" i="7"/>
  <c r="L199" i="7"/>
  <c r="L198" i="7"/>
  <c r="L197" i="7"/>
  <c r="L196" i="7"/>
  <c r="L195" i="7"/>
  <c r="L194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2" i="7"/>
  <c r="L114" i="7"/>
  <c r="L102" i="7"/>
  <c r="L94" i="7"/>
  <c r="L86" i="7"/>
  <c r="L78" i="7"/>
  <c r="L70" i="7"/>
  <c r="L62" i="7"/>
  <c r="L54" i="7"/>
  <c r="L42" i="7"/>
  <c r="L30" i="7"/>
  <c r="L22" i="7"/>
  <c r="L6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L53" i="7"/>
  <c r="L49" i="7"/>
  <c r="L45" i="7"/>
  <c r="L41" i="7"/>
  <c r="L37" i="7"/>
  <c r="L33" i="7"/>
  <c r="L29" i="7"/>
  <c r="L25" i="7"/>
  <c r="L21" i="7"/>
  <c r="L17" i="7"/>
  <c r="L13" i="7"/>
  <c r="L9" i="7"/>
  <c r="L5" i="7"/>
  <c r="L46" i="7"/>
  <c r="L34" i="7"/>
  <c r="L10" i="7"/>
  <c r="L124" i="7"/>
  <c r="L120" i="7"/>
  <c r="L116" i="7"/>
  <c r="L112" i="7"/>
  <c r="L108" i="7"/>
  <c r="L104" i="7"/>
  <c r="L100" i="7"/>
  <c r="L96" i="7"/>
  <c r="L92" i="7"/>
  <c r="L88" i="7"/>
  <c r="L84" i="7"/>
  <c r="L80" i="7"/>
  <c r="L76" i="7"/>
  <c r="L72" i="7"/>
  <c r="L68" i="7"/>
  <c r="L64" i="7"/>
  <c r="L60" i="7"/>
  <c r="L56" i="7"/>
  <c r="L52" i="7"/>
  <c r="L48" i="7"/>
  <c r="L44" i="7"/>
  <c r="L40" i="7"/>
  <c r="L36" i="7"/>
  <c r="L32" i="7"/>
  <c r="L28" i="7"/>
  <c r="L24" i="7"/>
  <c r="L20" i="7"/>
  <c r="L16" i="7"/>
  <c r="L12" i="7"/>
  <c r="L8" i="7"/>
  <c r="L4" i="7"/>
  <c r="L126" i="7"/>
  <c r="L118" i="7"/>
  <c r="L110" i="7"/>
  <c r="L106" i="7"/>
  <c r="L98" i="7"/>
  <c r="L90" i="7"/>
  <c r="L82" i="7"/>
  <c r="L74" i="7"/>
  <c r="L66" i="7"/>
  <c r="L58" i="7"/>
  <c r="L50" i="7"/>
  <c r="L38" i="7"/>
  <c r="L26" i="7"/>
  <c r="L18" i="7"/>
  <c r="L14" i="7"/>
  <c r="L127" i="7"/>
  <c r="L123" i="7"/>
  <c r="L119" i="7"/>
  <c r="L115" i="7"/>
  <c r="L111" i="7"/>
  <c r="L107" i="7"/>
  <c r="L103" i="7"/>
  <c r="L99" i="7"/>
  <c r="L95" i="7"/>
  <c r="L91" i="7"/>
  <c r="L87" i="7"/>
  <c r="L83" i="7"/>
  <c r="L79" i="7"/>
  <c r="L75" i="7"/>
  <c r="L71" i="7"/>
  <c r="L67" i="7"/>
  <c r="L63" i="7"/>
  <c r="L59" i="7"/>
  <c r="L55" i="7"/>
  <c r="L51" i="7"/>
  <c r="L47" i="7"/>
  <c r="L43" i="7"/>
  <c r="L39" i="7"/>
  <c r="L35" i="7"/>
  <c r="L31" i="7"/>
  <c r="L27" i="7"/>
  <c r="L23" i="7"/>
  <c r="L19" i="7"/>
  <c r="L15" i="7"/>
  <c r="L11" i="7"/>
  <c r="L7" i="7"/>
  <c r="L3" i="7"/>
  <c r="L2" i="7"/>
  <c r="H1" i="3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<sst xmlns="http://schemas.openxmlformats.org/spreadsheetml/2006/main" count="871" uniqueCount="354">
  <si>
    <t>ストレート</t>
    <phoneticPr fontId="1"/>
  </si>
  <si>
    <t>ストレート</t>
  </si>
  <si>
    <t>チェンジアップ</t>
  </si>
  <si>
    <t>実況パワフルプロ野球２０１８_20200608231304_shade.txt</t>
    <phoneticPr fontId="1"/>
  </si>
  <si>
    <t>実況パワフルプロ野球２０１８_20200608231311_shade.txt</t>
    <phoneticPr fontId="1"/>
  </si>
  <si>
    <t>実況パワフルプロ野球２０１８_20200608231324_shade.txt</t>
    <phoneticPr fontId="1"/>
  </si>
  <si>
    <t>実況パワフルプロ野球２０１８_20200608231330_shade.txt</t>
    <phoneticPr fontId="1"/>
  </si>
  <si>
    <t>実況パワフルプロ野球２０１８_20200608231336_shade.txt</t>
    <phoneticPr fontId="1"/>
  </si>
  <si>
    <t>実況パワフルプロ野球２０１８_20200608231343_shade.txt</t>
    <phoneticPr fontId="1"/>
  </si>
  <si>
    <t>実況パワフルプロ野球２０１８_20200608231350_shade.txt</t>
    <phoneticPr fontId="1"/>
  </si>
  <si>
    <t>実況パワフルプロ野球２０１８_20200608231258_shade.txt</t>
    <phoneticPr fontId="1"/>
  </si>
  <si>
    <t>選手</t>
    <rPh sb="0" eb="2">
      <t>センシュ</t>
    </rPh>
    <phoneticPr fontId="1"/>
  </si>
  <si>
    <t>パワプロ</t>
    <phoneticPr fontId="1"/>
  </si>
  <si>
    <t>カーブ</t>
    <phoneticPr fontId="1"/>
  </si>
  <si>
    <t>ストレート</t>
    <phoneticPr fontId="1"/>
  </si>
  <si>
    <t>実況パワフルプロ野球２０１８_20200608231356_shade.txt</t>
    <phoneticPr fontId="1"/>
  </si>
  <si>
    <t>PEん</t>
    <phoneticPr fontId="1"/>
  </si>
  <si>
    <t>実況パワフルプロ野球２０１８_20200610212128_shade.txt</t>
    <phoneticPr fontId="1"/>
  </si>
  <si>
    <t>実況パワフルプロ野球２０１８_20200610212141_shade.txt</t>
    <phoneticPr fontId="1"/>
  </si>
  <si>
    <t>実況パワフルプロ野球２０１８_20200610212147_shade.txt</t>
    <phoneticPr fontId="1"/>
  </si>
  <si>
    <t>実況パワフルプロ野球２０１８_20200610212153_shade.txt</t>
    <phoneticPr fontId="1"/>
  </si>
  <si>
    <t>実況パワフルプロ野球２０１８_20200610212159_shade.txt</t>
    <phoneticPr fontId="1"/>
  </si>
  <si>
    <t>実況パワフルプロ野球２０１８_20200610212205_shade.txt</t>
    <phoneticPr fontId="1"/>
  </si>
  <si>
    <t>実況パワフルプロ野球２０１８_20200610212212_shade.txt</t>
    <phoneticPr fontId="1"/>
  </si>
  <si>
    <t>実況パワフルプロ野球２０１８_20200610212218_shade.txt</t>
    <phoneticPr fontId="1"/>
  </si>
  <si>
    <t>フォーク</t>
  </si>
  <si>
    <t>実況パワフルプロ野球２０１８_20200610212820_shade.txt</t>
  </si>
  <si>
    <t>実況パワフルプロ野球２０１８_20200610212826_shade.txt</t>
  </si>
  <si>
    <t>アルのん</t>
  </si>
  <si>
    <t>実況パワフルプロ野球２０１８_20200610212832_shade.txt</t>
  </si>
  <si>
    <t>実況パワフルプロ野球２０１８_20200610212839_shade.txt</t>
  </si>
  <si>
    <t>実況パワフルプロ野球２０１８_20200610212845_shade.txt</t>
  </si>
  <si>
    <t>アンの</t>
  </si>
  <si>
    <t>実況パワフルプロ野球２０１８_20200610212852_shade.txt</t>
  </si>
  <si>
    <t>実況パワフルプロ野球２０１８_20200610212858_shade.txt</t>
  </si>
  <si>
    <t>シン</t>
  </si>
  <si>
    <t>実況パワフルプロ野球２０１８_20200610212904_shade.txt</t>
  </si>
  <si>
    <t>アンのん</t>
  </si>
  <si>
    <t>実況パワフルプロ野球２０１８_20200610212911_shade.txt</t>
  </si>
  <si>
    <t>実況パワフルプロ野球２０１８_20200610212917_shade.txt</t>
  </si>
  <si>
    <t>シンカー</t>
  </si>
  <si>
    <t>実況パワフルプロ野球２０１８_20200610213612_shade.txt</t>
  </si>
  <si>
    <t>実況パワフルプロ野球２０１８_20200610213619_shade.txt</t>
  </si>
  <si>
    <t>実況パワフルプロ野球２０１８_20200610213626_shade.txt</t>
  </si>
  <si>
    <t>実況パワフルプロ野球２０１８_20200610213632_shade.txt</t>
  </si>
  <si>
    <t>実況パワフルプロ野球２０１８_20200610213639_shade.txt</t>
  </si>
  <si>
    <t>実況パワフルプロ野球２０１８_20200610213645_shade.txt</t>
  </si>
  <si>
    <t>実況パワフルプロ野球２０１８_20200610213652_shade.txt</t>
  </si>
  <si>
    <t>実況パワフルプロ野球２０１８_20200610213658_shade.txt</t>
  </si>
  <si>
    <t>実況パワフルプロ野球２０１８_20200610213705_shade.txt</t>
  </si>
  <si>
    <t>スライダー</t>
  </si>
  <si>
    <t>実況パワフルプロ野球２０１８_20200610213723_shade.txt</t>
  </si>
  <si>
    <t>実況パワフルプロ野球２０１８_20200610213730_shade.txt</t>
  </si>
  <si>
    <t>実況パワフルプロ野球２０１８_20200610213736_shade.txt</t>
  </si>
  <si>
    <t>実況パワフルプロ野球２０１８_20200610213742_shade.txt</t>
  </si>
  <si>
    <t>実況パワフルプロ野球２０１８_20200610213749_shade.txt</t>
  </si>
  <si>
    <t>実況パワフルプロ野球２０１８_20200610213755_shade.txt</t>
  </si>
  <si>
    <t>実況パワフルプロ野球２０１８_20200610213802_shade.txt</t>
  </si>
  <si>
    <t>実況パワフルプロ野球２０１８_20200610213808_shade.txt</t>
  </si>
  <si>
    <t>実況パワフルプロ野球２０１８_20200610213815_shade.txt</t>
  </si>
  <si>
    <t>実況パワフルプロ野球２０１８_20200610213821_shade.txt</t>
  </si>
  <si>
    <t>アク</t>
  </si>
  <si>
    <t>実況パワフルプロ野球２０１８_20200610213832_shade.txt</t>
  </si>
  <si>
    <t>実況パワフルプロ野球２０１８_20200610213838_shade.txt</t>
  </si>
  <si>
    <t>実況パワフルプロ野球２０１８_20200610213844_shade.txt</t>
  </si>
  <si>
    <t>実況パワフルプロ野球２０１８_20200610213851_shade.txt</t>
  </si>
  <si>
    <t>実況パワフルプロ野球２０１８_20200610213857_shade.txt</t>
  </si>
  <si>
    <t>実況パワフルプロ野球２０１８_20200610213904_shade.txt</t>
  </si>
  <si>
    <t>実況パワフルプロ野球２０１８_20200610213910_shade.txt</t>
  </si>
  <si>
    <t>実況パワフルプロ野球２０１８_20200610213916_shade.txt</t>
  </si>
  <si>
    <t>実況パワフルプロ野球２０１８_20200610213923_shade.txt</t>
  </si>
  <si>
    <t>実況パワフルプロ野球２０１８_20200610213929_shade.txt</t>
  </si>
  <si>
    <t>ッツーシーム</t>
  </si>
  <si>
    <t>実況パワフルプロ野球２０１８_20200610213943_shade.txt</t>
  </si>
  <si>
    <t>ツーシーム</t>
  </si>
  <si>
    <t>実況パワフルプロ野球２０１８_20200610213950_shade.txt</t>
  </si>
  <si>
    <t>実況パワフルプロ野球２０１８_20200610213956_shade.txt</t>
  </si>
  <si>
    <t>ッーシーム</t>
  </si>
  <si>
    <t>実況パワフルプロ野球２０１８_20200610214003_shade.txt</t>
  </si>
  <si>
    <t>実況パワフルプロ野球２０１８_20200610214009_shade.txt</t>
  </si>
  <si>
    <t>実況パワフルプロ野球２０１８_20200610214016_shade.txt</t>
  </si>
  <si>
    <t>実況パワフルプロ野球２０１８_20200610214022_shade.txt</t>
  </si>
  <si>
    <t>実況パワフルプロ野球２０１８_20200610214029_shade.txt</t>
  </si>
  <si>
    <t>実況パワフルプロ野球２０１８_20200610214035_shade.txt</t>
  </si>
  <si>
    <t>りーアーパ</t>
  </si>
  <si>
    <t>実況パワフルプロ野球２０１８_20200610214042_shade.txt</t>
  </si>
  <si>
    <t>全力ストレート</t>
  </si>
  <si>
    <t>実況パワフルプロ野球２０１８_20200610214103_shade.txt</t>
  </si>
  <si>
    <t>実況パワフルプロ野球２０１８_20200610214109_shade.txt</t>
  </si>
  <si>
    <t>実況パワフルプロ野球２０１８_20200610214115_shade.txt</t>
  </si>
  <si>
    <t>実況パワフルプロ野球２０１８_20200610214121_shade.txt</t>
  </si>
  <si>
    <t>実況パワフルプロ野球２０１８_20200610214127_shade.txt</t>
  </si>
  <si>
    <t>全カストレート</t>
  </si>
  <si>
    <t>実況パワフルプロ野球２０１８_20200610214133_shade.txt</t>
  </si>
  <si>
    <t>実況パワフルプロ野球２０１８_20200610214140_shade.txt</t>
  </si>
  <si>
    <t>実況パワフルプロ野球２０１８_20200610214146_shade.txt</t>
  </si>
  <si>
    <t>実況パワフルプロ野球２０１８_20200610214152_shade.txt</t>
  </si>
  <si>
    <t>実況パワフルプロ野球２０１８_20200610214158_shade.txt</t>
  </si>
  <si>
    <t>フォーク</t>
    <phoneticPr fontId="1"/>
  </si>
  <si>
    <t>シュート</t>
    <phoneticPr fontId="1"/>
  </si>
  <si>
    <t>ツーシーム</t>
    <phoneticPr fontId="1"/>
  </si>
  <si>
    <t>1cH2</t>
    <phoneticPr fontId="1"/>
  </si>
  <si>
    <t>フォーク</t>
    <phoneticPr fontId="1"/>
  </si>
  <si>
    <t>実況パワフルプロ野球２０１８_20200610212820_shade.txt</t>
    <phoneticPr fontId="1"/>
  </si>
  <si>
    <t>実況パワフルプロ野球２０１８_20200610212826_shade.txt</t>
    <phoneticPr fontId="1"/>
  </si>
  <si>
    <t>アルのん</t>
    <phoneticPr fontId="1"/>
  </si>
  <si>
    <t>実況パワフルプロ野球２０１８_20200610212832_shade.txt</t>
    <phoneticPr fontId="1"/>
  </si>
  <si>
    <t>実況パワフルプロ野球２０１８_20200610212839_shade.txt</t>
    <phoneticPr fontId="1"/>
  </si>
  <si>
    <t>実況パワフルプロ野球２０１８_20200610212845_shade.txt</t>
    <phoneticPr fontId="1"/>
  </si>
  <si>
    <t>アンの</t>
    <phoneticPr fontId="1"/>
  </si>
  <si>
    <t>実況パワフルプロ野球２０１８_20200610212852_shade.txt</t>
    <phoneticPr fontId="1"/>
  </si>
  <si>
    <t>実況パワフルプロ野球２０１８_20200610212858_shade.txt</t>
    <phoneticPr fontId="1"/>
  </si>
  <si>
    <t>シン</t>
    <phoneticPr fontId="1"/>
  </si>
  <si>
    <t>実況パワフルプロ野球２０１８_20200610212904_shade.txt</t>
    <phoneticPr fontId="1"/>
  </si>
  <si>
    <t>アンのん</t>
    <phoneticPr fontId="1"/>
  </si>
  <si>
    <t>実況パワフルプロ野球２０１８_20200610212911_shade.txt</t>
    <phoneticPr fontId="1"/>
  </si>
  <si>
    <t>実況パワフルプロ野球２０１８_20200610212917_shade.txt</t>
    <phoneticPr fontId="1"/>
  </si>
  <si>
    <t>シンカー</t>
    <phoneticPr fontId="1"/>
  </si>
  <si>
    <t>実況パワフルプロ野球２０１８_20200610213612_shade.txt</t>
    <phoneticPr fontId="1"/>
  </si>
  <si>
    <t>実況パワフルプロ野球２０１８_20200610213619_shade.txt</t>
    <phoneticPr fontId="1"/>
  </si>
  <si>
    <t>実況パワフルプロ野球２０１８_20200610213626_shade.txt</t>
    <phoneticPr fontId="1"/>
  </si>
  <si>
    <t>実況パワフルプロ野球２０１８_20200610213632_shade.txt</t>
    <phoneticPr fontId="1"/>
  </si>
  <si>
    <t>実況パワフルプロ野球２０１８_20200610213639_shade.txt</t>
    <phoneticPr fontId="1"/>
  </si>
  <si>
    <t>実況パワフルプロ野球２０１８_20200610213645_shade.txt</t>
    <phoneticPr fontId="1"/>
  </si>
  <si>
    <t>実況パワフルプロ野球２０１８_20200610213652_shade.txt</t>
    <phoneticPr fontId="1"/>
  </si>
  <si>
    <t>実況パワフルプロ野球２０１８_20200610213658_shade.txt</t>
    <phoneticPr fontId="1"/>
  </si>
  <si>
    <t>実況パワフルプロ野球２０１８_20200610213705_shade.txt</t>
    <phoneticPr fontId="1"/>
  </si>
  <si>
    <t>スライダー</t>
    <phoneticPr fontId="1"/>
  </si>
  <si>
    <t>実況パワフルプロ野球２０１８_20200610213723_shade.txt</t>
    <phoneticPr fontId="1"/>
  </si>
  <si>
    <t>実況パワフルプロ野球２０１８_20200610213730_shade.txt</t>
    <phoneticPr fontId="1"/>
  </si>
  <si>
    <t>実況パワフルプロ野球２０１８_20200610213736_shade.txt</t>
    <phoneticPr fontId="1"/>
  </si>
  <si>
    <t>実況パワフルプロ野球２０１８_20200610213742_shade.txt</t>
    <phoneticPr fontId="1"/>
  </si>
  <si>
    <t>実況パワフルプロ野球２０１８_20200610213749_shade.txt</t>
    <phoneticPr fontId="1"/>
  </si>
  <si>
    <t>実況パワフルプロ野球２０１８_20200610213755_shade.txt</t>
    <phoneticPr fontId="1"/>
  </si>
  <si>
    <t>実況パワフルプロ野球２０１８_20200610213802_shade.txt</t>
    <phoneticPr fontId="1"/>
  </si>
  <si>
    <t>実況パワフルプロ野球２０１８_20200610213808_shade.txt</t>
    <phoneticPr fontId="1"/>
  </si>
  <si>
    <t>実況パワフルプロ野球２０１８_20200610213815_shade.txt</t>
    <phoneticPr fontId="1"/>
  </si>
  <si>
    <t>実況パワフルプロ野球２０１８_20200610213821_shade.txt</t>
    <phoneticPr fontId="1"/>
  </si>
  <si>
    <t>アク</t>
    <phoneticPr fontId="1"/>
  </si>
  <si>
    <t>実況パワフルプロ野球２０１８_20200610213832_shade.txt</t>
    <phoneticPr fontId="1"/>
  </si>
  <si>
    <t>実況パワフルプロ野球２０１８_20200610213838_shade.txt</t>
    <phoneticPr fontId="1"/>
  </si>
  <si>
    <t>実況パワフルプロ野球２０１８_20200610213844_shade.txt</t>
    <phoneticPr fontId="1"/>
  </si>
  <si>
    <t>実況パワフルプロ野球２０１８_20200610213851_shade.txt</t>
    <phoneticPr fontId="1"/>
  </si>
  <si>
    <t>実況パワフルプロ野球２０１８_20200610213857_shade.txt</t>
    <phoneticPr fontId="1"/>
  </si>
  <si>
    <t>実況パワフルプロ野球２０１８_20200610213904_shade.txt</t>
    <phoneticPr fontId="1"/>
  </si>
  <si>
    <t>実況パワフルプロ野球２０１８_20200610213910_shade.txt</t>
    <phoneticPr fontId="1"/>
  </si>
  <si>
    <t>実況パワフルプロ野球２０１８_20200610213916_shade.txt</t>
    <phoneticPr fontId="1"/>
  </si>
  <si>
    <t>実況パワフルプロ野球２０１８_20200610213923_shade.txt</t>
    <phoneticPr fontId="1"/>
  </si>
  <si>
    <t>実況パワフルプロ野球２０１８_20200610213929_shade.txt</t>
    <phoneticPr fontId="1"/>
  </si>
  <si>
    <t>ッツーシーム</t>
    <phoneticPr fontId="1"/>
  </si>
  <si>
    <t>実況パワフルプロ野球２０１８_20200610213943_shade.txt</t>
    <phoneticPr fontId="1"/>
  </si>
  <si>
    <t>ツーシーム</t>
    <phoneticPr fontId="1"/>
  </si>
  <si>
    <t>実況パワフルプロ野球２０１８_20200610213950_shade.txt</t>
    <phoneticPr fontId="1"/>
  </si>
  <si>
    <t>実況パワフルプロ野球２０１８_20200610213956_shade.txt</t>
    <phoneticPr fontId="1"/>
  </si>
  <si>
    <t>ッーシーム</t>
    <phoneticPr fontId="1"/>
  </si>
  <si>
    <t>実況パワフルプロ野球２０１８_20200610214003_shade.txt</t>
    <phoneticPr fontId="1"/>
  </si>
  <si>
    <t>実況パワフルプロ野球２０１８_20200610214009_shade.txt</t>
    <phoneticPr fontId="1"/>
  </si>
  <si>
    <t>実況パワフルプロ野球２０１８_20200610214016_shade.txt</t>
    <phoneticPr fontId="1"/>
  </si>
  <si>
    <t>実況パワフルプロ野球２０１８_20200610214022_shade.txt</t>
    <phoneticPr fontId="1"/>
  </si>
  <si>
    <t>実況パワフルプロ野球２０１８_20200610214029_shade.txt</t>
    <phoneticPr fontId="1"/>
  </si>
  <si>
    <t>実況パワフルプロ野球２０１８_20200610214035_shade.txt</t>
    <phoneticPr fontId="1"/>
  </si>
  <si>
    <t>りーアーパ</t>
    <phoneticPr fontId="1"/>
  </si>
  <si>
    <t>実況パワフルプロ野球２０１８_20200610214042_shade.txt</t>
    <phoneticPr fontId="1"/>
  </si>
  <si>
    <t>全力ストレート</t>
    <phoneticPr fontId="1"/>
  </si>
  <si>
    <t>実況パワフルプロ野球２０１８_20200610214103_shade.txt</t>
    <phoneticPr fontId="1"/>
  </si>
  <si>
    <t>実況パワフルプロ野球２０１８_20200610214109_shade.txt</t>
    <phoneticPr fontId="1"/>
  </si>
  <si>
    <t>実況パワフルプロ野球２０１８_20200610214115_shade.txt</t>
    <phoneticPr fontId="1"/>
  </si>
  <si>
    <t>実況パワフルプロ野球２０１８_20200610214121_shade.txt</t>
    <phoneticPr fontId="1"/>
  </si>
  <si>
    <t>1cH3</t>
    <phoneticPr fontId="1"/>
  </si>
  <si>
    <t>実況パワフルプロ野球２０１８_20200610214127_shade.txt</t>
    <phoneticPr fontId="1"/>
  </si>
  <si>
    <t>全カストレート</t>
    <phoneticPr fontId="1"/>
  </si>
  <si>
    <t>実況パワフルプロ野球２０１８_20200610214133_shade.txt</t>
    <phoneticPr fontId="1"/>
  </si>
  <si>
    <t>1cH1</t>
    <phoneticPr fontId="1"/>
  </si>
  <si>
    <t>実況パワフルプロ野球２０１８_20200610214140_shade.txt</t>
    <phoneticPr fontId="1"/>
  </si>
  <si>
    <t>実況パワフルプロ野球２０１８_20200610214146_shade.txt</t>
    <phoneticPr fontId="1"/>
  </si>
  <si>
    <t>実況パワフルプロ野球２０１８_20200610214152_shade.txt</t>
    <phoneticPr fontId="1"/>
  </si>
  <si>
    <t>実況パワフルプロ野球２０１８_20200610214158_shade.txt</t>
    <phoneticPr fontId="1"/>
  </si>
  <si>
    <t>スローカーブ</t>
  </si>
  <si>
    <t>レロビシ</t>
  </si>
  <si>
    <t>レロビーシッ</t>
  </si>
  <si>
    <t>武隈</t>
    <rPh sb="0" eb="2">
      <t>タケクマ</t>
    </rPh>
    <phoneticPr fontId="1"/>
  </si>
  <si>
    <t>スローカーブ</t>
    <phoneticPr fontId="1"/>
  </si>
  <si>
    <t>パワプロ</t>
    <phoneticPr fontId="1"/>
  </si>
  <si>
    <t>武隈</t>
    <rPh sb="0" eb="2">
      <t>タケクマ</t>
    </rPh>
    <phoneticPr fontId="1"/>
  </si>
  <si>
    <t>換算フレーム</t>
    <rPh sb="0" eb="2">
      <t>カンサン</t>
    </rPh>
    <phoneticPr fontId="1"/>
  </si>
  <si>
    <t>球種</t>
    <rPh sb="0" eb="2">
      <t>キュウシュ</t>
    </rPh>
    <phoneticPr fontId="1"/>
  </si>
  <si>
    <t>1/球速</t>
    <rPh sb="2" eb="4">
      <t>キュウソク</t>
    </rPh>
    <phoneticPr fontId="1"/>
  </si>
  <si>
    <t>時間</t>
    <rPh sb="0" eb="2">
      <t>ジカン</t>
    </rPh>
    <phoneticPr fontId="1"/>
  </si>
  <si>
    <t>森脇</t>
    <rPh sb="0" eb="2">
      <t>モリワキ</t>
    </rPh>
    <phoneticPr fontId="1"/>
  </si>
  <si>
    <t>実況パワフルプロ野球２０１８_20200610214643_shade.txt</t>
    <phoneticPr fontId="1"/>
  </si>
  <si>
    <t>実況パワフルプロ野球２０１８_20200610214649_shade.txt</t>
    <phoneticPr fontId="1"/>
  </si>
  <si>
    <t>実況パワフルプロ野球２０１８_20200610214655_shade.txt</t>
    <phoneticPr fontId="1"/>
  </si>
  <si>
    <t>実況パワフルプロ野球２０１８_20200610214700_shade.txt</t>
    <phoneticPr fontId="1"/>
  </si>
  <si>
    <t>実況パワフルプロ野球２０１８_20200610214706_shade.txt</t>
    <phoneticPr fontId="1"/>
  </si>
  <si>
    <t>実況パワフルプロ野球２０１８_20200610214712_shade.txt</t>
    <phoneticPr fontId="1"/>
  </si>
  <si>
    <t>実況パワフルプロ野球２０１８_20200610214718_shade.txt</t>
    <phoneticPr fontId="1"/>
  </si>
  <si>
    <t>実況パワフルプロ野球２０１８_20200610214723_shade.txt</t>
    <phoneticPr fontId="1"/>
  </si>
  <si>
    <t>実況パワフルプロ野球２０１８_20200610214729_shade.txt</t>
    <phoneticPr fontId="1"/>
  </si>
  <si>
    <t>実況パワフルプロ野球２０１８_20200610214735_shade.txt</t>
    <phoneticPr fontId="1"/>
  </si>
  <si>
    <t>実況パワフルプロ野球２０１８_20200610214749_shade.txt</t>
    <phoneticPr fontId="1"/>
  </si>
  <si>
    <t>実況パワフルプロ野球２０１８_20200610214754_shade.txt</t>
    <phoneticPr fontId="1"/>
  </si>
  <si>
    <t>実況パワフルプロ野球２０１８_20200610214759_shade.txt</t>
    <phoneticPr fontId="1"/>
  </si>
  <si>
    <t>実況パワフルプロ野球２０１８_20200610214804_shade.txt</t>
    <phoneticPr fontId="1"/>
  </si>
  <si>
    <t>実況パワフルプロ野球２０１８_20200610214809_shade.txt</t>
    <phoneticPr fontId="1"/>
  </si>
  <si>
    <t>実況パワフルプロ野球２０１８_20200610214814_shade.txt</t>
    <phoneticPr fontId="1"/>
  </si>
  <si>
    <t>実況パワフルプロ野球２０１８_20200610214819_shade.txt</t>
    <phoneticPr fontId="1"/>
  </si>
  <si>
    <t>実況パワフルプロ野球２０１８_20200610214825_shade.txt</t>
    <phoneticPr fontId="1"/>
  </si>
  <si>
    <t>実況パワフルプロ野球２０１８_20200610214830_shade.txt</t>
    <phoneticPr fontId="1"/>
  </si>
  <si>
    <t>実況パワフルプロ野球２０１８_20200610214835_shade.txt</t>
    <phoneticPr fontId="1"/>
  </si>
  <si>
    <t>チェンジアップ</t>
    <phoneticPr fontId="1"/>
  </si>
  <si>
    <t>実況パワフルプロ野球２０１８_20200610215216_shade.txt</t>
    <phoneticPr fontId="1"/>
  </si>
  <si>
    <t>実況パワフルプロ野球２０１８_20200610215221_shade.txt</t>
    <phoneticPr fontId="1"/>
  </si>
  <si>
    <t>実況パワフルプロ野球２０１８_20200610215227_shade.txt</t>
    <phoneticPr fontId="1"/>
  </si>
  <si>
    <t>実況パワフルプロ野球２０１８_20200610215233_shade.txt</t>
    <phoneticPr fontId="1"/>
  </si>
  <si>
    <t>実況パワフルプロ野球２０１８_20200610215238_shade.txt</t>
    <phoneticPr fontId="1"/>
  </si>
  <si>
    <t>実況パワフルプロ野球２０１８_20200610215243_shade.txt</t>
    <phoneticPr fontId="1"/>
  </si>
  <si>
    <t>実況パワフルプロ野球２０１８_20200610215249_shade.txt</t>
    <phoneticPr fontId="1"/>
  </si>
  <si>
    <t>実況パワフルプロ野球２０１８_20200610215254_shade.txt</t>
    <phoneticPr fontId="1"/>
  </si>
  <si>
    <t>実況パワフルプロ野球２０１８_20200610215300_shade.txt</t>
    <phoneticPr fontId="1"/>
  </si>
  <si>
    <t>実況パワフルプロ野球２０１８_20200610215305_shade.txt</t>
    <phoneticPr fontId="1"/>
  </si>
  <si>
    <t>スローカーブ</t>
    <phoneticPr fontId="1"/>
  </si>
  <si>
    <t>実況パワフルプロ野球２０１８_20200610215317_shade.txt</t>
    <phoneticPr fontId="1"/>
  </si>
  <si>
    <t>レロビシ</t>
    <phoneticPr fontId="1"/>
  </si>
  <si>
    <t>実況パワフルプロ野球２０１８_20200610215323_shade.txt</t>
    <phoneticPr fontId="1"/>
  </si>
  <si>
    <t>実況パワフルプロ野球２０１８_20200610215328_shade.txt</t>
    <phoneticPr fontId="1"/>
  </si>
  <si>
    <t>レロビーシッ</t>
    <phoneticPr fontId="1"/>
  </si>
  <si>
    <t>実況パワフルプロ野球２０１８_20200610215333_shade.txt</t>
    <phoneticPr fontId="1"/>
  </si>
  <si>
    <t>1v3</t>
    <phoneticPr fontId="1"/>
  </si>
  <si>
    <t>実況パワフルプロ野球２０１８_20200610215339_shade.txt</t>
    <phoneticPr fontId="1"/>
  </si>
  <si>
    <t>実況パワフルプロ野球２０１８_20200610215344_shade.txt</t>
    <phoneticPr fontId="1"/>
  </si>
  <si>
    <t>実況パワフルプロ野球２０１８_20200610215350_shade.txt</t>
    <phoneticPr fontId="1"/>
  </si>
  <si>
    <t>実況パワフルプロ野球２０１８_20200610215355_shade.txt</t>
    <phoneticPr fontId="1"/>
  </si>
  <si>
    <t>実況パワフルプロ野球２０１８_20200610215401_shade.txt</t>
    <phoneticPr fontId="1"/>
  </si>
  <si>
    <t>実況パワフルプロ野球２０１８_20200610215406_shade.txt</t>
    <phoneticPr fontId="1"/>
  </si>
  <si>
    <t>実況パワフルプロ野球２０１８_20200610215416_shade.txt</t>
    <phoneticPr fontId="1"/>
  </si>
  <si>
    <t>実況パワフルプロ野球２０１８_20200610215422_shade.txt</t>
    <phoneticPr fontId="1"/>
  </si>
  <si>
    <t>実況パワフルプロ野球２０１８_20200610215427_shade.txt</t>
    <phoneticPr fontId="1"/>
  </si>
  <si>
    <t>実況パワフルプロ野球２０１８_20200610215432_shade.txt</t>
    <phoneticPr fontId="1"/>
  </si>
  <si>
    <t>実況パワフルプロ野球２０１８_20200610215438_shade.txt</t>
    <phoneticPr fontId="1"/>
  </si>
  <si>
    <t>実況パワフルプロ野球２０１８_20200610215443_shade.txt</t>
    <phoneticPr fontId="1"/>
  </si>
  <si>
    <t>実況パワフルプロ野球２０１８_20200610215449_shade.txt</t>
    <phoneticPr fontId="1"/>
  </si>
  <si>
    <t>実況パワフルプロ野球２０１８_20200610215455_shade.txt</t>
    <phoneticPr fontId="1"/>
  </si>
  <si>
    <t>実況パワフルプロ野球２０１８_20200610215500_shade.txt</t>
    <phoneticPr fontId="1"/>
  </si>
  <si>
    <t>実況パワフルプロ野球２０１８_20200610215505_shade.txt</t>
    <phoneticPr fontId="1"/>
  </si>
  <si>
    <t>カットボール</t>
  </si>
  <si>
    <t>ナックルカーブ</t>
  </si>
  <si>
    <t>レッルクガルにん</t>
  </si>
  <si>
    <t>アルの</t>
  </si>
  <si>
    <t>シアシン</t>
  </si>
  <si>
    <t>アルング</t>
  </si>
  <si>
    <t>森脇</t>
    <rPh sb="0" eb="2">
      <t>モリワキ</t>
    </rPh>
    <phoneticPr fontId="1"/>
  </si>
  <si>
    <t>中塚</t>
    <rPh sb="0" eb="2">
      <t>ナカツカ</t>
    </rPh>
    <phoneticPr fontId="1"/>
  </si>
  <si>
    <t>実況パワフルプロ野球２０１８_20200610222435_shade.txt</t>
    <phoneticPr fontId="1"/>
  </si>
  <si>
    <t>実況パワフルプロ野球２０１８_20200610222439_shade.txt</t>
    <phoneticPr fontId="1"/>
  </si>
  <si>
    <t>実況パワフルプロ野球２０１８_20200610222444_shade.txt</t>
    <phoneticPr fontId="1"/>
  </si>
  <si>
    <t>実況パワフルプロ野球２０１８_20200610222449_shade.txt</t>
    <phoneticPr fontId="1"/>
  </si>
  <si>
    <t>実況パワフルプロ野球２０１８_20200610222453_shade.txt</t>
    <phoneticPr fontId="1"/>
  </si>
  <si>
    <t>実況パワフルプロ野球２０１８_20200610222458_shade.txt</t>
    <phoneticPr fontId="1"/>
  </si>
  <si>
    <t>14,</t>
    <phoneticPr fontId="1"/>
  </si>
  <si>
    <t>実況パワフルプロ野球２０１８_20200610222503_shade.txt</t>
    <phoneticPr fontId="1"/>
  </si>
  <si>
    <t>実況パワフルプロ野球２０１８_20200610222507_shade.txt</t>
    <phoneticPr fontId="1"/>
  </si>
  <si>
    <t>実況パワフルプロ野球２０１８_20200610222512_shade.txt</t>
    <phoneticPr fontId="1"/>
  </si>
  <si>
    <t>実況パワフルプロ野球２０１８_20200610222516_shade.txt</t>
    <phoneticPr fontId="1"/>
  </si>
  <si>
    <t>にコー の得コウには</t>
    <phoneticPr fontId="1"/>
  </si>
  <si>
    <t>実況パワフルプロ野球２０１８_20200610222525_shade.txt</t>
    <phoneticPr fontId="1"/>
  </si>
  <si>
    <t>実況パワフルプロ野球２０１８_20200610222530_shade.txt</t>
    <phoneticPr fontId="1"/>
  </si>
  <si>
    <t>実況パワフルプロ野球２０１８_20200610222534_shade.txt</t>
    <phoneticPr fontId="1"/>
  </si>
  <si>
    <t>実況パワフルプロ野球２０１８_20200610222539_shade.txt</t>
    <phoneticPr fontId="1"/>
  </si>
  <si>
    <t>実況パワフルプロ野球２０１８_20200610222543_shade.txt</t>
    <phoneticPr fontId="1"/>
  </si>
  <si>
    <t>実況パワフルプロ野球２０１８_20200610222548_shade.txt</t>
    <phoneticPr fontId="1"/>
  </si>
  <si>
    <t>実況パワフルプロ野球２０１８_20200610222552_shade.txt</t>
    <phoneticPr fontId="1"/>
  </si>
  <si>
    <t>実況パワフルプロ野球２０１８_20200610222557_shade.txt</t>
    <phoneticPr fontId="1"/>
  </si>
  <si>
    <t>実況パワフルプロ野球２０１８_20200610222601_shade.txt</t>
    <phoneticPr fontId="1"/>
  </si>
  <si>
    <t>実況パワフルプロ野球２０１８_20200610222606_shade.txt</t>
    <phoneticPr fontId="1"/>
  </si>
  <si>
    <t>カットボール</t>
    <phoneticPr fontId="1"/>
  </si>
  <si>
    <t>実況パワフルプロ野球２０１８_20200610222616_shade.txt</t>
    <phoneticPr fontId="1"/>
  </si>
  <si>
    <t>実況パワフルプロ野球２０１８_20200610222621_shade.txt</t>
    <phoneticPr fontId="1"/>
  </si>
  <si>
    <t>実況パワフルプロ野球２０１８_20200610222626_shade.txt</t>
    <phoneticPr fontId="1"/>
  </si>
  <si>
    <t>実況パワフルプロ野球２０１８_20200610222632_shade.txt</t>
    <phoneticPr fontId="1"/>
  </si>
  <si>
    <t>実況パワフルプロ野球２０１８_20200610222637_shade.txt</t>
    <phoneticPr fontId="1"/>
  </si>
  <si>
    <t>13:]</t>
    <phoneticPr fontId="1"/>
  </si>
  <si>
    <t>実況パワフルプロ野球２０１８_20200610222642_shade.txt</t>
    <phoneticPr fontId="1"/>
  </si>
  <si>
    <t>実況パワフルプロ野球２０１８_20200610222648_shade.txt</t>
    <phoneticPr fontId="1"/>
  </si>
  <si>
    <t>実況パワフルプロ野球２０１８_20200610222653_shade.txt</t>
    <phoneticPr fontId="1"/>
  </si>
  <si>
    <t>実況パワフルプロ野球２０１８_20200610222658_shade.txt</t>
    <phoneticPr fontId="1"/>
  </si>
  <si>
    <t>実況パワフルプロ野球２０１８_20200610222703_shade.txt</t>
    <phoneticPr fontId="1"/>
  </si>
  <si>
    <t>ナックルカーブ</t>
    <phoneticPr fontId="1"/>
  </si>
  <si>
    <t>実況パワフルプロ野球２０１８_20200610222713_shade.txt</t>
    <phoneticPr fontId="1"/>
  </si>
  <si>
    <t>実況パワフルプロ野球２０１８_20200610222719_shade.txt</t>
    <phoneticPr fontId="1"/>
  </si>
  <si>
    <t>実況パワフルプロ野球２０１８_20200610222724_shade.txt</t>
    <phoneticPr fontId="1"/>
  </si>
  <si>
    <t>実況パワフルプロ野球２０１８_20200610222729_shade.txt</t>
    <phoneticPr fontId="1"/>
  </si>
  <si>
    <t>実況パワフルプロ野球２０１８_20200610222734_shade.txt</t>
    <phoneticPr fontId="1"/>
  </si>
  <si>
    <t>実況パワフルプロ野球２０１８_20200610222739_shade.txt</t>
    <phoneticPr fontId="1"/>
  </si>
  <si>
    <t>実況パワフルプロ野球２０１８_20200610222744_shade.txt</t>
    <phoneticPr fontId="1"/>
  </si>
  <si>
    <t>レッルクガルにん</t>
    <phoneticPr fontId="1"/>
  </si>
  <si>
    <t>実況パワフルプロ野球２０１８_20200610222749_shade.txt</t>
    <phoneticPr fontId="1"/>
  </si>
  <si>
    <t>実況パワフルプロ野球２０１８_20200610222754_shade.txt</t>
    <phoneticPr fontId="1"/>
  </si>
  <si>
    <t>実況パワフルプロ野球２０１８_20200610222759_shade.txt</t>
    <phoneticPr fontId="1"/>
  </si>
  <si>
    <t>実況パワフルプロ野球２０１８_20200610222808_shade.txt</t>
    <phoneticPr fontId="1"/>
  </si>
  <si>
    <t>アルの</t>
    <phoneticPr fontId="1"/>
  </si>
  <si>
    <t>実況パワフルプロ野球２０１８_20200610222813_shade.txt</t>
    <phoneticPr fontId="1"/>
  </si>
  <si>
    <t>シアシン</t>
    <phoneticPr fontId="1"/>
  </si>
  <si>
    <t>実況パワフルプロ野球２０１８_20200610222818_shade.txt</t>
    <phoneticPr fontId="1"/>
  </si>
  <si>
    <t>実況パワフルプロ野球２０１８_20200610222823_shade.txt</t>
    <phoneticPr fontId="1"/>
  </si>
  <si>
    <t>実況パワフルプロ野球２０１８_20200610222828_shade.txt</t>
    <phoneticPr fontId="1"/>
  </si>
  <si>
    <t>実況パワフルプロ野球２０１８_20200610222833_shade.txt</t>
    <phoneticPr fontId="1"/>
  </si>
  <si>
    <t>実況パワフルプロ野球２０１８_20200610222838_shade.txt</t>
    <phoneticPr fontId="1"/>
  </si>
  <si>
    <t>実況パワフルプロ野球２０１８_20200610222842_shade.txt</t>
    <phoneticPr fontId="1"/>
  </si>
  <si>
    <t>アルング</t>
    <phoneticPr fontId="1"/>
  </si>
  <si>
    <t>実況パワフルプロ野球２０１８_20200610222847_shade.txt</t>
    <phoneticPr fontId="1"/>
  </si>
  <si>
    <t>実況パワフルプロ野球２０１８_20200610222852_1_shade.txt</t>
    <phoneticPr fontId="1"/>
  </si>
  <si>
    <t>実況パワフルプロ野球２０１８_20200610222852_shade.txt</t>
    <phoneticPr fontId="1"/>
  </si>
  <si>
    <t>実況パワフルプロ野球２０１８_20200610223344_shade.txt</t>
  </si>
  <si>
    <t>実況パワフルプロ野球２０１８_20200610223349_shade.txt</t>
  </si>
  <si>
    <t>実況パワフルプロ野球２０１８_20200610223355_shade.txt</t>
  </si>
  <si>
    <t>実況パワフルプロ野球２０１８_20200610223401_shade.txt</t>
  </si>
  <si>
    <t>実況パワフルプロ野球２０１８_20200610223407_shade.txt</t>
  </si>
  <si>
    <t>実況パワフルプロ野球２０１８_20200610223412_shade.txt</t>
  </si>
  <si>
    <t>実況パワフルプロ野球２０１８_20200610223418_shade.txt</t>
  </si>
  <si>
    <t>実況パワフルプロ野球２０１８_20200610223424_shade.txt</t>
  </si>
  <si>
    <t>実況パワフルプロ野球２０１８_20200610223430_shade.txt</t>
  </si>
  <si>
    <t>実況パワフルプロ野球２０１８_20200610223435_shade.txt</t>
  </si>
  <si>
    <t>実況パワフルプロ野球２０１８_20200610223444_shade.txt</t>
  </si>
  <si>
    <t>実況パワフルプロ野球２０１８_20200610223450_shade.txt</t>
  </si>
  <si>
    <t>実況パワフルプロ野球２０１８_20200610223456_shade.txt</t>
  </si>
  <si>
    <t>実況パワフルプロ野球２０１８_20200610223501_shade.txt</t>
  </si>
  <si>
    <t>実況パワフルプロ野球２０１８_20200610223507_shade.txt</t>
  </si>
  <si>
    <t>実況パワフルプロ野球２０１８_20200610223513_shade.txt</t>
  </si>
  <si>
    <t>実況パワフルプロ野球２０１８_20200610223518_shade.txt</t>
  </si>
  <si>
    <t>実況パワフルプロ野球２０１８_20200610223524_shade.txt</t>
  </si>
  <si>
    <t>実況パワフルプロ野球２０１８_20200610223529_shade.txt</t>
  </si>
  <si>
    <t>実況パワフルプロ野球２０１８_20200610223535_shade.txt</t>
  </si>
  <si>
    <t>実況パワフルプロ野球２０１８_20200610224552_shade.txt</t>
  </si>
  <si>
    <t>実況パワフルプロ野球２０１８_20200610224558_shade.txt</t>
  </si>
  <si>
    <t>実況パワフルプロ野球２０１８_20200610224604_shade.txt</t>
  </si>
  <si>
    <t>実況パワフルプロ野球２０１８_20200610224610_shade.txt</t>
  </si>
  <si>
    <t>実況パワフルプロ野球２０１８_20200610224616_shade.txt</t>
  </si>
  <si>
    <t>実況パワフルプロ野球２０１８_20200610224622_shade.txt</t>
  </si>
  <si>
    <t>実況パワフルプロ野球２０１８_20200610224628_shade.txt</t>
  </si>
  <si>
    <t>実況パワフルプロ野球２０１８_20200610224633_shade.txt</t>
  </si>
  <si>
    <t>実況パワフルプロ野球２０１８_20200610224639_shade.txt</t>
  </si>
  <si>
    <t>実況パワフルプロ野球２０１８_20200610224645_shade.txt</t>
  </si>
  <si>
    <t>実況パワフルプロ野球２０１８_20200610224656_shade.txt</t>
  </si>
  <si>
    <t>実況パワフルプロ野球２０１８_20200610224702_shade.txt</t>
  </si>
  <si>
    <t>レロビーシッEEん</t>
  </si>
  <si>
    <t>実況パワフルプロ野球２０１８_20200610224708_shade.txt</t>
  </si>
  <si>
    <t>実況パワフルプロ野球２０１８_20200610224714_shade.txt</t>
  </si>
  <si>
    <t>実況パワフルプロ野球２０１８_20200610224720_shade.txt</t>
  </si>
  <si>
    <t>実況パワフルプロ野球２０１８_20200610224726_shade.txt</t>
  </si>
  <si>
    <t>実況パワフルプロ野球２０１８_20200610224732_shade.txt</t>
  </si>
  <si>
    <t>実況パワフルプロ野球２０１８_20200610224738_shade.txt</t>
  </si>
  <si>
    <t>実況パワフルプロ野球２０１８_20200610224744_shade.txt</t>
  </si>
  <si>
    <t>実況パワフルプロ野球２０１８_20200610224749_shade.txt</t>
  </si>
  <si>
    <t>中塚</t>
    <rPh sb="0" eb="2">
      <t>ナカツカ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</si>
</sst>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B8EA-A9AE-43B4-8BFA-4E30BC2DBCB4}">
  <sheetPr codeName="Sheet3"/>
  <dimension ref="A1:I76"/>
  <sheetViews>
    <sheetView topLeftCell="A5" workbookViewId="0">
      <selection activeCell="I5" sqref="I5"/>
    </sheetView>
  </sheetViews>
  <sheetFormatPr defaultRowHeight="18" x14ac:dyDescent="0.55000000000000004"/>
  <cols>
    <col min="1" max="1" width="56.5" customWidth="1"/>
    <col min="6" max="8" width="9.6640625" customWidth="1"/>
    <col min="14" max="14" width="10" customWidth="1"/>
  </cols>
  <sheetData>
    <row r="1" spans="1:9" x14ac:dyDescent="0.55000000000000004">
      <c r="A1" t="s">
        <v>10</v>
      </c>
      <c r="B1">
        <v>126</v>
      </c>
      <c r="C1">
        <v>645</v>
      </c>
      <c r="D1">
        <v>612.5</v>
      </c>
      <c r="E1">
        <v>10.012589999999999</v>
      </c>
      <c r="F1" t="s">
        <v>0</v>
      </c>
      <c r="G1">
        <v>142</v>
      </c>
      <c r="H1">
        <f t="shared" ref="H1:H8" si="0">1/G1</f>
        <v>7.0422535211267607E-3</v>
      </c>
      <c r="I1">
        <f>(B1-(D1-600)/24 - 94) * 2/120</f>
        <v>0.52465277777777786</v>
      </c>
    </row>
    <row r="2" spans="1:9" x14ac:dyDescent="0.55000000000000004">
      <c r="A2" t="s">
        <v>3</v>
      </c>
      <c r="B2">
        <v>128</v>
      </c>
      <c r="C2">
        <v>641.5</v>
      </c>
      <c r="D2">
        <v>606.5</v>
      </c>
      <c r="E2">
        <v>9.5132499999999993</v>
      </c>
      <c r="F2" t="s">
        <v>0</v>
      </c>
      <c r="G2">
        <v>140</v>
      </c>
      <c r="H2">
        <f t="shared" si="0"/>
        <v>7.1428571428571426E-3</v>
      </c>
      <c r="I2">
        <f t="shared" ref="I2:I8" si="1">(B2-(D2-600)/24 - 94) * 2/120</f>
        <v>0.56215277777777783</v>
      </c>
    </row>
    <row r="3" spans="1:9" x14ac:dyDescent="0.55000000000000004">
      <c r="A3" t="s">
        <v>4</v>
      </c>
      <c r="B3">
        <v>128</v>
      </c>
      <c r="C3">
        <v>629</v>
      </c>
      <c r="D3">
        <v>601.5</v>
      </c>
      <c r="E3">
        <v>10.012589999999999</v>
      </c>
      <c r="F3" t="s">
        <v>0</v>
      </c>
      <c r="G3">
        <v>139</v>
      </c>
      <c r="H3">
        <f t="shared" si="0"/>
        <v>7.1942446043165471E-3</v>
      </c>
      <c r="I3">
        <f t="shared" si="1"/>
        <v>0.56562500000000004</v>
      </c>
    </row>
    <row r="4" spans="1:9" x14ac:dyDescent="0.55000000000000004">
      <c r="A4" t="s">
        <v>5</v>
      </c>
      <c r="B4">
        <v>128</v>
      </c>
      <c r="C4">
        <v>632</v>
      </c>
      <c r="D4">
        <v>613.5</v>
      </c>
      <c r="E4">
        <v>10.012589999999999</v>
      </c>
      <c r="F4" t="s">
        <v>0</v>
      </c>
      <c r="H4" t="e">
        <f t="shared" si="0"/>
        <v>#DIV/0!</v>
      </c>
      <c r="I4">
        <f t="shared" si="1"/>
        <v>0.55729166666666663</v>
      </c>
    </row>
    <row r="5" spans="1:9" x14ac:dyDescent="0.55000000000000004">
      <c r="A5" t="s">
        <v>6</v>
      </c>
      <c r="B5">
        <v>128</v>
      </c>
      <c r="C5">
        <v>641</v>
      </c>
      <c r="D5">
        <v>613.5</v>
      </c>
      <c r="E5">
        <v>10.012589999999999</v>
      </c>
      <c r="F5" t="s">
        <v>0</v>
      </c>
      <c r="G5">
        <v>142</v>
      </c>
      <c r="H5">
        <f t="shared" si="0"/>
        <v>7.0422535211267607E-3</v>
      </c>
      <c r="I5">
        <f t="shared" si="1"/>
        <v>0.55729166666666663</v>
      </c>
    </row>
    <row r="6" spans="1:9" x14ac:dyDescent="0.55000000000000004">
      <c r="A6" t="s">
        <v>7</v>
      </c>
      <c r="B6">
        <v>128</v>
      </c>
      <c r="C6">
        <v>637</v>
      </c>
      <c r="D6">
        <v>600.5</v>
      </c>
      <c r="E6">
        <v>10.012589999999999</v>
      </c>
      <c r="F6" t="s">
        <v>0</v>
      </c>
      <c r="G6">
        <v>139</v>
      </c>
      <c r="H6">
        <f t="shared" si="0"/>
        <v>7.1942446043165471E-3</v>
      </c>
      <c r="I6">
        <f t="shared" si="1"/>
        <v>0.56631944444444449</v>
      </c>
    </row>
    <row r="7" spans="1:9" x14ac:dyDescent="0.55000000000000004">
      <c r="A7" t="s">
        <v>8</v>
      </c>
      <c r="B7">
        <v>130</v>
      </c>
      <c r="C7">
        <v>642</v>
      </c>
      <c r="D7">
        <v>643.5</v>
      </c>
      <c r="E7">
        <v>12.01051</v>
      </c>
      <c r="F7" t="s">
        <v>0</v>
      </c>
      <c r="G7">
        <v>138</v>
      </c>
      <c r="H7">
        <f t="shared" si="0"/>
        <v>7.246376811594203E-3</v>
      </c>
      <c r="I7">
        <f t="shared" si="1"/>
        <v>0.5697916666666667</v>
      </c>
    </row>
    <row r="8" spans="1:9" x14ac:dyDescent="0.55000000000000004">
      <c r="A8" t="s">
        <v>9</v>
      </c>
      <c r="B8">
        <v>129</v>
      </c>
      <c r="C8">
        <v>634.5</v>
      </c>
      <c r="D8">
        <v>624.5</v>
      </c>
      <c r="E8">
        <v>10.512</v>
      </c>
      <c r="F8" t="s">
        <v>0</v>
      </c>
      <c r="G8">
        <v>139</v>
      </c>
      <c r="H8">
        <f t="shared" si="0"/>
        <v>7.1942446043165471E-3</v>
      </c>
      <c r="I8">
        <f t="shared" si="1"/>
        <v>0.56631944444444449</v>
      </c>
    </row>
    <row r="9" spans="1:9" x14ac:dyDescent="0.55000000000000004">
      <c r="A9" t="s">
        <v>15</v>
      </c>
      <c r="B9">
        <v>128</v>
      </c>
      <c r="C9">
        <v>647</v>
      </c>
      <c r="D9">
        <v>612.5</v>
      </c>
      <c r="E9">
        <v>10.012589999999999</v>
      </c>
      <c r="F9" t="s">
        <v>14</v>
      </c>
      <c r="G9">
        <v>142</v>
      </c>
      <c r="H9">
        <f t="shared" ref="H9:H17" si="2">1/G9</f>
        <v>7.0422535211267607E-3</v>
      </c>
      <c r="I9">
        <f t="shared" ref="I9:I17" si="3">(B9-(D9-600)/24 - 94) * 2/120</f>
        <v>0.55798611111111118</v>
      </c>
    </row>
    <row r="10" spans="1:9" x14ac:dyDescent="0.55000000000000004">
      <c r="A10" t="s">
        <v>17</v>
      </c>
      <c r="B10">
        <v>145</v>
      </c>
      <c r="C10">
        <v>650.5</v>
      </c>
      <c r="D10">
        <v>608.5</v>
      </c>
      <c r="E10">
        <v>9.5132499999999993</v>
      </c>
      <c r="F10" t="s">
        <v>16</v>
      </c>
      <c r="G10">
        <v>115</v>
      </c>
      <c r="H10">
        <f t="shared" si="2"/>
        <v>8.6956521739130436E-3</v>
      </c>
      <c r="I10">
        <f t="shared" si="3"/>
        <v>0.84409722222222239</v>
      </c>
    </row>
    <row r="11" spans="1:9" x14ac:dyDescent="0.55000000000000004">
      <c r="A11" t="s">
        <v>18</v>
      </c>
      <c r="B11">
        <v>146</v>
      </c>
      <c r="C11">
        <v>658</v>
      </c>
      <c r="D11">
        <v>619.5</v>
      </c>
      <c r="E11">
        <v>10.012589999999999</v>
      </c>
      <c r="F11" t="s">
        <v>16</v>
      </c>
      <c r="G11">
        <v>114</v>
      </c>
      <c r="H11">
        <f t="shared" si="2"/>
        <v>8.771929824561403E-3</v>
      </c>
      <c r="I11">
        <f t="shared" si="3"/>
        <v>0.85312500000000002</v>
      </c>
    </row>
    <row r="12" spans="1:9" x14ac:dyDescent="0.55000000000000004">
      <c r="A12" t="s">
        <v>19</v>
      </c>
      <c r="B12">
        <v>145</v>
      </c>
      <c r="C12">
        <v>652</v>
      </c>
      <c r="D12">
        <v>611.5</v>
      </c>
      <c r="E12">
        <v>10.012589999999999</v>
      </c>
      <c r="F12" t="s">
        <v>16</v>
      </c>
      <c r="G12">
        <v>115</v>
      </c>
      <c r="H12">
        <f t="shared" si="2"/>
        <v>8.6956521739130436E-3</v>
      </c>
      <c r="I12">
        <f t="shared" si="3"/>
        <v>0.84201388888888906</v>
      </c>
    </row>
    <row r="13" spans="1:9" x14ac:dyDescent="0.55000000000000004">
      <c r="A13" t="s">
        <v>20</v>
      </c>
      <c r="B13">
        <v>147</v>
      </c>
      <c r="C13">
        <v>663.5</v>
      </c>
      <c r="D13">
        <v>623</v>
      </c>
      <c r="E13">
        <v>10.5001</v>
      </c>
      <c r="F13" t="s">
        <v>16</v>
      </c>
      <c r="G13">
        <v>113</v>
      </c>
      <c r="H13">
        <f t="shared" si="2"/>
        <v>8.8495575221238937E-3</v>
      </c>
      <c r="I13">
        <f t="shared" si="3"/>
        <v>0.86736111111111092</v>
      </c>
    </row>
    <row r="14" spans="1:9" x14ac:dyDescent="0.55000000000000004">
      <c r="A14" t="s">
        <v>21</v>
      </c>
      <c r="B14">
        <v>146</v>
      </c>
      <c r="C14">
        <v>662</v>
      </c>
      <c r="D14">
        <v>606</v>
      </c>
      <c r="E14">
        <v>10.0001</v>
      </c>
      <c r="F14" t="s">
        <v>16</v>
      </c>
      <c r="G14">
        <v>112</v>
      </c>
      <c r="H14">
        <f t="shared" si="2"/>
        <v>8.9285714285714281E-3</v>
      </c>
      <c r="I14">
        <f t="shared" si="3"/>
        <v>0.86250000000000004</v>
      </c>
    </row>
    <row r="15" spans="1:9" x14ac:dyDescent="0.55000000000000004">
      <c r="A15" t="s">
        <v>22</v>
      </c>
      <c r="B15">
        <v>146</v>
      </c>
      <c r="C15">
        <v>654</v>
      </c>
      <c r="D15">
        <v>607.5</v>
      </c>
      <c r="E15">
        <v>10.012589999999999</v>
      </c>
      <c r="F15">
        <v>4</v>
      </c>
      <c r="G15">
        <v>112</v>
      </c>
      <c r="H15">
        <f t="shared" si="2"/>
        <v>8.9285714285714281E-3</v>
      </c>
      <c r="I15">
        <f t="shared" si="3"/>
        <v>0.86145833333333333</v>
      </c>
    </row>
    <row r="16" spans="1:9" x14ac:dyDescent="0.55000000000000004">
      <c r="A16" t="s">
        <v>23</v>
      </c>
      <c r="B16">
        <v>145</v>
      </c>
      <c r="C16">
        <v>630.5</v>
      </c>
      <c r="D16">
        <v>600.5</v>
      </c>
      <c r="E16">
        <v>9.5132499999999993</v>
      </c>
      <c r="F16" t="s">
        <v>16</v>
      </c>
      <c r="G16">
        <v>113</v>
      </c>
      <c r="H16">
        <f t="shared" si="2"/>
        <v>8.8495575221238937E-3</v>
      </c>
      <c r="I16">
        <f t="shared" si="3"/>
        <v>0.84965277777777759</v>
      </c>
    </row>
    <row r="17" spans="1:9" x14ac:dyDescent="0.55000000000000004">
      <c r="A17" t="s">
        <v>24</v>
      </c>
      <c r="B17">
        <v>147</v>
      </c>
      <c r="C17">
        <v>661.5</v>
      </c>
      <c r="D17">
        <v>624</v>
      </c>
      <c r="E17">
        <v>9.5525900000000004</v>
      </c>
      <c r="F17" t="s">
        <v>16</v>
      </c>
      <c r="G17">
        <v>113</v>
      </c>
      <c r="H17">
        <f t="shared" si="2"/>
        <v>8.8495575221238937E-3</v>
      </c>
      <c r="I17">
        <f t="shared" si="3"/>
        <v>0.8666666666666667</v>
      </c>
    </row>
    <row r="18" spans="1:9" x14ac:dyDescent="0.55000000000000004">
      <c r="A18" t="s">
        <v>26</v>
      </c>
      <c r="B18">
        <v>132</v>
      </c>
      <c r="C18">
        <v>653</v>
      </c>
      <c r="D18">
        <v>602.5</v>
      </c>
      <c r="E18">
        <v>10.012589999999999</v>
      </c>
      <c r="F18" t="s">
        <v>25</v>
      </c>
      <c r="G18">
        <v>124</v>
      </c>
      <c r="H18">
        <f t="shared" ref="H18:H76" si="4">1/G18</f>
        <v>8.0645161290322578E-3</v>
      </c>
      <c r="I18">
        <f t="shared" ref="I18:I76" si="5">(B18-(D18-600)/24 - 94) * 2/120</f>
        <v>0.63159722222222237</v>
      </c>
    </row>
    <row r="19" spans="1:9" x14ac:dyDescent="0.55000000000000004">
      <c r="A19" t="s">
        <v>27</v>
      </c>
      <c r="B19">
        <v>133</v>
      </c>
      <c r="C19">
        <v>635</v>
      </c>
      <c r="D19">
        <v>608.5</v>
      </c>
      <c r="E19">
        <v>10.012589999999999</v>
      </c>
      <c r="F19" t="s">
        <v>25</v>
      </c>
      <c r="G19">
        <v>121</v>
      </c>
      <c r="H19">
        <f t="shared" si="4"/>
        <v>8.2644628099173556E-3</v>
      </c>
      <c r="I19">
        <f t="shared" si="5"/>
        <v>0.64409722222222243</v>
      </c>
    </row>
    <row r="20" spans="1:9" x14ac:dyDescent="0.55000000000000004">
      <c r="A20" t="s">
        <v>29</v>
      </c>
      <c r="B20">
        <v>134</v>
      </c>
      <c r="C20">
        <v>643</v>
      </c>
      <c r="D20">
        <v>635.5</v>
      </c>
      <c r="E20">
        <v>12.01051</v>
      </c>
      <c r="F20" t="s">
        <v>28</v>
      </c>
      <c r="G20">
        <v>123</v>
      </c>
      <c r="H20">
        <f t="shared" si="4"/>
        <v>8.130081300813009E-3</v>
      </c>
      <c r="I20">
        <f t="shared" si="5"/>
        <v>0.64201388888888899</v>
      </c>
    </row>
    <row r="21" spans="1:9" x14ac:dyDescent="0.55000000000000004">
      <c r="A21" t="s">
        <v>30</v>
      </c>
      <c r="B21">
        <v>133</v>
      </c>
      <c r="C21">
        <v>639.5</v>
      </c>
      <c r="D21">
        <v>622</v>
      </c>
      <c r="E21">
        <v>10.5001</v>
      </c>
      <c r="F21" t="s">
        <v>28</v>
      </c>
      <c r="G21">
        <v>114</v>
      </c>
      <c r="H21">
        <f t="shared" si="4"/>
        <v>8.771929824561403E-3</v>
      </c>
      <c r="I21">
        <f t="shared" si="5"/>
        <v>0.63472222222222241</v>
      </c>
    </row>
    <row r="22" spans="1:9" x14ac:dyDescent="0.55000000000000004">
      <c r="A22" t="s">
        <v>31</v>
      </c>
      <c r="B22">
        <v>133</v>
      </c>
      <c r="C22">
        <v>628.5</v>
      </c>
      <c r="D22">
        <v>617</v>
      </c>
      <c r="E22">
        <v>10.5001</v>
      </c>
      <c r="F22" t="s">
        <v>25</v>
      </c>
      <c r="G22">
        <v>113</v>
      </c>
      <c r="H22">
        <f t="shared" si="4"/>
        <v>8.8495575221238937E-3</v>
      </c>
      <c r="I22">
        <f t="shared" si="5"/>
        <v>0.63819444444444429</v>
      </c>
    </row>
    <row r="23" spans="1:9" x14ac:dyDescent="0.55000000000000004">
      <c r="A23" t="s">
        <v>33</v>
      </c>
      <c r="B23">
        <v>132</v>
      </c>
      <c r="C23">
        <v>648</v>
      </c>
      <c r="D23">
        <v>605.5</v>
      </c>
      <c r="E23">
        <v>10.012589999999999</v>
      </c>
      <c r="F23" t="s">
        <v>32</v>
      </c>
      <c r="G23">
        <v>124</v>
      </c>
      <c r="H23">
        <f t="shared" si="4"/>
        <v>8.0645161290322578E-3</v>
      </c>
      <c r="I23">
        <f t="shared" si="5"/>
        <v>0.62951388888888904</v>
      </c>
    </row>
    <row r="24" spans="1:9" x14ac:dyDescent="0.55000000000000004">
      <c r="A24" t="s">
        <v>34</v>
      </c>
      <c r="B24">
        <v>133</v>
      </c>
      <c r="C24">
        <v>643.5</v>
      </c>
      <c r="D24">
        <v>624</v>
      </c>
      <c r="E24">
        <v>10.5001</v>
      </c>
      <c r="F24" t="s">
        <v>28</v>
      </c>
      <c r="G24">
        <v>124</v>
      </c>
      <c r="H24">
        <f t="shared" si="4"/>
        <v>8.0645161290322578E-3</v>
      </c>
      <c r="I24">
        <f t="shared" si="5"/>
        <v>0.6333333333333333</v>
      </c>
    </row>
    <row r="25" spans="1:9" x14ac:dyDescent="0.55000000000000004">
      <c r="A25" t="s">
        <v>36</v>
      </c>
      <c r="B25">
        <v>133</v>
      </c>
      <c r="C25">
        <v>647.5</v>
      </c>
      <c r="D25">
        <v>616</v>
      </c>
      <c r="E25">
        <v>10.5001</v>
      </c>
      <c r="F25" t="s">
        <v>35</v>
      </c>
      <c r="G25">
        <v>113</v>
      </c>
      <c r="H25">
        <f t="shared" si="4"/>
        <v>8.8495575221238937E-3</v>
      </c>
      <c r="I25">
        <f t="shared" si="5"/>
        <v>0.63888888888888906</v>
      </c>
    </row>
    <row r="26" spans="1:9" x14ac:dyDescent="0.55000000000000004">
      <c r="A26" t="s">
        <v>38</v>
      </c>
      <c r="B26">
        <v>136</v>
      </c>
      <c r="C26">
        <v>668</v>
      </c>
      <c r="D26">
        <v>671</v>
      </c>
      <c r="E26">
        <v>12.041689999999999</v>
      </c>
      <c r="F26" t="s">
        <v>37</v>
      </c>
      <c r="G26">
        <v>121</v>
      </c>
      <c r="H26">
        <f t="shared" si="4"/>
        <v>8.2644628099173556E-3</v>
      </c>
      <c r="I26">
        <f t="shared" si="5"/>
        <v>0.65069444444444424</v>
      </c>
    </row>
    <row r="27" spans="1:9" x14ac:dyDescent="0.55000000000000004">
      <c r="A27" t="s">
        <v>39</v>
      </c>
      <c r="B27">
        <v>132</v>
      </c>
      <c r="C27">
        <v>644</v>
      </c>
      <c r="D27">
        <v>604.5</v>
      </c>
      <c r="E27">
        <v>10.012589999999999</v>
      </c>
      <c r="F27" t="s">
        <v>25</v>
      </c>
      <c r="G27">
        <v>114</v>
      </c>
      <c r="H27">
        <f t="shared" si="4"/>
        <v>8.771929824561403E-3</v>
      </c>
      <c r="I27">
        <f t="shared" si="5"/>
        <v>0.63020833333333337</v>
      </c>
    </row>
    <row r="28" spans="1:9" x14ac:dyDescent="0.55000000000000004">
      <c r="A28" t="s">
        <v>41</v>
      </c>
      <c r="B28">
        <v>138</v>
      </c>
      <c r="C28">
        <v>625</v>
      </c>
      <c r="D28">
        <v>614.5</v>
      </c>
      <c r="E28">
        <v>10.012589999999999</v>
      </c>
      <c r="F28" t="s">
        <v>40</v>
      </c>
      <c r="G28">
        <v>118</v>
      </c>
      <c r="H28">
        <f t="shared" si="4"/>
        <v>8.4745762711864406E-3</v>
      </c>
      <c r="I28">
        <f t="shared" si="5"/>
        <v>0.72326388888888904</v>
      </c>
    </row>
    <row r="29" spans="1:9" x14ac:dyDescent="0.55000000000000004">
      <c r="A29" t="s">
        <v>42</v>
      </c>
      <c r="B29">
        <v>138</v>
      </c>
      <c r="C29">
        <v>630.5</v>
      </c>
      <c r="D29">
        <v>618.5</v>
      </c>
      <c r="E29">
        <v>10.512</v>
      </c>
      <c r="F29" t="s">
        <v>40</v>
      </c>
      <c r="G29">
        <v>119</v>
      </c>
      <c r="H29">
        <f t="shared" si="4"/>
        <v>8.4033613445378148E-3</v>
      </c>
      <c r="I29">
        <f t="shared" si="5"/>
        <v>0.72048611111111094</v>
      </c>
    </row>
    <row r="30" spans="1:9" x14ac:dyDescent="0.55000000000000004">
      <c r="A30" t="s">
        <v>43</v>
      </c>
      <c r="B30">
        <v>138</v>
      </c>
      <c r="C30">
        <v>634.5</v>
      </c>
      <c r="D30">
        <v>615</v>
      </c>
      <c r="E30">
        <v>10.5001</v>
      </c>
      <c r="F30" t="s">
        <v>40</v>
      </c>
      <c r="G30">
        <v>118</v>
      </c>
      <c r="H30">
        <f t="shared" si="4"/>
        <v>8.4745762711864406E-3</v>
      </c>
      <c r="I30">
        <f t="shared" si="5"/>
        <v>0.72291666666666665</v>
      </c>
    </row>
    <row r="31" spans="1:9" x14ac:dyDescent="0.55000000000000004">
      <c r="A31" t="s">
        <v>44</v>
      </c>
      <c r="B31">
        <v>139</v>
      </c>
      <c r="C31">
        <v>616.5</v>
      </c>
      <c r="D31">
        <v>632.5</v>
      </c>
      <c r="E31">
        <v>11.510960000000001</v>
      </c>
      <c r="F31" t="s">
        <v>40</v>
      </c>
      <c r="G31">
        <v>118</v>
      </c>
      <c r="H31">
        <f t="shared" si="4"/>
        <v>8.4745762711864406E-3</v>
      </c>
      <c r="I31">
        <f t="shared" si="5"/>
        <v>0.72743055555555569</v>
      </c>
    </row>
    <row r="32" spans="1:9" x14ac:dyDescent="0.55000000000000004">
      <c r="A32" t="s">
        <v>45</v>
      </c>
      <c r="B32">
        <v>139</v>
      </c>
      <c r="C32">
        <v>610.5</v>
      </c>
      <c r="D32">
        <v>634</v>
      </c>
      <c r="E32">
        <v>11.5435</v>
      </c>
      <c r="F32" t="s">
        <v>40</v>
      </c>
      <c r="G32">
        <v>118</v>
      </c>
      <c r="H32">
        <f t="shared" si="4"/>
        <v>8.4745762711864406E-3</v>
      </c>
      <c r="I32">
        <f t="shared" si="5"/>
        <v>0.72638888888888908</v>
      </c>
    </row>
    <row r="33" spans="1:9" x14ac:dyDescent="0.55000000000000004">
      <c r="A33" t="s">
        <v>46</v>
      </c>
      <c r="B33">
        <v>138</v>
      </c>
      <c r="C33">
        <v>623.5</v>
      </c>
      <c r="D33">
        <v>626</v>
      </c>
      <c r="E33">
        <v>10.5001</v>
      </c>
      <c r="F33" t="s">
        <v>40</v>
      </c>
      <c r="G33">
        <v>114</v>
      </c>
      <c r="H33">
        <f t="shared" si="4"/>
        <v>8.771929824561403E-3</v>
      </c>
      <c r="I33">
        <f t="shared" si="5"/>
        <v>0.71527777777777757</v>
      </c>
    </row>
    <row r="34" spans="1:9" x14ac:dyDescent="0.55000000000000004">
      <c r="A34" t="s">
        <v>47</v>
      </c>
      <c r="B34">
        <v>138</v>
      </c>
      <c r="C34">
        <v>636</v>
      </c>
      <c r="D34">
        <v>633</v>
      </c>
      <c r="E34">
        <v>12.0001</v>
      </c>
      <c r="F34" t="s">
        <v>40</v>
      </c>
      <c r="G34">
        <v>121</v>
      </c>
      <c r="H34">
        <f t="shared" si="4"/>
        <v>8.2644628099173556E-3</v>
      </c>
      <c r="I34">
        <f t="shared" si="5"/>
        <v>0.7104166666666667</v>
      </c>
    </row>
    <row r="35" spans="1:9" x14ac:dyDescent="0.55000000000000004">
      <c r="A35" t="s">
        <v>48</v>
      </c>
      <c r="B35">
        <v>138</v>
      </c>
      <c r="C35">
        <v>628.5</v>
      </c>
      <c r="D35">
        <v>620.5</v>
      </c>
      <c r="E35">
        <v>10.512</v>
      </c>
      <c r="F35" t="s">
        <v>40</v>
      </c>
      <c r="G35">
        <v>119</v>
      </c>
      <c r="H35">
        <f t="shared" si="4"/>
        <v>8.4033613445378148E-3</v>
      </c>
      <c r="I35">
        <f t="shared" si="5"/>
        <v>0.71909722222222239</v>
      </c>
    </row>
    <row r="36" spans="1:9" x14ac:dyDescent="0.55000000000000004">
      <c r="A36" t="s">
        <v>49</v>
      </c>
      <c r="B36">
        <v>139</v>
      </c>
      <c r="C36">
        <v>622.5</v>
      </c>
      <c r="D36">
        <v>632.5</v>
      </c>
      <c r="E36">
        <v>11.510960000000001</v>
      </c>
      <c r="F36" t="s">
        <v>40</v>
      </c>
      <c r="G36">
        <v>118</v>
      </c>
      <c r="H36">
        <f t="shared" si="4"/>
        <v>8.4745762711864406E-3</v>
      </c>
      <c r="I36">
        <f t="shared" si="5"/>
        <v>0.72743055555555569</v>
      </c>
    </row>
    <row r="37" spans="1:9" x14ac:dyDescent="0.55000000000000004">
      <c r="A37" t="s">
        <v>51</v>
      </c>
      <c r="B37">
        <v>136</v>
      </c>
      <c r="C37">
        <v>677.02080999999998</v>
      </c>
      <c r="D37">
        <v>633</v>
      </c>
      <c r="E37">
        <v>12.020949999999999</v>
      </c>
      <c r="F37" t="s">
        <v>50</v>
      </c>
      <c r="G37">
        <v>125</v>
      </c>
      <c r="H37">
        <f t="shared" si="4"/>
        <v>8.0000000000000002E-3</v>
      </c>
      <c r="I37">
        <f t="shared" si="5"/>
        <v>0.67708333333333337</v>
      </c>
    </row>
    <row r="38" spans="1:9" x14ac:dyDescent="0.55000000000000004">
      <c r="A38" t="s">
        <v>52</v>
      </c>
      <c r="B38">
        <v>135</v>
      </c>
      <c r="C38">
        <v>669.5</v>
      </c>
      <c r="D38">
        <v>620.5</v>
      </c>
      <c r="E38">
        <v>9.5132499999999993</v>
      </c>
      <c r="F38" t="s">
        <v>50</v>
      </c>
      <c r="G38">
        <v>127</v>
      </c>
      <c r="H38">
        <f t="shared" si="4"/>
        <v>7.874015748031496E-3</v>
      </c>
      <c r="I38">
        <f t="shared" si="5"/>
        <v>0.66909722222222234</v>
      </c>
    </row>
    <row r="39" spans="1:9" x14ac:dyDescent="0.55000000000000004">
      <c r="A39" t="s">
        <v>53</v>
      </c>
      <c r="B39">
        <v>135</v>
      </c>
      <c r="C39">
        <v>668</v>
      </c>
      <c r="D39">
        <v>623.5</v>
      </c>
      <c r="E39">
        <v>10.012589999999999</v>
      </c>
      <c r="F39" t="s">
        <v>50</v>
      </c>
      <c r="G39">
        <v>127</v>
      </c>
      <c r="H39">
        <f t="shared" si="4"/>
        <v>7.874015748031496E-3</v>
      </c>
      <c r="I39">
        <f t="shared" si="5"/>
        <v>0.66701388888888902</v>
      </c>
    </row>
    <row r="40" spans="1:9" x14ac:dyDescent="0.55000000000000004">
      <c r="A40" t="s">
        <v>54</v>
      </c>
      <c r="B40">
        <v>136</v>
      </c>
      <c r="C40">
        <v>702.5</v>
      </c>
      <c r="D40">
        <v>637.5</v>
      </c>
      <c r="E40">
        <v>3.8079900000000002</v>
      </c>
      <c r="F40" t="s">
        <v>50</v>
      </c>
      <c r="G40">
        <v>126</v>
      </c>
      <c r="H40">
        <f t="shared" si="4"/>
        <v>7.9365079365079361E-3</v>
      </c>
      <c r="I40">
        <f t="shared" si="5"/>
        <v>0.67395833333333333</v>
      </c>
    </row>
    <row r="41" spans="1:9" x14ac:dyDescent="0.55000000000000004">
      <c r="A41" t="s">
        <v>55</v>
      </c>
      <c r="B41">
        <v>136</v>
      </c>
      <c r="C41">
        <v>666.5</v>
      </c>
      <c r="D41">
        <v>636</v>
      </c>
      <c r="E41">
        <v>11.5435</v>
      </c>
      <c r="F41" t="s">
        <v>50</v>
      </c>
      <c r="G41">
        <v>126</v>
      </c>
      <c r="H41">
        <f t="shared" si="4"/>
        <v>7.9365079365079361E-3</v>
      </c>
      <c r="I41">
        <f t="shared" si="5"/>
        <v>0.67500000000000004</v>
      </c>
    </row>
    <row r="42" spans="1:9" x14ac:dyDescent="0.55000000000000004">
      <c r="A42" t="s">
        <v>56</v>
      </c>
      <c r="B42">
        <v>136</v>
      </c>
      <c r="C42">
        <v>672.5</v>
      </c>
      <c r="D42">
        <v>634</v>
      </c>
      <c r="E42">
        <v>11.5435</v>
      </c>
      <c r="F42" t="s">
        <v>50</v>
      </c>
      <c r="G42">
        <v>116</v>
      </c>
      <c r="H42">
        <f t="shared" si="4"/>
        <v>8.6206896551724137E-3</v>
      </c>
      <c r="I42">
        <f t="shared" si="5"/>
        <v>0.67638888888888904</v>
      </c>
    </row>
    <row r="43" spans="1:9" x14ac:dyDescent="0.55000000000000004">
      <c r="A43" t="s">
        <v>57</v>
      </c>
      <c r="B43">
        <v>134</v>
      </c>
      <c r="C43">
        <v>668</v>
      </c>
      <c r="D43">
        <v>606.5</v>
      </c>
      <c r="E43">
        <v>10.012589999999999</v>
      </c>
      <c r="F43" t="s">
        <v>50</v>
      </c>
      <c r="G43">
        <v>128</v>
      </c>
      <c r="H43">
        <f t="shared" si="4"/>
        <v>7.8125E-3</v>
      </c>
      <c r="I43">
        <f t="shared" si="5"/>
        <v>0.66215277777777759</v>
      </c>
    </row>
    <row r="44" spans="1:9" x14ac:dyDescent="0.55000000000000004">
      <c r="A44" t="s">
        <v>58</v>
      </c>
      <c r="B44">
        <v>135</v>
      </c>
      <c r="C44">
        <v>678.5</v>
      </c>
      <c r="D44">
        <v>630</v>
      </c>
      <c r="E44">
        <v>10.5001</v>
      </c>
      <c r="F44" t="s">
        <v>50</v>
      </c>
      <c r="G44">
        <v>128</v>
      </c>
      <c r="H44">
        <f t="shared" si="4"/>
        <v>7.8125E-3</v>
      </c>
      <c r="I44">
        <f t="shared" si="5"/>
        <v>0.66249999999999998</v>
      </c>
    </row>
    <row r="45" spans="1:9" x14ac:dyDescent="0.55000000000000004">
      <c r="A45" t="s">
        <v>59</v>
      </c>
      <c r="B45">
        <v>134</v>
      </c>
      <c r="C45">
        <v>652.5</v>
      </c>
      <c r="D45">
        <v>603</v>
      </c>
      <c r="E45">
        <v>9.5000999999999998</v>
      </c>
      <c r="F45" t="s">
        <v>50</v>
      </c>
      <c r="G45">
        <v>127</v>
      </c>
      <c r="H45">
        <f t="shared" si="4"/>
        <v>7.874015748031496E-3</v>
      </c>
      <c r="I45">
        <f t="shared" si="5"/>
        <v>0.6645833333333333</v>
      </c>
    </row>
    <row r="46" spans="1:9" x14ac:dyDescent="0.55000000000000004">
      <c r="A46" t="s">
        <v>60</v>
      </c>
      <c r="B46">
        <v>135</v>
      </c>
      <c r="C46">
        <v>670.5</v>
      </c>
      <c r="D46">
        <v>617.5</v>
      </c>
      <c r="E46">
        <v>8.5147899999999996</v>
      </c>
      <c r="F46" t="s">
        <v>50</v>
      </c>
      <c r="G46">
        <v>126</v>
      </c>
      <c r="H46">
        <f t="shared" si="4"/>
        <v>7.9365079365079361E-3</v>
      </c>
      <c r="I46">
        <f t="shared" si="5"/>
        <v>0.67118055555555567</v>
      </c>
    </row>
    <row r="47" spans="1:9" x14ac:dyDescent="0.55000000000000004">
      <c r="A47" t="s">
        <v>62</v>
      </c>
      <c r="B47">
        <v>133</v>
      </c>
      <c r="C47">
        <v>610.5</v>
      </c>
      <c r="D47">
        <v>604</v>
      </c>
      <c r="E47">
        <v>10.5001</v>
      </c>
      <c r="F47" t="s">
        <v>61</v>
      </c>
      <c r="G47">
        <v>131</v>
      </c>
      <c r="H47">
        <f t="shared" si="4"/>
        <v>7.6335877862595417E-3</v>
      </c>
      <c r="I47">
        <f t="shared" si="5"/>
        <v>0.64722222222222237</v>
      </c>
    </row>
    <row r="48" spans="1:9" x14ac:dyDescent="0.55000000000000004">
      <c r="A48" t="s">
        <v>63</v>
      </c>
      <c r="B48">
        <v>133</v>
      </c>
      <c r="C48">
        <v>612.5</v>
      </c>
      <c r="D48">
        <v>601.5</v>
      </c>
      <c r="E48">
        <v>9.5132499999999993</v>
      </c>
      <c r="F48" t="s">
        <v>61</v>
      </c>
      <c r="G48">
        <v>130</v>
      </c>
      <c r="H48">
        <f t="shared" si="4"/>
        <v>7.6923076923076927E-3</v>
      </c>
      <c r="I48">
        <f t="shared" si="5"/>
        <v>0.6489583333333333</v>
      </c>
    </row>
    <row r="49" spans="1:9" x14ac:dyDescent="0.55000000000000004">
      <c r="A49" t="s">
        <v>64</v>
      </c>
      <c r="B49">
        <v>134</v>
      </c>
      <c r="C49">
        <v>623.5</v>
      </c>
      <c r="D49">
        <v>623.5</v>
      </c>
      <c r="E49">
        <v>10.512</v>
      </c>
      <c r="F49" t="s">
        <v>61</v>
      </c>
      <c r="G49">
        <v>131</v>
      </c>
      <c r="H49">
        <f t="shared" si="4"/>
        <v>7.6335877862595417E-3</v>
      </c>
      <c r="I49">
        <f t="shared" si="5"/>
        <v>0.65034722222222241</v>
      </c>
    </row>
    <row r="50" spans="1:9" x14ac:dyDescent="0.55000000000000004">
      <c r="A50" t="s">
        <v>65</v>
      </c>
      <c r="B50">
        <v>134</v>
      </c>
      <c r="C50">
        <v>617</v>
      </c>
      <c r="D50">
        <v>612.5</v>
      </c>
      <c r="E50">
        <v>10.012589999999999</v>
      </c>
      <c r="F50" t="s">
        <v>61</v>
      </c>
      <c r="G50">
        <v>129</v>
      </c>
      <c r="H50">
        <f t="shared" si="4"/>
        <v>7.7519379844961239E-3</v>
      </c>
      <c r="I50">
        <f t="shared" si="5"/>
        <v>0.65798611111111094</v>
      </c>
    </row>
    <row r="51" spans="1:9" x14ac:dyDescent="0.55000000000000004">
      <c r="A51" t="s">
        <v>66</v>
      </c>
      <c r="B51">
        <v>133</v>
      </c>
      <c r="C51">
        <v>610.5</v>
      </c>
      <c r="D51">
        <v>600.5</v>
      </c>
      <c r="E51">
        <v>9.5132499999999993</v>
      </c>
      <c r="F51" t="s">
        <v>61</v>
      </c>
      <c r="G51">
        <v>134</v>
      </c>
      <c r="H51">
        <f t="shared" si="4"/>
        <v>7.462686567164179E-3</v>
      </c>
      <c r="I51">
        <f t="shared" si="5"/>
        <v>0.64965277777777763</v>
      </c>
    </row>
    <row r="52" spans="1:9" x14ac:dyDescent="0.55000000000000004">
      <c r="A52" t="s">
        <v>67</v>
      </c>
      <c r="B52">
        <v>134</v>
      </c>
      <c r="C52">
        <v>597.5</v>
      </c>
      <c r="D52">
        <v>626.5</v>
      </c>
      <c r="E52">
        <v>9.5132499999999993</v>
      </c>
      <c r="F52" t="s">
        <v>61</v>
      </c>
      <c r="G52">
        <v>132</v>
      </c>
      <c r="H52">
        <f t="shared" si="4"/>
        <v>7.575757575757576E-3</v>
      </c>
      <c r="I52">
        <f t="shared" si="5"/>
        <v>0.64826388888888908</v>
      </c>
    </row>
    <row r="53" spans="1:9" x14ac:dyDescent="0.55000000000000004">
      <c r="A53" t="s">
        <v>68</v>
      </c>
      <c r="B53">
        <v>133</v>
      </c>
      <c r="C53">
        <v>619</v>
      </c>
      <c r="D53">
        <v>606</v>
      </c>
      <c r="E53">
        <v>10.0001</v>
      </c>
      <c r="F53" t="s">
        <v>61</v>
      </c>
      <c r="G53">
        <v>131</v>
      </c>
      <c r="H53">
        <f t="shared" si="4"/>
        <v>7.6335877862595417E-3</v>
      </c>
      <c r="I53">
        <f t="shared" si="5"/>
        <v>0.64583333333333337</v>
      </c>
    </row>
    <row r="54" spans="1:9" x14ac:dyDescent="0.55000000000000004">
      <c r="A54" t="s">
        <v>69</v>
      </c>
      <c r="B54">
        <v>135</v>
      </c>
      <c r="C54">
        <v>613</v>
      </c>
      <c r="D54">
        <v>638.5</v>
      </c>
      <c r="E54">
        <v>12.01051</v>
      </c>
      <c r="F54" t="s">
        <v>61</v>
      </c>
      <c r="G54">
        <v>130</v>
      </c>
      <c r="H54">
        <f t="shared" si="4"/>
        <v>7.6923076923076927E-3</v>
      </c>
      <c r="I54">
        <f t="shared" si="5"/>
        <v>0.65659722222222239</v>
      </c>
    </row>
    <row r="55" spans="1:9" x14ac:dyDescent="0.55000000000000004">
      <c r="A55" t="s">
        <v>70</v>
      </c>
      <c r="B55">
        <v>134</v>
      </c>
      <c r="C55">
        <v>610</v>
      </c>
      <c r="D55">
        <v>613.5</v>
      </c>
      <c r="E55">
        <v>10.012589999999999</v>
      </c>
      <c r="F55" t="s">
        <v>61</v>
      </c>
      <c r="G55">
        <v>129</v>
      </c>
      <c r="H55">
        <f t="shared" si="4"/>
        <v>7.7519379844961239E-3</v>
      </c>
      <c r="I55">
        <f t="shared" si="5"/>
        <v>0.65729166666666672</v>
      </c>
    </row>
    <row r="56" spans="1:9" x14ac:dyDescent="0.55000000000000004">
      <c r="A56" t="s">
        <v>71</v>
      </c>
      <c r="B56">
        <v>134</v>
      </c>
      <c r="C56">
        <v>605.95452999999998</v>
      </c>
      <c r="D56">
        <v>631.5</v>
      </c>
      <c r="E56">
        <v>11.05688</v>
      </c>
      <c r="F56" t="s">
        <v>61</v>
      </c>
      <c r="G56">
        <v>132</v>
      </c>
      <c r="H56">
        <f t="shared" si="4"/>
        <v>7.575757575757576E-3</v>
      </c>
      <c r="I56">
        <f t="shared" si="5"/>
        <v>0.64479166666666665</v>
      </c>
    </row>
    <row r="57" spans="1:9" x14ac:dyDescent="0.55000000000000004">
      <c r="A57" t="s">
        <v>73</v>
      </c>
      <c r="B57">
        <v>130</v>
      </c>
      <c r="C57">
        <v>639</v>
      </c>
      <c r="D57">
        <v>635.5</v>
      </c>
      <c r="E57">
        <v>12.01051</v>
      </c>
      <c r="F57" t="s">
        <v>72</v>
      </c>
      <c r="G57">
        <v>138</v>
      </c>
      <c r="H57">
        <f t="shared" si="4"/>
        <v>7.246376811594203E-3</v>
      </c>
      <c r="I57">
        <f t="shared" si="5"/>
        <v>0.57534722222222234</v>
      </c>
    </row>
    <row r="58" spans="1:9" x14ac:dyDescent="0.55000000000000004">
      <c r="A58" t="s">
        <v>75</v>
      </c>
      <c r="B58">
        <v>130</v>
      </c>
      <c r="C58">
        <v>639</v>
      </c>
      <c r="D58">
        <v>626</v>
      </c>
      <c r="E58">
        <v>11.0001</v>
      </c>
      <c r="F58" t="s">
        <v>74</v>
      </c>
      <c r="G58">
        <v>136</v>
      </c>
      <c r="H58">
        <f t="shared" si="4"/>
        <v>7.3529411764705881E-3</v>
      </c>
      <c r="I58">
        <f t="shared" si="5"/>
        <v>0.58194444444444426</v>
      </c>
    </row>
    <row r="59" spans="1:9" x14ac:dyDescent="0.55000000000000004">
      <c r="A59" t="s">
        <v>76</v>
      </c>
      <c r="B59">
        <v>130</v>
      </c>
      <c r="C59">
        <v>647.5</v>
      </c>
      <c r="D59">
        <v>638</v>
      </c>
      <c r="E59">
        <v>11.5435</v>
      </c>
      <c r="F59" t="s">
        <v>74</v>
      </c>
      <c r="G59">
        <v>139</v>
      </c>
      <c r="H59">
        <f t="shared" si="4"/>
        <v>7.1942446043165471E-3</v>
      </c>
      <c r="I59">
        <f t="shared" si="5"/>
        <v>0.57361111111111096</v>
      </c>
    </row>
    <row r="60" spans="1:9" x14ac:dyDescent="0.55000000000000004">
      <c r="A60" t="s">
        <v>78</v>
      </c>
      <c r="B60">
        <v>130</v>
      </c>
      <c r="C60">
        <v>638.5</v>
      </c>
      <c r="D60">
        <v>630.5</v>
      </c>
      <c r="E60">
        <v>11.510960000000001</v>
      </c>
      <c r="F60" t="s">
        <v>77</v>
      </c>
      <c r="G60">
        <v>137</v>
      </c>
      <c r="H60">
        <f t="shared" si="4"/>
        <v>7.2992700729927005E-3</v>
      </c>
      <c r="I60">
        <f t="shared" si="5"/>
        <v>0.57881944444444433</v>
      </c>
    </row>
    <row r="61" spans="1:9" x14ac:dyDescent="0.55000000000000004">
      <c r="A61" t="s">
        <v>79</v>
      </c>
      <c r="B61">
        <v>130</v>
      </c>
      <c r="C61">
        <v>630.97919000000002</v>
      </c>
      <c r="D61">
        <v>639</v>
      </c>
      <c r="E61">
        <v>12.020910000000001</v>
      </c>
      <c r="F61" t="s">
        <v>77</v>
      </c>
      <c r="G61">
        <v>139</v>
      </c>
      <c r="H61">
        <f t="shared" si="4"/>
        <v>7.1942446043165471E-3</v>
      </c>
      <c r="I61">
        <f t="shared" si="5"/>
        <v>0.57291666666666663</v>
      </c>
    </row>
    <row r="62" spans="1:9" x14ac:dyDescent="0.55000000000000004">
      <c r="A62" t="s">
        <v>80</v>
      </c>
      <c r="B62">
        <v>130</v>
      </c>
      <c r="C62">
        <v>649.5</v>
      </c>
      <c r="D62">
        <v>635</v>
      </c>
      <c r="E62">
        <v>11.5435</v>
      </c>
      <c r="F62" t="s">
        <v>74</v>
      </c>
      <c r="G62">
        <v>138</v>
      </c>
      <c r="H62">
        <f t="shared" si="4"/>
        <v>7.246376811594203E-3</v>
      </c>
      <c r="I62">
        <f t="shared" si="5"/>
        <v>0.57569444444444429</v>
      </c>
    </row>
    <row r="63" spans="1:9" x14ac:dyDescent="0.55000000000000004">
      <c r="A63" t="s">
        <v>81</v>
      </c>
      <c r="B63">
        <v>129</v>
      </c>
      <c r="C63">
        <v>630</v>
      </c>
      <c r="D63">
        <v>606.5</v>
      </c>
      <c r="E63">
        <v>10.012589999999999</v>
      </c>
      <c r="F63" t="s">
        <v>74</v>
      </c>
      <c r="G63">
        <v>136</v>
      </c>
      <c r="H63">
        <f t="shared" si="4"/>
        <v>7.3529411764705881E-3</v>
      </c>
      <c r="I63">
        <f t="shared" si="5"/>
        <v>0.57881944444444433</v>
      </c>
    </row>
    <row r="64" spans="1:9" x14ac:dyDescent="0.55000000000000004">
      <c r="A64" t="s">
        <v>82</v>
      </c>
      <c r="B64">
        <v>129</v>
      </c>
      <c r="C64">
        <v>644.5</v>
      </c>
      <c r="D64">
        <v>603.5</v>
      </c>
      <c r="E64">
        <v>9.5132499999999993</v>
      </c>
      <c r="F64" t="s">
        <v>74</v>
      </c>
      <c r="G64">
        <v>136</v>
      </c>
      <c r="H64">
        <f t="shared" si="4"/>
        <v>7.3529411764705881E-3</v>
      </c>
      <c r="I64">
        <f t="shared" si="5"/>
        <v>0.58090277777777766</v>
      </c>
    </row>
    <row r="65" spans="1:9" x14ac:dyDescent="0.55000000000000004">
      <c r="A65" t="s">
        <v>83</v>
      </c>
      <c r="B65">
        <v>130</v>
      </c>
      <c r="C65">
        <v>646.97919000000002</v>
      </c>
      <c r="D65">
        <v>634</v>
      </c>
      <c r="E65">
        <v>12.020910000000001</v>
      </c>
      <c r="F65" t="s">
        <v>72</v>
      </c>
      <c r="G65">
        <v>138</v>
      </c>
      <c r="H65">
        <f t="shared" si="4"/>
        <v>7.246376811594203E-3</v>
      </c>
      <c r="I65">
        <f t="shared" si="5"/>
        <v>0.57638888888888906</v>
      </c>
    </row>
    <row r="66" spans="1:9" x14ac:dyDescent="0.55000000000000004">
      <c r="A66" t="s">
        <v>85</v>
      </c>
      <c r="B66">
        <v>130</v>
      </c>
      <c r="C66">
        <v>637</v>
      </c>
      <c r="D66">
        <v>622.5</v>
      </c>
      <c r="E66">
        <v>10.012589999999999</v>
      </c>
      <c r="F66" t="s">
        <v>84</v>
      </c>
      <c r="G66">
        <v>135</v>
      </c>
      <c r="H66">
        <f t="shared" si="4"/>
        <v>7.4074074074074077E-3</v>
      </c>
      <c r="I66">
        <f t="shared" si="5"/>
        <v>0.58437499999999998</v>
      </c>
    </row>
    <row r="67" spans="1:9" x14ac:dyDescent="0.55000000000000004">
      <c r="A67" t="s">
        <v>87</v>
      </c>
      <c r="B67">
        <v>125</v>
      </c>
      <c r="C67">
        <v>642</v>
      </c>
      <c r="D67">
        <v>630</v>
      </c>
      <c r="E67">
        <v>12.0001</v>
      </c>
      <c r="F67" t="s">
        <v>86</v>
      </c>
      <c r="G67">
        <v>144</v>
      </c>
      <c r="H67">
        <f t="shared" si="4"/>
        <v>6.9444444444444441E-3</v>
      </c>
      <c r="I67">
        <f t="shared" si="5"/>
        <v>0.49583333333333335</v>
      </c>
    </row>
    <row r="68" spans="1:9" x14ac:dyDescent="0.55000000000000004">
      <c r="A68" t="s">
        <v>88</v>
      </c>
      <c r="B68">
        <v>125</v>
      </c>
      <c r="C68">
        <v>640.5</v>
      </c>
      <c r="D68">
        <v>619.5</v>
      </c>
      <c r="E68">
        <v>9.5132499999999993</v>
      </c>
      <c r="F68" t="s">
        <v>86</v>
      </c>
      <c r="G68">
        <v>139</v>
      </c>
      <c r="H68">
        <f t="shared" si="4"/>
        <v>7.1942446043165471E-3</v>
      </c>
      <c r="I68">
        <f t="shared" si="5"/>
        <v>0.50312500000000004</v>
      </c>
    </row>
    <row r="69" spans="1:9" x14ac:dyDescent="0.55000000000000004">
      <c r="A69" t="s">
        <v>89</v>
      </c>
      <c r="B69">
        <v>125</v>
      </c>
      <c r="C69">
        <v>644</v>
      </c>
      <c r="D69">
        <v>640.5</v>
      </c>
      <c r="E69">
        <v>12.01051</v>
      </c>
      <c r="F69" t="s">
        <v>86</v>
      </c>
      <c r="G69">
        <v>143</v>
      </c>
      <c r="H69">
        <f t="shared" si="4"/>
        <v>6.993006993006993E-3</v>
      </c>
      <c r="I69">
        <f t="shared" si="5"/>
        <v>0.48854166666666665</v>
      </c>
    </row>
    <row r="70" spans="1:9" x14ac:dyDescent="0.55000000000000004">
      <c r="A70" t="s">
        <v>90</v>
      </c>
      <c r="B70">
        <v>124</v>
      </c>
      <c r="C70">
        <v>637.5</v>
      </c>
      <c r="D70">
        <v>604.5</v>
      </c>
      <c r="E70">
        <v>9.5132499999999993</v>
      </c>
      <c r="F70" t="s">
        <v>86</v>
      </c>
      <c r="G70">
        <v>140</v>
      </c>
      <c r="H70">
        <f t="shared" si="4"/>
        <v>7.1428571428571426E-3</v>
      </c>
      <c r="I70">
        <f t="shared" si="5"/>
        <v>0.49687500000000001</v>
      </c>
    </row>
    <row r="71" spans="1:9" x14ac:dyDescent="0.55000000000000004">
      <c r="A71" t="s">
        <v>91</v>
      </c>
      <c r="B71">
        <v>125</v>
      </c>
      <c r="C71">
        <v>644</v>
      </c>
      <c r="D71">
        <v>640.5</v>
      </c>
      <c r="E71">
        <v>12.01051</v>
      </c>
      <c r="F71" t="s">
        <v>86</v>
      </c>
      <c r="H71" t="e">
        <f t="shared" si="4"/>
        <v>#DIV/0!</v>
      </c>
      <c r="I71">
        <f t="shared" si="5"/>
        <v>0.48854166666666665</v>
      </c>
    </row>
    <row r="72" spans="1:9" x14ac:dyDescent="0.55000000000000004">
      <c r="A72" t="s">
        <v>93</v>
      </c>
      <c r="B72">
        <v>124</v>
      </c>
      <c r="C72">
        <v>637.5</v>
      </c>
      <c r="D72">
        <v>601.5</v>
      </c>
      <c r="E72">
        <v>9.5132499999999993</v>
      </c>
      <c r="F72" t="s">
        <v>92</v>
      </c>
      <c r="G72">
        <v>139</v>
      </c>
      <c r="H72">
        <f t="shared" si="4"/>
        <v>7.1942446043165471E-3</v>
      </c>
      <c r="I72">
        <f t="shared" si="5"/>
        <v>0.49895833333333334</v>
      </c>
    </row>
    <row r="73" spans="1:9" x14ac:dyDescent="0.55000000000000004">
      <c r="A73" t="s">
        <v>94</v>
      </c>
      <c r="B73">
        <v>124</v>
      </c>
      <c r="C73">
        <v>638.5</v>
      </c>
      <c r="D73">
        <v>607.5</v>
      </c>
      <c r="E73">
        <v>9.5132499999999993</v>
      </c>
      <c r="F73" t="s">
        <v>86</v>
      </c>
      <c r="H73" t="e">
        <f t="shared" si="4"/>
        <v>#DIV/0!</v>
      </c>
      <c r="I73">
        <f t="shared" si="5"/>
        <v>0.49479166666666669</v>
      </c>
    </row>
    <row r="74" spans="1:9" x14ac:dyDescent="0.55000000000000004">
      <c r="A74" t="s">
        <v>95</v>
      </c>
      <c r="B74">
        <v>125</v>
      </c>
      <c r="C74">
        <v>643.5</v>
      </c>
      <c r="D74">
        <v>639</v>
      </c>
      <c r="E74">
        <v>11.5435</v>
      </c>
      <c r="F74" t="s">
        <v>86</v>
      </c>
      <c r="G74">
        <v>142</v>
      </c>
      <c r="H74">
        <f t="shared" si="4"/>
        <v>7.0422535211267607E-3</v>
      </c>
      <c r="I74">
        <f t="shared" si="5"/>
        <v>0.48958333333333331</v>
      </c>
    </row>
    <row r="75" spans="1:9" x14ac:dyDescent="0.55000000000000004">
      <c r="A75" t="s">
        <v>96</v>
      </c>
      <c r="B75">
        <v>125</v>
      </c>
      <c r="C75">
        <v>642</v>
      </c>
      <c r="D75">
        <v>630.5</v>
      </c>
      <c r="E75">
        <v>12.01051</v>
      </c>
      <c r="F75" t="s">
        <v>86</v>
      </c>
      <c r="G75">
        <v>144</v>
      </c>
      <c r="H75">
        <f t="shared" si="4"/>
        <v>6.9444444444444441E-3</v>
      </c>
      <c r="I75">
        <f t="shared" si="5"/>
        <v>0.49548611111111118</v>
      </c>
    </row>
    <row r="76" spans="1:9" x14ac:dyDescent="0.55000000000000004">
      <c r="A76" t="s">
        <v>97</v>
      </c>
      <c r="B76">
        <v>125</v>
      </c>
      <c r="C76">
        <v>641</v>
      </c>
      <c r="D76">
        <v>618.5</v>
      </c>
      <c r="E76">
        <v>10.012589999999999</v>
      </c>
      <c r="F76" t="s">
        <v>86</v>
      </c>
      <c r="G76">
        <v>135</v>
      </c>
      <c r="H76">
        <f t="shared" si="4"/>
        <v>7.4074074074074077E-3</v>
      </c>
      <c r="I76">
        <f t="shared" si="5"/>
        <v>0.50381944444444449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 filterMode="1"/>
  <dimension ref="A1:L218"/>
  <sheetViews>
    <sheetView tabSelected="1" workbookViewId="0">
      <pane ySplit="1" topLeftCell="A173" activePane="bottomLeft" state="frozen"/>
      <selection activeCell="D1" sqref="D1"/>
      <selection pane="bottomLeft" activeCell="F211" sqref="F211"/>
    </sheetView>
  </sheetViews>
  <sheetFormatPr defaultRowHeight="18" x14ac:dyDescent="0.55000000000000004"/>
  <cols>
    <col min="1" max="1" width="61.1640625" customWidth="1"/>
    <col min="6" max="6" width="12.58203125" customWidth="1"/>
    <col min="9" max="10" width="11.83203125" customWidth="1"/>
  </cols>
  <sheetData>
    <row r="1" spans="1:12" x14ac:dyDescent="0.55000000000000004">
      <c r="H1" t="s">
        <v>11</v>
      </c>
      <c r="I1" t="s">
        <v>184</v>
      </c>
      <c r="J1" t="s">
        <v>185</v>
      </c>
      <c r="K1" t="s">
        <v>186</v>
      </c>
      <c r="L1" t="s">
        <v>187</v>
      </c>
    </row>
    <row r="2" spans="1:12" x14ac:dyDescent="0.55000000000000004">
      <c r="A2" t="s">
        <v>10</v>
      </c>
      <c r="B2">
        <v>126</v>
      </c>
      <c r="C2">
        <v>645</v>
      </c>
      <c r="D2">
        <v>612.5</v>
      </c>
      <c r="E2">
        <v>10.012589999999999</v>
      </c>
      <c r="F2" t="s">
        <v>0</v>
      </c>
      <c r="G2">
        <v>142</v>
      </c>
      <c r="H2" t="s">
        <v>12</v>
      </c>
      <c r="I2">
        <f ca="1">B2-VLOOKUP(H2,INDIRECT("フレーム変換表!A$1:B$" &amp; フレーム変換表!$D$1),2,FALSE)*2</f>
        <v>34</v>
      </c>
      <c r="J2" t="str">
        <f ca="1">VLOOKUP(F2,INDIRECT("球種変換表!A$1:B$" &amp; 球種変換表!$D$1),2,)</f>
        <v>ストレート</v>
      </c>
      <c r="K2">
        <f>1/G2</f>
        <v>7.0422535211267607E-3</v>
      </c>
      <c r="L2">
        <f ca="1">(I2-(D2-600)/24)*2/120</f>
        <v>0.55798611111111107</v>
      </c>
    </row>
    <row r="3" spans="1:12" x14ac:dyDescent="0.55000000000000004">
      <c r="A3" t="s">
        <v>3</v>
      </c>
      <c r="B3">
        <v>128</v>
      </c>
      <c r="C3">
        <v>641.5</v>
      </c>
      <c r="D3">
        <v>606.5</v>
      </c>
      <c r="E3">
        <v>9.5132499999999993</v>
      </c>
      <c r="F3" t="s">
        <v>0</v>
      </c>
      <c r="G3">
        <v>140</v>
      </c>
      <c r="H3" t="s">
        <v>12</v>
      </c>
      <c r="I3">
        <f ca="1">B3-VLOOKUP(H3,INDIRECT("フレーム変換表!A$1:B$" &amp; フレーム変換表!$D$1),2,FALSE)*2</f>
        <v>36</v>
      </c>
      <c r="J3" t="str">
        <f ca="1">VLOOKUP(F3,INDIRECT("球種変換表!A$1:B$" &amp; 球種変換表!$D$1),2,)</f>
        <v>ストレート</v>
      </c>
      <c r="K3">
        <f t="shared" ref="K3:K66" si="0">1/G3</f>
        <v>7.1428571428571426E-3</v>
      </c>
      <c r="L3">
        <f t="shared" ref="L3:L66" ca="1" si="1">(I3-(D3-600)/24)*2/120</f>
        <v>0.59548611111111105</v>
      </c>
    </row>
    <row r="4" spans="1:12" x14ac:dyDescent="0.55000000000000004">
      <c r="A4" t="s">
        <v>4</v>
      </c>
      <c r="B4">
        <v>128</v>
      </c>
      <c r="C4">
        <v>629</v>
      </c>
      <c r="D4">
        <v>601.5</v>
      </c>
      <c r="E4">
        <v>10.012589999999999</v>
      </c>
      <c r="F4" t="s">
        <v>0</v>
      </c>
      <c r="G4">
        <v>139</v>
      </c>
      <c r="H4" t="s">
        <v>12</v>
      </c>
      <c r="I4">
        <f ca="1">B4-VLOOKUP(H4,INDIRECT("フレーム変換表!A$1:B$" &amp; フレーム変換表!$D$1),2,FALSE)*2</f>
        <v>36</v>
      </c>
      <c r="J4" t="str">
        <f ca="1">VLOOKUP(F4,INDIRECT("球種変換表!A$1:B$" &amp; 球種変換表!$D$1),2,)</f>
        <v>ストレート</v>
      </c>
      <c r="K4">
        <f t="shared" si="0"/>
        <v>7.1942446043165471E-3</v>
      </c>
      <c r="L4">
        <f t="shared" ca="1" si="1"/>
        <v>0.59895833333333337</v>
      </c>
    </row>
    <row r="5" spans="1:12" hidden="1" x14ac:dyDescent="0.55000000000000004">
      <c r="A5" t="s">
        <v>5</v>
      </c>
      <c r="B5">
        <v>128</v>
      </c>
      <c r="C5">
        <v>632</v>
      </c>
      <c r="D5">
        <v>613.5</v>
      </c>
      <c r="E5">
        <v>10.012589999999999</v>
      </c>
      <c r="F5" t="s">
        <v>0</v>
      </c>
      <c r="G5" t="s">
        <v>101</v>
      </c>
      <c r="H5" t="s">
        <v>12</v>
      </c>
      <c r="I5">
        <f ca="1">B5-VLOOKUP(H5,INDIRECT("フレーム変換表!A$1:B$" &amp; フレーム変換表!$D$1),2,FALSE)*2</f>
        <v>36</v>
      </c>
      <c r="J5" t="str">
        <f ca="1">VLOOKUP(F5,INDIRECT("球種変換表!A$1:B$" &amp; 球種変換表!$D$1),2,)</f>
        <v>ストレート</v>
      </c>
      <c r="K5" t="e">
        <f t="shared" si="0"/>
        <v>#VALUE!</v>
      </c>
      <c r="L5">
        <f t="shared" ca="1" si="1"/>
        <v>0.59062499999999996</v>
      </c>
    </row>
    <row r="6" spans="1:12" x14ac:dyDescent="0.55000000000000004">
      <c r="A6" t="s">
        <v>6</v>
      </c>
      <c r="B6">
        <v>128</v>
      </c>
      <c r="C6">
        <v>641</v>
      </c>
      <c r="D6">
        <v>613.5</v>
      </c>
      <c r="E6">
        <v>10.012589999999999</v>
      </c>
      <c r="F6" t="s">
        <v>0</v>
      </c>
      <c r="G6">
        <v>142</v>
      </c>
      <c r="H6" t="s">
        <v>12</v>
      </c>
      <c r="I6">
        <f ca="1">B6-VLOOKUP(H6,INDIRECT("フレーム変換表!A$1:B$" &amp; フレーム変換表!$D$1),2,FALSE)*2</f>
        <v>36</v>
      </c>
      <c r="J6" t="str">
        <f ca="1">VLOOKUP(F6,INDIRECT("球種変換表!A$1:B$" &amp; 球種変換表!$D$1),2,)</f>
        <v>ストレート</v>
      </c>
      <c r="K6">
        <f t="shared" si="0"/>
        <v>7.0422535211267607E-3</v>
      </c>
      <c r="L6">
        <f t="shared" ca="1" si="1"/>
        <v>0.59062499999999996</v>
      </c>
    </row>
    <row r="7" spans="1:12" x14ac:dyDescent="0.55000000000000004">
      <c r="A7" t="s">
        <v>7</v>
      </c>
      <c r="B7">
        <v>128</v>
      </c>
      <c r="C7">
        <v>637</v>
      </c>
      <c r="D7">
        <v>600.5</v>
      </c>
      <c r="E7">
        <v>10.012589999999999</v>
      </c>
      <c r="F7" t="s">
        <v>0</v>
      </c>
      <c r="G7">
        <v>139</v>
      </c>
      <c r="H7" t="s">
        <v>12</v>
      </c>
      <c r="I7">
        <f ca="1">B7-VLOOKUP(H7,INDIRECT("フレーム変換表!A$1:B$" &amp; フレーム変換表!$D$1),2,FALSE)*2</f>
        <v>36</v>
      </c>
      <c r="J7" t="str">
        <f ca="1">VLOOKUP(F7,INDIRECT("球種変換表!A$1:B$" &amp; 球種変換表!$D$1),2,)</f>
        <v>ストレート</v>
      </c>
      <c r="K7">
        <f t="shared" si="0"/>
        <v>7.1942446043165471E-3</v>
      </c>
      <c r="L7">
        <f t="shared" ca="1" si="1"/>
        <v>0.5996527777777777</v>
      </c>
    </row>
    <row r="8" spans="1:12" x14ac:dyDescent="0.55000000000000004">
      <c r="A8" t="s">
        <v>8</v>
      </c>
      <c r="B8">
        <v>130</v>
      </c>
      <c r="C8">
        <v>642</v>
      </c>
      <c r="D8">
        <v>643.5</v>
      </c>
      <c r="E8">
        <v>12.01051</v>
      </c>
      <c r="F8" t="s">
        <v>0</v>
      </c>
      <c r="G8">
        <v>138</v>
      </c>
      <c r="H8" t="s">
        <v>12</v>
      </c>
      <c r="I8">
        <f ca="1">B8-VLOOKUP(H8,INDIRECT("フレーム変換表!A$1:B$" &amp; フレーム変換表!$D$1),2,FALSE)*2</f>
        <v>38</v>
      </c>
      <c r="J8" t="str">
        <f ca="1">VLOOKUP(F8,INDIRECT("球種変換表!A$1:B$" &amp; 球種変換表!$D$1),2,)</f>
        <v>ストレート</v>
      </c>
      <c r="K8">
        <f t="shared" si="0"/>
        <v>7.246376811594203E-3</v>
      </c>
      <c r="L8">
        <f t="shared" ca="1" si="1"/>
        <v>0.60312500000000002</v>
      </c>
    </row>
    <row r="9" spans="1:12" x14ac:dyDescent="0.55000000000000004">
      <c r="A9" t="s">
        <v>9</v>
      </c>
      <c r="B9">
        <v>129</v>
      </c>
      <c r="C9">
        <v>634.5</v>
      </c>
      <c r="D9">
        <v>624.5</v>
      </c>
      <c r="E9">
        <v>10.512</v>
      </c>
      <c r="F9" t="s">
        <v>0</v>
      </c>
      <c r="G9">
        <v>139</v>
      </c>
      <c r="H9" t="s">
        <v>12</v>
      </c>
      <c r="I9">
        <f ca="1">B9-VLOOKUP(H9,INDIRECT("フレーム変換表!A$1:B$" &amp; フレーム変換表!$D$1),2,FALSE)*2</f>
        <v>37</v>
      </c>
      <c r="J9" t="str">
        <f ca="1">VLOOKUP(F9,INDIRECT("球種変換表!A$1:B$" &amp; 球種変換表!$D$1),2,)</f>
        <v>ストレート</v>
      </c>
      <c r="K9">
        <f t="shared" si="0"/>
        <v>7.1942446043165471E-3</v>
      </c>
      <c r="L9">
        <f t="shared" ca="1" si="1"/>
        <v>0.5996527777777777</v>
      </c>
    </row>
    <row r="10" spans="1:12" x14ac:dyDescent="0.55000000000000004">
      <c r="A10" t="s">
        <v>15</v>
      </c>
      <c r="B10">
        <v>128</v>
      </c>
      <c r="C10">
        <v>647</v>
      </c>
      <c r="D10">
        <v>612.5</v>
      </c>
      <c r="E10">
        <v>10.012589999999999</v>
      </c>
      <c r="F10" t="s">
        <v>14</v>
      </c>
      <c r="G10">
        <v>142</v>
      </c>
      <c r="H10" t="s">
        <v>12</v>
      </c>
      <c r="I10">
        <f ca="1">B10-VLOOKUP(H10,INDIRECT("フレーム変換表!A$1:B$" &amp; フレーム変換表!$D$1),2,FALSE)*2</f>
        <v>36</v>
      </c>
      <c r="J10" t="str">
        <f ca="1">VLOOKUP(F10,INDIRECT("球種変換表!A$1:B$" &amp; 球種変換表!$D$1),2,)</f>
        <v>ストレート</v>
      </c>
      <c r="K10">
        <f t="shared" si="0"/>
        <v>7.0422535211267607E-3</v>
      </c>
      <c r="L10">
        <f t="shared" ca="1" si="1"/>
        <v>0.5913194444444444</v>
      </c>
    </row>
    <row r="11" spans="1:12" x14ac:dyDescent="0.55000000000000004">
      <c r="A11" t="s">
        <v>17</v>
      </c>
      <c r="B11">
        <v>145</v>
      </c>
      <c r="C11">
        <v>650.5</v>
      </c>
      <c r="D11">
        <v>608.5</v>
      </c>
      <c r="E11">
        <v>9.5132499999999993</v>
      </c>
      <c r="F11" t="s">
        <v>16</v>
      </c>
      <c r="G11">
        <v>115</v>
      </c>
      <c r="H11" t="s">
        <v>12</v>
      </c>
      <c r="I11">
        <f ca="1">B11-VLOOKUP(H11,INDIRECT("フレーム変換表!A$1:B$" &amp; フレーム変換表!$D$1),2,FALSE)*2</f>
        <v>53</v>
      </c>
      <c r="J11" t="str">
        <f ca="1">VLOOKUP(F11,INDIRECT("球種変換表!A$1:B$" &amp; 球種変換表!$D$1),2,)</f>
        <v>カーブ</v>
      </c>
      <c r="K11">
        <f t="shared" si="0"/>
        <v>8.6956521739130436E-3</v>
      </c>
      <c r="L11">
        <f t="shared" ca="1" si="1"/>
        <v>0.8774305555555556</v>
      </c>
    </row>
    <row r="12" spans="1:12" x14ac:dyDescent="0.55000000000000004">
      <c r="A12" t="s">
        <v>18</v>
      </c>
      <c r="B12">
        <v>146</v>
      </c>
      <c r="C12">
        <v>658</v>
      </c>
      <c r="D12">
        <v>619.5</v>
      </c>
      <c r="E12">
        <v>10.012589999999999</v>
      </c>
      <c r="F12" t="s">
        <v>16</v>
      </c>
      <c r="G12">
        <v>114</v>
      </c>
      <c r="H12" t="s">
        <v>12</v>
      </c>
      <c r="I12">
        <f ca="1">B12-VLOOKUP(H12,INDIRECT("フレーム変換表!A$1:B$" &amp; フレーム変換表!$D$1),2,FALSE)*2</f>
        <v>54</v>
      </c>
      <c r="J12" t="str">
        <f ca="1">VLOOKUP(F12,INDIRECT("球種変換表!A$1:B$" &amp; 球種変換表!$D$1),2,)</f>
        <v>カーブ</v>
      </c>
      <c r="K12">
        <f t="shared" si="0"/>
        <v>8.771929824561403E-3</v>
      </c>
      <c r="L12">
        <f t="shared" ca="1" si="1"/>
        <v>0.88645833333333335</v>
      </c>
    </row>
    <row r="13" spans="1:12" x14ac:dyDescent="0.55000000000000004">
      <c r="A13" t="s">
        <v>19</v>
      </c>
      <c r="B13">
        <v>145</v>
      </c>
      <c r="C13">
        <v>652</v>
      </c>
      <c r="D13">
        <v>611.5</v>
      </c>
      <c r="E13">
        <v>10.012589999999999</v>
      </c>
      <c r="F13" t="s">
        <v>16</v>
      </c>
      <c r="G13">
        <v>115</v>
      </c>
      <c r="H13" t="s">
        <v>12</v>
      </c>
      <c r="I13">
        <f ca="1">B13-VLOOKUP(H13,INDIRECT("フレーム変換表!A$1:B$" &amp; フレーム変換表!$D$1),2,FALSE)*2</f>
        <v>53</v>
      </c>
      <c r="J13" t="str">
        <f ca="1">VLOOKUP(F13,INDIRECT("球種変換表!A$1:B$" &amp; 球種変換表!$D$1),2,)</f>
        <v>カーブ</v>
      </c>
      <c r="K13">
        <f t="shared" si="0"/>
        <v>8.6956521739130436E-3</v>
      </c>
      <c r="L13">
        <f t="shared" ca="1" si="1"/>
        <v>0.87534722222222228</v>
      </c>
    </row>
    <row r="14" spans="1:12" x14ac:dyDescent="0.55000000000000004">
      <c r="A14" t="s">
        <v>20</v>
      </c>
      <c r="B14">
        <v>147</v>
      </c>
      <c r="C14">
        <v>663.5</v>
      </c>
      <c r="D14">
        <v>623</v>
      </c>
      <c r="E14">
        <v>10.5001</v>
      </c>
      <c r="F14" t="s">
        <v>16</v>
      </c>
      <c r="G14">
        <v>113</v>
      </c>
      <c r="H14" t="s">
        <v>12</v>
      </c>
      <c r="I14">
        <f ca="1">B14-VLOOKUP(H14,INDIRECT("フレーム変換表!A$1:B$" &amp; フレーム変換表!$D$1),2,FALSE)*2</f>
        <v>55</v>
      </c>
      <c r="J14" t="str">
        <f ca="1">VLOOKUP(F14,INDIRECT("球種変換表!A$1:B$" &amp; 球種変換表!$D$1),2,)</f>
        <v>カーブ</v>
      </c>
      <c r="K14">
        <f t="shared" si="0"/>
        <v>8.8495575221238937E-3</v>
      </c>
      <c r="L14">
        <f t="shared" ca="1" si="1"/>
        <v>0.90069444444444435</v>
      </c>
    </row>
    <row r="15" spans="1:12" x14ac:dyDescent="0.55000000000000004">
      <c r="A15" t="s">
        <v>21</v>
      </c>
      <c r="B15">
        <v>146</v>
      </c>
      <c r="C15">
        <v>662</v>
      </c>
      <c r="D15">
        <v>606</v>
      </c>
      <c r="E15">
        <v>10.0001</v>
      </c>
      <c r="F15" t="s">
        <v>16</v>
      </c>
      <c r="G15">
        <v>112</v>
      </c>
      <c r="H15" t="s">
        <v>12</v>
      </c>
      <c r="I15">
        <f ca="1">B15-VLOOKUP(H15,INDIRECT("フレーム変換表!A$1:B$" &amp; フレーム変換表!$D$1),2,FALSE)*2</f>
        <v>54</v>
      </c>
      <c r="J15" t="str">
        <f ca="1">VLOOKUP(F15,INDIRECT("球種変換表!A$1:B$" &amp; 球種変換表!$D$1),2,)</f>
        <v>カーブ</v>
      </c>
      <c r="K15">
        <f t="shared" si="0"/>
        <v>8.9285714285714281E-3</v>
      </c>
      <c r="L15">
        <f t="shared" ca="1" si="1"/>
        <v>0.89583333333333337</v>
      </c>
    </row>
    <row r="16" spans="1:12" x14ac:dyDescent="0.55000000000000004">
      <c r="A16" t="s">
        <v>22</v>
      </c>
      <c r="B16">
        <v>146</v>
      </c>
      <c r="C16">
        <v>654</v>
      </c>
      <c r="D16">
        <v>607.5</v>
      </c>
      <c r="E16">
        <v>10.012589999999999</v>
      </c>
      <c r="F16">
        <v>4</v>
      </c>
      <c r="G16">
        <v>112</v>
      </c>
      <c r="H16" t="s">
        <v>12</v>
      </c>
      <c r="I16">
        <f ca="1">B16-VLOOKUP(H16,INDIRECT("フレーム変換表!A$1:B$" &amp; フレーム変換表!$D$1),2,FALSE)*2</f>
        <v>54</v>
      </c>
      <c r="J16" t="str">
        <f ca="1">VLOOKUP(F16,INDIRECT("球種変換表!A$1:B$" &amp; 球種変換表!$D$1),2,)</f>
        <v>カーブ</v>
      </c>
      <c r="K16">
        <f t="shared" si="0"/>
        <v>8.9285714285714281E-3</v>
      </c>
      <c r="L16">
        <f t="shared" ca="1" si="1"/>
        <v>0.89479166666666665</v>
      </c>
    </row>
    <row r="17" spans="1:12" x14ac:dyDescent="0.55000000000000004">
      <c r="A17" t="s">
        <v>23</v>
      </c>
      <c r="B17">
        <v>145</v>
      </c>
      <c r="C17">
        <v>630.5</v>
      </c>
      <c r="D17">
        <v>600.5</v>
      </c>
      <c r="E17">
        <v>9.5132499999999993</v>
      </c>
      <c r="F17" t="s">
        <v>16</v>
      </c>
      <c r="G17">
        <v>113</v>
      </c>
      <c r="H17" t="s">
        <v>12</v>
      </c>
      <c r="I17">
        <f ca="1">B17-VLOOKUP(H17,INDIRECT("フレーム変換表!A$1:B$" &amp; フレーム変換表!$D$1),2,FALSE)*2</f>
        <v>53</v>
      </c>
      <c r="J17" t="str">
        <f ca="1">VLOOKUP(F17,INDIRECT("球種変換表!A$1:B$" &amp; 球種変換表!$D$1),2,)</f>
        <v>カーブ</v>
      </c>
      <c r="K17">
        <f t="shared" si="0"/>
        <v>8.8495575221238937E-3</v>
      </c>
      <c r="L17">
        <f t="shared" ca="1" si="1"/>
        <v>0.88298611111111103</v>
      </c>
    </row>
    <row r="18" spans="1:12" x14ac:dyDescent="0.55000000000000004">
      <c r="A18" t="s">
        <v>24</v>
      </c>
      <c r="B18">
        <v>147</v>
      </c>
      <c r="C18">
        <v>661.5</v>
      </c>
      <c r="D18">
        <v>624</v>
      </c>
      <c r="E18">
        <v>9.5525900000000004</v>
      </c>
      <c r="F18" t="s">
        <v>16</v>
      </c>
      <c r="G18">
        <v>113</v>
      </c>
      <c r="H18" t="s">
        <v>12</v>
      </c>
      <c r="I18">
        <f ca="1">B18-VLOOKUP(H18,INDIRECT("フレーム変換表!A$1:B$" &amp; フレーム変換表!$D$1),2,FALSE)*2</f>
        <v>55</v>
      </c>
      <c r="J18" t="str">
        <f ca="1">VLOOKUP(F18,INDIRECT("球種変換表!A$1:B$" &amp; 球種変換表!$D$1),2,)</f>
        <v>カーブ</v>
      </c>
      <c r="K18">
        <f t="shared" si="0"/>
        <v>8.8495575221238937E-3</v>
      </c>
      <c r="L18">
        <f t="shared" ca="1" si="1"/>
        <v>0.9</v>
      </c>
    </row>
    <row r="19" spans="1:12" x14ac:dyDescent="0.55000000000000004">
      <c r="A19" t="s">
        <v>103</v>
      </c>
      <c r="B19">
        <v>132</v>
      </c>
      <c r="C19">
        <v>653</v>
      </c>
      <c r="D19">
        <v>602.5</v>
      </c>
      <c r="E19">
        <v>10.012589999999999</v>
      </c>
      <c r="F19" t="s">
        <v>102</v>
      </c>
      <c r="G19">
        <v>124</v>
      </c>
      <c r="H19" t="s">
        <v>12</v>
      </c>
      <c r="I19">
        <f ca="1">B19-VLOOKUP(H19,INDIRECT("フレーム変換表!A$1:B$" &amp; フレーム変換表!$D$1),2,FALSE)*2</f>
        <v>40</v>
      </c>
      <c r="J19" t="str">
        <f ca="1">VLOOKUP(F19,INDIRECT("球種変換表!A$1:B$" &amp; 球種変換表!$D$1),2,)</f>
        <v>フォーク</v>
      </c>
      <c r="K19">
        <f t="shared" si="0"/>
        <v>8.0645161290322578E-3</v>
      </c>
      <c r="L19">
        <f t="shared" ca="1" si="1"/>
        <v>0.66493055555555558</v>
      </c>
    </row>
    <row r="20" spans="1:12" x14ac:dyDescent="0.55000000000000004">
      <c r="A20" t="s">
        <v>104</v>
      </c>
      <c r="B20">
        <v>133</v>
      </c>
      <c r="C20">
        <v>635</v>
      </c>
      <c r="D20">
        <v>608.5</v>
      </c>
      <c r="E20">
        <v>10.012589999999999</v>
      </c>
      <c r="F20" t="s">
        <v>102</v>
      </c>
      <c r="G20">
        <v>121</v>
      </c>
      <c r="H20" t="s">
        <v>12</v>
      </c>
      <c r="I20">
        <f ca="1">B20-VLOOKUP(H20,INDIRECT("フレーム変換表!A$1:B$" &amp; フレーム変換表!$D$1),2,FALSE)*2</f>
        <v>41</v>
      </c>
      <c r="J20" t="str">
        <f ca="1">VLOOKUP(F20,INDIRECT("球種変換表!A$1:B$" &amp; 球種変換表!$D$1),2,)</f>
        <v>フォーク</v>
      </c>
      <c r="K20">
        <f t="shared" si="0"/>
        <v>8.2644628099173556E-3</v>
      </c>
      <c r="L20">
        <f t="shared" ca="1" si="1"/>
        <v>0.67743055555555565</v>
      </c>
    </row>
    <row r="21" spans="1:12" x14ac:dyDescent="0.55000000000000004">
      <c r="A21" t="s">
        <v>106</v>
      </c>
      <c r="B21">
        <v>134</v>
      </c>
      <c r="C21">
        <v>643</v>
      </c>
      <c r="D21">
        <v>635.5</v>
      </c>
      <c r="E21">
        <v>12.01051</v>
      </c>
      <c r="F21" t="s">
        <v>105</v>
      </c>
      <c r="G21">
        <v>123</v>
      </c>
      <c r="H21" t="s">
        <v>12</v>
      </c>
      <c r="I21">
        <f ca="1">B21-VLOOKUP(H21,INDIRECT("フレーム変換表!A$1:B$" &amp; フレーム変換表!$D$1),2,FALSE)*2</f>
        <v>42</v>
      </c>
      <c r="J21" t="str">
        <f ca="1">VLOOKUP(F21,INDIRECT("球種変換表!A$1:B$" &amp; 球種変換表!$D$1),2,)</f>
        <v>フォーク</v>
      </c>
      <c r="K21">
        <f t="shared" si="0"/>
        <v>8.130081300813009E-3</v>
      </c>
      <c r="L21">
        <f t="shared" ca="1" si="1"/>
        <v>0.67534722222222221</v>
      </c>
    </row>
    <row r="22" spans="1:12" x14ac:dyDescent="0.55000000000000004">
      <c r="A22" t="s">
        <v>107</v>
      </c>
      <c r="B22">
        <v>133</v>
      </c>
      <c r="C22">
        <v>639.5</v>
      </c>
      <c r="D22">
        <v>622</v>
      </c>
      <c r="E22">
        <v>10.5001</v>
      </c>
      <c r="F22" t="s">
        <v>105</v>
      </c>
      <c r="G22">
        <v>114</v>
      </c>
      <c r="H22" t="s">
        <v>12</v>
      </c>
      <c r="I22">
        <f ca="1">B22-VLOOKUP(H22,INDIRECT("フレーム変換表!A$1:B$" &amp; フレーム変換表!$D$1),2,FALSE)*2</f>
        <v>41</v>
      </c>
      <c r="J22" t="str">
        <f ca="1">VLOOKUP(F22,INDIRECT("球種変換表!A$1:B$" &amp; 球種変換表!$D$1),2,)</f>
        <v>フォーク</v>
      </c>
      <c r="K22">
        <f t="shared" si="0"/>
        <v>8.771929824561403E-3</v>
      </c>
      <c r="L22">
        <f t="shared" ca="1" si="1"/>
        <v>0.66805555555555562</v>
      </c>
    </row>
    <row r="23" spans="1:12" x14ac:dyDescent="0.55000000000000004">
      <c r="A23" t="s">
        <v>108</v>
      </c>
      <c r="B23">
        <v>133</v>
      </c>
      <c r="C23">
        <v>628.5</v>
      </c>
      <c r="D23">
        <v>617</v>
      </c>
      <c r="E23">
        <v>10.5001</v>
      </c>
      <c r="F23" t="s">
        <v>102</v>
      </c>
      <c r="G23">
        <v>113</v>
      </c>
      <c r="H23" t="s">
        <v>12</v>
      </c>
      <c r="I23">
        <f ca="1">B23-VLOOKUP(H23,INDIRECT("フレーム変換表!A$1:B$" &amp; フレーム変換表!$D$1),2,FALSE)*2</f>
        <v>41</v>
      </c>
      <c r="J23" t="str">
        <f ca="1">VLOOKUP(F23,INDIRECT("球種変換表!A$1:B$" &amp; 球種変換表!$D$1),2,)</f>
        <v>フォーク</v>
      </c>
      <c r="K23">
        <f t="shared" si="0"/>
        <v>8.8495575221238937E-3</v>
      </c>
      <c r="L23">
        <f t="shared" ca="1" si="1"/>
        <v>0.67152777777777772</v>
      </c>
    </row>
    <row r="24" spans="1:12" x14ac:dyDescent="0.55000000000000004">
      <c r="A24" t="s">
        <v>110</v>
      </c>
      <c r="B24">
        <v>132</v>
      </c>
      <c r="C24">
        <v>648</v>
      </c>
      <c r="D24">
        <v>605.5</v>
      </c>
      <c r="E24">
        <v>10.012589999999999</v>
      </c>
      <c r="F24" t="s">
        <v>109</v>
      </c>
      <c r="G24">
        <v>124</v>
      </c>
      <c r="H24" t="s">
        <v>12</v>
      </c>
      <c r="I24">
        <f ca="1">B24-VLOOKUP(H24,INDIRECT("フレーム変換表!A$1:B$" &amp; フレーム変換表!$D$1),2,FALSE)*2</f>
        <v>40</v>
      </c>
      <c r="J24" t="str">
        <f ca="1">VLOOKUP(F24,INDIRECT("球種変換表!A$1:B$" &amp; 球種変換表!$D$1),2,)</f>
        <v>フォーク</v>
      </c>
      <c r="K24">
        <f t="shared" si="0"/>
        <v>8.0645161290322578E-3</v>
      </c>
      <c r="L24">
        <f t="shared" ca="1" si="1"/>
        <v>0.66284722222222225</v>
      </c>
    </row>
    <row r="25" spans="1:12" x14ac:dyDescent="0.55000000000000004">
      <c r="A25" t="s">
        <v>111</v>
      </c>
      <c r="B25">
        <v>133</v>
      </c>
      <c r="C25">
        <v>643.5</v>
      </c>
      <c r="D25">
        <v>624</v>
      </c>
      <c r="E25">
        <v>10.5001</v>
      </c>
      <c r="F25" t="s">
        <v>105</v>
      </c>
      <c r="G25">
        <v>124</v>
      </c>
      <c r="H25" t="s">
        <v>12</v>
      </c>
      <c r="I25">
        <f ca="1">B25-VLOOKUP(H25,INDIRECT("フレーム変換表!A$1:B$" &amp; フレーム変換表!$D$1),2,FALSE)*2</f>
        <v>41</v>
      </c>
      <c r="J25" t="str">
        <f ca="1">VLOOKUP(F25,INDIRECT("球種変換表!A$1:B$" &amp; 球種変換表!$D$1),2,)</f>
        <v>フォーク</v>
      </c>
      <c r="K25">
        <f t="shared" si="0"/>
        <v>8.0645161290322578E-3</v>
      </c>
      <c r="L25">
        <f t="shared" ca="1" si="1"/>
        <v>0.66666666666666663</v>
      </c>
    </row>
    <row r="26" spans="1:12" x14ac:dyDescent="0.55000000000000004">
      <c r="A26" t="s">
        <v>113</v>
      </c>
      <c r="B26">
        <v>133</v>
      </c>
      <c r="C26">
        <v>647.5</v>
      </c>
      <c r="D26">
        <v>616</v>
      </c>
      <c r="E26">
        <v>10.5001</v>
      </c>
      <c r="F26" t="s">
        <v>112</v>
      </c>
      <c r="G26">
        <v>113</v>
      </c>
      <c r="H26" t="s">
        <v>12</v>
      </c>
      <c r="I26">
        <f ca="1">B26-VLOOKUP(H26,INDIRECT("フレーム変換表!A$1:B$" &amp; フレーム変換表!$D$1),2,FALSE)*2</f>
        <v>41</v>
      </c>
      <c r="J26" t="str">
        <f ca="1">VLOOKUP(F26,INDIRECT("球種変換表!A$1:B$" &amp; 球種変換表!$D$1),2,)</f>
        <v>フォーク</v>
      </c>
      <c r="K26">
        <f t="shared" si="0"/>
        <v>8.8495575221238937E-3</v>
      </c>
      <c r="L26">
        <f t="shared" ca="1" si="1"/>
        <v>0.67222222222222228</v>
      </c>
    </row>
    <row r="27" spans="1:12" x14ac:dyDescent="0.55000000000000004">
      <c r="A27" t="s">
        <v>115</v>
      </c>
      <c r="B27">
        <v>136</v>
      </c>
      <c r="C27">
        <v>668</v>
      </c>
      <c r="D27">
        <v>671</v>
      </c>
      <c r="E27">
        <v>12.041689999999999</v>
      </c>
      <c r="F27" t="s">
        <v>114</v>
      </c>
      <c r="G27">
        <v>121</v>
      </c>
      <c r="H27" t="s">
        <v>12</v>
      </c>
      <c r="I27">
        <f ca="1">B27-VLOOKUP(H27,INDIRECT("フレーム変換表!A$1:B$" &amp; フレーム変換表!$D$1),2,FALSE)*2</f>
        <v>44</v>
      </c>
      <c r="J27" t="e">
        <f ca="1">VLOOKUP(F27,INDIRECT("球種変換表!A$1:B$" &amp; 球種変換表!$D$1),2,)</f>
        <v>#N/A</v>
      </c>
      <c r="K27">
        <f t="shared" si="0"/>
        <v>8.2644628099173556E-3</v>
      </c>
      <c r="L27">
        <f t="shared" ca="1" si="1"/>
        <v>0.68402777777777779</v>
      </c>
    </row>
    <row r="28" spans="1:12" x14ac:dyDescent="0.55000000000000004">
      <c r="A28" t="s">
        <v>116</v>
      </c>
      <c r="B28">
        <v>132</v>
      </c>
      <c r="C28">
        <v>644</v>
      </c>
      <c r="D28">
        <v>604.5</v>
      </c>
      <c r="E28">
        <v>10.012589999999999</v>
      </c>
      <c r="F28" t="s">
        <v>102</v>
      </c>
      <c r="G28">
        <v>114</v>
      </c>
      <c r="H28" t="s">
        <v>12</v>
      </c>
      <c r="I28">
        <f ca="1">B28-VLOOKUP(H28,INDIRECT("フレーム変換表!A$1:B$" &amp; フレーム変換表!$D$1),2,FALSE)*2</f>
        <v>40</v>
      </c>
      <c r="J28" t="str">
        <f ca="1">VLOOKUP(F28,INDIRECT("球種変換表!A$1:B$" &amp; 球種変換表!$D$1),2,)</f>
        <v>フォーク</v>
      </c>
      <c r="K28">
        <f t="shared" si="0"/>
        <v>8.771929824561403E-3</v>
      </c>
      <c r="L28">
        <f t="shared" ca="1" si="1"/>
        <v>0.6635416666666667</v>
      </c>
    </row>
    <row r="29" spans="1:12" x14ac:dyDescent="0.55000000000000004">
      <c r="A29" t="s">
        <v>118</v>
      </c>
      <c r="B29">
        <v>138</v>
      </c>
      <c r="C29">
        <v>625</v>
      </c>
      <c r="D29">
        <v>614.5</v>
      </c>
      <c r="E29">
        <v>10.012589999999999</v>
      </c>
      <c r="F29" t="s">
        <v>117</v>
      </c>
      <c r="G29">
        <v>118</v>
      </c>
      <c r="H29" t="s">
        <v>12</v>
      </c>
      <c r="I29">
        <f ca="1">B29-VLOOKUP(H29,INDIRECT("フレーム変換表!A$1:B$" &amp; フレーム変換表!$D$1),2,FALSE)*2</f>
        <v>46</v>
      </c>
      <c r="J29" t="str">
        <f ca="1">VLOOKUP(F29,INDIRECT("球種変換表!A$1:B$" &amp; 球種変換表!$D$1),2,)</f>
        <v>シンカー</v>
      </c>
      <c r="K29">
        <f t="shared" si="0"/>
        <v>8.4745762711864406E-3</v>
      </c>
      <c r="L29">
        <f t="shared" ca="1" si="1"/>
        <v>0.75659722222222225</v>
      </c>
    </row>
    <row r="30" spans="1:12" x14ac:dyDescent="0.55000000000000004">
      <c r="A30" t="s">
        <v>119</v>
      </c>
      <c r="B30">
        <v>138</v>
      </c>
      <c r="C30">
        <v>630.5</v>
      </c>
      <c r="D30">
        <v>618.5</v>
      </c>
      <c r="E30">
        <v>10.512</v>
      </c>
      <c r="F30" t="s">
        <v>117</v>
      </c>
      <c r="G30">
        <v>119</v>
      </c>
      <c r="H30" t="s">
        <v>12</v>
      </c>
      <c r="I30">
        <f ca="1">B30-VLOOKUP(H30,INDIRECT("フレーム変換表!A$1:B$" &amp; フレーム変換表!$D$1),2,FALSE)*2</f>
        <v>46</v>
      </c>
      <c r="J30" t="str">
        <f ca="1">VLOOKUP(F30,INDIRECT("球種変換表!A$1:B$" &amp; 球種変換表!$D$1),2,)</f>
        <v>シンカー</v>
      </c>
      <c r="K30">
        <f t="shared" si="0"/>
        <v>8.4033613445378148E-3</v>
      </c>
      <c r="L30">
        <f t="shared" ca="1" si="1"/>
        <v>0.75381944444444438</v>
      </c>
    </row>
    <row r="31" spans="1:12" x14ac:dyDescent="0.55000000000000004">
      <c r="A31" t="s">
        <v>120</v>
      </c>
      <c r="B31">
        <v>138</v>
      </c>
      <c r="C31">
        <v>634.5</v>
      </c>
      <c r="D31">
        <v>615</v>
      </c>
      <c r="E31">
        <v>10.5001</v>
      </c>
      <c r="F31" t="s">
        <v>117</v>
      </c>
      <c r="G31">
        <v>118</v>
      </c>
      <c r="H31" t="s">
        <v>12</v>
      </c>
      <c r="I31">
        <f ca="1">B31-VLOOKUP(H31,INDIRECT("フレーム変換表!A$1:B$" &amp; フレーム変換表!$D$1),2,FALSE)*2</f>
        <v>46</v>
      </c>
      <c r="J31" t="str">
        <f ca="1">VLOOKUP(F31,INDIRECT("球種変換表!A$1:B$" &amp; 球種変換表!$D$1),2,)</f>
        <v>シンカー</v>
      </c>
      <c r="K31">
        <f t="shared" si="0"/>
        <v>8.4745762711864406E-3</v>
      </c>
      <c r="L31">
        <f t="shared" ca="1" si="1"/>
        <v>0.75624999999999998</v>
      </c>
    </row>
    <row r="32" spans="1:12" x14ac:dyDescent="0.55000000000000004">
      <c r="A32" t="s">
        <v>121</v>
      </c>
      <c r="B32">
        <v>139</v>
      </c>
      <c r="C32">
        <v>616.5</v>
      </c>
      <c r="D32">
        <v>632.5</v>
      </c>
      <c r="E32">
        <v>11.510960000000001</v>
      </c>
      <c r="F32" t="s">
        <v>117</v>
      </c>
      <c r="G32">
        <v>118</v>
      </c>
      <c r="H32" t="s">
        <v>12</v>
      </c>
      <c r="I32">
        <f ca="1">B32-VLOOKUP(H32,INDIRECT("フレーム変換表!A$1:B$" &amp; フレーム変換表!$D$1),2,FALSE)*2</f>
        <v>47</v>
      </c>
      <c r="J32" t="str">
        <f ca="1">VLOOKUP(F32,INDIRECT("球種変換表!A$1:B$" &amp; 球種変換表!$D$1),2,)</f>
        <v>シンカー</v>
      </c>
      <c r="K32">
        <f t="shared" si="0"/>
        <v>8.4745762711864406E-3</v>
      </c>
      <c r="L32">
        <f t="shared" ca="1" si="1"/>
        <v>0.76076388888888891</v>
      </c>
    </row>
    <row r="33" spans="1:12" x14ac:dyDescent="0.55000000000000004">
      <c r="A33" t="s">
        <v>122</v>
      </c>
      <c r="B33">
        <v>139</v>
      </c>
      <c r="C33">
        <v>610.5</v>
      </c>
      <c r="D33">
        <v>634</v>
      </c>
      <c r="E33">
        <v>11.5435</v>
      </c>
      <c r="F33" t="s">
        <v>117</v>
      </c>
      <c r="G33">
        <v>118</v>
      </c>
      <c r="H33" t="s">
        <v>12</v>
      </c>
      <c r="I33">
        <f ca="1">B33-VLOOKUP(H33,INDIRECT("フレーム変換表!A$1:B$" &amp; フレーム変換表!$D$1),2,FALSE)*2</f>
        <v>47</v>
      </c>
      <c r="J33" t="str">
        <f ca="1">VLOOKUP(F33,INDIRECT("球種変換表!A$1:B$" &amp; 球種変換表!$D$1),2,)</f>
        <v>シンカー</v>
      </c>
      <c r="K33">
        <f t="shared" si="0"/>
        <v>8.4745762711864406E-3</v>
      </c>
      <c r="L33">
        <f t="shared" ca="1" si="1"/>
        <v>0.7597222222222223</v>
      </c>
    </row>
    <row r="34" spans="1:12" x14ac:dyDescent="0.55000000000000004">
      <c r="A34" t="s">
        <v>123</v>
      </c>
      <c r="B34">
        <v>138</v>
      </c>
      <c r="C34">
        <v>623.5</v>
      </c>
      <c r="D34">
        <v>626</v>
      </c>
      <c r="E34">
        <v>10.5001</v>
      </c>
      <c r="F34" t="s">
        <v>117</v>
      </c>
      <c r="G34">
        <v>114</v>
      </c>
      <c r="H34" t="s">
        <v>12</v>
      </c>
      <c r="I34">
        <f ca="1">B34-VLOOKUP(H34,INDIRECT("フレーム変換表!A$1:B$" &amp; フレーム変換表!$D$1),2,FALSE)*2</f>
        <v>46</v>
      </c>
      <c r="J34" t="str">
        <f ca="1">VLOOKUP(F34,INDIRECT("球種変換表!A$1:B$" &amp; 球種変換表!$D$1),2,)</f>
        <v>シンカー</v>
      </c>
      <c r="K34">
        <f t="shared" si="0"/>
        <v>8.771929824561403E-3</v>
      </c>
      <c r="L34">
        <f t="shared" ca="1" si="1"/>
        <v>0.74861111111111112</v>
      </c>
    </row>
    <row r="35" spans="1:12" x14ac:dyDescent="0.55000000000000004">
      <c r="A35" t="s">
        <v>124</v>
      </c>
      <c r="B35">
        <v>138</v>
      </c>
      <c r="C35">
        <v>636</v>
      </c>
      <c r="D35">
        <v>633</v>
      </c>
      <c r="E35">
        <v>12.0001</v>
      </c>
      <c r="F35" t="s">
        <v>117</v>
      </c>
      <c r="G35">
        <v>121</v>
      </c>
      <c r="H35" t="s">
        <v>12</v>
      </c>
      <c r="I35">
        <f ca="1">B35-VLOOKUP(H35,INDIRECT("フレーム変換表!A$1:B$" &amp; フレーム変換表!$D$1),2,FALSE)*2</f>
        <v>46</v>
      </c>
      <c r="J35" t="str">
        <f ca="1">VLOOKUP(F35,INDIRECT("球種変換表!A$1:B$" &amp; 球種変換表!$D$1),2,)</f>
        <v>シンカー</v>
      </c>
      <c r="K35">
        <f t="shared" si="0"/>
        <v>8.2644628099173556E-3</v>
      </c>
      <c r="L35">
        <f t="shared" ca="1" si="1"/>
        <v>0.74375000000000002</v>
      </c>
    </row>
    <row r="36" spans="1:12" x14ac:dyDescent="0.55000000000000004">
      <c r="A36" t="s">
        <v>125</v>
      </c>
      <c r="B36">
        <v>138</v>
      </c>
      <c r="C36">
        <v>628.5</v>
      </c>
      <c r="D36">
        <v>620.5</v>
      </c>
      <c r="E36">
        <v>10.512</v>
      </c>
      <c r="F36" t="s">
        <v>117</v>
      </c>
      <c r="G36">
        <v>119</v>
      </c>
      <c r="H36" t="s">
        <v>12</v>
      </c>
      <c r="I36">
        <f ca="1">B36-VLOOKUP(H36,INDIRECT("フレーム変換表!A$1:B$" &amp; フレーム変換表!$D$1),2,FALSE)*2</f>
        <v>46</v>
      </c>
      <c r="J36" t="str">
        <f ca="1">VLOOKUP(F36,INDIRECT("球種変換表!A$1:B$" &amp; 球種変換表!$D$1),2,)</f>
        <v>シンカー</v>
      </c>
      <c r="K36">
        <f t="shared" si="0"/>
        <v>8.4033613445378148E-3</v>
      </c>
      <c r="L36">
        <f t="shared" ca="1" si="1"/>
        <v>0.7524305555555556</v>
      </c>
    </row>
    <row r="37" spans="1:12" x14ac:dyDescent="0.55000000000000004">
      <c r="A37" t="s">
        <v>126</v>
      </c>
      <c r="B37">
        <v>139</v>
      </c>
      <c r="C37">
        <v>622.5</v>
      </c>
      <c r="D37">
        <v>632.5</v>
      </c>
      <c r="E37">
        <v>11.510960000000001</v>
      </c>
      <c r="F37" t="s">
        <v>117</v>
      </c>
      <c r="G37">
        <v>118</v>
      </c>
      <c r="H37" t="s">
        <v>12</v>
      </c>
      <c r="I37">
        <f ca="1">B37-VLOOKUP(H37,INDIRECT("フレーム変換表!A$1:B$" &amp; フレーム変換表!$D$1),2,FALSE)*2</f>
        <v>47</v>
      </c>
      <c r="J37" t="str">
        <f ca="1">VLOOKUP(F37,INDIRECT("球種変換表!A$1:B$" &amp; 球種変換表!$D$1),2,)</f>
        <v>シンカー</v>
      </c>
      <c r="K37">
        <f t="shared" si="0"/>
        <v>8.4745762711864406E-3</v>
      </c>
      <c r="L37">
        <f t="shared" ca="1" si="1"/>
        <v>0.76076388888888891</v>
      </c>
    </row>
    <row r="38" spans="1:12" x14ac:dyDescent="0.55000000000000004">
      <c r="A38" t="s">
        <v>128</v>
      </c>
      <c r="B38">
        <v>136</v>
      </c>
      <c r="C38">
        <v>677.02080999999998</v>
      </c>
      <c r="D38">
        <v>633</v>
      </c>
      <c r="E38">
        <v>12.020949999999999</v>
      </c>
      <c r="F38" t="s">
        <v>127</v>
      </c>
      <c r="G38">
        <v>125</v>
      </c>
      <c r="H38" t="s">
        <v>12</v>
      </c>
      <c r="I38">
        <f ca="1">B38-VLOOKUP(H38,INDIRECT("フレーム変換表!A$1:B$" &amp; フレーム変換表!$D$1),2,FALSE)*2</f>
        <v>44</v>
      </c>
      <c r="J38" t="str">
        <f ca="1">VLOOKUP(F38,INDIRECT("球種変換表!A$1:B$" &amp; 球種変換表!$D$1),2,)</f>
        <v>スライダー</v>
      </c>
      <c r="K38">
        <f t="shared" si="0"/>
        <v>8.0000000000000002E-3</v>
      </c>
      <c r="L38">
        <f t="shared" ca="1" si="1"/>
        <v>0.7104166666666667</v>
      </c>
    </row>
    <row r="39" spans="1:12" x14ac:dyDescent="0.55000000000000004">
      <c r="A39" t="s">
        <v>129</v>
      </c>
      <c r="B39">
        <v>135</v>
      </c>
      <c r="C39">
        <v>669.5</v>
      </c>
      <c r="D39">
        <v>620.5</v>
      </c>
      <c r="E39">
        <v>9.5132499999999993</v>
      </c>
      <c r="F39" t="s">
        <v>127</v>
      </c>
      <c r="G39">
        <v>127</v>
      </c>
      <c r="H39" t="s">
        <v>12</v>
      </c>
      <c r="I39">
        <f ca="1">B39-VLOOKUP(H39,INDIRECT("フレーム変換表!A$1:B$" &amp; フレーム変換表!$D$1),2,FALSE)*2</f>
        <v>43</v>
      </c>
      <c r="J39" t="str">
        <f ca="1">VLOOKUP(F39,INDIRECT("球種変換表!A$1:B$" &amp; 球種変換表!$D$1),2,)</f>
        <v>スライダー</v>
      </c>
      <c r="K39">
        <f t="shared" si="0"/>
        <v>7.874015748031496E-3</v>
      </c>
      <c r="L39">
        <f t="shared" ca="1" si="1"/>
        <v>0.70243055555555556</v>
      </c>
    </row>
    <row r="40" spans="1:12" x14ac:dyDescent="0.55000000000000004">
      <c r="A40" t="s">
        <v>130</v>
      </c>
      <c r="B40">
        <v>135</v>
      </c>
      <c r="C40">
        <v>668</v>
      </c>
      <c r="D40">
        <v>623.5</v>
      </c>
      <c r="E40">
        <v>10.012589999999999</v>
      </c>
      <c r="F40" t="s">
        <v>127</v>
      </c>
      <c r="G40">
        <v>127</v>
      </c>
      <c r="H40" t="s">
        <v>12</v>
      </c>
      <c r="I40">
        <f ca="1">B40-VLOOKUP(H40,INDIRECT("フレーム変換表!A$1:B$" &amp; フレーム変換表!$D$1),2,FALSE)*2</f>
        <v>43</v>
      </c>
      <c r="J40" t="str">
        <f ca="1">VLOOKUP(F40,INDIRECT("球種変換表!A$1:B$" &amp; 球種変換表!$D$1),2,)</f>
        <v>スライダー</v>
      </c>
      <c r="K40">
        <f t="shared" si="0"/>
        <v>7.874015748031496E-3</v>
      </c>
      <c r="L40">
        <f t="shared" ca="1" si="1"/>
        <v>0.70034722222222223</v>
      </c>
    </row>
    <row r="41" spans="1:12" x14ac:dyDescent="0.55000000000000004">
      <c r="A41" t="s">
        <v>131</v>
      </c>
      <c r="B41">
        <v>136</v>
      </c>
      <c r="C41">
        <v>702.5</v>
      </c>
      <c r="D41">
        <v>637.5</v>
      </c>
      <c r="E41">
        <v>3.8079900000000002</v>
      </c>
      <c r="F41" t="s">
        <v>127</v>
      </c>
      <c r="G41">
        <v>126</v>
      </c>
      <c r="H41" t="s">
        <v>12</v>
      </c>
      <c r="I41">
        <f ca="1">B41-VLOOKUP(H41,INDIRECT("フレーム変換表!A$1:B$" &amp; フレーム変換表!$D$1),2,FALSE)*2</f>
        <v>44</v>
      </c>
      <c r="J41" t="str">
        <f ca="1">VLOOKUP(F41,INDIRECT("球種変換表!A$1:B$" &amp; 球種変換表!$D$1),2,)</f>
        <v>スライダー</v>
      </c>
      <c r="K41">
        <f t="shared" si="0"/>
        <v>7.9365079365079361E-3</v>
      </c>
      <c r="L41">
        <f t="shared" ca="1" si="1"/>
        <v>0.70729166666666665</v>
      </c>
    </row>
    <row r="42" spans="1:12" x14ac:dyDescent="0.55000000000000004">
      <c r="A42" t="s">
        <v>132</v>
      </c>
      <c r="B42">
        <v>136</v>
      </c>
      <c r="C42">
        <v>666.5</v>
      </c>
      <c r="D42">
        <v>636</v>
      </c>
      <c r="E42">
        <v>11.5435</v>
      </c>
      <c r="F42" t="s">
        <v>127</v>
      </c>
      <c r="G42">
        <v>126</v>
      </c>
      <c r="H42" t="s">
        <v>12</v>
      </c>
      <c r="I42">
        <f ca="1">B42-VLOOKUP(H42,INDIRECT("フレーム変換表!A$1:B$" &amp; フレーム変換表!$D$1),2,FALSE)*2</f>
        <v>44</v>
      </c>
      <c r="J42" t="str">
        <f ca="1">VLOOKUP(F42,INDIRECT("球種変換表!A$1:B$" &amp; 球種変換表!$D$1),2,)</f>
        <v>スライダー</v>
      </c>
      <c r="K42">
        <f t="shared" si="0"/>
        <v>7.9365079365079361E-3</v>
      </c>
      <c r="L42">
        <f t="shared" ca="1" si="1"/>
        <v>0.70833333333333337</v>
      </c>
    </row>
    <row r="43" spans="1:12" x14ac:dyDescent="0.55000000000000004">
      <c r="A43" t="s">
        <v>133</v>
      </c>
      <c r="B43">
        <v>136</v>
      </c>
      <c r="C43">
        <v>672.5</v>
      </c>
      <c r="D43">
        <v>634</v>
      </c>
      <c r="E43">
        <v>11.5435</v>
      </c>
      <c r="F43" t="s">
        <v>127</v>
      </c>
      <c r="G43">
        <v>116</v>
      </c>
      <c r="H43" t="s">
        <v>12</v>
      </c>
      <c r="I43">
        <f ca="1">B43-VLOOKUP(H43,INDIRECT("フレーム変換表!A$1:B$" &amp; フレーム変換表!$D$1),2,FALSE)*2</f>
        <v>44</v>
      </c>
      <c r="J43" t="str">
        <f ca="1">VLOOKUP(F43,INDIRECT("球種変換表!A$1:B$" &amp; 球種変換表!$D$1),2,)</f>
        <v>スライダー</v>
      </c>
      <c r="K43">
        <f t="shared" si="0"/>
        <v>8.6206896551724137E-3</v>
      </c>
      <c r="L43">
        <f t="shared" ca="1" si="1"/>
        <v>0.70972222222222225</v>
      </c>
    </row>
    <row r="44" spans="1:12" x14ac:dyDescent="0.55000000000000004">
      <c r="A44" t="s">
        <v>134</v>
      </c>
      <c r="B44">
        <v>134</v>
      </c>
      <c r="C44">
        <v>668</v>
      </c>
      <c r="D44">
        <v>606.5</v>
      </c>
      <c r="E44">
        <v>10.012589999999999</v>
      </c>
      <c r="F44" t="s">
        <v>127</v>
      </c>
      <c r="G44">
        <v>128</v>
      </c>
      <c r="H44" t="s">
        <v>12</v>
      </c>
      <c r="I44">
        <f ca="1">B44-VLOOKUP(H44,INDIRECT("フレーム変換表!A$1:B$" &amp; フレーム変換表!$D$1),2,FALSE)*2</f>
        <v>42</v>
      </c>
      <c r="J44" t="str">
        <f ca="1">VLOOKUP(F44,INDIRECT("球種変換表!A$1:B$" &amp; 球種変換表!$D$1),2,)</f>
        <v>スライダー</v>
      </c>
      <c r="K44">
        <f t="shared" si="0"/>
        <v>7.8125E-3</v>
      </c>
      <c r="L44">
        <f t="shared" ca="1" si="1"/>
        <v>0.69548611111111103</v>
      </c>
    </row>
    <row r="45" spans="1:12" x14ac:dyDescent="0.55000000000000004">
      <c r="A45" t="s">
        <v>135</v>
      </c>
      <c r="B45">
        <v>135</v>
      </c>
      <c r="C45">
        <v>678.5</v>
      </c>
      <c r="D45">
        <v>630</v>
      </c>
      <c r="E45">
        <v>10.5001</v>
      </c>
      <c r="F45" t="s">
        <v>127</v>
      </c>
      <c r="G45">
        <v>128</v>
      </c>
      <c r="H45" t="s">
        <v>12</v>
      </c>
      <c r="I45">
        <f ca="1">B45-VLOOKUP(H45,INDIRECT("フレーム変換表!A$1:B$" &amp; フレーム変換表!$D$1),2,FALSE)*2</f>
        <v>43</v>
      </c>
      <c r="J45" t="str">
        <f ca="1">VLOOKUP(F45,INDIRECT("球種変換表!A$1:B$" &amp; 球種変換表!$D$1),2,)</f>
        <v>スライダー</v>
      </c>
      <c r="K45">
        <f t="shared" si="0"/>
        <v>7.8125E-3</v>
      </c>
      <c r="L45">
        <f t="shared" ca="1" si="1"/>
        <v>0.6958333333333333</v>
      </c>
    </row>
    <row r="46" spans="1:12" x14ac:dyDescent="0.55000000000000004">
      <c r="A46" t="s">
        <v>136</v>
      </c>
      <c r="B46">
        <v>134</v>
      </c>
      <c r="C46">
        <v>652.5</v>
      </c>
      <c r="D46">
        <v>603</v>
      </c>
      <c r="E46">
        <v>9.5000999999999998</v>
      </c>
      <c r="F46" t="s">
        <v>127</v>
      </c>
      <c r="G46">
        <v>127</v>
      </c>
      <c r="H46" t="s">
        <v>12</v>
      </c>
      <c r="I46">
        <f ca="1">B46-VLOOKUP(H46,INDIRECT("フレーム変換表!A$1:B$" &amp; フレーム変換表!$D$1),2,FALSE)*2</f>
        <v>42</v>
      </c>
      <c r="J46" t="str">
        <f ca="1">VLOOKUP(F46,INDIRECT("球種変換表!A$1:B$" &amp; 球種変換表!$D$1),2,)</f>
        <v>スライダー</v>
      </c>
      <c r="K46">
        <f t="shared" si="0"/>
        <v>7.874015748031496E-3</v>
      </c>
      <c r="L46">
        <f t="shared" ca="1" si="1"/>
        <v>0.69791666666666663</v>
      </c>
    </row>
    <row r="47" spans="1:12" x14ac:dyDescent="0.55000000000000004">
      <c r="A47" t="s">
        <v>137</v>
      </c>
      <c r="B47">
        <v>135</v>
      </c>
      <c r="C47">
        <v>670.5</v>
      </c>
      <c r="D47">
        <v>617.5</v>
      </c>
      <c r="E47">
        <v>8.5147899999999996</v>
      </c>
      <c r="F47" t="s">
        <v>127</v>
      </c>
      <c r="G47">
        <v>126</v>
      </c>
      <c r="H47" t="s">
        <v>12</v>
      </c>
      <c r="I47">
        <f ca="1">B47-VLOOKUP(H47,INDIRECT("フレーム変換表!A$1:B$" &amp; フレーム変換表!$D$1),2,FALSE)*2</f>
        <v>43</v>
      </c>
      <c r="J47" t="str">
        <f ca="1">VLOOKUP(F47,INDIRECT("球種変換表!A$1:B$" &amp; 球種変換表!$D$1),2,)</f>
        <v>スライダー</v>
      </c>
      <c r="K47">
        <f t="shared" si="0"/>
        <v>7.9365079365079361E-3</v>
      </c>
      <c r="L47">
        <f t="shared" ca="1" si="1"/>
        <v>0.70451388888888888</v>
      </c>
    </row>
    <row r="48" spans="1:12" x14ac:dyDescent="0.55000000000000004">
      <c r="A48" t="s">
        <v>139</v>
      </c>
      <c r="B48">
        <v>133</v>
      </c>
      <c r="C48">
        <v>610.5</v>
      </c>
      <c r="D48">
        <v>604</v>
      </c>
      <c r="E48">
        <v>10.5001</v>
      </c>
      <c r="F48" t="s">
        <v>138</v>
      </c>
      <c r="G48">
        <v>131</v>
      </c>
      <c r="H48" t="s">
        <v>12</v>
      </c>
      <c r="I48">
        <f ca="1">B48-VLOOKUP(H48,INDIRECT("フレーム変換表!A$1:B$" &amp; フレーム変換表!$D$1),2,FALSE)*2</f>
        <v>41</v>
      </c>
      <c r="J48" t="str">
        <f ca="1">VLOOKUP(F48,INDIRECT("球種変換表!A$1:B$" &amp; 球種変換表!$D$1),2,)</f>
        <v>シュート</v>
      </c>
      <c r="K48">
        <f t="shared" si="0"/>
        <v>7.6335877862595417E-3</v>
      </c>
      <c r="L48">
        <f t="shared" ca="1" si="1"/>
        <v>0.68055555555555558</v>
      </c>
    </row>
    <row r="49" spans="1:12" x14ac:dyDescent="0.55000000000000004">
      <c r="A49" t="s">
        <v>140</v>
      </c>
      <c r="B49">
        <v>133</v>
      </c>
      <c r="C49">
        <v>612.5</v>
      </c>
      <c r="D49">
        <v>601.5</v>
      </c>
      <c r="E49">
        <v>9.5132499999999993</v>
      </c>
      <c r="F49" t="s">
        <v>138</v>
      </c>
      <c r="G49">
        <v>130</v>
      </c>
      <c r="H49" t="s">
        <v>12</v>
      </c>
      <c r="I49">
        <f ca="1">B49-VLOOKUP(H49,INDIRECT("フレーム変換表!A$1:B$" &amp; フレーム変換表!$D$1),2,FALSE)*2</f>
        <v>41</v>
      </c>
      <c r="J49" t="str">
        <f ca="1">VLOOKUP(F49,INDIRECT("球種変換表!A$1:B$" &amp; 球種変換表!$D$1),2,)</f>
        <v>シュート</v>
      </c>
      <c r="K49">
        <f t="shared" si="0"/>
        <v>7.6923076923076927E-3</v>
      </c>
      <c r="L49">
        <f t="shared" ca="1" si="1"/>
        <v>0.68229166666666663</v>
      </c>
    </row>
    <row r="50" spans="1:12" x14ac:dyDescent="0.55000000000000004">
      <c r="A50" t="s">
        <v>141</v>
      </c>
      <c r="B50">
        <v>134</v>
      </c>
      <c r="C50">
        <v>623.5</v>
      </c>
      <c r="D50">
        <v>623.5</v>
      </c>
      <c r="E50">
        <v>10.512</v>
      </c>
      <c r="F50" t="s">
        <v>138</v>
      </c>
      <c r="G50">
        <v>131</v>
      </c>
      <c r="H50" t="s">
        <v>12</v>
      </c>
      <c r="I50">
        <f ca="1">B50-VLOOKUP(H50,INDIRECT("フレーム変換表!A$1:B$" &amp; フレーム変換表!$D$1),2,FALSE)*2</f>
        <v>42</v>
      </c>
      <c r="J50" t="str">
        <f ca="1">VLOOKUP(F50,INDIRECT("球種変換表!A$1:B$" &amp; 球種変換表!$D$1),2,)</f>
        <v>シュート</v>
      </c>
      <c r="K50">
        <f t="shared" si="0"/>
        <v>7.6335877862595417E-3</v>
      </c>
      <c r="L50">
        <f t="shared" ca="1" si="1"/>
        <v>0.68368055555555562</v>
      </c>
    </row>
    <row r="51" spans="1:12" x14ac:dyDescent="0.55000000000000004">
      <c r="A51" t="s">
        <v>142</v>
      </c>
      <c r="B51">
        <v>134</v>
      </c>
      <c r="C51">
        <v>617</v>
      </c>
      <c r="D51">
        <v>612.5</v>
      </c>
      <c r="E51">
        <v>10.012589999999999</v>
      </c>
      <c r="F51" t="s">
        <v>138</v>
      </c>
      <c r="G51">
        <v>129</v>
      </c>
      <c r="H51" t="s">
        <v>12</v>
      </c>
      <c r="I51">
        <f ca="1">B51-VLOOKUP(H51,INDIRECT("フレーム変換表!A$1:B$" &amp; フレーム変換表!$D$1),2,FALSE)*2</f>
        <v>42</v>
      </c>
      <c r="J51" t="str">
        <f ca="1">VLOOKUP(F51,INDIRECT("球種変換表!A$1:B$" &amp; 球種変換表!$D$1),2,)</f>
        <v>シュート</v>
      </c>
      <c r="K51">
        <f t="shared" si="0"/>
        <v>7.7519379844961239E-3</v>
      </c>
      <c r="L51">
        <f t="shared" ca="1" si="1"/>
        <v>0.69131944444444438</v>
      </c>
    </row>
    <row r="52" spans="1:12" x14ac:dyDescent="0.55000000000000004">
      <c r="A52" t="s">
        <v>143</v>
      </c>
      <c r="B52">
        <v>133</v>
      </c>
      <c r="C52">
        <v>610.5</v>
      </c>
      <c r="D52">
        <v>600.5</v>
      </c>
      <c r="E52">
        <v>9.5132499999999993</v>
      </c>
      <c r="F52" t="s">
        <v>138</v>
      </c>
      <c r="G52">
        <v>134</v>
      </c>
      <c r="H52" t="s">
        <v>12</v>
      </c>
      <c r="I52">
        <f ca="1">B52-VLOOKUP(H52,INDIRECT("フレーム変換表!A$1:B$" &amp; フレーム変換表!$D$1),2,FALSE)*2</f>
        <v>41</v>
      </c>
      <c r="J52" t="str">
        <f ca="1">VLOOKUP(F52,INDIRECT("球種変換表!A$1:B$" &amp; 球種変換表!$D$1),2,)</f>
        <v>シュート</v>
      </c>
      <c r="K52">
        <f t="shared" si="0"/>
        <v>7.462686567164179E-3</v>
      </c>
      <c r="L52">
        <f t="shared" ca="1" si="1"/>
        <v>0.68298611111111107</v>
      </c>
    </row>
    <row r="53" spans="1:12" x14ac:dyDescent="0.55000000000000004">
      <c r="A53" t="s">
        <v>144</v>
      </c>
      <c r="B53">
        <v>134</v>
      </c>
      <c r="C53">
        <v>597.5</v>
      </c>
      <c r="D53">
        <v>626.5</v>
      </c>
      <c r="E53">
        <v>9.5132499999999993</v>
      </c>
      <c r="F53" t="s">
        <v>138</v>
      </c>
      <c r="G53">
        <v>132</v>
      </c>
      <c r="H53" t="s">
        <v>12</v>
      </c>
      <c r="I53">
        <f ca="1">B53-VLOOKUP(H53,INDIRECT("フレーム変換表!A$1:B$" &amp; フレーム変換表!$D$1),2,FALSE)*2</f>
        <v>42</v>
      </c>
      <c r="J53" t="str">
        <f ca="1">VLOOKUP(F53,INDIRECT("球種変換表!A$1:B$" &amp; 球種変換表!$D$1),2,)</f>
        <v>シュート</v>
      </c>
      <c r="K53">
        <f t="shared" si="0"/>
        <v>7.575757575757576E-3</v>
      </c>
      <c r="L53">
        <f t="shared" ca="1" si="1"/>
        <v>0.6815972222222223</v>
      </c>
    </row>
    <row r="54" spans="1:12" x14ac:dyDescent="0.55000000000000004">
      <c r="A54" t="s">
        <v>145</v>
      </c>
      <c r="B54">
        <v>133</v>
      </c>
      <c r="C54">
        <v>619</v>
      </c>
      <c r="D54">
        <v>606</v>
      </c>
      <c r="E54">
        <v>10.0001</v>
      </c>
      <c r="F54" t="s">
        <v>138</v>
      </c>
      <c r="G54">
        <v>131</v>
      </c>
      <c r="H54" t="s">
        <v>12</v>
      </c>
      <c r="I54">
        <f ca="1">B54-VLOOKUP(H54,INDIRECT("フレーム変換表!A$1:B$" &amp; フレーム変換表!$D$1),2,FALSE)*2</f>
        <v>41</v>
      </c>
      <c r="J54" t="str">
        <f ca="1">VLOOKUP(F54,INDIRECT("球種変換表!A$1:B$" &amp; 球種変換表!$D$1),2,)</f>
        <v>シュート</v>
      </c>
      <c r="K54">
        <f t="shared" si="0"/>
        <v>7.6335877862595417E-3</v>
      </c>
      <c r="L54">
        <f t="shared" ca="1" si="1"/>
        <v>0.6791666666666667</v>
      </c>
    </row>
    <row r="55" spans="1:12" x14ac:dyDescent="0.55000000000000004">
      <c r="A55" t="s">
        <v>146</v>
      </c>
      <c r="B55">
        <v>135</v>
      </c>
      <c r="C55">
        <v>613</v>
      </c>
      <c r="D55">
        <v>638.5</v>
      </c>
      <c r="E55">
        <v>12.01051</v>
      </c>
      <c r="F55" t="s">
        <v>138</v>
      </c>
      <c r="G55">
        <v>130</v>
      </c>
      <c r="H55" t="s">
        <v>12</v>
      </c>
      <c r="I55">
        <f ca="1">B55-VLOOKUP(H55,INDIRECT("フレーム変換表!A$1:B$" &amp; フレーム変換表!$D$1),2,FALSE)*2</f>
        <v>43</v>
      </c>
      <c r="J55" t="str">
        <f ca="1">VLOOKUP(F55,INDIRECT("球種変換表!A$1:B$" &amp; 球種変換表!$D$1),2,)</f>
        <v>シュート</v>
      </c>
      <c r="K55">
        <f t="shared" si="0"/>
        <v>7.6923076923076927E-3</v>
      </c>
      <c r="L55">
        <f t="shared" ca="1" si="1"/>
        <v>0.6899305555555556</v>
      </c>
    </row>
    <row r="56" spans="1:12" x14ac:dyDescent="0.55000000000000004">
      <c r="A56" t="s">
        <v>147</v>
      </c>
      <c r="B56">
        <v>134</v>
      </c>
      <c r="C56">
        <v>610</v>
      </c>
      <c r="D56">
        <v>613.5</v>
      </c>
      <c r="E56">
        <v>10.012589999999999</v>
      </c>
      <c r="F56" t="s">
        <v>138</v>
      </c>
      <c r="G56">
        <v>129</v>
      </c>
      <c r="H56" t="s">
        <v>12</v>
      </c>
      <c r="I56">
        <f ca="1">B56-VLOOKUP(H56,INDIRECT("フレーム変換表!A$1:B$" &amp; フレーム変換表!$D$1),2,FALSE)*2</f>
        <v>42</v>
      </c>
      <c r="J56" t="str">
        <f ca="1">VLOOKUP(F56,INDIRECT("球種変換表!A$1:B$" &amp; 球種変換表!$D$1),2,)</f>
        <v>シュート</v>
      </c>
      <c r="K56">
        <f t="shared" si="0"/>
        <v>7.7519379844961239E-3</v>
      </c>
      <c r="L56">
        <f t="shared" ca="1" si="1"/>
        <v>0.69062500000000004</v>
      </c>
    </row>
    <row r="57" spans="1:12" x14ac:dyDescent="0.55000000000000004">
      <c r="A57" t="s">
        <v>148</v>
      </c>
      <c r="B57">
        <v>134</v>
      </c>
      <c r="C57">
        <v>605.95452999999998</v>
      </c>
      <c r="D57">
        <v>631.5</v>
      </c>
      <c r="E57">
        <v>11.05688</v>
      </c>
      <c r="F57" t="s">
        <v>138</v>
      </c>
      <c r="G57">
        <v>132</v>
      </c>
      <c r="H57" t="s">
        <v>12</v>
      </c>
      <c r="I57">
        <f ca="1">B57-VLOOKUP(H57,INDIRECT("フレーム変換表!A$1:B$" &amp; フレーム変換表!$D$1),2,FALSE)*2</f>
        <v>42</v>
      </c>
      <c r="J57" t="str">
        <f ca="1">VLOOKUP(F57,INDIRECT("球種変換表!A$1:B$" &amp; 球種変換表!$D$1),2,)</f>
        <v>シュート</v>
      </c>
      <c r="K57">
        <f t="shared" si="0"/>
        <v>7.575757575757576E-3</v>
      </c>
      <c r="L57">
        <f t="shared" ca="1" si="1"/>
        <v>0.67812499999999998</v>
      </c>
    </row>
    <row r="58" spans="1:12" x14ac:dyDescent="0.55000000000000004">
      <c r="A58" t="s">
        <v>150</v>
      </c>
      <c r="B58">
        <v>130</v>
      </c>
      <c r="C58">
        <v>639</v>
      </c>
      <c r="D58">
        <v>635.5</v>
      </c>
      <c r="E58">
        <v>12.01051</v>
      </c>
      <c r="F58" t="s">
        <v>149</v>
      </c>
      <c r="G58">
        <v>138</v>
      </c>
      <c r="H58" t="s">
        <v>12</v>
      </c>
      <c r="I58">
        <f ca="1">B58-VLOOKUP(H58,INDIRECT("フレーム変換表!A$1:B$" &amp; フレーム変換表!$D$1),2,FALSE)*2</f>
        <v>38</v>
      </c>
      <c r="J58" t="str">
        <f ca="1">VLOOKUP(F58,INDIRECT("球種変換表!A$1:B$" &amp; 球種変換表!$D$1),2,)</f>
        <v>ツーシーム</v>
      </c>
      <c r="K58">
        <f t="shared" si="0"/>
        <v>7.246376811594203E-3</v>
      </c>
      <c r="L58">
        <f t="shared" ca="1" si="1"/>
        <v>0.60868055555555556</v>
      </c>
    </row>
    <row r="59" spans="1:12" x14ac:dyDescent="0.55000000000000004">
      <c r="A59" t="s">
        <v>152</v>
      </c>
      <c r="B59">
        <v>130</v>
      </c>
      <c r="C59">
        <v>639</v>
      </c>
      <c r="D59">
        <v>626</v>
      </c>
      <c r="E59">
        <v>11.0001</v>
      </c>
      <c r="F59" t="s">
        <v>151</v>
      </c>
      <c r="G59">
        <v>136</v>
      </c>
      <c r="H59" t="s">
        <v>12</v>
      </c>
      <c r="I59">
        <f ca="1">B59-VLOOKUP(H59,INDIRECT("フレーム変換表!A$1:B$" &amp; フレーム変換表!$D$1),2,FALSE)*2</f>
        <v>38</v>
      </c>
      <c r="J59" t="str">
        <f ca="1">VLOOKUP(F59,INDIRECT("球種変換表!A$1:B$" &amp; 球種変換表!$D$1),2,)</f>
        <v>ツーシーム</v>
      </c>
      <c r="K59">
        <f t="shared" si="0"/>
        <v>7.3529411764705881E-3</v>
      </c>
      <c r="L59">
        <f t="shared" ca="1" si="1"/>
        <v>0.6152777777777777</v>
      </c>
    </row>
    <row r="60" spans="1:12" x14ac:dyDescent="0.55000000000000004">
      <c r="A60" t="s">
        <v>153</v>
      </c>
      <c r="B60">
        <v>130</v>
      </c>
      <c r="C60">
        <v>647.5</v>
      </c>
      <c r="D60">
        <v>638</v>
      </c>
      <c r="E60">
        <v>11.5435</v>
      </c>
      <c r="F60" t="s">
        <v>151</v>
      </c>
      <c r="G60">
        <v>139</v>
      </c>
      <c r="H60" t="s">
        <v>12</v>
      </c>
      <c r="I60">
        <f ca="1">B60-VLOOKUP(H60,INDIRECT("フレーム変換表!A$1:B$" &amp; フレーム変換表!$D$1),2,FALSE)*2</f>
        <v>38</v>
      </c>
      <c r="J60" t="str">
        <f ca="1">VLOOKUP(F60,INDIRECT("球種変換表!A$1:B$" &amp; 球種変換表!$D$1),2,)</f>
        <v>ツーシーム</v>
      </c>
      <c r="K60">
        <f t="shared" si="0"/>
        <v>7.1942446043165471E-3</v>
      </c>
      <c r="L60">
        <f t="shared" ca="1" si="1"/>
        <v>0.6069444444444444</v>
      </c>
    </row>
    <row r="61" spans="1:12" x14ac:dyDescent="0.55000000000000004">
      <c r="A61" t="s">
        <v>155</v>
      </c>
      <c r="B61">
        <v>130</v>
      </c>
      <c r="C61">
        <v>638.5</v>
      </c>
      <c r="D61">
        <v>630.5</v>
      </c>
      <c r="E61">
        <v>11.510960000000001</v>
      </c>
      <c r="F61" t="s">
        <v>154</v>
      </c>
      <c r="G61">
        <v>137</v>
      </c>
      <c r="H61" t="s">
        <v>12</v>
      </c>
      <c r="I61">
        <f ca="1">B61-VLOOKUP(H61,INDIRECT("フレーム変換表!A$1:B$" &amp; フレーム変換表!$D$1),2,FALSE)*2</f>
        <v>38</v>
      </c>
      <c r="J61" t="e">
        <f ca="1">VLOOKUP(F61,INDIRECT("球種変換表!A$1:B$" &amp; 球種変換表!$D$1),2,)</f>
        <v>#N/A</v>
      </c>
      <c r="K61">
        <f t="shared" si="0"/>
        <v>7.2992700729927005E-3</v>
      </c>
      <c r="L61">
        <f t="shared" ca="1" si="1"/>
        <v>0.61215277777777777</v>
      </c>
    </row>
    <row r="62" spans="1:12" x14ac:dyDescent="0.55000000000000004">
      <c r="A62" t="s">
        <v>156</v>
      </c>
      <c r="B62">
        <v>130</v>
      </c>
      <c r="C62">
        <v>630.97919000000002</v>
      </c>
      <c r="D62">
        <v>639</v>
      </c>
      <c r="E62">
        <v>12.020910000000001</v>
      </c>
      <c r="F62" t="s">
        <v>154</v>
      </c>
      <c r="G62">
        <v>139</v>
      </c>
      <c r="H62" t="s">
        <v>12</v>
      </c>
      <c r="I62">
        <f ca="1">B62-VLOOKUP(H62,INDIRECT("フレーム変換表!A$1:B$" &amp; フレーム変換表!$D$1),2,FALSE)*2</f>
        <v>38</v>
      </c>
      <c r="J62" t="e">
        <f ca="1">VLOOKUP(F62,INDIRECT("球種変換表!A$1:B$" &amp; 球種変換表!$D$1),2,)</f>
        <v>#N/A</v>
      </c>
      <c r="K62">
        <f t="shared" si="0"/>
        <v>7.1942446043165471E-3</v>
      </c>
      <c r="L62">
        <f t="shared" ca="1" si="1"/>
        <v>0.60624999999999996</v>
      </c>
    </row>
    <row r="63" spans="1:12" x14ac:dyDescent="0.55000000000000004">
      <c r="A63" t="s">
        <v>157</v>
      </c>
      <c r="B63">
        <v>130</v>
      </c>
      <c r="C63">
        <v>649.5</v>
      </c>
      <c r="D63">
        <v>635</v>
      </c>
      <c r="E63">
        <v>11.5435</v>
      </c>
      <c r="F63" t="s">
        <v>151</v>
      </c>
      <c r="G63">
        <v>138</v>
      </c>
      <c r="H63" t="s">
        <v>12</v>
      </c>
      <c r="I63">
        <f ca="1">B63-VLOOKUP(H63,INDIRECT("フレーム変換表!A$1:B$" &amp; フレーム変換表!$D$1),2,FALSE)*2</f>
        <v>38</v>
      </c>
      <c r="J63" t="str">
        <f ca="1">VLOOKUP(F63,INDIRECT("球種変換表!A$1:B$" &amp; 球種変換表!$D$1),2,)</f>
        <v>ツーシーム</v>
      </c>
      <c r="K63">
        <f t="shared" si="0"/>
        <v>7.246376811594203E-3</v>
      </c>
      <c r="L63">
        <f t="shared" ca="1" si="1"/>
        <v>0.60902777777777772</v>
      </c>
    </row>
    <row r="64" spans="1:12" x14ac:dyDescent="0.55000000000000004">
      <c r="A64" t="s">
        <v>158</v>
      </c>
      <c r="B64">
        <v>129</v>
      </c>
      <c r="C64">
        <v>630</v>
      </c>
      <c r="D64">
        <v>606.5</v>
      </c>
      <c r="E64">
        <v>10.012589999999999</v>
      </c>
      <c r="F64" t="s">
        <v>151</v>
      </c>
      <c r="G64">
        <v>136</v>
      </c>
      <c r="H64" t="s">
        <v>12</v>
      </c>
      <c r="I64">
        <f ca="1">B64-VLOOKUP(H64,INDIRECT("フレーム変換表!A$1:B$" &amp; フレーム変換表!$D$1),2,FALSE)*2</f>
        <v>37</v>
      </c>
      <c r="J64" t="str">
        <f ca="1">VLOOKUP(F64,INDIRECT("球種変換表!A$1:B$" &amp; 球種変換表!$D$1),2,)</f>
        <v>ツーシーム</v>
      </c>
      <c r="K64">
        <f t="shared" si="0"/>
        <v>7.3529411764705881E-3</v>
      </c>
      <c r="L64">
        <f t="shared" ca="1" si="1"/>
        <v>0.61215277777777777</v>
      </c>
    </row>
    <row r="65" spans="1:12" x14ac:dyDescent="0.55000000000000004">
      <c r="A65" t="s">
        <v>159</v>
      </c>
      <c r="B65">
        <v>129</v>
      </c>
      <c r="C65">
        <v>644.5</v>
      </c>
      <c r="D65">
        <v>603.5</v>
      </c>
      <c r="E65">
        <v>9.5132499999999993</v>
      </c>
      <c r="F65" t="s">
        <v>151</v>
      </c>
      <c r="G65">
        <v>136</v>
      </c>
      <c r="H65" t="s">
        <v>12</v>
      </c>
      <c r="I65">
        <f ca="1">B65-VLOOKUP(H65,INDIRECT("フレーム変換表!A$1:B$" &amp; フレーム変換表!$D$1),2,FALSE)*2</f>
        <v>37</v>
      </c>
      <c r="J65" t="str">
        <f ca="1">VLOOKUP(F65,INDIRECT("球種変換表!A$1:B$" &amp; 球種変換表!$D$1),2,)</f>
        <v>ツーシーム</v>
      </c>
      <c r="K65">
        <f t="shared" si="0"/>
        <v>7.3529411764705881E-3</v>
      </c>
      <c r="L65">
        <f t="shared" ca="1" si="1"/>
        <v>0.61423611111111109</v>
      </c>
    </row>
    <row r="66" spans="1:12" x14ac:dyDescent="0.55000000000000004">
      <c r="A66" t="s">
        <v>160</v>
      </c>
      <c r="B66">
        <v>130</v>
      </c>
      <c r="C66">
        <v>646.97919000000002</v>
      </c>
      <c r="D66">
        <v>634</v>
      </c>
      <c r="E66">
        <v>12.020910000000001</v>
      </c>
      <c r="F66" t="s">
        <v>149</v>
      </c>
      <c r="G66">
        <v>138</v>
      </c>
      <c r="H66" t="s">
        <v>12</v>
      </c>
      <c r="I66">
        <f ca="1">B66-VLOOKUP(H66,INDIRECT("フレーム変換表!A$1:B$" &amp; フレーム変換表!$D$1),2,FALSE)*2</f>
        <v>38</v>
      </c>
      <c r="J66" t="str">
        <f ca="1">VLOOKUP(F66,INDIRECT("球種変換表!A$1:B$" &amp; 球種変換表!$D$1),2,)</f>
        <v>ツーシーム</v>
      </c>
      <c r="K66">
        <f t="shared" si="0"/>
        <v>7.246376811594203E-3</v>
      </c>
      <c r="L66">
        <f t="shared" ca="1" si="1"/>
        <v>0.60972222222222228</v>
      </c>
    </row>
    <row r="67" spans="1:12" x14ac:dyDescent="0.55000000000000004">
      <c r="A67" t="s">
        <v>162</v>
      </c>
      <c r="B67">
        <v>130</v>
      </c>
      <c r="C67">
        <v>637</v>
      </c>
      <c r="D67">
        <v>622.5</v>
      </c>
      <c r="E67">
        <v>10.012589999999999</v>
      </c>
      <c r="F67" t="s">
        <v>161</v>
      </c>
      <c r="G67">
        <v>135</v>
      </c>
      <c r="H67" t="s">
        <v>12</v>
      </c>
      <c r="I67">
        <f ca="1">B67-VLOOKUP(H67,INDIRECT("フレーム変換表!A$1:B$" &amp; フレーム変換表!$D$1),2,FALSE)*2</f>
        <v>38</v>
      </c>
      <c r="J67" t="str">
        <f ca="1">VLOOKUP(F67,INDIRECT("球種変換表!A$1:B$" &amp; 球種変換表!$D$1),2,)</f>
        <v>ツーシーム</v>
      </c>
      <c r="K67">
        <f t="shared" ref="K67:K127" si="2">1/G67</f>
        <v>7.4074074074074077E-3</v>
      </c>
      <c r="L67">
        <f t="shared" ref="L67:L127" ca="1" si="3">(I67-(D67-600)/24)*2/120</f>
        <v>0.6177083333333333</v>
      </c>
    </row>
    <row r="68" spans="1:12" x14ac:dyDescent="0.55000000000000004">
      <c r="A68" t="s">
        <v>164</v>
      </c>
      <c r="B68">
        <v>125</v>
      </c>
      <c r="C68">
        <v>642</v>
      </c>
      <c r="D68">
        <v>630</v>
      </c>
      <c r="E68">
        <v>12.0001</v>
      </c>
      <c r="F68" t="s">
        <v>163</v>
      </c>
      <c r="G68">
        <v>144</v>
      </c>
      <c r="H68" t="s">
        <v>12</v>
      </c>
      <c r="I68">
        <f ca="1">B68-VLOOKUP(H68,INDIRECT("フレーム変換表!A$1:B$" &amp; フレーム変換表!$D$1),2,FALSE)*2</f>
        <v>33</v>
      </c>
      <c r="J68" t="str">
        <f ca="1">VLOOKUP(F68,INDIRECT("球種変換表!A$1:B$" &amp; 球種変換表!$D$1),2,)</f>
        <v>全力ストレート</v>
      </c>
      <c r="K68">
        <f t="shared" si="2"/>
        <v>6.9444444444444441E-3</v>
      </c>
      <c r="L68">
        <f t="shared" ca="1" si="3"/>
        <v>0.52916666666666667</v>
      </c>
    </row>
    <row r="69" spans="1:12" x14ac:dyDescent="0.55000000000000004">
      <c r="A69" t="s">
        <v>165</v>
      </c>
      <c r="B69">
        <v>125</v>
      </c>
      <c r="C69">
        <v>640.5</v>
      </c>
      <c r="D69">
        <v>619.5</v>
      </c>
      <c r="E69">
        <v>9.5132499999999993</v>
      </c>
      <c r="F69" t="s">
        <v>163</v>
      </c>
      <c r="G69">
        <v>139</v>
      </c>
      <c r="H69" t="s">
        <v>12</v>
      </c>
      <c r="I69">
        <f ca="1">B69-VLOOKUP(H69,INDIRECT("フレーム変換表!A$1:B$" &amp; フレーム変換表!$D$1),2,FALSE)*2</f>
        <v>33</v>
      </c>
      <c r="J69" t="str">
        <f ca="1">VLOOKUP(F69,INDIRECT("球種変換表!A$1:B$" &amp; 球種変換表!$D$1),2,)</f>
        <v>全力ストレート</v>
      </c>
      <c r="K69">
        <f t="shared" si="2"/>
        <v>7.1942446043165471E-3</v>
      </c>
      <c r="L69">
        <f t="shared" ca="1" si="3"/>
        <v>0.53645833333333337</v>
      </c>
    </row>
    <row r="70" spans="1:12" x14ac:dyDescent="0.55000000000000004">
      <c r="A70" t="s">
        <v>166</v>
      </c>
      <c r="B70">
        <v>125</v>
      </c>
      <c r="C70">
        <v>644</v>
      </c>
      <c r="D70">
        <v>640.5</v>
      </c>
      <c r="E70">
        <v>12.01051</v>
      </c>
      <c r="F70" t="s">
        <v>163</v>
      </c>
      <c r="G70">
        <v>143</v>
      </c>
      <c r="H70" t="s">
        <v>12</v>
      </c>
      <c r="I70">
        <f ca="1">B70-VLOOKUP(H70,INDIRECT("フレーム変換表!A$1:B$" &amp; フレーム変換表!$D$1),2,FALSE)*2</f>
        <v>33</v>
      </c>
      <c r="J70" t="str">
        <f ca="1">VLOOKUP(F70,INDIRECT("球種変換表!A$1:B$" &amp; 球種変換表!$D$1),2,)</f>
        <v>全力ストレート</v>
      </c>
      <c r="K70">
        <f t="shared" si="2"/>
        <v>6.993006993006993E-3</v>
      </c>
      <c r="L70">
        <f t="shared" ca="1" si="3"/>
        <v>0.52187499999999998</v>
      </c>
    </row>
    <row r="71" spans="1:12" x14ac:dyDescent="0.55000000000000004">
      <c r="A71" t="s">
        <v>167</v>
      </c>
      <c r="B71">
        <v>124</v>
      </c>
      <c r="C71">
        <v>637.5</v>
      </c>
      <c r="D71">
        <v>604.5</v>
      </c>
      <c r="E71">
        <v>9.5132499999999993</v>
      </c>
      <c r="F71" t="s">
        <v>163</v>
      </c>
      <c r="G71">
        <v>140</v>
      </c>
      <c r="H71" t="s">
        <v>12</v>
      </c>
      <c r="I71">
        <f ca="1">B71-VLOOKUP(H71,INDIRECT("フレーム変換表!A$1:B$" &amp; フレーム変換表!$D$1),2,FALSE)*2</f>
        <v>32</v>
      </c>
      <c r="J71" t="str">
        <f ca="1">VLOOKUP(F71,INDIRECT("球種変換表!A$1:B$" &amp; 球種変換表!$D$1),2,)</f>
        <v>全力ストレート</v>
      </c>
      <c r="K71">
        <f t="shared" si="2"/>
        <v>7.1428571428571426E-3</v>
      </c>
      <c r="L71">
        <f t="shared" ca="1" si="3"/>
        <v>0.53020833333333328</v>
      </c>
    </row>
    <row r="72" spans="1:12" hidden="1" x14ac:dyDescent="0.55000000000000004">
      <c r="A72" t="s">
        <v>169</v>
      </c>
      <c r="B72">
        <v>125</v>
      </c>
      <c r="C72">
        <v>644</v>
      </c>
      <c r="D72">
        <v>640.5</v>
      </c>
      <c r="E72">
        <v>12.01051</v>
      </c>
      <c r="F72" t="s">
        <v>163</v>
      </c>
      <c r="G72" t="s">
        <v>168</v>
      </c>
      <c r="H72" t="s">
        <v>12</v>
      </c>
      <c r="I72">
        <f ca="1">B72-VLOOKUP(H72,INDIRECT("フレーム変換表!A$1:B$" &amp; フレーム変換表!$D$1),2,FALSE)*2</f>
        <v>33</v>
      </c>
      <c r="J72" t="str">
        <f ca="1">VLOOKUP(F72,INDIRECT("球種変換表!A$1:B$" &amp; 球種変換表!$D$1),2,)</f>
        <v>全力ストレート</v>
      </c>
      <c r="K72" t="e">
        <f t="shared" si="2"/>
        <v>#VALUE!</v>
      </c>
      <c r="L72">
        <f t="shared" ca="1" si="3"/>
        <v>0.52187499999999998</v>
      </c>
    </row>
    <row r="73" spans="1:12" x14ac:dyDescent="0.55000000000000004">
      <c r="A73" t="s">
        <v>171</v>
      </c>
      <c r="B73">
        <v>124</v>
      </c>
      <c r="C73">
        <v>637.5</v>
      </c>
      <c r="D73">
        <v>601.5</v>
      </c>
      <c r="E73">
        <v>9.5132499999999993</v>
      </c>
      <c r="F73" t="s">
        <v>170</v>
      </c>
      <c r="G73">
        <v>139</v>
      </c>
      <c r="H73" t="s">
        <v>12</v>
      </c>
      <c r="I73">
        <f ca="1">B73-VLOOKUP(H73,INDIRECT("フレーム変換表!A$1:B$" &amp; フレーム変換表!$D$1),2,FALSE)*2</f>
        <v>32</v>
      </c>
      <c r="J73" t="str">
        <f ca="1">VLOOKUP(F73,INDIRECT("球種変換表!A$1:B$" &amp; 球種変換表!$D$1),2,)</f>
        <v>全力ストレート</v>
      </c>
      <c r="K73">
        <f t="shared" si="2"/>
        <v>7.1942446043165471E-3</v>
      </c>
      <c r="L73">
        <f t="shared" ca="1" si="3"/>
        <v>0.53229166666666672</v>
      </c>
    </row>
    <row r="74" spans="1:12" hidden="1" x14ac:dyDescent="0.55000000000000004">
      <c r="A74" t="s">
        <v>173</v>
      </c>
      <c r="B74">
        <v>124</v>
      </c>
      <c r="C74">
        <v>638.5</v>
      </c>
      <c r="D74">
        <v>607.5</v>
      </c>
      <c r="E74">
        <v>9.5132499999999993</v>
      </c>
      <c r="F74" t="s">
        <v>163</v>
      </c>
      <c r="G74" t="s">
        <v>172</v>
      </c>
      <c r="H74" t="s">
        <v>12</v>
      </c>
      <c r="I74">
        <f ca="1">B74-VLOOKUP(H74,INDIRECT("フレーム変換表!A$1:B$" &amp; フレーム変換表!$D$1),2,FALSE)*2</f>
        <v>32</v>
      </c>
      <c r="J74" t="str">
        <f ca="1">VLOOKUP(F74,INDIRECT("球種変換表!A$1:B$" &amp; 球種変換表!$D$1),2,)</f>
        <v>全力ストレート</v>
      </c>
      <c r="K74" t="e">
        <f t="shared" si="2"/>
        <v>#VALUE!</v>
      </c>
      <c r="L74">
        <f t="shared" ca="1" si="3"/>
        <v>0.52812499999999996</v>
      </c>
    </row>
    <row r="75" spans="1:12" x14ac:dyDescent="0.55000000000000004">
      <c r="A75" t="s">
        <v>174</v>
      </c>
      <c r="B75">
        <v>125</v>
      </c>
      <c r="C75">
        <v>643.5</v>
      </c>
      <c r="D75">
        <v>639</v>
      </c>
      <c r="E75">
        <v>11.5435</v>
      </c>
      <c r="F75" t="s">
        <v>163</v>
      </c>
      <c r="G75">
        <v>142</v>
      </c>
      <c r="H75" t="s">
        <v>12</v>
      </c>
      <c r="I75">
        <f ca="1">B75-VLOOKUP(H75,INDIRECT("フレーム変換表!A$1:B$" &amp; フレーム変換表!$D$1),2,FALSE)*2</f>
        <v>33</v>
      </c>
      <c r="J75" t="str">
        <f ca="1">VLOOKUP(F75,INDIRECT("球種変換表!A$1:B$" &amp; 球種変換表!$D$1),2,)</f>
        <v>全力ストレート</v>
      </c>
      <c r="K75">
        <f t="shared" si="2"/>
        <v>7.0422535211267607E-3</v>
      </c>
      <c r="L75">
        <f t="shared" ca="1" si="3"/>
        <v>0.5229166666666667</v>
      </c>
    </row>
    <row r="76" spans="1:12" x14ac:dyDescent="0.55000000000000004">
      <c r="A76" t="s">
        <v>175</v>
      </c>
      <c r="B76">
        <v>125</v>
      </c>
      <c r="C76">
        <v>642</v>
      </c>
      <c r="D76">
        <v>630.5</v>
      </c>
      <c r="E76">
        <v>12.01051</v>
      </c>
      <c r="F76" t="s">
        <v>163</v>
      </c>
      <c r="G76">
        <v>144</v>
      </c>
      <c r="H76" t="s">
        <v>12</v>
      </c>
      <c r="I76">
        <f ca="1">B76-VLOOKUP(H76,INDIRECT("フレーム変換表!A$1:B$" &amp; フレーム変換表!$D$1),2,FALSE)*2</f>
        <v>33</v>
      </c>
      <c r="J76" t="str">
        <f ca="1">VLOOKUP(F76,INDIRECT("球種変換表!A$1:B$" &amp; 球種変換表!$D$1),2,)</f>
        <v>全力ストレート</v>
      </c>
      <c r="K76">
        <f t="shared" si="2"/>
        <v>6.9444444444444441E-3</v>
      </c>
      <c r="L76">
        <f t="shared" ca="1" si="3"/>
        <v>0.52881944444444451</v>
      </c>
    </row>
    <row r="77" spans="1:12" x14ac:dyDescent="0.55000000000000004">
      <c r="A77" t="s">
        <v>176</v>
      </c>
      <c r="B77">
        <v>125</v>
      </c>
      <c r="C77">
        <v>641</v>
      </c>
      <c r="D77">
        <v>618.5</v>
      </c>
      <c r="E77">
        <v>10.012589999999999</v>
      </c>
      <c r="F77" t="s">
        <v>163</v>
      </c>
      <c r="G77">
        <v>135</v>
      </c>
      <c r="H77" t="s">
        <v>12</v>
      </c>
      <c r="I77">
        <f ca="1">B77-VLOOKUP(H77,INDIRECT("フレーム変換表!A$1:B$" &amp; フレーム変換表!$D$1),2,FALSE)*2</f>
        <v>33</v>
      </c>
      <c r="J77" t="str">
        <f ca="1">VLOOKUP(F77,INDIRECT("球種変換表!A$1:B$" &amp; 球種変換表!$D$1),2,)</f>
        <v>全力ストレート</v>
      </c>
      <c r="K77">
        <f t="shared" si="2"/>
        <v>7.4074074074074077E-3</v>
      </c>
      <c r="L77">
        <f t="shared" ca="1" si="3"/>
        <v>0.5371527777777777</v>
      </c>
    </row>
    <row r="78" spans="1:12" x14ac:dyDescent="0.55000000000000004">
      <c r="A78" t="s">
        <v>189</v>
      </c>
      <c r="B78">
        <v>93</v>
      </c>
      <c r="C78">
        <v>637</v>
      </c>
      <c r="D78">
        <v>614.5</v>
      </c>
      <c r="E78">
        <v>10.012589999999999</v>
      </c>
      <c r="F78" t="s">
        <v>14</v>
      </c>
      <c r="G78">
        <v>137</v>
      </c>
      <c r="H78" t="s">
        <v>180</v>
      </c>
      <c r="I78">
        <f ca="1">B78-VLOOKUP(H78,INDIRECT("フレーム変換表!A$1:B$" &amp; フレーム変換表!$D$1),2,FALSE)*2</f>
        <v>35</v>
      </c>
      <c r="J78" t="str">
        <f ca="1">VLOOKUP(F78,INDIRECT("球種変換表!A$1:B$" &amp; 球種変換表!$D$1),2,)</f>
        <v>ストレート</v>
      </c>
      <c r="K78">
        <f t="shared" si="2"/>
        <v>7.2992700729927005E-3</v>
      </c>
      <c r="L78">
        <f t="shared" ca="1" si="3"/>
        <v>0.57326388888888891</v>
      </c>
    </row>
    <row r="79" spans="1:12" x14ac:dyDescent="0.55000000000000004">
      <c r="A79" t="s">
        <v>190</v>
      </c>
      <c r="B79">
        <v>94</v>
      </c>
      <c r="C79">
        <v>645.5</v>
      </c>
      <c r="D79">
        <v>623</v>
      </c>
      <c r="E79">
        <v>10.5001</v>
      </c>
      <c r="F79" t="s">
        <v>14</v>
      </c>
      <c r="G79">
        <v>131</v>
      </c>
      <c r="H79" t="s">
        <v>180</v>
      </c>
      <c r="I79">
        <f ca="1">B79-VLOOKUP(H79,INDIRECT("フレーム変換表!A$1:B$" &amp; フレーム変換表!$D$1),2,FALSE)*2</f>
        <v>36</v>
      </c>
      <c r="J79" t="str">
        <f ca="1">VLOOKUP(F79,INDIRECT("球種変換表!A$1:B$" &amp; 球種変換表!$D$1),2,)</f>
        <v>ストレート</v>
      </c>
      <c r="K79">
        <f t="shared" si="2"/>
        <v>7.6335877862595417E-3</v>
      </c>
      <c r="L79">
        <f t="shared" ca="1" si="3"/>
        <v>0.5840277777777777</v>
      </c>
    </row>
    <row r="80" spans="1:12" x14ac:dyDescent="0.55000000000000004">
      <c r="A80" t="s">
        <v>191</v>
      </c>
      <c r="B80">
        <v>93</v>
      </c>
      <c r="C80">
        <v>642.5</v>
      </c>
      <c r="D80">
        <v>602</v>
      </c>
      <c r="E80">
        <v>10.5001</v>
      </c>
      <c r="F80" t="s">
        <v>14</v>
      </c>
      <c r="G80">
        <v>135</v>
      </c>
      <c r="H80" t="s">
        <v>180</v>
      </c>
      <c r="I80">
        <f ca="1">B80-VLOOKUP(H80,INDIRECT("フレーム変換表!A$1:B$" &amp; フレーム変換表!$D$1),2,FALSE)*2</f>
        <v>35</v>
      </c>
      <c r="J80" t="str">
        <f ca="1">VLOOKUP(F80,INDIRECT("球種変換表!A$1:B$" &amp; 球種変換表!$D$1),2,)</f>
        <v>ストレート</v>
      </c>
      <c r="K80">
        <f t="shared" si="2"/>
        <v>7.4074074074074077E-3</v>
      </c>
      <c r="L80">
        <f t="shared" ca="1" si="3"/>
        <v>0.58194444444444438</v>
      </c>
    </row>
    <row r="81" spans="1:12" x14ac:dyDescent="0.55000000000000004">
      <c r="A81" t="s">
        <v>192</v>
      </c>
      <c r="B81">
        <v>94</v>
      </c>
      <c r="C81">
        <v>638.5</v>
      </c>
      <c r="D81">
        <v>618</v>
      </c>
      <c r="E81">
        <v>10.5001</v>
      </c>
      <c r="F81" t="s">
        <v>14</v>
      </c>
      <c r="G81">
        <v>138</v>
      </c>
      <c r="H81" t="s">
        <v>180</v>
      </c>
      <c r="I81">
        <f ca="1">B81-VLOOKUP(H81,INDIRECT("フレーム変換表!A$1:B$" &amp; フレーム変換表!$D$1),2,FALSE)*2</f>
        <v>36</v>
      </c>
      <c r="J81" t="str">
        <f ca="1">VLOOKUP(F81,INDIRECT("球種変換表!A$1:B$" &amp; 球種変換表!$D$1),2,)</f>
        <v>ストレート</v>
      </c>
      <c r="K81">
        <f t="shared" si="2"/>
        <v>7.246376811594203E-3</v>
      </c>
      <c r="L81">
        <f t="shared" ca="1" si="3"/>
        <v>0.58750000000000002</v>
      </c>
    </row>
    <row r="82" spans="1:12" x14ac:dyDescent="0.55000000000000004">
      <c r="A82" t="s">
        <v>193</v>
      </c>
      <c r="B82">
        <v>94</v>
      </c>
      <c r="C82">
        <v>644</v>
      </c>
      <c r="D82">
        <v>626</v>
      </c>
      <c r="E82">
        <v>10.0001</v>
      </c>
      <c r="F82" t="s">
        <v>14</v>
      </c>
      <c r="G82">
        <v>140</v>
      </c>
      <c r="H82" t="s">
        <v>180</v>
      </c>
      <c r="I82">
        <f ca="1">B82-VLOOKUP(H82,INDIRECT("フレーム変換表!A$1:B$" &amp; フレーム変換表!$D$1),2,FALSE)*2</f>
        <v>36</v>
      </c>
      <c r="J82" t="str">
        <f ca="1">VLOOKUP(F82,INDIRECT("球種変換表!A$1:B$" &amp; 球種変換表!$D$1),2,)</f>
        <v>ストレート</v>
      </c>
      <c r="K82">
        <f t="shared" si="2"/>
        <v>7.1428571428571426E-3</v>
      </c>
      <c r="L82">
        <f t="shared" ca="1" si="3"/>
        <v>0.58194444444444438</v>
      </c>
    </row>
    <row r="83" spans="1:12" x14ac:dyDescent="0.55000000000000004">
      <c r="A83" t="s">
        <v>194</v>
      </c>
      <c r="B83">
        <v>95</v>
      </c>
      <c r="C83">
        <v>632.5</v>
      </c>
      <c r="D83">
        <v>634.5</v>
      </c>
      <c r="E83">
        <v>11.510960000000001</v>
      </c>
      <c r="F83" t="s">
        <v>14</v>
      </c>
      <c r="G83">
        <v>137</v>
      </c>
      <c r="H83" t="s">
        <v>180</v>
      </c>
      <c r="I83">
        <f ca="1">B83-VLOOKUP(H83,INDIRECT("フレーム変換表!A$1:B$" &amp; フレーム変換表!$D$1),2,FALSE)*2</f>
        <v>37</v>
      </c>
      <c r="J83" t="str">
        <f ca="1">VLOOKUP(F83,INDIRECT("球種変換表!A$1:B$" &amp; 球種変換表!$D$1),2,)</f>
        <v>ストレート</v>
      </c>
      <c r="K83">
        <f t="shared" si="2"/>
        <v>7.2992700729927005E-3</v>
      </c>
      <c r="L83">
        <f t="shared" ca="1" si="3"/>
        <v>0.59270833333333328</v>
      </c>
    </row>
    <row r="84" spans="1:12" x14ac:dyDescent="0.55000000000000004">
      <c r="A84" t="s">
        <v>195</v>
      </c>
      <c r="B84">
        <v>95</v>
      </c>
      <c r="C84">
        <v>643.5</v>
      </c>
      <c r="D84">
        <v>639</v>
      </c>
      <c r="E84">
        <v>11.5435</v>
      </c>
      <c r="F84" t="s">
        <v>14</v>
      </c>
      <c r="G84">
        <v>138</v>
      </c>
      <c r="H84" t="s">
        <v>180</v>
      </c>
      <c r="I84">
        <f ca="1">B84-VLOOKUP(H84,INDIRECT("フレーム変換表!A$1:B$" &amp; フレーム変換表!$D$1),2,FALSE)*2</f>
        <v>37</v>
      </c>
      <c r="J84" t="str">
        <f ca="1">VLOOKUP(F84,INDIRECT("球種変換表!A$1:B$" &amp; 球種変換表!$D$1),2,)</f>
        <v>ストレート</v>
      </c>
      <c r="K84">
        <f t="shared" si="2"/>
        <v>7.246376811594203E-3</v>
      </c>
      <c r="L84">
        <f t="shared" ca="1" si="3"/>
        <v>0.58958333333333335</v>
      </c>
    </row>
    <row r="85" spans="1:12" x14ac:dyDescent="0.55000000000000004">
      <c r="A85" t="s">
        <v>196</v>
      </c>
      <c r="B85">
        <v>94</v>
      </c>
      <c r="C85">
        <v>646.5</v>
      </c>
      <c r="D85">
        <v>626</v>
      </c>
      <c r="E85">
        <v>10.5001</v>
      </c>
      <c r="F85" t="s">
        <v>14</v>
      </c>
      <c r="G85">
        <v>140</v>
      </c>
      <c r="H85" t="s">
        <v>180</v>
      </c>
      <c r="I85">
        <f ca="1">B85-VLOOKUP(H85,INDIRECT("フレーム変換表!A$1:B$" &amp; フレーム変換表!$D$1),2,FALSE)*2</f>
        <v>36</v>
      </c>
      <c r="J85" t="str">
        <f ca="1">VLOOKUP(F85,INDIRECT("球種変換表!A$1:B$" &amp; 球種変換表!$D$1),2,)</f>
        <v>ストレート</v>
      </c>
      <c r="K85">
        <f t="shared" si="2"/>
        <v>7.1428571428571426E-3</v>
      </c>
      <c r="L85">
        <f t="shared" ca="1" si="3"/>
        <v>0.58194444444444438</v>
      </c>
    </row>
    <row r="86" spans="1:12" x14ac:dyDescent="0.55000000000000004">
      <c r="A86" t="s">
        <v>197</v>
      </c>
      <c r="B86">
        <v>95</v>
      </c>
      <c r="C86">
        <v>637</v>
      </c>
      <c r="D86">
        <v>642</v>
      </c>
      <c r="E86">
        <v>12.041689999999999</v>
      </c>
      <c r="F86" t="s">
        <v>14</v>
      </c>
      <c r="G86">
        <v>138</v>
      </c>
      <c r="H86" t="s">
        <v>180</v>
      </c>
      <c r="I86">
        <f ca="1">B86-VLOOKUP(H86,INDIRECT("フレーム変換表!A$1:B$" &amp; フレーム変換表!$D$1),2,FALSE)*2</f>
        <v>37</v>
      </c>
      <c r="J86" t="str">
        <f ca="1">VLOOKUP(F86,INDIRECT("球種変換表!A$1:B$" &amp; 球種変換表!$D$1),2,)</f>
        <v>ストレート</v>
      </c>
      <c r="K86">
        <f t="shared" si="2"/>
        <v>7.246376811594203E-3</v>
      </c>
      <c r="L86">
        <f t="shared" ca="1" si="3"/>
        <v>0.58750000000000002</v>
      </c>
    </row>
    <row r="87" spans="1:12" x14ac:dyDescent="0.55000000000000004">
      <c r="A87" t="s">
        <v>198</v>
      </c>
      <c r="B87">
        <v>95</v>
      </c>
      <c r="C87">
        <v>637</v>
      </c>
      <c r="D87">
        <v>643</v>
      </c>
      <c r="E87">
        <v>12.041689999999999</v>
      </c>
      <c r="F87" t="s">
        <v>14</v>
      </c>
      <c r="G87">
        <v>138</v>
      </c>
      <c r="H87" t="s">
        <v>180</v>
      </c>
      <c r="I87">
        <f ca="1">B87-VLOOKUP(H87,INDIRECT("フレーム変換表!A$1:B$" &amp; フレーム変換表!$D$1),2,FALSE)*2</f>
        <v>37</v>
      </c>
      <c r="J87" t="str">
        <f ca="1">VLOOKUP(F87,INDIRECT("球種変換表!A$1:B$" &amp; 球種変換表!$D$1),2,)</f>
        <v>ストレート</v>
      </c>
      <c r="K87">
        <f t="shared" si="2"/>
        <v>7.246376811594203E-3</v>
      </c>
      <c r="L87">
        <f t="shared" ca="1" si="3"/>
        <v>0.58680555555555558</v>
      </c>
    </row>
    <row r="88" spans="1:12" x14ac:dyDescent="0.55000000000000004">
      <c r="A88" t="s">
        <v>199</v>
      </c>
      <c r="B88">
        <v>91</v>
      </c>
      <c r="C88">
        <v>641.02080999999998</v>
      </c>
      <c r="D88">
        <v>641</v>
      </c>
      <c r="E88">
        <v>12.020949999999999</v>
      </c>
      <c r="F88" t="s">
        <v>163</v>
      </c>
      <c r="G88">
        <v>137</v>
      </c>
      <c r="H88" t="s">
        <v>180</v>
      </c>
      <c r="I88">
        <f ca="1">B88-VLOOKUP(H88,INDIRECT("フレーム変換表!A$1:B$" &amp; フレーム変換表!$D$1),2,FALSE)*2</f>
        <v>33</v>
      </c>
      <c r="J88" t="str">
        <f ca="1">VLOOKUP(F88,INDIRECT("球種変換表!A$1:B$" &amp; 球種変換表!$D$1),2,)</f>
        <v>全力ストレート</v>
      </c>
      <c r="K88">
        <f t="shared" si="2"/>
        <v>7.2992700729927005E-3</v>
      </c>
      <c r="L88">
        <f t="shared" ca="1" si="3"/>
        <v>0.52152777777777781</v>
      </c>
    </row>
    <row r="89" spans="1:12" x14ac:dyDescent="0.55000000000000004">
      <c r="A89" t="s">
        <v>200</v>
      </c>
      <c r="B89">
        <v>91</v>
      </c>
      <c r="C89">
        <v>641</v>
      </c>
      <c r="D89">
        <v>642</v>
      </c>
      <c r="E89">
        <v>12.041689999999999</v>
      </c>
      <c r="F89" t="s">
        <v>163</v>
      </c>
      <c r="G89">
        <v>137</v>
      </c>
      <c r="H89" t="s">
        <v>180</v>
      </c>
      <c r="I89">
        <f ca="1">B89-VLOOKUP(H89,INDIRECT("フレーム変換表!A$1:B$" &amp; フレーム変換表!$D$1),2,FALSE)*2</f>
        <v>33</v>
      </c>
      <c r="J89" t="str">
        <f ca="1">VLOOKUP(F89,INDIRECT("球種変換表!A$1:B$" &amp; 球種変換表!$D$1),2,)</f>
        <v>全力ストレート</v>
      </c>
      <c r="K89">
        <f t="shared" si="2"/>
        <v>7.2992700729927005E-3</v>
      </c>
      <c r="L89">
        <f t="shared" ca="1" si="3"/>
        <v>0.52083333333333337</v>
      </c>
    </row>
    <row r="90" spans="1:12" x14ac:dyDescent="0.55000000000000004">
      <c r="A90" t="s">
        <v>201</v>
      </c>
      <c r="B90">
        <v>90</v>
      </c>
      <c r="C90">
        <v>642</v>
      </c>
      <c r="D90">
        <v>613.5</v>
      </c>
      <c r="E90">
        <v>10.012589999999999</v>
      </c>
      <c r="F90" t="s">
        <v>163</v>
      </c>
      <c r="G90">
        <v>137</v>
      </c>
      <c r="H90" t="s">
        <v>180</v>
      </c>
      <c r="I90">
        <f ca="1">B90-VLOOKUP(H90,INDIRECT("フレーム変換表!A$1:B$" &amp; フレーム変換表!$D$1),2,FALSE)*2</f>
        <v>32</v>
      </c>
      <c r="J90" t="str">
        <f ca="1">VLOOKUP(F90,INDIRECT("球種変換表!A$1:B$" &amp; 球種変換表!$D$1),2,)</f>
        <v>全力ストレート</v>
      </c>
      <c r="K90">
        <f t="shared" si="2"/>
        <v>7.2992700729927005E-3</v>
      </c>
      <c r="L90">
        <f t="shared" ca="1" si="3"/>
        <v>0.5239583333333333</v>
      </c>
    </row>
    <row r="91" spans="1:12" x14ac:dyDescent="0.55000000000000004">
      <c r="A91" t="s">
        <v>202</v>
      </c>
      <c r="B91">
        <v>91</v>
      </c>
      <c r="C91">
        <v>641</v>
      </c>
      <c r="D91">
        <v>644</v>
      </c>
      <c r="E91">
        <v>12.0001</v>
      </c>
      <c r="F91" t="s">
        <v>163</v>
      </c>
      <c r="G91">
        <v>138</v>
      </c>
      <c r="H91" t="s">
        <v>180</v>
      </c>
      <c r="I91">
        <f ca="1">B91-VLOOKUP(H91,INDIRECT("フレーム変換表!A$1:B$" &amp; フレーム変換表!$D$1),2,FALSE)*2</f>
        <v>33</v>
      </c>
      <c r="J91" t="str">
        <f ca="1">VLOOKUP(F91,INDIRECT("球種変換表!A$1:B$" &amp; 球種変換表!$D$1),2,)</f>
        <v>全力ストレート</v>
      </c>
      <c r="K91">
        <f t="shared" si="2"/>
        <v>7.246376811594203E-3</v>
      </c>
      <c r="L91">
        <f t="shared" ca="1" si="3"/>
        <v>0.51944444444444449</v>
      </c>
    </row>
    <row r="92" spans="1:12" x14ac:dyDescent="0.55000000000000004">
      <c r="A92" t="s">
        <v>203</v>
      </c>
      <c r="B92">
        <v>90</v>
      </c>
      <c r="C92">
        <v>642</v>
      </c>
      <c r="D92">
        <v>632.5</v>
      </c>
      <c r="E92">
        <v>12.01051</v>
      </c>
      <c r="F92" t="s">
        <v>163</v>
      </c>
      <c r="G92">
        <v>141</v>
      </c>
      <c r="H92" t="s">
        <v>180</v>
      </c>
      <c r="I92">
        <f ca="1">B92-VLOOKUP(H92,INDIRECT("フレーム変換表!A$1:B$" &amp; フレーム変換表!$D$1),2,FALSE)*2</f>
        <v>32</v>
      </c>
      <c r="J92" t="str">
        <f ca="1">VLOOKUP(F92,INDIRECT("球種変換表!A$1:B$" &amp; 球種変換表!$D$1),2,)</f>
        <v>全力ストレート</v>
      </c>
      <c r="K92">
        <f t="shared" si="2"/>
        <v>7.0921985815602835E-3</v>
      </c>
      <c r="L92">
        <f t="shared" ca="1" si="3"/>
        <v>0.51076388888888891</v>
      </c>
    </row>
    <row r="93" spans="1:12" x14ac:dyDescent="0.55000000000000004">
      <c r="A93" t="s">
        <v>204</v>
      </c>
      <c r="B93">
        <v>90</v>
      </c>
      <c r="C93">
        <v>642</v>
      </c>
      <c r="D93">
        <v>616.5</v>
      </c>
      <c r="E93">
        <v>10.012589999999999</v>
      </c>
      <c r="F93" t="s">
        <v>163</v>
      </c>
      <c r="G93">
        <v>138</v>
      </c>
      <c r="H93" t="s">
        <v>180</v>
      </c>
      <c r="I93">
        <f ca="1">B93-VLOOKUP(H93,INDIRECT("フレーム変換表!A$1:B$" &amp; フレーム変換表!$D$1),2,FALSE)*2</f>
        <v>32</v>
      </c>
      <c r="J93" t="str">
        <f ca="1">VLOOKUP(F93,INDIRECT("球種変換表!A$1:B$" &amp; 球種変換表!$D$1),2,)</f>
        <v>全力ストレート</v>
      </c>
      <c r="K93">
        <f t="shared" si="2"/>
        <v>7.246376811594203E-3</v>
      </c>
      <c r="L93">
        <f t="shared" ca="1" si="3"/>
        <v>0.52187499999999998</v>
      </c>
    </row>
    <row r="94" spans="1:12" x14ac:dyDescent="0.55000000000000004">
      <c r="A94" t="s">
        <v>205</v>
      </c>
      <c r="B94">
        <v>90</v>
      </c>
      <c r="C94">
        <v>642</v>
      </c>
      <c r="D94">
        <v>618.5</v>
      </c>
      <c r="E94">
        <v>10.012589999999999</v>
      </c>
      <c r="F94" t="s">
        <v>163</v>
      </c>
      <c r="G94">
        <v>139</v>
      </c>
      <c r="H94" t="s">
        <v>180</v>
      </c>
      <c r="I94">
        <f ca="1">B94-VLOOKUP(H94,INDIRECT("フレーム変換表!A$1:B$" &amp; フレーム変換表!$D$1),2,FALSE)*2</f>
        <v>32</v>
      </c>
      <c r="J94" t="str">
        <f ca="1">VLOOKUP(F94,INDIRECT("球種変換表!A$1:B$" &amp; 球種変換表!$D$1),2,)</f>
        <v>全力ストレート</v>
      </c>
      <c r="K94">
        <f t="shared" si="2"/>
        <v>7.1942446043165471E-3</v>
      </c>
      <c r="L94">
        <f t="shared" ca="1" si="3"/>
        <v>0.52048611111111109</v>
      </c>
    </row>
    <row r="95" spans="1:12" x14ac:dyDescent="0.55000000000000004">
      <c r="A95" t="s">
        <v>206</v>
      </c>
      <c r="B95">
        <v>90</v>
      </c>
      <c r="C95">
        <v>642</v>
      </c>
      <c r="D95">
        <v>613.5</v>
      </c>
      <c r="E95">
        <v>10.012589999999999</v>
      </c>
      <c r="F95" t="s">
        <v>163</v>
      </c>
      <c r="G95">
        <v>137</v>
      </c>
      <c r="H95" t="s">
        <v>180</v>
      </c>
      <c r="I95">
        <f ca="1">B95-VLOOKUP(H95,INDIRECT("フレーム変換表!A$1:B$" &amp; フレーム変換表!$D$1),2,FALSE)*2</f>
        <v>32</v>
      </c>
      <c r="J95" t="str">
        <f ca="1">VLOOKUP(F95,INDIRECT("球種変換表!A$1:B$" &amp; 球種変換表!$D$1),2,)</f>
        <v>全力ストレート</v>
      </c>
      <c r="K95">
        <f t="shared" si="2"/>
        <v>7.2992700729927005E-3</v>
      </c>
      <c r="L95">
        <f t="shared" ca="1" si="3"/>
        <v>0.5239583333333333</v>
      </c>
    </row>
    <row r="96" spans="1:12" x14ac:dyDescent="0.55000000000000004">
      <c r="A96" t="s">
        <v>207</v>
      </c>
      <c r="B96">
        <v>91</v>
      </c>
      <c r="C96">
        <v>641</v>
      </c>
      <c r="D96">
        <v>643.5</v>
      </c>
      <c r="E96">
        <v>12.01051</v>
      </c>
      <c r="F96" t="s">
        <v>163</v>
      </c>
      <c r="G96">
        <v>138</v>
      </c>
      <c r="H96" t="s">
        <v>180</v>
      </c>
      <c r="I96">
        <f ca="1">B96-VLOOKUP(H96,INDIRECT("フレーム変換表!A$1:B$" &amp; フレーム変換表!$D$1),2,FALSE)*2</f>
        <v>33</v>
      </c>
      <c r="J96" t="str">
        <f ca="1">VLOOKUP(F96,INDIRECT("球種変換表!A$1:B$" &amp; 球種変換表!$D$1),2,)</f>
        <v>全力ストレート</v>
      </c>
      <c r="K96">
        <f t="shared" si="2"/>
        <v>7.246376811594203E-3</v>
      </c>
      <c r="L96">
        <f t="shared" ca="1" si="3"/>
        <v>0.51979166666666665</v>
      </c>
    </row>
    <row r="97" spans="1:12" x14ac:dyDescent="0.55000000000000004">
      <c r="A97" t="s">
        <v>208</v>
      </c>
      <c r="B97">
        <v>90</v>
      </c>
      <c r="C97">
        <v>641.5</v>
      </c>
      <c r="D97">
        <v>633</v>
      </c>
      <c r="E97">
        <v>11.5435</v>
      </c>
      <c r="F97" t="s">
        <v>170</v>
      </c>
      <c r="G97">
        <v>141</v>
      </c>
      <c r="H97" t="s">
        <v>180</v>
      </c>
      <c r="I97">
        <f ca="1">B97-VLOOKUP(H97,INDIRECT("フレーム変換表!A$1:B$" &amp; フレーム変換表!$D$1),2,FALSE)*2</f>
        <v>32</v>
      </c>
      <c r="J97" t="str">
        <f ca="1">VLOOKUP(F97,INDIRECT("球種変換表!A$1:B$" &amp; 球種変換表!$D$1),2,)</f>
        <v>全力ストレート</v>
      </c>
      <c r="K97">
        <f t="shared" si="2"/>
        <v>7.0921985815602835E-3</v>
      </c>
      <c r="L97">
        <f t="shared" ca="1" si="3"/>
        <v>0.51041666666666663</v>
      </c>
    </row>
    <row r="98" spans="1:12" x14ac:dyDescent="0.55000000000000004">
      <c r="A98" t="s">
        <v>210</v>
      </c>
      <c r="B98">
        <v>107</v>
      </c>
      <c r="C98">
        <v>643.5</v>
      </c>
      <c r="D98">
        <v>610</v>
      </c>
      <c r="E98">
        <v>10.5001</v>
      </c>
      <c r="F98" t="s">
        <v>209</v>
      </c>
      <c r="G98">
        <v>115</v>
      </c>
      <c r="H98" t="s">
        <v>180</v>
      </c>
      <c r="I98">
        <f ca="1">B98-VLOOKUP(H98,INDIRECT("フレーム変換表!A$1:B$" &amp; フレーム変換表!$D$1),2,FALSE)*2</f>
        <v>49</v>
      </c>
      <c r="J98" t="str">
        <f ca="1">VLOOKUP(F98,INDIRECT("球種変換表!A$1:B$" &amp; 球種変換表!$D$1),2,)</f>
        <v>チェンジアップ</v>
      </c>
      <c r="K98">
        <f t="shared" si="2"/>
        <v>8.6956521739130436E-3</v>
      </c>
      <c r="L98">
        <f t="shared" ca="1" si="3"/>
        <v>0.80972222222222223</v>
      </c>
    </row>
    <row r="99" spans="1:12" x14ac:dyDescent="0.55000000000000004">
      <c r="A99" t="s">
        <v>211</v>
      </c>
      <c r="B99">
        <v>107</v>
      </c>
      <c r="C99">
        <v>634</v>
      </c>
      <c r="D99">
        <v>614.5</v>
      </c>
      <c r="E99">
        <v>10.012589999999999</v>
      </c>
      <c r="F99" t="s">
        <v>209</v>
      </c>
      <c r="G99">
        <v>115</v>
      </c>
      <c r="H99" t="s">
        <v>180</v>
      </c>
      <c r="I99">
        <f ca="1">B99-VLOOKUP(H99,INDIRECT("フレーム変換表!A$1:B$" &amp; フレーム変換表!$D$1),2,FALSE)*2</f>
        <v>49</v>
      </c>
      <c r="J99" t="str">
        <f ca="1">VLOOKUP(F99,INDIRECT("球種変換表!A$1:B$" &amp; 球種変換表!$D$1),2,)</f>
        <v>チェンジアップ</v>
      </c>
      <c r="K99">
        <f t="shared" si="2"/>
        <v>8.6956521739130436E-3</v>
      </c>
      <c r="L99">
        <f t="shared" ca="1" si="3"/>
        <v>0.8065972222222223</v>
      </c>
    </row>
    <row r="100" spans="1:12" x14ac:dyDescent="0.55000000000000004">
      <c r="A100" t="s">
        <v>212</v>
      </c>
      <c r="B100">
        <v>106</v>
      </c>
      <c r="C100">
        <v>650</v>
      </c>
      <c r="D100">
        <v>601.5</v>
      </c>
      <c r="E100">
        <v>10.012589999999999</v>
      </c>
      <c r="F100" t="s">
        <v>209</v>
      </c>
      <c r="G100">
        <v>117</v>
      </c>
      <c r="H100" t="s">
        <v>180</v>
      </c>
      <c r="I100">
        <f ca="1">B100-VLOOKUP(H100,INDIRECT("フレーム変換表!A$1:B$" &amp; フレーム変換表!$D$1),2,FALSE)*2</f>
        <v>48</v>
      </c>
      <c r="J100" t="str">
        <f ca="1">VLOOKUP(F100,INDIRECT("球種変換表!A$1:B$" &amp; 球種変換表!$D$1),2,)</f>
        <v>チェンジアップ</v>
      </c>
      <c r="K100">
        <f t="shared" si="2"/>
        <v>8.5470085470085479E-3</v>
      </c>
      <c r="L100">
        <f t="shared" ca="1" si="3"/>
        <v>0.79895833333333333</v>
      </c>
    </row>
    <row r="101" spans="1:12" x14ac:dyDescent="0.55000000000000004">
      <c r="A101" t="s">
        <v>213</v>
      </c>
      <c r="B101">
        <v>106</v>
      </c>
      <c r="C101">
        <v>644</v>
      </c>
      <c r="D101">
        <v>605.5</v>
      </c>
      <c r="E101">
        <v>10.012589999999999</v>
      </c>
      <c r="F101" t="s">
        <v>209</v>
      </c>
      <c r="G101">
        <v>117</v>
      </c>
      <c r="H101" t="s">
        <v>180</v>
      </c>
      <c r="I101">
        <f ca="1">B101-VLOOKUP(H101,INDIRECT("フレーム変換表!A$1:B$" &amp; フレーム変換表!$D$1),2,FALSE)*2</f>
        <v>48</v>
      </c>
      <c r="J101" t="str">
        <f ca="1">VLOOKUP(F101,INDIRECT("球種変換表!A$1:B$" &amp; 球種変換表!$D$1),2,)</f>
        <v>チェンジアップ</v>
      </c>
      <c r="K101">
        <f t="shared" si="2"/>
        <v>8.5470085470085479E-3</v>
      </c>
      <c r="L101">
        <f t="shared" ca="1" si="3"/>
        <v>0.79618055555555556</v>
      </c>
    </row>
    <row r="102" spans="1:12" x14ac:dyDescent="0.55000000000000004">
      <c r="A102" t="s">
        <v>214</v>
      </c>
      <c r="B102">
        <v>107</v>
      </c>
      <c r="C102">
        <v>644</v>
      </c>
      <c r="D102">
        <v>612.5</v>
      </c>
      <c r="E102">
        <v>10.012589999999999</v>
      </c>
      <c r="F102" t="s">
        <v>209</v>
      </c>
      <c r="G102">
        <v>115</v>
      </c>
      <c r="H102" t="s">
        <v>180</v>
      </c>
      <c r="I102">
        <f ca="1">B102-VLOOKUP(H102,INDIRECT("フレーム変換表!A$1:B$" &amp; フレーム変換表!$D$1),2,FALSE)*2</f>
        <v>49</v>
      </c>
      <c r="J102" t="str">
        <f ca="1">VLOOKUP(F102,INDIRECT("球種変換表!A$1:B$" &amp; 球種変換表!$D$1),2,)</f>
        <v>チェンジアップ</v>
      </c>
      <c r="K102">
        <f t="shared" si="2"/>
        <v>8.6956521739130436E-3</v>
      </c>
      <c r="L102">
        <f t="shared" ca="1" si="3"/>
        <v>0.80798611111111107</v>
      </c>
    </row>
    <row r="103" spans="1:12" x14ac:dyDescent="0.55000000000000004">
      <c r="A103" t="s">
        <v>215</v>
      </c>
      <c r="B103">
        <v>106</v>
      </c>
      <c r="C103">
        <v>649</v>
      </c>
      <c r="D103">
        <v>604.5</v>
      </c>
      <c r="E103">
        <v>10.012589999999999</v>
      </c>
      <c r="F103" t="s">
        <v>209</v>
      </c>
      <c r="G103">
        <v>117</v>
      </c>
      <c r="H103" t="s">
        <v>180</v>
      </c>
      <c r="I103">
        <f ca="1">B103-VLOOKUP(H103,INDIRECT("フレーム変換表!A$1:B$" &amp; フレーム変換表!$D$1),2,FALSE)*2</f>
        <v>48</v>
      </c>
      <c r="J103" t="str">
        <f ca="1">VLOOKUP(F103,INDIRECT("球種変換表!A$1:B$" &amp; 球種変換表!$D$1),2,)</f>
        <v>チェンジアップ</v>
      </c>
      <c r="K103">
        <f t="shared" si="2"/>
        <v>8.5470085470085479E-3</v>
      </c>
      <c r="L103">
        <f t="shared" ca="1" si="3"/>
        <v>0.796875</v>
      </c>
    </row>
    <row r="104" spans="1:12" x14ac:dyDescent="0.55000000000000004">
      <c r="A104" t="s">
        <v>216</v>
      </c>
      <c r="B104">
        <v>107</v>
      </c>
      <c r="C104">
        <v>650</v>
      </c>
      <c r="D104">
        <v>617.5</v>
      </c>
      <c r="E104">
        <v>10.012589999999999</v>
      </c>
      <c r="F104" t="s">
        <v>209</v>
      </c>
      <c r="G104">
        <v>117</v>
      </c>
      <c r="H104" t="s">
        <v>180</v>
      </c>
      <c r="I104">
        <f ca="1">B104-VLOOKUP(H104,INDIRECT("フレーム変換表!A$1:B$" &amp; フレーム変換表!$D$1),2,FALSE)*2</f>
        <v>49</v>
      </c>
      <c r="J104" t="str">
        <f ca="1">VLOOKUP(F104,INDIRECT("球種変換表!A$1:B$" &amp; 球種変換表!$D$1),2,)</f>
        <v>チェンジアップ</v>
      </c>
      <c r="K104">
        <f t="shared" si="2"/>
        <v>8.5470085470085479E-3</v>
      </c>
      <c r="L104">
        <f t="shared" ca="1" si="3"/>
        <v>0.80451388888888897</v>
      </c>
    </row>
    <row r="105" spans="1:12" x14ac:dyDescent="0.55000000000000004">
      <c r="A105" t="s">
        <v>217</v>
      </c>
      <c r="B105">
        <v>107</v>
      </c>
      <c r="C105">
        <v>640.5</v>
      </c>
      <c r="D105">
        <v>605.5</v>
      </c>
      <c r="E105">
        <v>9.5132499999999993</v>
      </c>
      <c r="F105" t="s">
        <v>209</v>
      </c>
      <c r="G105">
        <v>114</v>
      </c>
      <c r="H105" t="s">
        <v>180</v>
      </c>
      <c r="I105">
        <f ca="1">B105-VLOOKUP(H105,INDIRECT("フレーム変換表!A$1:B$" &amp; フレーム変換表!$D$1),2,FALSE)*2</f>
        <v>49</v>
      </c>
      <c r="J105" t="str">
        <f ca="1">VLOOKUP(F105,INDIRECT("球種変換表!A$1:B$" &amp; 球種変換表!$D$1),2,)</f>
        <v>チェンジアップ</v>
      </c>
      <c r="K105">
        <f t="shared" si="2"/>
        <v>8.771929824561403E-3</v>
      </c>
      <c r="L105">
        <f t="shared" ca="1" si="3"/>
        <v>0.81284722222222228</v>
      </c>
    </row>
    <row r="106" spans="1:12" x14ac:dyDescent="0.55000000000000004">
      <c r="A106" t="s">
        <v>218</v>
      </c>
      <c r="B106">
        <v>108</v>
      </c>
      <c r="C106">
        <v>642.5</v>
      </c>
      <c r="D106">
        <v>622</v>
      </c>
      <c r="E106">
        <v>10.5001</v>
      </c>
      <c r="F106" t="s">
        <v>209</v>
      </c>
      <c r="G106">
        <v>116</v>
      </c>
      <c r="H106" t="s">
        <v>180</v>
      </c>
      <c r="I106">
        <f ca="1">B106-VLOOKUP(H106,INDIRECT("フレーム変換表!A$1:B$" &amp; フレーム変換表!$D$1),2,FALSE)*2</f>
        <v>50</v>
      </c>
      <c r="J106" t="str">
        <f ca="1">VLOOKUP(F106,INDIRECT("球種変換表!A$1:B$" &amp; 球種変換表!$D$1),2,)</f>
        <v>チェンジアップ</v>
      </c>
      <c r="K106">
        <f t="shared" si="2"/>
        <v>8.6206896551724137E-3</v>
      </c>
      <c r="L106">
        <f t="shared" ca="1" si="3"/>
        <v>0.81805555555555565</v>
      </c>
    </row>
    <row r="107" spans="1:12" x14ac:dyDescent="0.55000000000000004">
      <c r="A107" t="s">
        <v>219</v>
      </c>
      <c r="B107">
        <v>108</v>
      </c>
      <c r="C107">
        <v>644</v>
      </c>
      <c r="D107">
        <v>616.5</v>
      </c>
      <c r="E107">
        <v>10.012589999999999</v>
      </c>
      <c r="F107" t="s">
        <v>209</v>
      </c>
      <c r="G107">
        <v>114</v>
      </c>
      <c r="H107" t="s">
        <v>180</v>
      </c>
      <c r="I107">
        <f ca="1">B107-VLOOKUP(H107,INDIRECT("フレーム変換表!A$1:B$" &amp; フレーム変換表!$D$1),2,FALSE)*2</f>
        <v>50</v>
      </c>
      <c r="J107" t="str">
        <f ca="1">VLOOKUP(F107,INDIRECT("球種変換表!A$1:B$" &amp; 球種変換表!$D$1),2,)</f>
        <v>チェンジアップ</v>
      </c>
      <c r="K107">
        <f t="shared" si="2"/>
        <v>8.771929824561403E-3</v>
      </c>
      <c r="L107">
        <f t="shared" ca="1" si="3"/>
        <v>0.82187500000000002</v>
      </c>
    </row>
    <row r="108" spans="1:12" x14ac:dyDescent="0.55000000000000004">
      <c r="A108" t="s">
        <v>221</v>
      </c>
      <c r="B108">
        <v>114</v>
      </c>
      <c r="C108">
        <v>661</v>
      </c>
      <c r="D108">
        <v>623.5</v>
      </c>
      <c r="E108">
        <v>10.012589999999999</v>
      </c>
      <c r="F108" t="s">
        <v>220</v>
      </c>
      <c r="G108">
        <v>104</v>
      </c>
      <c r="H108" t="s">
        <v>180</v>
      </c>
      <c r="I108">
        <f ca="1">B108-VLOOKUP(H108,INDIRECT("フレーム変換表!A$1:B$" &amp; フレーム変換表!$D$1),2,FALSE)*2</f>
        <v>56</v>
      </c>
      <c r="J108" t="str">
        <f ca="1">VLOOKUP(F108,INDIRECT("球種変換表!A$1:B$" &amp; 球種変換表!$D$1),2,)</f>
        <v>スローカーブ</v>
      </c>
      <c r="K108">
        <f t="shared" si="2"/>
        <v>9.6153846153846159E-3</v>
      </c>
      <c r="L108">
        <f t="shared" ca="1" si="3"/>
        <v>0.91701388888888891</v>
      </c>
    </row>
    <row r="109" spans="1:12" x14ac:dyDescent="0.55000000000000004">
      <c r="A109" t="s">
        <v>223</v>
      </c>
      <c r="B109">
        <v>119</v>
      </c>
      <c r="C109">
        <v>655</v>
      </c>
      <c r="D109">
        <v>617.5</v>
      </c>
      <c r="E109">
        <v>10.012589999999999</v>
      </c>
      <c r="F109" t="s">
        <v>222</v>
      </c>
      <c r="G109">
        <v>102</v>
      </c>
      <c r="H109" t="s">
        <v>180</v>
      </c>
      <c r="I109">
        <f ca="1">B109-VLOOKUP(H109,INDIRECT("フレーム変換表!A$1:B$" &amp; フレーム変換表!$D$1),2,FALSE)*2</f>
        <v>61</v>
      </c>
      <c r="J109" t="str">
        <f ca="1">VLOOKUP(F109,INDIRECT("球種変換表!A$1:B$" &amp; 球種変換表!$D$1),2,)</f>
        <v>スローカーブ</v>
      </c>
      <c r="K109">
        <f t="shared" si="2"/>
        <v>9.8039215686274508E-3</v>
      </c>
      <c r="L109">
        <f t="shared" ca="1" si="3"/>
        <v>1.0045138888888889</v>
      </c>
    </row>
    <row r="110" spans="1:12" x14ac:dyDescent="0.55000000000000004">
      <c r="A110" t="s">
        <v>224</v>
      </c>
      <c r="B110">
        <v>118</v>
      </c>
      <c r="C110">
        <v>642</v>
      </c>
      <c r="D110">
        <v>608</v>
      </c>
      <c r="E110">
        <v>10.0001</v>
      </c>
      <c r="F110" t="s">
        <v>220</v>
      </c>
      <c r="G110">
        <v>102</v>
      </c>
      <c r="H110" t="s">
        <v>180</v>
      </c>
      <c r="I110">
        <f ca="1">B110-VLOOKUP(H110,INDIRECT("フレーム変換表!A$1:B$" &amp; フレーム変換表!$D$1),2,FALSE)*2</f>
        <v>60</v>
      </c>
      <c r="J110" t="str">
        <f ca="1">VLOOKUP(F110,INDIRECT("球種変換表!A$1:B$" &amp; 球種変換表!$D$1),2,)</f>
        <v>スローカーブ</v>
      </c>
      <c r="K110">
        <f t="shared" si="2"/>
        <v>9.8039215686274508E-3</v>
      </c>
      <c r="L110">
        <f t="shared" ca="1" si="3"/>
        <v>0.99444444444444435</v>
      </c>
    </row>
    <row r="111" spans="1:12" x14ac:dyDescent="0.55000000000000004">
      <c r="A111" t="s">
        <v>226</v>
      </c>
      <c r="B111">
        <v>117</v>
      </c>
      <c r="C111">
        <v>642</v>
      </c>
      <c r="D111">
        <v>611</v>
      </c>
      <c r="E111">
        <v>10.0001</v>
      </c>
      <c r="F111" t="s">
        <v>225</v>
      </c>
      <c r="G111">
        <v>104</v>
      </c>
      <c r="H111" t="s">
        <v>180</v>
      </c>
      <c r="I111">
        <f ca="1">B111-VLOOKUP(H111,INDIRECT("フレーム変換表!A$1:B$" &amp; フレーム変換表!$D$1),2,FALSE)*2</f>
        <v>59</v>
      </c>
      <c r="J111" t="str">
        <f ca="1">VLOOKUP(F111,INDIRECT("球種変換表!A$1:B$" &amp; 球種変換表!$D$1),2,)</f>
        <v>スローカーブ</v>
      </c>
      <c r="K111">
        <f t="shared" si="2"/>
        <v>9.6153846153846159E-3</v>
      </c>
      <c r="L111">
        <f t="shared" ca="1" si="3"/>
        <v>0.97569444444444442</v>
      </c>
    </row>
    <row r="112" spans="1:12" hidden="1" x14ac:dyDescent="0.55000000000000004">
      <c r="A112" t="s">
        <v>228</v>
      </c>
      <c r="B112">
        <v>119</v>
      </c>
      <c r="C112">
        <v>633.5</v>
      </c>
      <c r="D112">
        <v>623</v>
      </c>
      <c r="E112">
        <v>10.5001</v>
      </c>
      <c r="F112" t="s">
        <v>225</v>
      </c>
      <c r="G112" t="s">
        <v>227</v>
      </c>
      <c r="H112" t="s">
        <v>180</v>
      </c>
      <c r="I112">
        <f ca="1">B112-VLOOKUP(H112,INDIRECT("フレーム変換表!A$1:B$" &amp; フレーム変換表!$D$1),2,FALSE)*2</f>
        <v>61</v>
      </c>
      <c r="J112" t="str">
        <f ca="1">VLOOKUP(F112,INDIRECT("球種変換表!A$1:B$" &amp; 球種変換表!$D$1),2,)</f>
        <v>スローカーブ</v>
      </c>
      <c r="K112" t="e">
        <f t="shared" si="2"/>
        <v>#VALUE!</v>
      </c>
      <c r="L112">
        <f t="shared" ca="1" si="3"/>
        <v>1.0006944444444443</v>
      </c>
    </row>
    <row r="113" spans="1:12" x14ac:dyDescent="0.55000000000000004">
      <c r="A113" t="s">
        <v>229</v>
      </c>
      <c r="B113">
        <v>117</v>
      </c>
      <c r="C113">
        <v>652</v>
      </c>
      <c r="D113">
        <v>612.5</v>
      </c>
      <c r="E113">
        <v>10.012589999999999</v>
      </c>
      <c r="F113" t="s">
        <v>220</v>
      </c>
      <c r="G113">
        <v>104</v>
      </c>
      <c r="H113" t="s">
        <v>180</v>
      </c>
      <c r="I113">
        <f ca="1">B113-VLOOKUP(H113,INDIRECT("フレーム変換表!A$1:B$" &amp; フレーム変換表!$D$1),2,FALSE)*2</f>
        <v>59</v>
      </c>
      <c r="J113" t="str">
        <f ca="1">VLOOKUP(F113,INDIRECT("球種変換表!A$1:B$" &amp; 球種変換表!$D$1),2,)</f>
        <v>スローカーブ</v>
      </c>
      <c r="K113">
        <f t="shared" si="2"/>
        <v>9.6153846153846159E-3</v>
      </c>
      <c r="L113">
        <f t="shared" ca="1" si="3"/>
        <v>0.9746527777777777</v>
      </c>
    </row>
    <row r="114" spans="1:12" x14ac:dyDescent="0.55000000000000004">
      <c r="A114" t="s">
        <v>230</v>
      </c>
      <c r="B114">
        <v>118</v>
      </c>
      <c r="C114">
        <v>652.5</v>
      </c>
      <c r="D114">
        <v>618.5</v>
      </c>
      <c r="E114">
        <v>8.5147899999999996</v>
      </c>
      <c r="F114" t="s">
        <v>225</v>
      </c>
      <c r="G114">
        <v>104</v>
      </c>
      <c r="H114" t="s">
        <v>180</v>
      </c>
      <c r="I114">
        <f ca="1">B114-VLOOKUP(H114,INDIRECT("フレーム変換表!A$1:B$" &amp; フレーム変換表!$D$1),2,FALSE)*2</f>
        <v>60</v>
      </c>
      <c r="J114" t="str">
        <f ca="1">VLOOKUP(F114,INDIRECT("球種変換表!A$1:B$" &amp; 球種変換表!$D$1),2,)</f>
        <v>スローカーブ</v>
      </c>
      <c r="K114">
        <f t="shared" si="2"/>
        <v>9.6153846153846159E-3</v>
      </c>
      <c r="L114">
        <f t="shared" ca="1" si="3"/>
        <v>0.98715277777777777</v>
      </c>
    </row>
    <row r="115" spans="1:12" x14ac:dyDescent="0.55000000000000004">
      <c r="A115" t="s">
        <v>231</v>
      </c>
      <c r="B115">
        <v>117</v>
      </c>
      <c r="C115">
        <v>658.5</v>
      </c>
      <c r="D115">
        <v>600.5</v>
      </c>
      <c r="E115">
        <v>9.5132499999999993</v>
      </c>
      <c r="F115" t="s">
        <v>220</v>
      </c>
      <c r="G115">
        <v>103</v>
      </c>
      <c r="H115" t="s">
        <v>180</v>
      </c>
      <c r="I115">
        <f ca="1">B115-VLOOKUP(H115,INDIRECT("フレーム変換表!A$1:B$" &amp; フレーム変換表!$D$1),2,FALSE)*2</f>
        <v>59</v>
      </c>
      <c r="J115" t="str">
        <f ca="1">VLOOKUP(F115,INDIRECT("球種変換表!A$1:B$" &amp; 球種変換表!$D$1),2,)</f>
        <v>スローカーブ</v>
      </c>
      <c r="K115">
        <f t="shared" si="2"/>
        <v>9.7087378640776691E-3</v>
      </c>
      <c r="L115">
        <f t="shared" ca="1" si="3"/>
        <v>0.98298611111111112</v>
      </c>
    </row>
    <row r="116" spans="1:12" x14ac:dyDescent="0.55000000000000004">
      <c r="A116" t="s">
        <v>232</v>
      </c>
      <c r="B116">
        <v>119</v>
      </c>
      <c r="C116">
        <v>647</v>
      </c>
      <c r="D116">
        <v>616.5</v>
      </c>
      <c r="E116">
        <v>10.012589999999999</v>
      </c>
      <c r="F116" t="s">
        <v>220</v>
      </c>
      <c r="G116">
        <v>102</v>
      </c>
      <c r="H116" t="s">
        <v>180</v>
      </c>
      <c r="I116">
        <f ca="1">B116-VLOOKUP(H116,INDIRECT("フレーム変換表!A$1:B$" &amp; フレーム変換表!$D$1),2,FALSE)*2</f>
        <v>61</v>
      </c>
      <c r="J116" t="str">
        <f ca="1">VLOOKUP(F116,INDIRECT("球種変換表!A$1:B$" &amp; 球種変換表!$D$1),2,)</f>
        <v>スローカーブ</v>
      </c>
      <c r="K116">
        <f t="shared" si="2"/>
        <v>9.8039215686274508E-3</v>
      </c>
      <c r="L116">
        <f t="shared" ca="1" si="3"/>
        <v>1.0052083333333333</v>
      </c>
    </row>
    <row r="117" spans="1:12" x14ac:dyDescent="0.55000000000000004">
      <c r="A117" t="s">
        <v>233</v>
      </c>
      <c r="B117">
        <v>118</v>
      </c>
      <c r="C117">
        <v>644.5</v>
      </c>
      <c r="D117">
        <v>603</v>
      </c>
      <c r="E117">
        <v>10.5001</v>
      </c>
      <c r="F117" t="s">
        <v>225</v>
      </c>
      <c r="G117">
        <v>101</v>
      </c>
      <c r="H117" t="s">
        <v>180</v>
      </c>
      <c r="I117">
        <f ca="1">B117-VLOOKUP(H117,INDIRECT("フレーム変換表!A$1:B$" &amp; フレーム変換表!$D$1),2,FALSE)*2</f>
        <v>60</v>
      </c>
      <c r="J117" t="str">
        <f ca="1">VLOOKUP(F117,INDIRECT("球種変換表!A$1:B$" &amp; 球種変換表!$D$1),2,)</f>
        <v>スローカーブ</v>
      </c>
      <c r="K117">
        <f t="shared" si="2"/>
        <v>9.9009900990099011E-3</v>
      </c>
      <c r="L117">
        <f t="shared" ca="1" si="3"/>
        <v>0.99791666666666667</v>
      </c>
    </row>
    <row r="118" spans="1:12" x14ac:dyDescent="0.55000000000000004">
      <c r="A118" t="s">
        <v>234</v>
      </c>
      <c r="B118">
        <v>101</v>
      </c>
      <c r="C118">
        <v>610.97919000000002</v>
      </c>
      <c r="D118">
        <v>638</v>
      </c>
      <c r="E118">
        <v>12.020910000000001</v>
      </c>
      <c r="F118" t="s">
        <v>127</v>
      </c>
      <c r="G118">
        <v>125</v>
      </c>
      <c r="H118" t="s">
        <v>180</v>
      </c>
      <c r="I118">
        <f ca="1">B118-VLOOKUP(H118,INDIRECT("フレーム変換表!A$1:B$" &amp; フレーム変換表!$D$1),2,FALSE)*2</f>
        <v>43</v>
      </c>
      <c r="J118" t="str">
        <f ca="1">VLOOKUP(F118,INDIRECT("球種変換表!A$1:B$" &amp; 球種変換表!$D$1),2,)</f>
        <v>スライダー</v>
      </c>
      <c r="K118">
        <f t="shared" si="2"/>
        <v>8.0000000000000002E-3</v>
      </c>
      <c r="L118">
        <f t="shared" ca="1" si="3"/>
        <v>0.69027777777777777</v>
      </c>
    </row>
    <row r="119" spans="1:12" x14ac:dyDescent="0.55000000000000004">
      <c r="A119" t="s">
        <v>235</v>
      </c>
      <c r="B119">
        <v>101</v>
      </c>
      <c r="C119">
        <v>627.5</v>
      </c>
      <c r="D119">
        <v>637.5</v>
      </c>
      <c r="E119">
        <v>11.510960000000001</v>
      </c>
      <c r="F119" t="s">
        <v>127</v>
      </c>
      <c r="G119">
        <v>126</v>
      </c>
      <c r="H119" t="s">
        <v>180</v>
      </c>
      <c r="I119">
        <f ca="1">B119-VLOOKUP(H119,INDIRECT("フレーム変換表!A$1:B$" &amp; フレーム変換表!$D$1),2,FALSE)*2</f>
        <v>43</v>
      </c>
      <c r="J119" t="str">
        <f ca="1">VLOOKUP(F119,INDIRECT("球種変換表!A$1:B$" &amp; 球種変換表!$D$1),2,)</f>
        <v>スライダー</v>
      </c>
      <c r="K119">
        <f t="shared" si="2"/>
        <v>7.9365079365079361E-3</v>
      </c>
      <c r="L119">
        <f t="shared" ca="1" si="3"/>
        <v>0.69062500000000004</v>
      </c>
    </row>
    <row r="120" spans="1:12" x14ac:dyDescent="0.55000000000000004">
      <c r="A120" t="s">
        <v>236</v>
      </c>
      <c r="B120">
        <v>100</v>
      </c>
      <c r="C120">
        <v>624</v>
      </c>
      <c r="D120">
        <v>606.5</v>
      </c>
      <c r="E120">
        <v>10.012589999999999</v>
      </c>
      <c r="F120" t="s">
        <v>127</v>
      </c>
      <c r="G120">
        <v>121</v>
      </c>
      <c r="H120" t="s">
        <v>180</v>
      </c>
      <c r="I120">
        <f ca="1">B120-VLOOKUP(H120,INDIRECT("フレーム変換表!A$1:B$" &amp; フレーム変換表!$D$1),2,FALSE)*2</f>
        <v>42</v>
      </c>
      <c r="J120" t="str">
        <f ca="1">VLOOKUP(F120,INDIRECT("球種変換表!A$1:B$" &amp; 球種変換表!$D$1),2,)</f>
        <v>スライダー</v>
      </c>
      <c r="K120">
        <f t="shared" si="2"/>
        <v>8.2644628099173556E-3</v>
      </c>
      <c r="L120">
        <f t="shared" ca="1" si="3"/>
        <v>0.69548611111111103</v>
      </c>
    </row>
    <row r="121" spans="1:12" x14ac:dyDescent="0.55000000000000004">
      <c r="A121" t="s">
        <v>237</v>
      </c>
      <c r="B121">
        <v>100</v>
      </c>
      <c r="C121">
        <v>635</v>
      </c>
      <c r="D121">
        <v>615.5</v>
      </c>
      <c r="E121">
        <v>10.012589999999999</v>
      </c>
      <c r="F121" t="s">
        <v>127</v>
      </c>
      <c r="G121">
        <v>126</v>
      </c>
      <c r="H121" t="s">
        <v>180</v>
      </c>
      <c r="I121">
        <f ca="1">B121-VLOOKUP(H121,INDIRECT("フレーム変換表!A$1:B$" &amp; フレーム変換表!$D$1),2,FALSE)*2</f>
        <v>42</v>
      </c>
      <c r="J121" t="str">
        <f ca="1">VLOOKUP(F121,INDIRECT("球種変換表!A$1:B$" &amp; 球種変換表!$D$1),2,)</f>
        <v>スライダー</v>
      </c>
      <c r="K121">
        <f t="shared" si="2"/>
        <v>7.9365079365079361E-3</v>
      </c>
      <c r="L121">
        <f t="shared" ca="1" si="3"/>
        <v>0.68923611111111105</v>
      </c>
    </row>
    <row r="122" spans="1:12" x14ac:dyDescent="0.55000000000000004">
      <c r="A122" t="s">
        <v>238</v>
      </c>
      <c r="B122">
        <v>101</v>
      </c>
      <c r="C122">
        <v>620.5</v>
      </c>
      <c r="D122">
        <v>638.5</v>
      </c>
      <c r="E122">
        <v>11.510960000000001</v>
      </c>
      <c r="F122" t="s">
        <v>127</v>
      </c>
      <c r="G122">
        <v>126</v>
      </c>
      <c r="H122" t="s">
        <v>180</v>
      </c>
      <c r="I122">
        <f ca="1">B122-VLOOKUP(H122,INDIRECT("フレーム変換表!A$1:B$" &amp; フレーム変換表!$D$1),2,FALSE)*2</f>
        <v>43</v>
      </c>
      <c r="J122" t="str">
        <f ca="1">VLOOKUP(F122,INDIRECT("球種変換表!A$1:B$" &amp; 球種変換表!$D$1),2,)</f>
        <v>スライダー</v>
      </c>
      <c r="K122">
        <f t="shared" si="2"/>
        <v>7.9365079365079361E-3</v>
      </c>
      <c r="L122">
        <f t="shared" ca="1" si="3"/>
        <v>0.6899305555555556</v>
      </c>
    </row>
    <row r="123" spans="1:12" x14ac:dyDescent="0.55000000000000004">
      <c r="A123" t="s">
        <v>239</v>
      </c>
      <c r="B123">
        <v>100</v>
      </c>
      <c r="C123">
        <v>633</v>
      </c>
      <c r="D123">
        <v>611</v>
      </c>
      <c r="E123">
        <v>10.0001</v>
      </c>
      <c r="F123" t="s">
        <v>127</v>
      </c>
      <c r="G123">
        <v>125</v>
      </c>
      <c r="H123" t="s">
        <v>180</v>
      </c>
      <c r="I123">
        <f ca="1">B123-VLOOKUP(H123,INDIRECT("フレーム変換表!A$1:B$" &amp; フレーム変換表!$D$1),2,FALSE)*2</f>
        <v>42</v>
      </c>
      <c r="J123" t="str">
        <f ca="1">VLOOKUP(F123,INDIRECT("球種変換表!A$1:B$" &amp; 球種変換表!$D$1),2,)</f>
        <v>スライダー</v>
      </c>
      <c r="K123">
        <f t="shared" si="2"/>
        <v>8.0000000000000002E-3</v>
      </c>
      <c r="L123">
        <f t="shared" ca="1" si="3"/>
        <v>0.69236111111111109</v>
      </c>
    </row>
    <row r="124" spans="1:12" x14ac:dyDescent="0.55000000000000004">
      <c r="A124" t="s">
        <v>240</v>
      </c>
      <c r="B124">
        <v>101</v>
      </c>
      <c r="C124">
        <v>616.5</v>
      </c>
      <c r="D124">
        <v>624</v>
      </c>
      <c r="E124">
        <v>10.5001</v>
      </c>
      <c r="F124" t="s">
        <v>127</v>
      </c>
      <c r="G124">
        <v>124</v>
      </c>
      <c r="H124" t="s">
        <v>180</v>
      </c>
      <c r="I124">
        <f ca="1">B124-VLOOKUP(H124,INDIRECT("フレーム変換表!A$1:B$" &amp; フレーム変換表!$D$1),2,FALSE)*2</f>
        <v>43</v>
      </c>
      <c r="J124" t="str">
        <f ca="1">VLOOKUP(F124,INDIRECT("球種変換表!A$1:B$" &amp; 球種変換表!$D$1),2,)</f>
        <v>スライダー</v>
      </c>
      <c r="K124">
        <f t="shared" si="2"/>
        <v>8.0645161290322578E-3</v>
      </c>
      <c r="L124">
        <f t="shared" ca="1" si="3"/>
        <v>0.7</v>
      </c>
    </row>
    <row r="125" spans="1:12" x14ac:dyDescent="0.55000000000000004">
      <c r="A125" t="s">
        <v>241</v>
      </c>
      <c r="B125">
        <v>100</v>
      </c>
      <c r="C125">
        <v>618</v>
      </c>
      <c r="D125">
        <v>606.5</v>
      </c>
      <c r="E125">
        <v>10.012589999999999</v>
      </c>
      <c r="F125" t="s">
        <v>127</v>
      </c>
      <c r="G125">
        <v>124</v>
      </c>
      <c r="H125" t="s">
        <v>180</v>
      </c>
      <c r="I125">
        <f ca="1">B125-VLOOKUP(H125,INDIRECT("フレーム変換表!A$1:B$" &amp; フレーム変換表!$D$1),2,FALSE)*2</f>
        <v>42</v>
      </c>
      <c r="J125" t="str">
        <f ca="1">VLOOKUP(F125,INDIRECT("球種変換表!A$1:B$" &amp; 球種変換表!$D$1),2,)</f>
        <v>スライダー</v>
      </c>
      <c r="K125">
        <f t="shared" si="2"/>
        <v>8.0645161290322578E-3</v>
      </c>
      <c r="L125">
        <f t="shared" ca="1" si="3"/>
        <v>0.69548611111111103</v>
      </c>
    </row>
    <row r="126" spans="1:12" x14ac:dyDescent="0.55000000000000004">
      <c r="A126" t="s">
        <v>242</v>
      </c>
      <c r="B126">
        <v>99</v>
      </c>
      <c r="C126">
        <v>634</v>
      </c>
      <c r="D126">
        <v>600.5</v>
      </c>
      <c r="E126">
        <v>10.012589999999999</v>
      </c>
      <c r="F126" t="s">
        <v>127</v>
      </c>
      <c r="G126">
        <v>126</v>
      </c>
      <c r="H126" t="s">
        <v>180</v>
      </c>
      <c r="I126">
        <f ca="1">B126-VLOOKUP(H126,INDIRECT("フレーム変換表!A$1:B$" &amp; フレーム変換表!$D$1),2,FALSE)*2</f>
        <v>41</v>
      </c>
      <c r="J126" t="str">
        <f ca="1">VLOOKUP(F126,INDIRECT("球種変換表!A$1:B$" &amp; 球種変換表!$D$1),2,)</f>
        <v>スライダー</v>
      </c>
      <c r="K126">
        <f t="shared" si="2"/>
        <v>7.9365079365079361E-3</v>
      </c>
      <c r="L126">
        <f t="shared" ca="1" si="3"/>
        <v>0.68298611111111107</v>
      </c>
    </row>
    <row r="127" spans="1:12" x14ac:dyDescent="0.55000000000000004">
      <c r="A127" t="s">
        <v>243</v>
      </c>
      <c r="B127">
        <v>101</v>
      </c>
      <c r="C127">
        <v>618</v>
      </c>
      <c r="D127">
        <v>630.5</v>
      </c>
      <c r="E127">
        <v>12.01051</v>
      </c>
      <c r="F127" t="s">
        <v>127</v>
      </c>
      <c r="G127">
        <v>125</v>
      </c>
      <c r="H127" t="s">
        <v>180</v>
      </c>
      <c r="I127">
        <f ca="1">B127-VLOOKUP(H127,INDIRECT("フレーム変換表!A$1:B$" &amp; フレーム変換表!$D$1),2,FALSE)*2</f>
        <v>43</v>
      </c>
      <c r="J127" t="str">
        <f ca="1">VLOOKUP(F127,INDIRECT("球種変換表!A$1:B$" &amp; 球種変換表!$D$1),2,)</f>
        <v>スライダー</v>
      </c>
      <c r="K127">
        <f t="shared" si="2"/>
        <v>8.0000000000000002E-3</v>
      </c>
      <c r="L127">
        <f t="shared" ca="1" si="3"/>
        <v>0.69548611111111103</v>
      </c>
    </row>
    <row r="128" spans="1:12" x14ac:dyDescent="0.55000000000000004">
      <c r="A128" t="s">
        <v>252</v>
      </c>
      <c r="B128">
        <v>60</v>
      </c>
      <c r="C128">
        <v>635.5</v>
      </c>
      <c r="D128">
        <v>636</v>
      </c>
      <c r="E128">
        <v>11.5435</v>
      </c>
      <c r="F128" t="s">
        <v>14</v>
      </c>
      <c r="G128">
        <v>148</v>
      </c>
      <c r="H128" t="s">
        <v>250</v>
      </c>
      <c r="I128">
        <f ca="1">B128-VLOOKUP(H128,INDIRECT("フレーム変換表!A$1:B$" &amp; フレーム変換表!$D$1),2,FALSE)*2</f>
        <v>34</v>
      </c>
      <c r="J128" t="str">
        <f ca="1">VLOOKUP(F128,INDIRECT("球種変換表!A$1:B$" &amp; 球種変換表!$D$1),2,)</f>
        <v>ストレート</v>
      </c>
      <c r="K128">
        <f t="shared" ref="K128:K178" si="4">1/G128</f>
        <v>6.7567567567567571E-3</v>
      </c>
      <c r="L128">
        <f t="shared" ref="L128:L178" ca="1" si="5">(I128-(D128-600)/24)*2/120</f>
        <v>0.54166666666666663</v>
      </c>
    </row>
    <row r="129" spans="1:12" x14ac:dyDescent="0.55000000000000004">
      <c r="A129" t="s">
        <v>253</v>
      </c>
      <c r="B129">
        <v>60</v>
      </c>
      <c r="C129">
        <v>638.5</v>
      </c>
      <c r="D129">
        <v>631</v>
      </c>
      <c r="E129">
        <v>11.5435</v>
      </c>
      <c r="F129" t="s">
        <v>14</v>
      </c>
      <c r="G129">
        <v>146</v>
      </c>
      <c r="H129" t="s">
        <v>250</v>
      </c>
      <c r="I129">
        <f ca="1">B129-VLOOKUP(H129,INDIRECT("フレーム変換表!A$1:B$" &amp; フレーム変換表!$D$1),2,FALSE)*2</f>
        <v>34</v>
      </c>
      <c r="J129" t="str">
        <f ca="1">VLOOKUP(F129,INDIRECT("球種変換表!A$1:B$" &amp; 球種変換表!$D$1),2,)</f>
        <v>ストレート</v>
      </c>
      <c r="K129">
        <f t="shared" si="4"/>
        <v>6.8493150684931503E-3</v>
      </c>
      <c r="L129">
        <f t="shared" ca="1" si="5"/>
        <v>0.54513888888888895</v>
      </c>
    </row>
    <row r="130" spans="1:12" x14ac:dyDescent="0.55000000000000004">
      <c r="A130" t="s">
        <v>254</v>
      </c>
      <c r="B130">
        <v>61</v>
      </c>
      <c r="C130">
        <v>644.5</v>
      </c>
      <c r="D130">
        <v>644.5</v>
      </c>
      <c r="E130">
        <v>12.5101</v>
      </c>
      <c r="F130" t="s">
        <v>14</v>
      </c>
      <c r="G130">
        <v>144</v>
      </c>
      <c r="H130" t="s">
        <v>250</v>
      </c>
      <c r="I130">
        <f ca="1">B130-VLOOKUP(H130,INDIRECT("フレーム変換表!A$1:B$" &amp; フレーム変換表!$D$1),2,FALSE)*2</f>
        <v>35</v>
      </c>
      <c r="J130" t="str">
        <f ca="1">VLOOKUP(F130,INDIRECT("球種変換表!A$1:B$" &amp; 球種変換表!$D$1),2,)</f>
        <v>ストレート</v>
      </c>
      <c r="K130">
        <f t="shared" si="4"/>
        <v>6.9444444444444441E-3</v>
      </c>
      <c r="L130">
        <f t="shared" ca="1" si="5"/>
        <v>0.55243055555555565</v>
      </c>
    </row>
    <row r="131" spans="1:12" x14ac:dyDescent="0.55000000000000004">
      <c r="A131" t="s">
        <v>255</v>
      </c>
      <c r="B131">
        <v>60</v>
      </c>
      <c r="C131">
        <v>646</v>
      </c>
      <c r="D131">
        <v>623.5</v>
      </c>
      <c r="E131">
        <v>10.012589999999999</v>
      </c>
      <c r="F131" t="s">
        <v>14</v>
      </c>
      <c r="G131">
        <v>145</v>
      </c>
      <c r="H131" t="s">
        <v>250</v>
      </c>
      <c r="I131">
        <f ca="1">B131-VLOOKUP(H131,INDIRECT("フレーム変換表!A$1:B$" &amp; フレーム変換表!$D$1),2,FALSE)*2</f>
        <v>34</v>
      </c>
      <c r="J131" t="str">
        <f ca="1">VLOOKUP(F131,INDIRECT("球種変換表!A$1:B$" &amp; 球種変換表!$D$1),2,)</f>
        <v>ストレート</v>
      </c>
      <c r="K131">
        <f t="shared" si="4"/>
        <v>6.8965517241379309E-3</v>
      </c>
      <c r="L131">
        <f t="shared" ca="1" si="5"/>
        <v>0.55034722222222221</v>
      </c>
    </row>
    <row r="132" spans="1:12" x14ac:dyDescent="0.55000000000000004">
      <c r="A132" t="s">
        <v>256</v>
      </c>
      <c r="B132">
        <v>60</v>
      </c>
      <c r="C132">
        <v>648</v>
      </c>
      <c r="D132">
        <v>632.5</v>
      </c>
      <c r="E132">
        <v>12.01051</v>
      </c>
      <c r="F132" t="s">
        <v>14</v>
      </c>
      <c r="G132">
        <v>147</v>
      </c>
      <c r="H132" t="s">
        <v>250</v>
      </c>
      <c r="I132">
        <f ca="1">B132-VLOOKUP(H132,INDIRECT("フレーム変換表!A$1:B$" &amp; フレーム変換表!$D$1),2,FALSE)*2</f>
        <v>34</v>
      </c>
      <c r="J132" t="str">
        <f ca="1">VLOOKUP(F132,INDIRECT("球種変換表!A$1:B$" &amp; 球種変換表!$D$1),2,)</f>
        <v>ストレート</v>
      </c>
      <c r="K132">
        <f t="shared" si="4"/>
        <v>6.8027210884353739E-3</v>
      </c>
      <c r="L132">
        <f t="shared" ca="1" si="5"/>
        <v>0.54409722222222223</v>
      </c>
    </row>
    <row r="133" spans="1:12" x14ac:dyDescent="0.55000000000000004">
      <c r="A133" t="s">
        <v>257</v>
      </c>
      <c r="B133">
        <v>60</v>
      </c>
      <c r="C133">
        <v>640</v>
      </c>
      <c r="D133">
        <v>618</v>
      </c>
      <c r="E133">
        <v>10.0001</v>
      </c>
      <c r="F133" t="s">
        <v>14</v>
      </c>
      <c r="G133">
        <v>143</v>
      </c>
      <c r="H133" t="s">
        <v>250</v>
      </c>
      <c r="I133">
        <f ca="1">B133-VLOOKUP(H133,INDIRECT("フレーム変換表!A$1:B$" &amp; フレーム変換表!$D$1),2,FALSE)*2</f>
        <v>34</v>
      </c>
      <c r="J133" t="str">
        <f ca="1">VLOOKUP(F133,INDIRECT("球種変換表!A$1:B$" &amp; 球種変換表!$D$1),2,)</f>
        <v>ストレート</v>
      </c>
      <c r="K133">
        <f t="shared" si="4"/>
        <v>6.993006993006993E-3</v>
      </c>
      <c r="L133">
        <f t="shared" ca="1" si="5"/>
        <v>0.5541666666666667</v>
      </c>
    </row>
    <row r="134" spans="1:12" hidden="1" x14ac:dyDescent="0.55000000000000004">
      <c r="A134" t="s">
        <v>259</v>
      </c>
      <c r="B134">
        <v>59</v>
      </c>
      <c r="C134">
        <v>631</v>
      </c>
      <c r="D134">
        <v>601</v>
      </c>
      <c r="E134">
        <v>10.0001</v>
      </c>
      <c r="F134" t="s">
        <v>14</v>
      </c>
      <c r="G134" t="s">
        <v>258</v>
      </c>
      <c r="H134" t="s">
        <v>250</v>
      </c>
      <c r="I134">
        <f ca="1">B134-VLOOKUP(H134,INDIRECT("フレーム変換表!A$1:B$" &amp; フレーム変換表!$D$1),2,FALSE)*2</f>
        <v>33</v>
      </c>
      <c r="J134" t="str">
        <f ca="1">VLOOKUP(F134,INDIRECT("球種変換表!A$1:B$" &amp; 球種変換表!$D$1),2,)</f>
        <v>ストレート</v>
      </c>
      <c r="K134" t="e">
        <f t="shared" si="4"/>
        <v>#VALUE!</v>
      </c>
      <c r="L134">
        <f t="shared" ca="1" si="5"/>
        <v>0.5493055555555556</v>
      </c>
    </row>
    <row r="135" spans="1:12" x14ac:dyDescent="0.55000000000000004">
      <c r="A135" t="s">
        <v>260</v>
      </c>
      <c r="B135">
        <v>59</v>
      </c>
      <c r="C135">
        <v>635.5</v>
      </c>
      <c r="D135">
        <v>603</v>
      </c>
      <c r="E135">
        <v>10.5001</v>
      </c>
      <c r="F135" t="s">
        <v>14</v>
      </c>
      <c r="G135">
        <v>145</v>
      </c>
      <c r="H135" t="s">
        <v>250</v>
      </c>
      <c r="I135">
        <f ca="1">B135-VLOOKUP(H135,INDIRECT("フレーム変換表!A$1:B$" &amp; フレーム変換表!$D$1),2,FALSE)*2</f>
        <v>33</v>
      </c>
      <c r="J135" t="str">
        <f ca="1">VLOOKUP(F135,INDIRECT("球種変換表!A$1:B$" &amp; 球種変換表!$D$1),2,)</f>
        <v>ストレート</v>
      </c>
      <c r="K135">
        <f t="shared" si="4"/>
        <v>6.8965517241379309E-3</v>
      </c>
      <c r="L135">
        <f t="shared" ca="1" si="5"/>
        <v>0.54791666666666672</v>
      </c>
    </row>
    <row r="136" spans="1:12" x14ac:dyDescent="0.55000000000000004">
      <c r="A136" t="s">
        <v>261</v>
      </c>
      <c r="B136">
        <v>59</v>
      </c>
      <c r="C136">
        <v>640</v>
      </c>
      <c r="D136">
        <v>601.5</v>
      </c>
      <c r="E136">
        <v>10.012589999999999</v>
      </c>
      <c r="F136" t="s">
        <v>14</v>
      </c>
      <c r="G136">
        <v>146</v>
      </c>
      <c r="H136" t="s">
        <v>250</v>
      </c>
      <c r="I136">
        <f ca="1">B136-VLOOKUP(H136,INDIRECT("フレーム変換表!A$1:B$" &amp; フレーム変換表!$D$1),2,FALSE)*2</f>
        <v>33</v>
      </c>
      <c r="J136" t="str">
        <f ca="1">VLOOKUP(F136,INDIRECT("球種変換表!A$1:B$" &amp; 球種変換表!$D$1),2,)</f>
        <v>ストレート</v>
      </c>
      <c r="K136">
        <f t="shared" si="4"/>
        <v>6.8493150684931503E-3</v>
      </c>
      <c r="L136">
        <f t="shared" ca="1" si="5"/>
        <v>0.54895833333333333</v>
      </c>
    </row>
    <row r="137" spans="1:12" x14ac:dyDescent="0.55000000000000004">
      <c r="A137" t="s">
        <v>262</v>
      </c>
      <c r="B137">
        <v>59</v>
      </c>
      <c r="C137">
        <v>646</v>
      </c>
      <c r="D137">
        <v>612</v>
      </c>
      <c r="E137">
        <v>10.0001</v>
      </c>
      <c r="F137" t="s">
        <v>14</v>
      </c>
      <c r="G137">
        <v>148</v>
      </c>
      <c r="H137" t="s">
        <v>250</v>
      </c>
      <c r="I137">
        <f ca="1">B137-VLOOKUP(H137,INDIRECT("フレーム変換表!A$1:B$" &amp; フレーム変換表!$D$1),2,FALSE)*2</f>
        <v>33</v>
      </c>
      <c r="J137" t="str">
        <f ca="1">VLOOKUP(F137,INDIRECT("球種変換表!A$1:B$" &amp; 球種変換表!$D$1),2,)</f>
        <v>ストレート</v>
      </c>
      <c r="K137">
        <f t="shared" si="4"/>
        <v>6.7567567567567571E-3</v>
      </c>
      <c r="L137">
        <f t="shared" ca="1" si="5"/>
        <v>0.54166666666666663</v>
      </c>
    </row>
    <row r="138" spans="1:12" x14ac:dyDescent="0.55000000000000004">
      <c r="A138" t="s">
        <v>264</v>
      </c>
      <c r="B138">
        <v>56</v>
      </c>
      <c r="C138">
        <v>640</v>
      </c>
      <c r="D138">
        <v>616.5</v>
      </c>
      <c r="E138">
        <v>10.012589999999999</v>
      </c>
      <c r="F138" t="s">
        <v>263</v>
      </c>
      <c r="G138">
        <v>144</v>
      </c>
      <c r="H138" t="s">
        <v>250</v>
      </c>
      <c r="I138">
        <f ca="1">B138-VLOOKUP(H138,INDIRECT("フレーム変換表!A$1:B$" &amp; フレーム変換表!$D$1),2,FALSE)*2</f>
        <v>30</v>
      </c>
      <c r="J138" t="e">
        <f ca="1">VLOOKUP(F138,INDIRECT("球種変換表!A$1:B$" &amp; 球種変換表!$D$1),2,)</f>
        <v>#N/A</v>
      </c>
      <c r="K138">
        <f t="shared" si="4"/>
        <v>6.9444444444444441E-3</v>
      </c>
      <c r="L138">
        <f t="shared" ca="1" si="5"/>
        <v>0.48854166666666665</v>
      </c>
    </row>
    <row r="139" spans="1:12" x14ac:dyDescent="0.55000000000000004">
      <c r="A139" t="s">
        <v>265</v>
      </c>
      <c r="B139">
        <v>55</v>
      </c>
      <c r="C139">
        <v>637.5</v>
      </c>
      <c r="D139">
        <v>600.5</v>
      </c>
      <c r="E139">
        <v>9.5132499999999993</v>
      </c>
      <c r="F139" t="s">
        <v>163</v>
      </c>
      <c r="G139">
        <v>148</v>
      </c>
      <c r="H139" t="s">
        <v>250</v>
      </c>
      <c r="I139">
        <f ca="1">B139-VLOOKUP(H139,INDIRECT("フレーム変換表!A$1:B$" &amp; フレーム変換表!$D$1),2,FALSE)*2</f>
        <v>29</v>
      </c>
      <c r="J139" t="str">
        <f ca="1">VLOOKUP(F139,INDIRECT("球種変換表!A$1:B$" &amp; 球種変換表!$D$1),2,)</f>
        <v>全力ストレート</v>
      </c>
      <c r="K139">
        <f t="shared" si="4"/>
        <v>6.7567567567567571E-3</v>
      </c>
      <c r="L139">
        <f t="shared" ca="1" si="5"/>
        <v>0.48298611111111112</v>
      </c>
    </row>
    <row r="140" spans="1:12" x14ac:dyDescent="0.55000000000000004">
      <c r="A140" t="s">
        <v>266</v>
      </c>
      <c r="B140">
        <v>57</v>
      </c>
      <c r="C140">
        <v>642.22222999999997</v>
      </c>
      <c r="D140">
        <v>650</v>
      </c>
      <c r="E140">
        <v>9.27637</v>
      </c>
      <c r="F140" t="s">
        <v>163</v>
      </c>
      <c r="G140">
        <v>145</v>
      </c>
      <c r="H140" t="s">
        <v>250</v>
      </c>
      <c r="I140">
        <f ca="1">B140-VLOOKUP(H140,INDIRECT("フレーム変換表!A$1:B$" &amp; フレーム変換表!$D$1),2,FALSE)*2</f>
        <v>31</v>
      </c>
      <c r="J140" t="str">
        <f ca="1">VLOOKUP(F140,INDIRECT("球種変換表!A$1:B$" &amp; 球種変換表!$D$1),2,)</f>
        <v>全力ストレート</v>
      </c>
      <c r="K140">
        <f t="shared" si="4"/>
        <v>6.8965517241379309E-3</v>
      </c>
      <c r="L140">
        <f t="shared" ca="1" si="5"/>
        <v>0.48194444444444445</v>
      </c>
    </row>
    <row r="141" spans="1:12" x14ac:dyDescent="0.55000000000000004">
      <c r="A141" t="s">
        <v>267</v>
      </c>
      <c r="B141">
        <v>57</v>
      </c>
      <c r="C141">
        <v>642.5</v>
      </c>
      <c r="D141">
        <v>646</v>
      </c>
      <c r="E141">
        <v>9.7083399999999997</v>
      </c>
      <c r="F141" t="s">
        <v>163</v>
      </c>
      <c r="G141">
        <v>144</v>
      </c>
      <c r="H141" t="s">
        <v>250</v>
      </c>
      <c r="I141">
        <f ca="1">B141-VLOOKUP(H141,INDIRECT("フレーム変換表!A$1:B$" &amp; フレーム変換表!$D$1),2,FALSE)*2</f>
        <v>31</v>
      </c>
      <c r="J141" t="str">
        <f ca="1">VLOOKUP(F141,INDIRECT("球種変換表!A$1:B$" &amp; 球種変換表!$D$1),2,)</f>
        <v>全力ストレート</v>
      </c>
      <c r="K141">
        <f t="shared" si="4"/>
        <v>6.9444444444444441E-3</v>
      </c>
      <c r="L141">
        <f t="shared" ca="1" si="5"/>
        <v>0.48472222222222222</v>
      </c>
    </row>
    <row r="142" spans="1:12" x14ac:dyDescent="0.55000000000000004">
      <c r="A142" t="s">
        <v>268</v>
      </c>
      <c r="B142">
        <v>56</v>
      </c>
      <c r="C142">
        <v>642</v>
      </c>
      <c r="D142">
        <v>626</v>
      </c>
      <c r="E142">
        <v>9.0000999999999998</v>
      </c>
      <c r="F142" t="s">
        <v>163</v>
      </c>
      <c r="G142">
        <v>147</v>
      </c>
      <c r="H142" t="s">
        <v>250</v>
      </c>
      <c r="I142">
        <f ca="1">B142-VLOOKUP(H142,INDIRECT("フレーム変換表!A$1:B$" &amp; フレーム変換表!$D$1),2,FALSE)*2</f>
        <v>30</v>
      </c>
      <c r="J142" t="str">
        <f ca="1">VLOOKUP(F142,INDIRECT("球種変換表!A$1:B$" &amp; 球種変換表!$D$1),2,)</f>
        <v>全力ストレート</v>
      </c>
      <c r="K142">
        <f t="shared" si="4"/>
        <v>6.8027210884353739E-3</v>
      </c>
      <c r="L142">
        <f t="shared" ca="1" si="5"/>
        <v>0.48194444444444445</v>
      </c>
    </row>
    <row r="143" spans="1:12" x14ac:dyDescent="0.55000000000000004">
      <c r="A143" t="s">
        <v>269</v>
      </c>
      <c r="B143">
        <v>57</v>
      </c>
      <c r="C143">
        <v>642.61767999999995</v>
      </c>
      <c r="D143">
        <v>651.5</v>
      </c>
      <c r="E143">
        <v>8.7472899999999996</v>
      </c>
      <c r="F143" t="s">
        <v>163</v>
      </c>
      <c r="G143">
        <v>146</v>
      </c>
      <c r="H143" t="s">
        <v>250</v>
      </c>
      <c r="I143">
        <f ca="1">B143-VLOOKUP(H143,INDIRECT("フレーム変換表!A$1:B$" &amp; フレーム変換表!$D$1),2,FALSE)*2</f>
        <v>31</v>
      </c>
      <c r="J143" t="str">
        <f ca="1">VLOOKUP(F143,INDIRECT("球種変換表!A$1:B$" &amp; 球種変換表!$D$1),2,)</f>
        <v>全力ストレート</v>
      </c>
      <c r="K143">
        <f t="shared" si="4"/>
        <v>6.8493150684931503E-3</v>
      </c>
      <c r="L143">
        <f t="shared" ca="1" si="5"/>
        <v>0.48090277777777779</v>
      </c>
    </row>
    <row r="144" spans="1:12" x14ac:dyDescent="0.55000000000000004">
      <c r="A144" t="s">
        <v>270</v>
      </c>
      <c r="B144">
        <v>56</v>
      </c>
      <c r="C144">
        <v>641.5</v>
      </c>
      <c r="D144">
        <v>626.5</v>
      </c>
      <c r="E144">
        <v>9.5132499999999993</v>
      </c>
      <c r="F144" t="s">
        <v>163</v>
      </c>
      <c r="G144">
        <v>147</v>
      </c>
      <c r="H144" t="s">
        <v>250</v>
      </c>
      <c r="I144">
        <f ca="1">B144-VLOOKUP(H144,INDIRECT("フレーム変換表!A$1:B$" &amp; フレーム変換表!$D$1),2,FALSE)*2</f>
        <v>30</v>
      </c>
      <c r="J144" t="str">
        <f ca="1">VLOOKUP(F144,INDIRECT("球種変換表!A$1:B$" &amp; 球種変換表!$D$1),2,)</f>
        <v>全力ストレート</v>
      </c>
      <c r="K144">
        <f t="shared" si="4"/>
        <v>6.8027210884353739E-3</v>
      </c>
      <c r="L144">
        <f t="shared" ca="1" si="5"/>
        <v>0.48159722222222218</v>
      </c>
    </row>
    <row r="145" spans="1:12" x14ac:dyDescent="0.55000000000000004">
      <c r="A145" t="s">
        <v>271</v>
      </c>
      <c r="B145">
        <v>56</v>
      </c>
      <c r="C145">
        <v>642</v>
      </c>
      <c r="D145">
        <v>630</v>
      </c>
      <c r="E145">
        <v>10.0001</v>
      </c>
      <c r="F145" t="s">
        <v>163</v>
      </c>
      <c r="G145">
        <v>148</v>
      </c>
      <c r="H145" t="s">
        <v>250</v>
      </c>
      <c r="I145">
        <f ca="1">B145-VLOOKUP(H145,INDIRECT("フレーム変換表!A$1:B$" &amp; フレーム変換表!$D$1),2,FALSE)*2</f>
        <v>30</v>
      </c>
      <c r="J145" t="str">
        <f ca="1">VLOOKUP(F145,INDIRECT("球種変換表!A$1:B$" &amp; 球種変換表!$D$1),2,)</f>
        <v>全力ストレート</v>
      </c>
      <c r="K145">
        <f t="shared" si="4"/>
        <v>6.7567567567567571E-3</v>
      </c>
      <c r="L145">
        <f t="shared" ca="1" si="5"/>
        <v>0.47916666666666669</v>
      </c>
    </row>
    <row r="146" spans="1:12" x14ac:dyDescent="0.55000000000000004">
      <c r="A146" t="s">
        <v>272</v>
      </c>
      <c r="B146">
        <v>56</v>
      </c>
      <c r="C146">
        <v>640</v>
      </c>
      <c r="D146">
        <v>615.5</v>
      </c>
      <c r="E146">
        <v>10.012589999999999</v>
      </c>
      <c r="F146" t="s">
        <v>163</v>
      </c>
      <c r="G146">
        <v>141</v>
      </c>
      <c r="H146" t="s">
        <v>250</v>
      </c>
      <c r="I146">
        <f ca="1">B146-VLOOKUP(H146,INDIRECT("フレーム変換表!A$1:B$" &amp; フレーム変換表!$D$1),2,FALSE)*2</f>
        <v>30</v>
      </c>
      <c r="J146" t="str">
        <f ca="1">VLOOKUP(F146,INDIRECT("球種変換表!A$1:B$" &amp; 球種変換表!$D$1),2,)</f>
        <v>全力ストレート</v>
      </c>
      <c r="K146">
        <f t="shared" si="4"/>
        <v>7.0921985815602835E-3</v>
      </c>
      <c r="L146">
        <f t="shared" ca="1" si="5"/>
        <v>0.48923611111111115</v>
      </c>
    </row>
    <row r="147" spans="1:12" x14ac:dyDescent="0.55000000000000004">
      <c r="A147" t="s">
        <v>273</v>
      </c>
      <c r="B147">
        <v>57</v>
      </c>
      <c r="C147">
        <v>642.22222999999997</v>
      </c>
      <c r="D147">
        <v>648</v>
      </c>
      <c r="E147">
        <v>9.27637</v>
      </c>
      <c r="F147" t="s">
        <v>170</v>
      </c>
      <c r="G147">
        <v>144</v>
      </c>
      <c r="H147" t="s">
        <v>250</v>
      </c>
      <c r="I147">
        <f ca="1">B147-VLOOKUP(H147,INDIRECT("フレーム変換表!A$1:B$" &amp; フレーム変換表!$D$1),2,FALSE)*2</f>
        <v>31</v>
      </c>
      <c r="J147" t="str">
        <f ca="1">VLOOKUP(F147,INDIRECT("球種変換表!A$1:B$" &amp; 球種変換表!$D$1),2,)</f>
        <v>全力ストレート</v>
      </c>
      <c r="K147">
        <f t="shared" si="4"/>
        <v>6.9444444444444441E-3</v>
      </c>
      <c r="L147">
        <f t="shared" ca="1" si="5"/>
        <v>0.48333333333333334</v>
      </c>
    </row>
    <row r="148" spans="1:12" x14ac:dyDescent="0.55000000000000004">
      <c r="A148" t="s">
        <v>275</v>
      </c>
      <c r="B148">
        <v>63</v>
      </c>
      <c r="C148">
        <v>656</v>
      </c>
      <c r="D148">
        <v>622</v>
      </c>
      <c r="E148">
        <v>10.0001</v>
      </c>
      <c r="F148" t="s">
        <v>274</v>
      </c>
      <c r="G148">
        <v>140</v>
      </c>
      <c r="H148" t="s">
        <v>250</v>
      </c>
      <c r="I148">
        <f ca="1">B148-VLOOKUP(H148,INDIRECT("フレーム変換表!A$1:B$" &amp; フレーム変換表!$D$1),2,FALSE)*2</f>
        <v>37</v>
      </c>
      <c r="J148" t="str">
        <f ca="1">VLOOKUP(F148,INDIRECT("球種変換表!A$1:B$" &amp; 球種変換表!$D$1),2,)</f>
        <v>カットボール</v>
      </c>
      <c r="K148">
        <f t="shared" si="4"/>
        <v>7.1428571428571426E-3</v>
      </c>
      <c r="L148">
        <f t="shared" ca="1" si="5"/>
        <v>0.60138888888888897</v>
      </c>
    </row>
    <row r="149" spans="1:12" x14ac:dyDescent="0.55000000000000004">
      <c r="A149" t="s">
        <v>276</v>
      </c>
      <c r="B149">
        <v>64</v>
      </c>
      <c r="C149">
        <v>649</v>
      </c>
      <c r="D149">
        <v>643</v>
      </c>
      <c r="E149">
        <v>12.041689999999999</v>
      </c>
      <c r="F149" t="s">
        <v>274</v>
      </c>
      <c r="G149">
        <v>139</v>
      </c>
      <c r="H149" t="s">
        <v>250</v>
      </c>
      <c r="I149">
        <f ca="1">B149-VLOOKUP(H149,INDIRECT("フレーム変換表!A$1:B$" &amp; フレーム変換表!$D$1),2,FALSE)*2</f>
        <v>38</v>
      </c>
      <c r="J149" t="str">
        <f ca="1">VLOOKUP(F149,INDIRECT("球種変換表!A$1:B$" &amp; 球種変換表!$D$1),2,)</f>
        <v>カットボール</v>
      </c>
      <c r="K149">
        <f t="shared" si="4"/>
        <v>7.1942446043165471E-3</v>
      </c>
      <c r="L149">
        <f t="shared" ca="1" si="5"/>
        <v>0.6034722222222223</v>
      </c>
    </row>
    <row r="150" spans="1:12" x14ac:dyDescent="0.55000000000000004">
      <c r="A150" t="s">
        <v>277</v>
      </c>
      <c r="B150">
        <v>62</v>
      </c>
      <c r="C150">
        <v>652</v>
      </c>
      <c r="D150">
        <v>604</v>
      </c>
      <c r="E150">
        <v>10.0001</v>
      </c>
      <c r="F150" t="s">
        <v>274</v>
      </c>
      <c r="G150">
        <v>140</v>
      </c>
      <c r="H150" t="s">
        <v>250</v>
      </c>
      <c r="I150">
        <f ca="1">B150-VLOOKUP(H150,INDIRECT("フレーム変換表!A$1:B$" &amp; フレーム変換表!$D$1),2,FALSE)*2</f>
        <v>36</v>
      </c>
      <c r="J150" t="str">
        <f ca="1">VLOOKUP(F150,INDIRECT("球種変換表!A$1:B$" &amp; 球種変換表!$D$1),2,)</f>
        <v>カットボール</v>
      </c>
      <c r="K150">
        <f t="shared" si="4"/>
        <v>7.1428571428571426E-3</v>
      </c>
      <c r="L150">
        <f t="shared" ca="1" si="5"/>
        <v>0.59722222222222221</v>
      </c>
    </row>
    <row r="151" spans="1:12" x14ac:dyDescent="0.55000000000000004">
      <c r="A151" t="s">
        <v>278</v>
      </c>
      <c r="B151">
        <v>63</v>
      </c>
      <c r="C151">
        <v>645</v>
      </c>
      <c r="D151">
        <v>624.5</v>
      </c>
      <c r="E151">
        <v>10.012589999999999</v>
      </c>
      <c r="F151" t="s">
        <v>274</v>
      </c>
      <c r="G151">
        <v>146</v>
      </c>
      <c r="H151" t="s">
        <v>250</v>
      </c>
      <c r="I151">
        <f ca="1">B151-VLOOKUP(H151,INDIRECT("フレーム変換表!A$1:B$" &amp; フレーム変換表!$D$1),2,FALSE)*2</f>
        <v>37</v>
      </c>
      <c r="J151" t="str">
        <f ca="1">VLOOKUP(F151,INDIRECT("球種変換表!A$1:B$" &amp; 球種変換表!$D$1),2,)</f>
        <v>カットボール</v>
      </c>
      <c r="K151">
        <f t="shared" si="4"/>
        <v>6.8493150684931503E-3</v>
      </c>
      <c r="L151">
        <f t="shared" ca="1" si="5"/>
        <v>0.5996527777777777</v>
      </c>
    </row>
    <row r="152" spans="1:12" x14ac:dyDescent="0.55000000000000004">
      <c r="A152" t="s">
        <v>279</v>
      </c>
      <c r="B152">
        <v>63</v>
      </c>
      <c r="C152">
        <v>660.5</v>
      </c>
      <c r="D152">
        <v>623.5</v>
      </c>
      <c r="E152">
        <v>10.512</v>
      </c>
      <c r="F152" t="s">
        <v>274</v>
      </c>
      <c r="G152">
        <v>140</v>
      </c>
      <c r="H152" t="s">
        <v>250</v>
      </c>
      <c r="I152">
        <f ca="1">B152-VLOOKUP(H152,INDIRECT("フレーム変換表!A$1:B$" &amp; フレーム変換表!$D$1),2,FALSE)*2</f>
        <v>37</v>
      </c>
      <c r="J152" t="str">
        <f ca="1">VLOOKUP(F152,INDIRECT("球種変換表!A$1:B$" &amp; 球種変換表!$D$1),2,)</f>
        <v>カットボール</v>
      </c>
      <c r="K152">
        <f t="shared" si="4"/>
        <v>7.1428571428571426E-3</v>
      </c>
      <c r="L152">
        <f t="shared" ca="1" si="5"/>
        <v>0.60034722222222225</v>
      </c>
    </row>
    <row r="153" spans="1:12" hidden="1" x14ac:dyDescent="0.55000000000000004">
      <c r="A153" t="s">
        <v>281</v>
      </c>
      <c r="B153">
        <v>63</v>
      </c>
      <c r="C153">
        <v>636.5</v>
      </c>
      <c r="D153">
        <v>614</v>
      </c>
      <c r="E153">
        <v>10.5001</v>
      </c>
      <c r="F153" t="s">
        <v>274</v>
      </c>
      <c r="G153" t="s">
        <v>280</v>
      </c>
      <c r="H153" t="s">
        <v>250</v>
      </c>
      <c r="I153">
        <f ca="1">B153-VLOOKUP(H153,INDIRECT("フレーム変換表!A$1:B$" &amp; フレーム変換表!$D$1),2,FALSE)*2</f>
        <v>37</v>
      </c>
      <c r="J153" t="str">
        <f ca="1">VLOOKUP(F153,INDIRECT("球種変換表!A$1:B$" &amp; 球種変換表!$D$1),2,)</f>
        <v>カットボール</v>
      </c>
      <c r="K153" t="e">
        <f t="shared" si="4"/>
        <v>#VALUE!</v>
      </c>
      <c r="L153">
        <f t="shared" ca="1" si="5"/>
        <v>0.6069444444444444</v>
      </c>
    </row>
    <row r="154" spans="1:12" x14ac:dyDescent="0.55000000000000004">
      <c r="A154" t="s">
        <v>282</v>
      </c>
      <c r="B154">
        <v>64</v>
      </c>
      <c r="C154">
        <v>649.02080999999998</v>
      </c>
      <c r="D154">
        <v>640</v>
      </c>
      <c r="E154">
        <v>12.020949999999999</v>
      </c>
      <c r="F154" t="s">
        <v>274</v>
      </c>
      <c r="G154">
        <v>135</v>
      </c>
      <c r="H154" t="s">
        <v>250</v>
      </c>
      <c r="I154">
        <f ca="1">B154-VLOOKUP(H154,INDIRECT("フレーム変換表!A$1:B$" &amp; フレーム変換表!$D$1),2,FALSE)*2</f>
        <v>38</v>
      </c>
      <c r="J154" t="str">
        <f ca="1">VLOOKUP(F154,INDIRECT("球種変換表!A$1:B$" &amp; 球種変換表!$D$1),2,)</f>
        <v>カットボール</v>
      </c>
      <c r="K154">
        <f t="shared" si="4"/>
        <v>7.4074074074074077E-3</v>
      </c>
      <c r="L154">
        <f t="shared" ca="1" si="5"/>
        <v>0.60555555555555562</v>
      </c>
    </row>
    <row r="155" spans="1:12" x14ac:dyDescent="0.55000000000000004">
      <c r="A155" t="s">
        <v>283</v>
      </c>
      <c r="B155">
        <v>63</v>
      </c>
      <c r="C155">
        <v>643</v>
      </c>
      <c r="D155">
        <v>612</v>
      </c>
      <c r="E155">
        <v>10.0001</v>
      </c>
      <c r="F155" t="s">
        <v>274</v>
      </c>
      <c r="G155">
        <v>137</v>
      </c>
      <c r="H155" t="s">
        <v>250</v>
      </c>
      <c r="I155">
        <f ca="1">B155-VLOOKUP(H155,INDIRECT("フレーム変換表!A$1:B$" &amp; フレーム変換表!$D$1),2,FALSE)*2</f>
        <v>37</v>
      </c>
      <c r="J155" t="str">
        <f ca="1">VLOOKUP(F155,INDIRECT("球種変換表!A$1:B$" &amp; 球種変換表!$D$1),2,)</f>
        <v>カットボール</v>
      </c>
      <c r="K155">
        <f t="shared" si="4"/>
        <v>7.2992700729927005E-3</v>
      </c>
      <c r="L155">
        <f t="shared" ca="1" si="5"/>
        <v>0.60833333333333328</v>
      </c>
    </row>
    <row r="156" spans="1:12" x14ac:dyDescent="0.55000000000000004">
      <c r="A156" t="s">
        <v>284</v>
      </c>
      <c r="B156">
        <v>63</v>
      </c>
      <c r="C156">
        <v>633</v>
      </c>
      <c r="D156">
        <v>618</v>
      </c>
      <c r="E156">
        <v>10.0001</v>
      </c>
      <c r="F156" t="s">
        <v>274</v>
      </c>
      <c r="G156">
        <v>139</v>
      </c>
      <c r="H156" t="s">
        <v>250</v>
      </c>
      <c r="I156">
        <f ca="1">B156-VLOOKUP(H156,INDIRECT("フレーム変換表!A$1:B$" &amp; フレーム変換表!$D$1),2,FALSE)*2</f>
        <v>37</v>
      </c>
      <c r="J156" t="str">
        <f ca="1">VLOOKUP(F156,INDIRECT("球種変換表!A$1:B$" &amp; 球種変換表!$D$1),2,)</f>
        <v>カットボール</v>
      </c>
      <c r="K156">
        <f t="shared" si="4"/>
        <v>7.1942446043165471E-3</v>
      </c>
      <c r="L156">
        <f t="shared" ca="1" si="5"/>
        <v>0.60416666666666663</v>
      </c>
    </row>
    <row r="157" spans="1:12" x14ac:dyDescent="0.55000000000000004">
      <c r="A157" t="s">
        <v>285</v>
      </c>
      <c r="B157">
        <v>63</v>
      </c>
      <c r="C157">
        <v>650.5</v>
      </c>
      <c r="D157">
        <v>608.5</v>
      </c>
      <c r="E157">
        <v>9.5132499999999993</v>
      </c>
      <c r="F157" t="s">
        <v>274</v>
      </c>
      <c r="G157">
        <v>136</v>
      </c>
      <c r="H157" t="s">
        <v>250</v>
      </c>
      <c r="I157">
        <f ca="1">B157-VLOOKUP(H157,INDIRECT("フレーム変換表!A$1:B$" &amp; フレーム変換表!$D$1),2,FALSE)*2</f>
        <v>37</v>
      </c>
      <c r="J157" t="str">
        <f ca="1">VLOOKUP(F157,INDIRECT("球種変換表!A$1:B$" &amp; 球種変換表!$D$1),2,)</f>
        <v>カットボール</v>
      </c>
      <c r="K157">
        <f t="shared" si="4"/>
        <v>7.3529411764705881E-3</v>
      </c>
      <c r="L157">
        <f t="shared" ca="1" si="5"/>
        <v>0.61076388888888888</v>
      </c>
    </row>
    <row r="158" spans="1:12" x14ac:dyDescent="0.55000000000000004">
      <c r="A158" t="s">
        <v>287</v>
      </c>
      <c r="B158">
        <v>74</v>
      </c>
      <c r="C158">
        <v>622</v>
      </c>
      <c r="D158">
        <v>602</v>
      </c>
      <c r="E158">
        <v>10.0001</v>
      </c>
      <c r="F158" t="s">
        <v>286</v>
      </c>
      <c r="G158">
        <v>118</v>
      </c>
      <c r="H158" t="s">
        <v>250</v>
      </c>
      <c r="I158">
        <f ca="1">B158-VLOOKUP(H158,INDIRECT("フレーム変換表!A$1:B$" &amp; フレーム変換表!$D$1),2,FALSE)*2</f>
        <v>48</v>
      </c>
      <c r="J158" t="str">
        <f ca="1">VLOOKUP(F158,INDIRECT("球種変換表!A$1:B$" &amp; 球種変換表!$D$1),2,)</f>
        <v>ナックルカーブ</v>
      </c>
      <c r="K158">
        <f t="shared" si="4"/>
        <v>8.4745762711864406E-3</v>
      </c>
      <c r="L158">
        <f t="shared" ca="1" si="5"/>
        <v>0.79861111111111105</v>
      </c>
    </row>
    <row r="159" spans="1:12" x14ac:dyDescent="0.55000000000000004">
      <c r="A159" t="s">
        <v>288</v>
      </c>
      <c r="B159">
        <v>74</v>
      </c>
      <c r="C159">
        <v>639.5</v>
      </c>
      <c r="D159">
        <v>605</v>
      </c>
      <c r="E159">
        <v>10.5001</v>
      </c>
      <c r="F159" t="s">
        <v>286</v>
      </c>
      <c r="G159">
        <v>119</v>
      </c>
      <c r="H159" t="s">
        <v>250</v>
      </c>
      <c r="I159">
        <f ca="1">B159-VLOOKUP(H159,INDIRECT("フレーム変換表!A$1:B$" &amp; フレーム変換表!$D$1),2,FALSE)*2</f>
        <v>48</v>
      </c>
      <c r="J159" t="str">
        <f ca="1">VLOOKUP(F159,INDIRECT("球種変換表!A$1:B$" &amp; 球種変換表!$D$1),2,)</f>
        <v>ナックルカーブ</v>
      </c>
      <c r="K159">
        <f t="shared" si="4"/>
        <v>8.4033613445378148E-3</v>
      </c>
      <c r="L159">
        <f t="shared" ca="1" si="5"/>
        <v>0.79652777777777772</v>
      </c>
    </row>
    <row r="160" spans="1:12" x14ac:dyDescent="0.55000000000000004">
      <c r="A160" t="s">
        <v>289</v>
      </c>
      <c r="B160">
        <v>74</v>
      </c>
      <c r="C160">
        <v>642</v>
      </c>
      <c r="D160">
        <v>602.5</v>
      </c>
      <c r="E160">
        <v>10.012589999999999</v>
      </c>
      <c r="F160" t="s">
        <v>286</v>
      </c>
      <c r="G160">
        <v>118</v>
      </c>
      <c r="H160" t="s">
        <v>250</v>
      </c>
      <c r="I160">
        <f ca="1">B160-VLOOKUP(H160,INDIRECT("フレーム変換表!A$1:B$" &amp; フレーム変換表!$D$1),2,FALSE)*2</f>
        <v>48</v>
      </c>
      <c r="J160" t="str">
        <f ca="1">VLOOKUP(F160,INDIRECT("球種変換表!A$1:B$" &amp; 球種変換表!$D$1),2,)</f>
        <v>ナックルカーブ</v>
      </c>
      <c r="K160">
        <f t="shared" si="4"/>
        <v>8.4745762711864406E-3</v>
      </c>
      <c r="L160">
        <f t="shared" ca="1" si="5"/>
        <v>0.79826388888888888</v>
      </c>
    </row>
    <row r="161" spans="1:12" x14ac:dyDescent="0.55000000000000004">
      <c r="A161" t="s">
        <v>290</v>
      </c>
      <c r="B161">
        <v>75</v>
      </c>
      <c r="C161">
        <v>654</v>
      </c>
      <c r="D161">
        <v>614</v>
      </c>
      <c r="E161">
        <v>10.0001</v>
      </c>
      <c r="F161" t="s">
        <v>286</v>
      </c>
      <c r="G161">
        <v>118</v>
      </c>
      <c r="H161" t="s">
        <v>250</v>
      </c>
      <c r="I161">
        <f ca="1">B161-VLOOKUP(H161,INDIRECT("フレーム変換表!A$1:B$" &amp; フレーム変換表!$D$1),2,FALSE)*2</f>
        <v>49</v>
      </c>
      <c r="J161" t="str">
        <f ca="1">VLOOKUP(F161,INDIRECT("球種変換表!A$1:B$" &amp; 球種変換表!$D$1),2,)</f>
        <v>ナックルカーブ</v>
      </c>
      <c r="K161">
        <f t="shared" si="4"/>
        <v>8.4745762711864406E-3</v>
      </c>
      <c r="L161">
        <f t="shared" ca="1" si="5"/>
        <v>0.80694444444444435</v>
      </c>
    </row>
    <row r="162" spans="1:12" x14ac:dyDescent="0.55000000000000004">
      <c r="A162" t="s">
        <v>291</v>
      </c>
      <c r="B162">
        <v>75</v>
      </c>
      <c r="C162">
        <v>668</v>
      </c>
      <c r="D162">
        <v>619.5</v>
      </c>
      <c r="E162">
        <v>10.012589999999999</v>
      </c>
      <c r="F162" t="s">
        <v>286</v>
      </c>
      <c r="G162">
        <v>119</v>
      </c>
      <c r="H162" t="s">
        <v>250</v>
      </c>
      <c r="I162">
        <f ca="1">B162-VLOOKUP(H162,INDIRECT("フレーム変換表!A$1:B$" &amp; フレーム変換表!$D$1),2,FALSE)*2</f>
        <v>49</v>
      </c>
      <c r="J162" t="str">
        <f ca="1">VLOOKUP(F162,INDIRECT("球種変換表!A$1:B$" &amp; 球種変換表!$D$1),2,)</f>
        <v>ナックルカーブ</v>
      </c>
      <c r="K162">
        <f t="shared" si="4"/>
        <v>8.4033613445378148E-3</v>
      </c>
      <c r="L162">
        <f t="shared" ca="1" si="5"/>
        <v>0.80312499999999998</v>
      </c>
    </row>
    <row r="163" spans="1:12" x14ac:dyDescent="0.55000000000000004">
      <c r="A163" t="s">
        <v>292</v>
      </c>
      <c r="B163">
        <v>78</v>
      </c>
      <c r="C163">
        <v>675.52173000000005</v>
      </c>
      <c r="D163">
        <v>662</v>
      </c>
      <c r="E163">
        <v>11.521850000000001</v>
      </c>
      <c r="F163" t="s">
        <v>286</v>
      </c>
      <c r="G163">
        <v>117</v>
      </c>
      <c r="H163" t="s">
        <v>250</v>
      </c>
      <c r="I163">
        <f ca="1">B163-VLOOKUP(H163,INDIRECT("フレーム変換表!A$1:B$" &amp; フレーム変換表!$D$1),2,FALSE)*2</f>
        <v>52</v>
      </c>
      <c r="J163" t="str">
        <f ca="1">VLOOKUP(F163,INDIRECT("球種変換表!A$1:B$" &amp; 球種変換表!$D$1),2,)</f>
        <v>ナックルカーブ</v>
      </c>
      <c r="K163">
        <f t="shared" si="4"/>
        <v>8.5470085470085479E-3</v>
      </c>
      <c r="L163">
        <f t="shared" ca="1" si="5"/>
        <v>0.82361111111111107</v>
      </c>
    </row>
    <row r="164" spans="1:12" x14ac:dyDescent="0.55000000000000004">
      <c r="A164" t="s">
        <v>293</v>
      </c>
      <c r="B164">
        <v>75</v>
      </c>
      <c r="C164">
        <v>630.5</v>
      </c>
      <c r="D164">
        <v>619</v>
      </c>
      <c r="E164">
        <v>10.5001</v>
      </c>
      <c r="F164" t="s">
        <v>286</v>
      </c>
      <c r="G164">
        <v>111</v>
      </c>
      <c r="H164" t="s">
        <v>250</v>
      </c>
      <c r="I164">
        <f ca="1">B164-VLOOKUP(H164,INDIRECT("フレーム変換表!A$1:B$" &amp; フレーム変換表!$D$1),2,FALSE)*2</f>
        <v>49</v>
      </c>
      <c r="J164" t="str">
        <f ca="1">VLOOKUP(F164,INDIRECT("球種変換表!A$1:B$" &amp; 球種変換表!$D$1),2,)</f>
        <v>ナックルカーブ</v>
      </c>
      <c r="K164">
        <f t="shared" si="4"/>
        <v>9.0090090090090089E-3</v>
      </c>
      <c r="L164">
        <f t="shared" ca="1" si="5"/>
        <v>0.80347222222222225</v>
      </c>
    </row>
    <row r="165" spans="1:12" x14ac:dyDescent="0.55000000000000004">
      <c r="A165" t="s">
        <v>295</v>
      </c>
      <c r="B165">
        <v>75</v>
      </c>
      <c r="C165">
        <v>654</v>
      </c>
      <c r="D165">
        <v>607</v>
      </c>
      <c r="E165">
        <v>10.0001</v>
      </c>
      <c r="F165" t="s">
        <v>294</v>
      </c>
      <c r="G165">
        <v>116</v>
      </c>
      <c r="H165" t="s">
        <v>250</v>
      </c>
      <c r="I165">
        <f ca="1">B165-VLOOKUP(H165,INDIRECT("フレーム変換表!A$1:B$" &amp; フレーム変換表!$D$1),2,FALSE)*2</f>
        <v>49</v>
      </c>
      <c r="J165" t="str">
        <f ca="1">VLOOKUP(F165,INDIRECT("球種変換表!A$1:B$" &amp; 球種変換表!$D$1),2,)</f>
        <v>ナックルカーブ</v>
      </c>
      <c r="K165">
        <f t="shared" si="4"/>
        <v>8.6206896551724137E-3</v>
      </c>
      <c r="L165">
        <f t="shared" ca="1" si="5"/>
        <v>0.81180555555555556</v>
      </c>
    </row>
    <row r="166" spans="1:12" x14ac:dyDescent="0.55000000000000004">
      <c r="A166" t="s">
        <v>296</v>
      </c>
      <c r="B166">
        <v>75</v>
      </c>
      <c r="C166">
        <v>643.5</v>
      </c>
      <c r="D166">
        <v>619.5</v>
      </c>
      <c r="E166">
        <v>10.512</v>
      </c>
      <c r="F166" t="s">
        <v>286</v>
      </c>
      <c r="G166">
        <v>119</v>
      </c>
      <c r="H166" t="s">
        <v>250</v>
      </c>
      <c r="I166">
        <f ca="1">B166-VLOOKUP(H166,INDIRECT("フレーム変換表!A$1:B$" &amp; フレーム変換表!$D$1),2,FALSE)*2</f>
        <v>49</v>
      </c>
      <c r="J166" t="str">
        <f ca="1">VLOOKUP(F166,INDIRECT("球種変換表!A$1:B$" &amp; 球種変換表!$D$1),2,)</f>
        <v>ナックルカーブ</v>
      </c>
      <c r="K166">
        <f t="shared" si="4"/>
        <v>8.4033613445378148E-3</v>
      </c>
      <c r="L166">
        <f t="shared" ca="1" si="5"/>
        <v>0.80312499999999998</v>
      </c>
    </row>
    <row r="167" spans="1:12" x14ac:dyDescent="0.55000000000000004">
      <c r="A167" t="s">
        <v>297</v>
      </c>
      <c r="B167">
        <v>75</v>
      </c>
      <c r="C167">
        <v>653</v>
      </c>
      <c r="D167">
        <v>610.5</v>
      </c>
      <c r="E167">
        <v>10.012589999999999</v>
      </c>
      <c r="F167" t="s">
        <v>286</v>
      </c>
      <c r="G167">
        <v>117</v>
      </c>
      <c r="H167" t="s">
        <v>250</v>
      </c>
      <c r="I167">
        <f ca="1">B167-VLOOKUP(H167,INDIRECT("フレーム変換表!A$1:B$" &amp; フレーム変換表!$D$1),2,FALSE)*2</f>
        <v>49</v>
      </c>
      <c r="J167" t="str">
        <f ca="1">VLOOKUP(F167,INDIRECT("球種変換表!A$1:B$" &amp; 球種変換表!$D$1),2,)</f>
        <v>ナックルカーブ</v>
      </c>
      <c r="K167">
        <f t="shared" si="4"/>
        <v>8.5470085470085479E-3</v>
      </c>
      <c r="L167">
        <f t="shared" ca="1" si="5"/>
        <v>0.80937499999999996</v>
      </c>
    </row>
    <row r="168" spans="1:12" x14ac:dyDescent="0.55000000000000004">
      <c r="A168" t="s">
        <v>298</v>
      </c>
      <c r="B168">
        <v>65</v>
      </c>
      <c r="C168">
        <v>631.5</v>
      </c>
      <c r="D168">
        <v>630.5</v>
      </c>
      <c r="E168">
        <v>11.510960000000001</v>
      </c>
      <c r="F168" t="s">
        <v>102</v>
      </c>
      <c r="G168">
        <v>125</v>
      </c>
      <c r="H168" t="s">
        <v>250</v>
      </c>
      <c r="I168">
        <f ca="1">B168-VLOOKUP(H168,INDIRECT("フレーム変換表!A$1:B$" &amp; フレーム変換表!$D$1),2,FALSE)*2</f>
        <v>39</v>
      </c>
      <c r="J168" t="str">
        <f ca="1">VLOOKUP(F168,INDIRECT("球種変換表!A$1:B$" &amp; 球種変換表!$D$1),2,)</f>
        <v>フォーク</v>
      </c>
      <c r="K168">
        <f t="shared" si="4"/>
        <v>8.0000000000000002E-3</v>
      </c>
      <c r="L168">
        <f t="shared" ca="1" si="5"/>
        <v>0.62881944444444438</v>
      </c>
    </row>
    <row r="169" spans="1:12" x14ac:dyDescent="0.55000000000000004">
      <c r="A169" t="s">
        <v>300</v>
      </c>
      <c r="B169">
        <v>63</v>
      </c>
      <c r="C169">
        <v>637</v>
      </c>
      <c r="D169">
        <v>605.5</v>
      </c>
      <c r="E169">
        <v>10.012589999999999</v>
      </c>
      <c r="F169" t="s">
        <v>299</v>
      </c>
      <c r="G169">
        <v>129</v>
      </c>
      <c r="H169" t="s">
        <v>250</v>
      </c>
      <c r="I169">
        <f ca="1">B169-VLOOKUP(H169,INDIRECT("フレーム変換表!A$1:B$" &amp; フレーム変換表!$D$1),2,FALSE)*2</f>
        <v>37</v>
      </c>
      <c r="J169" t="str">
        <f ca="1">VLOOKUP(F169,INDIRECT("球種変換表!A$1:B$" &amp; 球種変換表!$D$1),2,)</f>
        <v>フォーク</v>
      </c>
      <c r="K169">
        <f t="shared" si="4"/>
        <v>7.7519379844961239E-3</v>
      </c>
      <c r="L169">
        <f t="shared" ca="1" si="5"/>
        <v>0.61284722222222221</v>
      </c>
    </row>
    <row r="170" spans="1:12" x14ac:dyDescent="0.55000000000000004">
      <c r="A170" t="s">
        <v>302</v>
      </c>
      <c r="B170">
        <v>65</v>
      </c>
      <c r="C170">
        <v>630.5</v>
      </c>
      <c r="D170">
        <v>633</v>
      </c>
      <c r="E170">
        <v>11.5435</v>
      </c>
      <c r="F170" t="s">
        <v>301</v>
      </c>
      <c r="G170">
        <v>125</v>
      </c>
      <c r="H170" t="s">
        <v>250</v>
      </c>
      <c r="I170">
        <f ca="1">B170-VLOOKUP(H170,INDIRECT("フレーム変換表!A$1:B$" &amp; フレーム変換表!$D$1),2,FALSE)*2</f>
        <v>39</v>
      </c>
      <c r="J170" t="str">
        <f ca="1">VLOOKUP(F170,INDIRECT("球種変換表!A$1:B$" &amp; 球種変換表!$D$1),2,)</f>
        <v>フォーク</v>
      </c>
      <c r="K170">
        <f t="shared" si="4"/>
        <v>8.0000000000000002E-3</v>
      </c>
      <c r="L170">
        <f t="shared" ca="1" si="5"/>
        <v>0.62708333333333333</v>
      </c>
    </row>
    <row r="171" spans="1:12" x14ac:dyDescent="0.55000000000000004">
      <c r="A171" t="s">
        <v>303</v>
      </c>
      <c r="B171">
        <v>64</v>
      </c>
      <c r="C171">
        <v>634</v>
      </c>
      <c r="D171">
        <v>618.5</v>
      </c>
      <c r="E171">
        <v>10.012589999999999</v>
      </c>
      <c r="F171" t="s">
        <v>105</v>
      </c>
      <c r="G171">
        <v>127</v>
      </c>
      <c r="H171" t="s">
        <v>250</v>
      </c>
      <c r="I171">
        <f ca="1">B171-VLOOKUP(H171,INDIRECT("フレーム変換表!A$1:B$" &amp; フレーム変換表!$D$1),2,FALSE)*2</f>
        <v>38</v>
      </c>
      <c r="J171" t="str">
        <f ca="1">VLOOKUP(F171,INDIRECT("球種変換表!A$1:B$" &amp; 球種変換表!$D$1),2,)</f>
        <v>フォーク</v>
      </c>
      <c r="K171">
        <f t="shared" si="4"/>
        <v>7.874015748031496E-3</v>
      </c>
      <c r="L171">
        <f t="shared" ca="1" si="5"/>
        <v>0.62048611111111107</v>
      </c>
    </row>
    <row r="172" spans="1:12" x14ac:dyDescent="0.55000000000000004">
      <c r="A172" t="s">
        <v>304</v>
      </c>
      <c r="B172">
        <v>64</v>
      </c>
      <c r="C172">
        <v>651</v>
      </c>
      <c r="D172">
        <v>623.5</v>
      </c>
      <c r="E172">
        <v>10.012589999999999</v>
      </c>
      <c r="F172" t="s">
        <v>105</v>
      </c>
      <c r="G172">
        <v>128</v>
      </c>
      <c r="H172" t="s">
        <v>250</v>
      </c>
      <c r="I172">
        <f ca="1">B172-VLOOKUP(H172,INDIRECT("フレーム変換表!A$1:B$" &amp; フレーム変換表!$D$1),2,FALSE)*2</f>
        <v>38</v>
      </c>
      <c r="J172" t="str">
        <f ca="1">VLOOKUP(F172,INDIRECT("球種変換表!A$1:B$" &amp; 球種変換表!$D$1),2,)</f>
        <v>フォーク</v>
      </c>
      <c r="K172">
        <f t="shared" si="4"/>
        <v>7.8125E-3</v>
      </c>
      <c r="L172">
        <f t="shared" ca="1" si="5"/>
        <v>0.61701388888888897</v>
      </c>
    </row>
    <row r="173" spans="1:12" x14ac:dyDescent="0.55000000000000004">
      <c r="A173" t="s">
        <v>305</v>
      </c>
      <c r="B173">
        <v>63</v>
      </c>
      <c r="C173">
        <v>636.5</v>
      </c>
      <c r="D173">
        <v>601</v>
      </c>
      <c r="E173">
        <v>10.5001</v>
      </c>
      <c r="F173" t="s">
        <v>299</v>
      </c>
      <c r="G173">
        <v>127</v>
      </c>
      <c r="H173" t="s">
        <v>250</v>
      </c>
      <c r="I173">
        <f ca="1">B173-VLOOKUP(H173,INDIRECT("フレーム変換表!A$1:B$" &amp; フレーム変換表!$D$1),2,FALSE)*2</f>
        <v>37</v>
      </c>
      <c r="J173" t="str">
        <f ca="1">VLOOKUP(F173,INDIRECT("球種変換表!A$1:B$" &amp; 球種変換表!$D$1),2,)</f>
        <v>フォーク</v>
      </c>
      <c r="K173">
        <f t="shared" si="4"/>
        <v>7.874015748031496E-3</v>
      </c>
      <c r="L173">
        <f t="shared" ca="1" si="5"/>
        <v>0.61597222222222225</v>
      </c>
    </row>
    <row r="174" spans="1:12" x14ac:dyDescent="0.55000000000000004">
      <c r="A174" t="s">
        <v>306</v>
      </c>
      <c r="B174">
        <v>63</v>
      </c>
      <c r="C174">
        <v>624</v>
      </c>
      <c r="D174">
        <v>606</v>
      </c>
      <c r="E174">
        <v>10.0001</v>
      </c>
      <c r="F174" t="s">
        <v>102</v>
      </c>
      <c r="G174">
        <v>129</v>
      </c>
      <c r="H174" t="s">
        <v>250</v>
      </c>
      <c r="I174">
        <f ca="1">B174-VLOOKUP(H174,INDIRECT("フレーム変換表!A$1:B$" &amp; フレーム変換表!$D$1),2,FALSE)*2</f>
        <v>37</v>
      </c>
      <c r="J174" t="str">
        <f ca="1">VLOOKUP(F174,INDIRECT("球種変換表!A$1:B$" &amp; 球種変換表!$D$1),2,)</f>
        <v>フォーク</v>
      </c>
      <c r="K174">
        <f t="shared" si="4"/>
        <v>7.7519379844961239E-3</v>
      </c>
      <c r="L174">
        <f t="shared" ca="1" si="5"/>
        <v>0.61250000000000004</v>
      </c>
    </row>
    <row r="175" spans="1:12" x14ac:dyDescent="0.55000000000000004">
      <c r="A175" t="s">
        <v>307</v>
      </c>
      <c r="B175">
        <v>64</v>
      </c>
      <c r="C175">
        <v>648</v>
      </c>
      <c r="D175">
        <v>618</v>
      </c>
      <c r="E175">
        <v>10.0001</v>
      </c>
      <c r="F175" t="s">
        <v>102</v>
      </c>
      <c r="G175">
        <v>127</v>
      </c>
      <c r="H175" t="s">
        <v>250</v>
      </c>
      <c r="I175">
        <f ca="1">B175-VLOOKUP(H175,INDIRECT("フレーム変換表!A$1:B$" &amp; フレーム変換表!$D$1),2,FALSE)*2</f>
        <v>38</v>
      </c>
      <c r="J175" t="str">
        <f ca="1">VLOOKUP(F175,INDIRECT("球種変換表!A$1:B$" &amp; 球種変換表!$D$1),2,)</f>
        <v>フォーク</v>
      </c>
      <c r="K175">
        <f t="shared" si="4"/>
        <v>7.874015748031496E-3</v>
      </c>
      <c r="L175">
        <f t="shared" ca="1" si="5"/>
        <v>0.62083333333333335</v>
      </c>
    </row>
    <row r="176" spans="1:12" x14ac:dyDescent="0.55000000000000004">
      <c r="A176" t="s">
        <v>309</v>
      </c>
      <c r="B176">
        <v>65</v>
      </c>
      <c r="C176">
        <v>626</v>
      </c>
      <c r="D176">
        <v>635.5</v>
      </c>
      <c r="E176">
        <v>12.01051</v>
      </c>
      <c r="F176" t="s">
        <v>308</v>
      </c>
      <c r="G176">
        <v>127</v>
      </c>
      <c r="H176" t="s">
        <v>250</v>
      </c>
      <c r="I176">
        <f ca="1">B176-VLOOKUP(H176,INDIRECT("フレーム変換表!A$1:B$" &amp; フレーム変換表!$D$1),2,FALSE)*2</f>
        <v>39</v>
      </c>
      <c r="J176" t="str">
        <f ca="1">VLOOKUP(F176,INDIRECT("球種変換表!A$1:B$" &amp; 球種変換表!$D$1),2,)</f>
        <v>フォーク</v>
      </c>
      <c r="K176">
        <f t="shared" si="4"/>
        <v>7.874015748031496E-3</v>
      </c>
      <c r="L176">
        <f t="shared" ca="1" si="5"/>
        <v>0.62534722222222228</v>
      </c>
    </row>
    <row r="177" spans="1:12" x14ac:dyDescent="0.55000000000000004">
      <c r="A177" t="s">
        <v>310</v>
      </c>
      <c r="B177">
        <v>64</v>
      </c>
      <c r="C177">
        <v>640</v>
      </c>
      <c r="D177">
        <v>620.5</v>
      </c>
      <c r="E177">
        <v>10.012589999999999</v>
      </c>
      <c r="F177" t="s">
        <v>299</v>
      </c>
      <c r="G177">
        <v>128</v>
      </c>
      <c r="H177" t="s">
        <v>250</v>
      </c>
      <c r="I177">
        <f ca="1">B177-VLOOKUP(H177,INDIRECT("フレーム変換表!A$1:B$" &amp; フレーム変換表!$D$1),2,FALSE)*2</f>
        <v>38</v>
      </c>
      <c r="J177" t="str">
        <f ca="1">VLOOKUP(F177,INDIRECT("球種変換表!A$1:B$" &amp; 球種変換表!$D$1),2,)</f>
        <v>フォーク</v>
      </c>
      <c r="K177">
        <f t="shared" si="4"/>
        <v>7.8125E-3</v>
      </c>
      <c r="L177">
        <f t="shared" ca="1" si="5"/>
        <v>0.6190972222222223</v>
      </c>
    </row>
    <row r="178" spans="1:12" x14ac:dyDescent="0.55000000000000004">
      <c r="A178" t="s">
        <v>311</v>
      </c>
      <c r="B178">
        <v>64</v>
      </c>
      <c r="C178">
        <v>640</v>
      </c>
      <c r="D178">
        <v>620.5</v>
      </c>
      <c r="E178">
        <v>10.012589999999999</v>
      </c>
      <c r="F178" t="s">
        <v>299</v>
      </c>
      <c r="G178">
        <v>128</v>
      </c>
      <c r="H178" t="s">
        <v>250</v>
      </c>
      <c r="I178">
        <f ca="1">B178-VLOOKUP(H178,INDIRECT("フレーム変換表!A$1:B$" &amp; フレーム変換表!$D$1),2,FALSE)*2</f>
        <v>38</v>
      </c>
      <c r="J178" t="str">
        <f ca="1">VLOOKUP(F178,INDIRECT("球種変換表!A$1:B$" &amp; 球種変換表!$D$1),2,)</f>
        <v>フォーク</v>
      </c>
      <c r="K178">
        <f t="shared" si="4"/>
        <v>7.8125E-3</v>
      </c>
      <c r="L178">
        <f t="shared" ca="1" si="5"/>
        <v>0.6190972222222223</v>
      </c>
    </row>
    <row r="179" spans="1:12" x14ac:dyDescent="0.55000000000000004">
      <c r="A179" t="s">
        <v>312</v>
      </c>
      <c r="B179">
        <v>126</v>
      </c>
      <c r="C179">
        <v>636</v>
      </c>
      <c r="D179">
        <v>606.5</v>
      </c>
      <c r="E179">
        <v>10.012589999999999</v>
      </c>
      <c r="F179" t="s">
        <v>1</v>
      </c>
      <c r="G179">
        <v>11</v>
      </c>
      <c r="H179" t="s">
        <v>353</v>
      </c>
      <c r="I179">
        <f ca="1">B179-VLOOKUP(H179,INDIRECT("フレーム変換表!A$1:B$" &amp; フレーム変換表!$D$1),2,FALSE)*2</f>
        <v>32</v>
      </c>
      <c r="J179" t="str">
        <f ca="1">VLOOKUP(F179,INDIRECT("球種変換表!A$1:B$" &amp; 球種変換表!$D$1),2,)</f>
        <v>ストレート</v>
      </c>
      <c r="K179">
        <f t="shared" ref="K179:K218" si="6">1/G179</f>
        <v>9.0909090909090912E-2</v>
      </c>
      <c r="L179">
        <f t="shared" ref="L179:L218" ca="1" si="7">(I179-(D179-600)/24)*2/120</f>
        <v>0.52881944444444451</v>
      </c>
    </row>
    <row r="180" spans="1:12" x14ac:dyDescent="0.55000000000000004">
      <c r="A180" t="s">
        <v>313</v>
      </c>
      <c r="B180">
        <v>127</v>
      </c>
      <c r="C180">
        <v>635.47826999999995</v>
      </c>
      <c r="D180">
        <v>633</v>
      </c>
      <c r="E180">
        <v>11.52183</v>
      </c>
      <c r="F180" t="s">
        <v>1</v>
      </c>
      <c r="G180">
        <v>11</v>
      </c>
      <c r="H180" t="s">
        <v>353</v>
      </c>
      <c r="I180">
        <f ca="1">B180-VLOOKUP(H180,INDIRECT("フレーム変換表!A$1:B$" &amp; フレーム変換表!$D$1),2,FALSE)*2</f>
        <v>33</v>
      </c>
      <c r="J180" t="str">
        <f ca="1">VLOOKUP(F180,INDIRECT("球種変換表!A$1:B$" &amp; 球種変換表!$D$1),2,)</f>
        <v>ストレート</v>
      </c>
      <c r="K180">
        <f t="shared" si="6"/>
        <v>9.0909090909090912E-2</v>
      </c>
      <c r="L180">
        <f t="shared" ca="1" si="7"/>
        <v>0.52708333333333335</v>
      </c>
    </row>
    <row r="181" spans="1:12" x14ac:dyDescent="0.55000000000000004">
      <c r="A181" t="s">
        <v>314</v>
      </c>
      <c r="B181">
        <v>127</v>
      </c>
      <c r="C181">
        <v>641.5</v>
      </c>
      <c r="D181">
        <v>630</v>
      </c>
      <c r="E181">
        <v>11.5001</v>
      </c>
      <c r="F181" t="s">
        <v>1</v>
      </c>
      <c r="G181">
        <v>11</v>
      </c>
      <c r="H181" t="s">
        <v>353</v>
      </c>
      <c r="I181">
        <f ca="1">B181-VLOOKUP(H181,INDIRECT("フレーム変換表!A$1:B$" &amp; フレーム変換表!$D$1),2,FALSE)*2</f>
        <v>33</v>
      </c>
      <c r="J181" t="str">
        <f ca="1">VLOOKUP(F181,INDIRECT("球種変換表!A$1:B$" &amp; 球種変換表!$D$1),2,)</f>
        <v>ストレート</v>
      </c>
      <c r="K181">
        <f t="shared" si="6"/>
        <v>9.0909090909090912E-2</v>
      </c>
      <c r="L181">
        <f t="shared" ca="1" si="7"/>
        <v>0.52916666666666667</v>
      </c>
    </row>
    <row r="182" spans="1:12" x14ac:dyDescent="0.55000000000000004">
      <c r="A182" t="s">
        <v>315</v>
      </c>
      <c r="B182">
        <v>127</v>
      </c>
      <c r="C182">
        <v>642</v>
      </c>
      <c r="D182">
        <v>626.5</v>
      </c>
      <c r="E182">
        <v>10.012589999999999</v>
      </c>
      <c r="F182" t="s">
        <v>1</v>
      </c>
      <c r="G182">
        <v>11</v>
      </c>
      <c r="H182" t="s">
        <v>353</v>
      </c>
      <c r="I182">
        <f ca="1">B182-VLOOKUP(H182,INDIRECT("フレーム変換表!A$1:B$" &amp; フレーム変換表!$D$1),2,FALSE)*2</f>
        <v>33</v>
      </c>
      <c r="J182" t="str">
        <f ca="1">VLOOKUP(F182,INDIRECT("球種変換表!A$1:B$" &amp; 球種変換表!$D$1),2,)</f>
        <v>ストレート</v>
      </c>
      <c r="K182">
        <f t="shared" si="6"/>
        <v>9.0909090909090912E-2</v>
      </c>
      <c r="L182">
        <f t="shared" ca="1" si="7"/>
        <v>0.53159722222222217</v>
      </c>
    </row>
    <row r="183" spans="1:12" x14ac:dyDescent="0.55000000000000004">
      <c r="A183" t="s">
        <v>316</v>
      </c>
      <c r="B183">
        <v>128</v>
      </c>
      <c r="C183">
        <v>639</v>
      </c>
      <c r="D183">
        <v>646</v>
      </c>
      <c r="E183">
        <v>9.2196400000000001</v>
      </c>
      <c r="F183" t="s">
        <v>1</v>
      </c>
      <c r="G183">
        <v>11</v>
      </c>
      <c r="H183" t="s">
        <v>353</v>
      </c>
      <c r="I183">
        <f ca="1">B183-VLOOKUP(H183,INDIRECT("フレーム変換表!A$1:B$" &amp; フレーム変換表!$D$1),2,FALSE)*2</f>
        <v>34</v>
      </c>
      <c r="J183" t="str">
        <f ca="1">VLOOKUP(F183,INDIRECT("球種変換表!A$1:B$" &amp; 球種変換表!$D$1),2,)</f>
        <v>ストレート</v>
      </c>
      <c r="K183">
        <f t="shared" si="6"/>
        <v>9.0909090909090912E-2</v>
      </c>
      <c r="L183">
        <f t="shared" ca="1" si="7"/>
        <v>0.53472222222222221</v>
      </c>
    </row>
    <row r="184" spans="1:12" x14ac:dyDescent="0.55000000000000004">
      <c r="A184" t="s">
        <v>317</v>
      </c>
      <c r="B184">
        <v>127</v>
      </c>
      <c r="C184">
        <v>641.5</v>
      </c>
      <c r="D184">
        <v>622.5</v>
      </c>
      <c r="E184">
        <v>10.512</v>
      </c>
      <c r="F184" t="s">
        <v>1</v>
      </c>
      <c r="G184">
        <v>11</v>
      </c>
      <c r="H184" t="s">
        <v>353</v>
      </c>
      <c r="I184">
        <f ca="1">B184-VLOOKUP(H184,INDIRECT("フレーム変換表!A$1:B$" &amp; フレーム変換表!$D$1),2,FALSE)*2</f>
        <v>33</v>
      </c>
      <c r="J184" t="str">
        <f ca="1">VLOOKUP(F184,INDIRECT("球種変換表!A$1:B$" &amp; 球種変換表!$D$1),2,)</f>
        <v>ストレート</v>
      </c>
      <c r="K184">
        <f t="shared" si="6"/>
        <v>9.0909090909090912E-2</v>
      </c>
      <c r="L184">
        <f t="shared" ca="1" si="7"/>
        <v>0.53437500000000004</v>
      </c>
    </row>
    <row r="185" spans="1:12" x14ac:dyDescent="0.55000000000000004">
      <c r="A185" t="s">
        <v>318</v>
      </c>
      <c r="B185">
        <v>126</v>
      </c>
      <c r="C185">
        <v>635</v>
      </c>
      <c r="D185">
        <v>606.5</v>
      </c>
      <c r="E185">
        <v>10.012589999999999</v>
      </c>
      <c r="F185" t="s">
        <v>1</v>
      </c>
      <c r="G185">
        <v>11</v>
      </c>
      <c r="H185" t="s">
        <v>353</v>
      </c>
      <c r="I185">
        <f ca="1">B185-VLOOKUP(H185,INDIRECT("フレーム変換表!A$1:B$" &amp; フレーム変換表!$D$1),2,FALSE)*2</f>
        <v>32</v>
      </c>
      <c r="J185" t="str">
        <f ca="1">VLOOKUP(F185,INDIRECT("球種変換表!A$1:B$" &amp; 球種変換表!$D$1),2,)</f>
        <v>ストレート</v>
      </c>
      <c r="K185">
        <f t="shared" si="6"/>
        <v>9.0909090909090912E-2</v>
      </c>
      <c r="L185">
        <f t="shared" ca="1" si="7"/>
        <v>0.52881944444444451</v>
      </c>
    </row>
    <row r="186" spans="1:12" x14ac:dyDescent="0.55000000000000004">
      <c r="A186" t="s">
        <v>319</v>
      </c>
      <c r="B186">
        <v>127</v>
      </c>
      <c r="C186">
        <v>649</v>
      </c>
      <c r="D186">
        <v>623.5</v>
      </c>
      <c r="E186">
        <v>10.012589999999999</v>
      </c>
      <c r="F186" t="s">
        <v>1</v>
      </c>
      <c r="G186">
        <v>11</v>
      </c>
      <c r="H186" t="s">
        <v>353</v>
      </c>
      <c r="I186">
        <f ca="1">B186-VLOOKUP(H186,INDIRECT("フレーム変換表!A$1:B$" &amp; フレーム変換表!$D$1),2,FALSE)*2</f>
        <v>33</v>
      </c>
      <c r="J186" t="str">
        <f ca="1">VLOOKUP(F186,INDIRECT("球種変換表!A$1:B$" &amp; 球種変換表!$D$1),2,)</f>
        <v>ストレート</v>
      </c>
      <c r="K186">
        <f t="shared" si="6"/>
        <v>9.0909090909090912E-2</v>
      </c>
      <c r="L186">
        <f t="shared" ca="1" si="7"/>
        <v>0.5336805555555556</v>
      </c>
    </row>
    <row r="187" spans="1:12" x14ac:dyDescent="0.55000000000000004">
      <c r="A187" t="s">
        <v>320</v>
      </c>
      <c r="B187">
        <v>127</v>
      </c>
      <c r="C187">
        <v>641</v>
      </c>
      <c r="D187">
        <v>617.5</v>
      </c>
      <c r="E187">
        <v>10.012589999999999</v>
      </c>
      <c r="F187" t="s">
        <v>1</v>
      </c>
      <c r="G187">
        <v>149</v>
      </c>
      <c r="H187" t="s">
        <v>353</v>
      </c>
      <c r="I187">
        <f ca="1">B187-VLOOKUP(H187,INDIRECT("フレーム変換表!A$1:B$" &amp; フレーム変換表!$D$1),2,FALSE)*2</f>
        <v>33</v>
      </c>
      <c r="J187" t="str">
        <f ca="1">VLOOKUP(F187,INDIRECT("球種変換表!A$1:B$" &amp; 球種変換表!$D$1),2,)</f>
        <v>ストレート</v>
      </c>
      <c r="K187">
        <f t="shared" si="6"/>
        <v>6.7114093959731542E-3</v>
      </c>
      <c r="L187">
        <f t="shared" ca="1" si="7"/>
        <v>0.53784722222222225</v>
      </c>
    </row>
    <row r="188" spans="1:12" x14ac:dyDescent="0.55000000000000004">
      <c r="A188" t="s">
        <v>321</v>
      </c>
      <c r="B188">
        <v>126</v>
      </c>
      <c r="C188">
        <v>635</v>
      </c>
      <c r="D188">
        <v>609</v>
      </c>
      <c r="E188">
        <v>10.0001</v>
      </c>
      <c r="F188" t="s">
        <v>1</v>
      </c>
      <c r="G188">
        <v>11</v>
      </c>
      <c r="H188" t="s">
        <v>353</v>
      </c>
      <c r="I188">
        <f ca="1">B188-VLOOKUP(H188,INDIRECT("フレーム変換表!A$1:B$" &amp; フレーム変換表!$D$1),2,FALSE)*2</f>
        <v>32</v>
      </c>
      <c r="J188" t="str">
        <f ca="1">VLOOKUP(F188,INDIRECT("球種変換表!A$1:B$" &amp; 球種変換表!$D$1),2,)</f>
        <v>ストレート</v>
      </c>
      <c r="K188">
        <f t="shared" si="6"/>
        <v>9.0909090909090912E-2</v>
      </c>
      <c r="L188">
        <f t="shared" ca="1" si="7"/>
        <v>0.52708333333333335</v>
      </c>
    </row>
    <row r="189" spans="1:12" x14ac:dyDescent="0.55000000000000004">
      <c r="A189" t="s">
        <v>322</v>
      </c>
      <c r="B189">
        <v>124</v>
      </c>
      <c r="C189">
        <v>644</v>
      </c>
      <c r="D189">
        <v>644.5</v>
      </c>
      <c r="E189">
        <v>12.01051</v>
      </c>
      <c r="F189" t="s">
        <v>86</v>
      </c>
      <c r="G189">
        <v>11</v>
      </c>
      <c r="H189" t="s">
        <v>353</v>
      </c>
      <c r="I189">
        <f ca="1">B189-VLOOKUP(H189,INDIRECT("フレーム変換表!A$1:B$" &amp; フレーム変換表!$D$1),2,FALSE)*2</f>
        <v>30</v>
      </c>
      <c r="J189" t="str">
        <f ca="1">VLOOKUP(F189,INDIRECT("球種変換表!A$1:B$" &amp; 球種変換表!$D$1),2,)</f>
        <v>全力ストレート</v>
      </c>
      <c r="K189">
        <f t="shared" si="6"/>
        <v>9.0909090909090912E-2</v>
      </c>
      <c r="L189">
        <f t="shared" ca="1" si="7"/>
        <v>0.46909722222222222</v>
      </c>
    </row>
    <row r="190" spans="1:12" x14ac:dyDescent="0.55000000000000004">
      <c r="A190" t="s">
        <v>323</v>
      </c>
      <c r="B190">
        <v>123</v>
      </c>
      <c r="C190">
        <v>639</v>
      </c>
      <c r="D190">
        <v>605.5</v>
      </c>
      <c r="E190">
        <v>10.012589999999999</v>
      </c>
      <c r="F190" t="s">
        <v>86</v>
      </c>
      <c r="G190">
        <v>11</v>
      </c>
      <c r="H190" t="s">
        <v>353</v>
      </c>
      <c r="I190">
        <f ca="1">B190-VLOOKUP(H190,INDIRECT("フレーム変換表!A$1:B$" &amp; フレーム変換表!$D$1),2,FALSE)*2</f>
        <v>29</v>
      </c>
      <c r="J190" t="str">
        <f ca="1">VLOOKUP(F190,INDIRECT("球種変換表!A$1:B$" &amp; 球種変換表!$D$1),2,)</f>
        <v>全力ストレート</v>
      </c>
      <c r="K190">
        <f t="shared" si="6"/>
        <v>9.0909090909090912E-2</v>
      </c>
      <c r="L190">
        <f t="shared" ca="1" si="7"/>
        <v>0.47951388888888885</v>
      </c>
    </row>
    <row r="191" spans="1:12" x14ac:dyDescent="0.55000000000000004">
      <c r="A191" t="s">
        <v>324</v>
      </c>
      <c r="B191">
        <v>124</v>
      </c>
      <c r="C191">
        <v>644</v>
      </c>
      <c r="D191">
        <v>644.5</v>
      </c>
      <c r="E191">
        <v>12.01051</v>
      </c>
      <c r="F191" t="s">
        <v>86</v>
      </c>
      <c r="G191">
        <v>11</v>
      </c>
      <c r="H191" t="s">
        <v>353</v>
      </c>
      <c r="I191">
        <f ca="1">B191-VLOOKUP(H191,INDIRECT("フレーム変換表!A$1:B$" &amp; フレーム変換表!$D$1),2,FALSE)*2</f>
        <v>30</v>
      </c>
      <c r="J191" t="str">
        <f ca="1">VLOOKUP(F191,INDIRECT("球種変換表!A$1:B$" &amp; 球種変換表!$D$1),2,)</f>
        <v>全力ストレート</v>
      </c>
      <c r="K191">
        <f t="shared" si="6"/>
        <v>9.0909090909090912E-2</v>
      </c>
      <c r="L191">
        <f t="shared" ca="1" si="7"/>
        <v>0.46909722222222222</v>
      </c>
    </row>
    <row r="192" spans="1:12" x14ac:dyDescent="0.55000000000000004">
      <c r="A192" t="s">
        <v>325</v>
      </c>
      <c r="B192">
        <v>124</v>
      </c>
      <c r="C192">
        <v>644</v>
      </c>
      <c r="D192">
        <v>643</v>
      </c>
      <c r="E192">
        <v>12.041689999999999</v>
      </c>
      <c r="F192" t="s">
        <v>92</v>
      </c>
      <c r="G192">
        <v>11</v>
      </c>
      <c r="H192" t="s">
        <v>353</v>
      </c>
      <c r="I192">
        <f ca="1">B192-VLOOKUP(H192,INDIRECT("フレーム変換表!A$1:B$" &amp; フレーム変換表!$D$1),2,FALSE)*2</f>
        <v>30</v>
      </c>
      <c r="J192" t="str">
        <f ca="1">VLOOKUP(F192,INDIRECT("球種変換表!A$1:B$" &amp; 球種変換表!$D$1),2,)</f>
        <v>全力ストレート</v>
      </c>
      <c r="K192">
        <f t="shared" si="6"/>
        <v>9.0909090909090912E-2</v>
      </c>
      <c r="L192">
        <f t="shared" ca="1" si="7"/>
        <v>0.47013888888888888</v>
      </c>
    </row>
    <row r="193" spans="1:12" x14ac:dyDescent="0.55000000000000004">
      <c r="A193" t="s">
        <v>326</v>
      </c>
      <c r="B193">
        <v>123</v>
      </c>
      <c r="C193">
        <v>639</v>
      </c>
      <c r="D193">
        <v>604.5</v>
      </c>
      <c r="E193">
        <v>10.012589999999999</v>
      </c>
      <c r="F193" t="s">
        <v>86</v>
      </c>
      <c r="G193">
        <v>149</v>
      </c>
      <c r="H193" t="s">
        <v>353</v>
      </c>
      <c r="I193">
        <f ca="1">B193-VLOOKUP(H193,INDIRECT("フレーム変換表!A$1:B$" &amp; フレーム変換表!$D$1),2,FALSE)*2</f>
        <v>29</v>
      </c>
      <c r="J193" t="str">
        <f ca="1">VLOOKUP(F193,INDIRECT("球種変換表!A$1:B$" &amp; 球種変換表!$D$1),2,)</f>
        <v>全力ストレート</v>
      </c>
      <c r="K193">
        <f t="shared" si="6"/>
        <v>6.7114093959731542E-3</v>
      </c>
      <c r="L193">
        <f t="shared" ca="1" si="7"/>
        <v>0.48020833333333335</v>
      </c>
    </row>
    <row r="194" spans="1:12" x14ac:dyDescent="0.55000000000000004">
      <c r="A194" t="s">
        <v>327</v>
      </c>
      <c r="B194">
        <v>123</v>
      </c>
      <c r="C194">
        <v>640.5</v>
      </c>
      <c r="D194">
        <v>610.5</v>
      </c>
      <c r="E194">
        <v>9.5132499999999993</v>
      </c>
      <c r="F194" t="s">
        <v>86</v>
      </c>
      <c r="G194">
        <v>11</v>
      </c>
      <c r="H194" t="s">
        <v>353</v>
      </c>
      <c r="I194">
        <f ca="1">B194-VLOOKUP(H194,INDIRECT("フレーム変換表!A$1:B$" &amp; フレーム変換表!$D$1),2,FALSE)*2</f>
        <v>29</v>
      </c>
      <c r="J194" t="str">
        <f ca="1">VLOOKUP(F194,INDIRECT("球種変換表!A$1:B$" &amp; 球種変換表!$D$1),2,)</f>
        <v>全力ストレート</v>
      </c>
      <c r="K194">
        <f t="shared" si="6"/>
        <v>9.0909090909090912E-2</v>
      </c>
      <c r="L194">
        <f t="shared" ca="1" si="7"/>
        <v>0.47604166666666664</v>
      </c>
    </row>
    <row r="195" spans="1:12" x14ac:dyDescent="0.55000000000000004">
      <c r="A195" t="s">
        <v>328</v>
      </c>
      <c r="B195">
        <v>123</v>
      </c>
      <c r="C195">
        <v>639.5</v>
      </c>
      <c r="D195">
        <v>608.5</v>
      </c>
      <c r="E195">
        <v>9.5132499999999993</v>
      </c>
      <c r="F195" t="s">
        <v>86</v>
      </c>
      <c r="G195">
        <v>11</v>
      </c>
      <c r="H195" t="s">
        <v>353</v>
      </c>
      <c r="I195">
        <f ca="1">B195-VLOOKUP(H195,INDIRECT("フレーム変換表!A$1:B$" &amp; フレーム変換表!$D$1),2,FALSE)*2</f>
        <v>29</v>
      </c>
      <c r="J195" t="str">
        <f ca="1">VLOOKUP(F195,INDIRECT("球種変換表!A$1:B$" &amp; 球種変換表!$D$1),2,)</f>
        <v>全力ストレート</v>
      </c>
      <c r="K195">
        <f t="shared" si="6"/>
        <v>9.0909090909090912E-2</v>
      </c>
      <c r="L195">
        <f t="shared" ca="1" si="7"/>
        <v>0.47743055555555552</v>
      </c>
    </row>
    <row r="196" spans="1:12" x14ac:dyDescent="0.55000000000000004">
      <c r="A196" t="s">
        <v>329</v>
      </c>
      <c r="B196">
        <v>123</v>
      </c>
      <c r="C196">
        <v>639</v>
      </c>
      <c r="D196">
        <v>605.5</v>
      </c>
      <c r="E196">
        <v>10.012589999999999</v>
      </c>
      <c r="F196" t="s">
        <v>86</v>
      </c>
      <c r="G196">
        <v>11</v>
      </c>
      <c r="H196" t="s">
        <v>353</v>
      </c>
      <c r="I196">
        <f ca="1">B196-VLOOKUP(H196,INDIRECT("フレーム変換表!A$1:B$" &amp; フレーム変換表!$D$1),2,FALSE)*2</f>
        <v>29</v>
      </c>
      <c r="J196" t="str">
        <f ca="1">VLOOKUP(F196,INDIRECT("球種変換表!A$1:B$" &amp; 球種変換表!$D$1),2,)</f>
        <v>全力ストレート</v>
      </c>
      <c r="K196">
        <f t="shared" si="6"/>
        <v>9.0909090909090912E-2</v>
      </c>
      <c r="L196">
        <f t="shared" ca="1" si="7"/>
        <v>0.47951388888888885</v>
      </c>
    </row>
    <row r="197" spans="1:12" x14ac:dyDescent="0.55000000000000004">
      <c r="A197" t="s">
        <v>330</v>
      </c>
      <c r="B197">
        <v>123</v>
      </c>
      <c r="C197">
        <v>641</v>
      </c>
      <c r="D197">
        <v>617.5</v>
      </c>
      <c r="E197">
        <v>10.012589999999999</v>
      </c>
      <c r="F197" t="s">
        <v>86</v>
      </c>
      <c r="G197">
        <v>11</v>
      </c>
      <c r="H197" t="s">
        <v>353</v>
      </c>
      <c r="I197">
        <f ca="1">B197-VLOOKUP(H197,INDIRECT("フレーム変換表!A$1:B$" &amp; フレーム変換表!$D$1),2,FALSE)*2</f>
        <v>29</v>
      </c>
      <c r="J197" t="str">
        <f ca="1">VLOOKUP(F197,INDIRECT("球種変換表!A$1:B$" &amp; 球種変換表!$D$1),2,)</f>
        <v>全力ストレート</v>
      </c>
      <c r="K197">
        <f t="shared" si="6"/>
        <v>9.0909090909090912E-2</v>
      </c>
      <c r="L197">
        <f t="shared" ca="1" si="7"/>
        <v>0.47118055555555555</v>
      </c>
    </row>
    <row r="198" spans="1:12" x14ac:dyDescent="0.55000000000000004">
      <c r="A198" t="s">
        <v>331</v>
      </c>
      <c r="B198">
        <v>124</v>
      </c>
      <c r="C198">
        <v>641.73681999999997</v>
      </c>
      <c r="D198">
        <v>648</v>
      </c>
      <c r="E198">
        <v>9.7369699999999995</v>
      </c>
      <c r="F198" t="s">
        <v>86</v>
      </c>
      <c r="G198">
        <v>11</v>
      </c>
      <c r="H198" t="s">
        <v>353</v>
      </c>
      <c r="I198">
        <f ca="1">B198-VLOOKUP(H198,INDIRECT("フレーム変換表!A$1:B$" &amp; フレーム変換表!$D$1),2,FALSE)*2</f>
        <v>30</v>
      </c>
      <c r="J198" t="str">
        <f ca="1">VLOOKUP(F198,INDIRECT("球種変換表!A$1:B$" &amp; 球種変換表!$D$1),2,)</f>
        <v>全力ストレート</v>
      </c>
      <c r="K198">
        <f t="shared" si="6"/>
        <v>9.0909090909090912E-2</v>
      </c>
      <c r="L198">
        <f t="shared" ca="1" si="7"/>
        <v>0.46666666666666667</v>
      </c>
    </row>
    <row r="199" spans="1:12" x14ac:dyDescent="0.55000000000000004">
      <c r="A199" t="s">
        <v>332</v>
      </c>
      <c r="B199">
        <v>131</v>
      </c>
      <c r="C199">
        <v>647.5</v>
      </c>
      <c r="D199">
        <v>618</v>
      </c>
      <c r="E199">
        <v>10.5001</v>
      </c>
      <c r="F199" t="s">
        <v>25</v>
      </c>
      <c r="G199">
        <v>131</v>
      </c>
      <c r="H199" t="s">
        <v>353</v>
      </c>
      <c r="I199">
        <f ca="1">B199-VLOOKUP(H199,INDIRECT("フレーム変換表!A$1:B$" &amp; フレーム変換表!$D$1),2,FALSE)*2</f>
        <v>37</v>
      </c>
      <c r="J199" t="str">
        <f ca="1">VLOOKUP(F199,INDIRECT("球種変換表!A$1:B$" &amp; 球種変換表!$D$1),2,)</f>
        <v>フォーク</v>
      </c>
      <c r="K199">
        <f t="shared" si="6"/>
        <v>7.6335877862595417E-3</v>
      </c>
      <c r="L199">
        <f t="shared" ca="1" si="7"/>
        <v>0.60416666666666663</v>
      </c>
    </row>
    <row r="200" spans="1:12" x14ac:dyDescent="0.55000000000000004">
      <c r="A200" t="s">
        <v>333</v>
      </c>
      <c r="B200">
        <v>131</v>
      </c>
      <c r="C200">
        <v>659.5</v>
      </c>
      <c r="D200">
        <v>622</v>
      </c>
      <c r="E200">
        <v>10.5001</v>
      </c>
      <c r="F200" t="s">
        <v>28</v>
      </c>
      <c r="G200">
        <v>132</v>
      </c>
      <c r="H200" t="s">
        <v>353</v>
      </c>
      <c r="I200">
        <f ca="1">B200-VLOOKUP(H200,INDIRECT("フレーム変換表!A$1:B$" &amp; フレーム変換表!$D$1),2,FALSE)*2</f>
        <v>37</v>
      </c>
      <c r="J200" t="str">
        <f ca="1">VLOOKUP(F200,INDIRECT("球種変換表!A$1:B$" &amp; 球種変換表!$D$1),2,)</f>
        <v>フォーク</v>
      </c>
      <c r="K200">
        <f t="shared" si="6"/>
        <v>7.575757575757576E-3</v>
      </c>
      <c r="L200">
        <f t="shared" ca="1" si="7"/>
        <v>0.60138888888888897</v>
      </c>
    </row>
    <row r="201" spans="1:12" x14ac:dyDescent="0.55000000000000004">
      <c r="A201" t="s">
        <v>334</v>
      </c>
      <c r="B201">
        <v>132</v>
      </c>
      <c r="C201">
        <v>643</v>
      </c>
      <c r="D201">
        <v>638.5</v>
      </c>
      <c r="E201">
        <v>12.01051</v>
      </c>
      <c r="F201" t="s">
        <v>32</v>
      </c>
      <c r="G201">
        <v>131</v>
      </c>
      <c r="H201" t="s">
        <v>353</v>
      </c>
      <c r="I201">
        <f ca="1">B201-VLOOKUP(H201,INDIRECT("フレーム変換表!A$1:B$" &amp; フレーム変換表!$D$1),2,FALSE)*2</f>
        <v>38</v>
      </c>
      <c r="J201" t="str">
        <f ca="1">VLOOKUP(F201,INDIRECT("球種変換表!A$1:B$" &amp; 球種変換表!$D$1),2,)</f>
        <v>フォーク</v>
      </c>
      <c r="K201">
        <f t="shared" si="6"/>
        <v>7.6335877862595417E-3</v>
      </c>
      <c r="L201">
        <f t="shared" ca="1" si="7"/>
        <v>0.60659722222222223</v>
      </c>
    </row>
    <row r="202" spans="1:12" x14ac:dyDescent="0.55000000000000004">
      <c r="A202" t="s">
        <v>335</v>
      </c>
      <c r="B202">
        <v>131</v>
      </c>
      <c r="C202">
        <v>634.5</v>
      </c>
      <c r="D202">
        <v>617</v>
      </c>
      <c r="E202">
        <v>10.5001</v>
      </c>
      <c r="F202" t="s">
        <v>25</v>
      </c>
      <c r="G202">
        <v>131</v>
      </c>
      <c r="H202" t="s">
        <v>353</v>
      </c>
      <c r="I202">
        <f ca="1">B202-VLOOKUP(H202,INDIRECT("フレーム変換表!A$1:B$" &amp; フレーム変換表!$D$1),2,FALSE)*2</f>
        <v>37</v>
      </c>
      <c r="J202" t="str">
        <f ca="1">VLOOKUP(F202,INDIRECT("球種変換表!A$1:B$" &amp; 球種変換表!$D$1),2,)</f>
        <v>フォーク</v>
      </c>
      <c r="K202">
        <f t="shared" si="6"/>
        <v>7.6335877862595417E-3</v>
      </c>
      <c r="L202">
        <f t="shared" ca="1" si="7"/>
        <v>0.60486111111111107</v>
      </c>
    </row>
    <row r="203" spans="1:12" x14ac:dyDescent="0.55000000000000004">
      <c r="A203" t="s">
        <v>336</v>
      </c>
      <c r="B203">
        <v>131</v>
      </c>
      <c r="C203">
        <v>645.5</v>
      </c>
      <c r="D203">
        <v>618.5</v>
      </c>
      <c r="E203">
        <v>9.5132499999999993</v>
      </c>
      <c r="F203" t="s">
        <v>28</v>
      </c>
      <c r="G203">
        <v>132</v>
      </c>
      <c r="H203" t="s">
        <v>353</v>
      </c>
      <c r="I203">
        <f ca="1">B203-VLOOKUP(H203,INDIRECT("フレーム変換表!A$1:B$" &amp; フレーム変換表!$D$1),2,FALSE)*2</f>
        <v>37</v>
      </c>
      <c r="J203" t="str">
        <f ca="1">VLOOKUP(F203,INDIRECT("球種変換表!A$1:B$" &amp; 球種変換表!$D$1),2,)</f>
        <v>フォーク</v>
      </c>
      <c r="K203">
        <f t="shared" si="6"/>
        <v>7.575757575757576E-3</v>
      </c>
      <c r="L203">
        <f t="shared" ca="1" si="7"/>
        <v>0.60381944444444435</v>
      </c>
    </row>
    <row r="204" spans="1:12" x14ac:dyDescent="0.55000000000000004">
      <c r="A204" t="s">
        <v>337</v>
      </c>
      <c r="B204">
        <v>131</v>
      </c>
      <c r="C204">
        <v>639.5</v>
      </c>
      <c r="D204">
        <v>621.5</v>
      </c>
      <c r="E204">
        <v>10.512</v>
      </c>
      <c r="F204" t="s">
        <v>25</v>
      </c>
      <c r="G204">
        <v>132</v>
      </c>
      <c r="H204" t="s">
        <v>353</v>
      </c>
      <c r="I204">
        <f ca="1">B204-VLOOKUP(H204,INDIRECT("フレーム変換表!A$1:B$" &amp; フレーム変換表!$D$1),2,FALSE)*2</f>
        <v>37</v>
      </c>
      <c r="J204" t="str">
        <f ca="1">VLOOKUP(F204,INDIRECT("球種変換表!A$1:B$" &amp; 球種変換表!$D$1),2,)</f>
        <v>フォーク</v>
      </c>
      <c r="K204">
        <f t="shared" si="6"/>
        <v>7.575757575757576E-3</v>
      </c>
      <c r="L204">
        <f t="shared" ca="1" si="7"/>
        <v>0.60173611111111103</v>
      </c>
    </row>
    <row r="205" spans="1:12" x14ac:dyDescent="0.55000000000000004">
      <c r="A205" t="s">
        <v>338</v>
      </c>
      <c r="B205">
        <v>131</v>
      </c>
      <c r="C205">
        <v>649.5</v>
      </c>
      <c r="D205">
        <v>624.5</v>
      </c>
      <c r="E205">
        <v>9.5132499999999993</v>
      </c>
      <c r="F205" t="s">
        <v>25</v>
      </c>
      <c r="G205">
        <v>133</v>
      </c>
      <c r="H205" t="s">
        <v>353</v>
      </c>
      <c r="I205">
        <f ca="1">B205-VLOOKUP(H205,INDIRECT("フレーム変換表!A$1:B$" &amp; フレーム変換表!$D$1),2,FALSE)*2</f>
        <v>37</v>
      </c>
      <c r="J205" t="str">
        <f ca="1">VLOOKUP(F205,INDIRECT("球種変換表!A$1:B$" &amp; 球種変換表!$D$1),2,)</f>
        <v>フォーク</v>
      </c>
      <c r="K205">
        <f t="shared" si="6"/>
        <v>7.5187969924812026E-3</v>
      </c>
      <c r="L205">
        <f t="shared" ca="1" si="7"/>
        <v>0.5996527777777777</v>
      </c>
    </row>
    <row r="206" spans="1:12" x14ac:dyDescent="0.55000000000000004">
      <c r="A206" t="s">
        <v>339</v>
      </c>
      <c r="B206">
        <v>131</v>
      </c>
      <c r="C206">
        <v>641.5</v>
      </c>
      <c r="D206">
        <v>618.5</v>
      </c>
      <c r="E206">
        <v>9.5132499999999993</v>
      </c>
      <c r="F206" t="s">
        <v>25</v>
      </c>
      <c r="G206">
        <v>132</v>
      </c>
      <c r="H206" t="s">
        <v>353</v>
      </c>
      <c r="I206">
        <f ca="1">B206-VLOOKUP(H206,INDIRECT("フレーム変換表!A$1:B$" &amp; フレーム変換表!$D$1),2,FALSE)*2</f>
        <v>37</v>
      </c>
      <c r="J206" t="str">
        <f ca="1">VLOOKUP(F206,INDIRECT("球種変換表!A$1:B$" &amp; 球種変換表!$D$1),2,)</f>
        <v>フォーク</v>
      </c>
      <c r="K206">
        <f t="shared" si="6"/>
        <v>7.575757575757576E-3</v>
      </c>
      <c r="L206">
        <f t="shared" ca="1" si="7"/>
        <v>0.60381944444444435</v>
      </c>
    </row>
    <row r="207" spans="1:12" x14ac:dyDescent="0.55000000000000004">
      <c r="A207" t="s">
        <v>340</v>
      </c>
      <c r="B207">
        <v>130</v>
      </c>
      <c r="C207">
        <v>645</v>
      </c>
      <c r="D207">
        <v>601.5</v>
      </c>
      <c r="E207">
        <v>10.012589999999999</v>
      </c>
      <c r="F207" t="s">
        <v>25</v>
      </c>
      <c r="G207">
        <v>132</v>
      </c>
      <c r="H207" t="s">
        <v>353</v>
      </c>
      <c r="I207">
        <f ca="1">B207-VLOOKUP(H207,INDIRECT("フレーム変換表!A$1:B$" &amp; フレーム変換表!$D$1),2,FALSE)*2</f>
        <v>36</v>
      </c>
      <c r="J207" t="str">
        <f ca="1">VLOOKUP(F207,INDIRECT("球種変換表!A$1:B$" &amp; 球種変換表!$D$1),2,)</f>
        <v>フォーク</v>
      </c>
      <c r="K207">
        <f t="shared" si="6"/>
        <v>7.575757575757576E-3</v>
      </c>
      <c r="L207">
        <f t="shared" ca="1" si="7"/>
        <v>0.59895833333333337</v>
      </c>
    </row>
    <row r="208" spans="1:12" x14ac:dyDescent="0.55000000000000004">
      <c r="A208" t="s">
        <v>341</v>
      </c>
      <c r="B208">
        <v>131</v>
      </c>
      <c r="C208">
        <v>654</v>
      </c>
      <c r="D208">
        <v>613</v>
      </c>
      <c r="E208">
        <v>10.0001</v>
      </c>
      <c r="F208" t="s">
        <v>25</v>
      </c>
      <c r="G208">
        <v>131</v>
      </c>
      <c r="H208" t="s">
        <v>353</v>
      </c>
      <c r="I208">
        <f ca="1">B208-VLOOKUP(H208,INDIRECT("フレーム変換表!A$1:B$" &amp; フレーム変換表!$D$1),2,FALSE)*2</f>
        <v>37</v>
      </c>
      <c r="J208" t="str">
        <f ca="1">VLOOKUP(F208,INDIRECT("球種変換表!A$1:B$" &amp; 球種変換表!$D$1),2,)</f>
        <v>フォーク</v>
      </c>
      <c r="K208">
        <f t="shared" si="6"/>
        <v>7.6335877862595417E-3</v>
      </c>
      <c r="L208">
        <f t="shared" ca="1" si="7"/>
        <v>0.60763888888888895</v>
      </c>
    </row>
    <row r="209" spans="1:12" x14ac:dyDescent="0.55000000000000004">
      <c r="A209" t="s">
        <v>342</v>
      </c>
      <c r="B209">
        <v>147</v>
      </c>
      <c r="C209">
        <v>622.5</v>
      </c>
      <c r="D209">
        <v>607.5</v>
      </c>
      <c r="E209">
        <v>9.5132499999999993</v>
      </c>
      <c r="F209" t="s">
        <v>177</v>
      </c>
      <c r="G209">
        <v>113</v>
      </c>
      <c r="H209" t="s">
        <v>353</v>
      </c>
      <c r="I209">
        <f ca="1">B209-VLOOKUP(H209,INDIRECT("フレーム変換表!A$1:B$" &amp; フレーム変換表!$D$1),2,FALSE)*2</f>
        <v>53</v>
      </c>
      <c r="J209" t="str">
        <f ca="1">VLOOKUP(F209,INDIRECT("球種変換表!A$1:B$" &amp; 球種変換表!$D$1),2,)</f>
        <v>スローカーブ</v>
      </c>
      <c r="K209">
        <f t="shared" si="6"/>
        <v>8.8495575221238937E-3</v>
      </c>
      <c r="L209">
        <f t="shared" ca="1" si="7"/>
        <v>0.87812500000000004</v>
      </c>
    </row>
    <row r="210" spans="1:12" x14ac:dyDescent="0.55000000000000004">
      <c r="A210" t="s">
        <v>343</v>
      </c>
      <c r="B210">
        <v>148</v>
      </c>
      <c r="C210">
        <v>641</v>
      </c>
      <c r="D210">
        <v>612</v>
      </c>
      <c r="E210">
        <v>10.0001</v>
      </c>
      <c r="F210" t="s">
        <v>177</v>
      </c>
      <c r="G210">
        <v>113</v>
      </c>
      <c r="H210" t="s">
        <v>353</v>
      </c>
      <c r="I210">
        <f ca="1">B210-VLOOKUP(H210,INDIRECT("フレーム変換表!A$1:B$" &amp; フレーム変換表!$D$1),2,FALSE)*2</f>
        <v>54</v>
      </c>
      <c r="J210" t="str">
        <f ca="1">VLOOKUP(F210,INDIRECT("球種変換表!A$1:B$" &amp; 球種変換表!$D$1),2,)</f>
        <v>スローカーブ</v>
      </c>
      <c r="K210">
        <f t="shared" si="6"/>
        <v>8.8495575221238937E-3</v>
      </c>
      <c r="L210">
        <f t="shared" ca="1" si="7"/>
        <v>0.89166666666666672</v>
      </c>
    </row>
    <row r="211" spans="1:12" x14ac:dyDescent="0.55000000000000004">
      <c r="A211" t="s">
        <v>345</v>
      </c>
      <c r="B211">
        <v>149</v>
      </c>
      <c r="C211">
        <v>658</v>
      </c>
      <c r="D211">
        <v>618</v>
      </c>
      <c r="E211">
        <v>10.0001</v>
      </c>
      <c r="F211" t="s">
        <v>344</v>
      </c>
      <c r="G211">
        <v>112</v>
      </c>
      <c r="H211" t="s">
        <v>353</v>
      </c>
      <c r="I211">
        <f ca="1">B211-VLOOKUP(H211,INDIRECT("フレーム変換表!A$1:B$" &amp; フレーム変換表!$D$1),2,FALSE)*2</f>
        <v>55</v>
      </c>
      <c r="J211" t="str">
        <f ca="1">VLOOKUP(F211,INDIRECT("球種変換表!A$1:B$" &amp; 球種変換表!$D$1),2,)</f>
        <v>スローカーブ</v>
      </c>
      <c r="K211">
        <f t="shared" si="6"/>
        <v>8.9285714285714281E-3</v>
      </c>
      <c r="L211">
        <f t="shared" ca="1" si="7"/>
        <v>0.90416666666666667</v>
      </c>
    </row>
    <row r="212" spans="1:12" x14ac:dyDescent="0.55000000000000004">
      <c r="A212" t="s">
        <v>346</v>
      </c>
      <c r="B212">
        <v>149</v>
      </c>
      <c r="C212">
        <v>629</v>
      </c>
      <c r="D212">
        <v>616.5</v>
      </c>
      <c r="E212">
        <v>10.012589999999999</v>
      </c>
      <c r="F212" t="s">
        <v>344</v>
      </c>
      <c r="G212">
        <v>112</v>
      </c>
      <c r="H212" t="s">
        <v>353</v>
      </c>
      <c r="I212">
        <f ca="1">B212-VLOOKUP(H212,INDIRECT("フレーム変換表!A$1:B$" &amp; フレーム変換表!$D$1),2,FALSE)*2</f>
        <v>55</v>
      </c>
      <c r="J212" t="str">
        <f ca="1">VLOOKUP(F212,INDIRECT("球種変換表!A$1:B$" &amp; 球種変換表!$D$1),2,)</f>
        <v>スローカーブ</v>
      </c>
      <c r="K212">
        <f t="shared" si="6"/>
        <v>8.9285714285714281E-3</v>
      </c>
      <c r="L212">
        <f t="shared" ca="1" si="7"/>
        <v>0.90520833333333328</v>
      </c>
    </row>
    <row r="213" spans="1:12" x14ac:dyDescent="0.55000000000000004">
      <c r="A213" t="s">
        <v>347</v>
      </c>
      <c r="B213">
        <v>148</v>
      </c>
      <c r="C213">
        <v>650</v>
      </c>
      <c r="D213">
        <v>612.5</v>
      </c>
      <c r="E213">
        <v>10.012589999999999</v>
      </c>
      <c r="F213" t="s">
        <v>177</v>
      </c>
      <c r="G213">
        <v>113</v>
      </c>
      <c r="H213" t="s">
        <v>353</v>
      </c>
      <c r="I213">
        <f ca="1">B213-VLOOKUP(H213,INDIRECT("フレーム変換表!A$1:B$" &amp; フレーム変換表!$D$1),2,FALSE)*2</f>
        <v>54</v>
      </c>
      <c r="J213" t="str">
        <f ca="1">VLOOKUP(F213,INDIRECT("球種変換表!A$1:B$" &amp; 球種変換表!$D$1),2,)</f>
        <v>スローカーブ</v>
      </c>
      <c r="K213">
        <f t="shared" si="6"/>
        <v>8.8495575221238937E-3</v>
      </c>
      <c r="L213">
        <f t="shared" ca="1" si="7"/>
        <v>0.89131944444444444</v>
      </c>
    </row>
    <row r="214" spans="1:12" x14ac:dyDescent="0.55000000000000004">
      <c r="A214" t="s">
        <v>348</v>
      </c>
      <c r="B214">
        <v>149</v>
      </c>
      <c r="C214">
        <v>638</v>
      </c>
      <c r="D214">
        <v>610.5</v>
      </c>
      <c r="E214">
        <v>10.012589999999999</v>
      </c>
      <c r="F214" t="s">
        <v>177</v>
      </c>
      <c r="G214">
        <v>111</v>
      </c>
      <c r="H214" t="s">
        <v>353</v>
      </c>
      <c r="I214">
        <f ca="1">B214-VLOOKUP(H214,INDIRECT("フレーム変換表!A$1:B$" &amp; フレーム変換表!$D$1),2,FALSE)*2</f>
        <v>55</v>
      </c>
      <c r="J214" t="str">
        <f ca="1">VLOOKUP(F214,INDIRECT("球種変換表!A$1:B$" &amp; 球種変換表!$D$1),2,)</f>
        <v>スローカーブ</v>
      </c>
      <c r="K214">
        <f t="shared" si="6"/>
        <v>9.0090090090090089E-3</v>
      </c>
      <c r="L214">
        <f t="shared" ca="1" si="7"/>
        <v>0.90937500000000004</v>
      </c>
    </row>
    <row r="215" spans="1:12" x14ac:dyDescent="0.55000000000000004">
      <c r="A215" t="s">
        <v>349</v>
      </c>
      <c r="B215">
        <v>149</v>
      </c>
      <c r="C215">
        <v>635</v>
      </c>
      <c r="D215">
        <v>611.5</v>
      </c>
      <c r="E215">
        <v>10.012589999999999</v>
      </c>
      <c r="F215" t="s">
        <v>177</v>
      </c>
      <c r="G215">
        <v>111</v>
      </c>
      <c r="H215" t="s">
        <v>353</v>
      </c>
      <c r="I215">
        <f ca="1">B215-VLOOKUP(H215,INDIRECT("フレーム変換表!A$1:B$" &amp; フレーム変換表!$D$1),2,FALSE)*2</f>
        <v>55</v>
      </c>
      <c r="J215" t="str">
        <f ca="1">VLOOKUP(F215,INDIRECT("球種変換表!A$1:B$" &amp; 球種変換表!$D$1),2,)</f>
        <v>スローカーブ</v>
      </c>
      <c r="K215">
        <f t="shared" si="6"/>
        <v>9.0090090090090089E-3</v>
      </c>
      <c r="L215">
        <f t="shared" ca="1" si="7"/>
        <v>0.9086805555555556</v>
      </c>
    </row>
    <row r="216" spans="1:12" x14ac:dyDescent="0.55000000000000004">
      <c r="A216" t="s">
        <v>350</v>
      </c>
      <c r="B216">
        <v>150</v>
      </c>
      <c r="C216">
        <v>651</v>
      </c>
      <c r="D216">
        <v>620.5</v>
      </c>
      <c r="E216">
        <v>10.012589999999999</v>
      </c>
      <c r="F216" t="s">
        <v>177</v>
      </c>
      <c r="G216">
        <v>111</v>
      </c>
      <c r="H216" t="s">
        <v>353</v>
      </c>
      <c r="I216">
        <f ca="1">B216-VLOOKUP(H216,INDIRECT("フレーム変換表!A$1:B$" &amp; フレーム変換表!$D$1),2,FALSE)*2</f>
        <v>56</v>
      </c>
      <c r="J216" t="str">
        <f ca="1">VLOOKUP(F216,INDIRECT("球種変換表!A$1:B$" &amp; 球種変換表!$D$1),2,)</f>
        <v>スローカーブ</v>
      </c>
      <c r="K216">
        <f t="shared" si="6"/>
        <v>9.0090090090090089E-3</v>
      </c>
      <c r="L216">
        <f t="shared" ca="1" si="7"/>
        <v>0.91909722222222223</v>
      </c>
    </row>
    <row r="217" spans="1:12" x14ac:dyDescent="0.55000000000000004">
      <c r="A217" t="s">
        <v>351</v>
      </c>
      <c r="B217">
        <v>149</v>
      </c>
      <c r="C217">
        <v>651.5</v>
      </c>
      <c r="D217">
        <v>622</v>
      </c>
      <c r="E217">
        <v>10.5001</v>
      </c>
      <c r="F217" t="s">
        <v>179</v>
      </c>
      <c r="G217">
        <v>113</v>
      </c>
      <c r="H217" t="s">
        <v>353</v>
      </c>
      <c r="I217">
        <f ca="1">B217-VLOOKUP(H217,INDIRECT("フレーム変換表!A$1:B$" &amp; フレーム変換表!$D$1),2,FALSE)*2</f>
        <v>55</v>
      </c>
      <c r="J217" t="str">
        <f ca="1">VLOOKUP(F217,INDIRECT("球種変換表!A$1:B$" &amp; 球種変換表!$D$1),2,)</f>
        <v>スローカーブ</v>
      </c>
      <c r="K217">
        <f t="shared" si="6"/>
        <v>8.8495575221238937E-3</v>
      </c>
      <c r="L217">
        <f t="shared" ca="1" si="7"/>
        <v>0.90138888888888891</v>
      </c>
    </row>
    <row r="218" spans="1:12" x14ac:dyDescent="0.55000000000000004">
      <c r="A218" t="s">
        <v>352</v>
      </c>
      <c r="B218">
        <v>148</v>
      </c>
      <c r="C218">
        <v>650</v>
      </c>
      <c r="D218">
        <v>609.5</v>
      </c>
      <c r="E218">
        <v>10.012589999999999</v>
      </c>
      <c r="F218" t="s">
        <v>177</v>
      </c>
      <c r="G218">
        <v>113</v>
      </c>
      <c r="H218" t="s">
        <v>353</v>
      </c>
      <c r="I218">
        <f ca="1">B218-VLOOKUP(H218,INDIRECT("フレーム変換表!A$1:B$" &amp; フレーム変換表!$D$1),2,FALSE)*2</f>
        <v>54</v>
      </c>
      <c r="J218" t="str">
        <f ca="1">VLOOKUP(F218,INDIRECT("球種変換表!A$1:B$" &amp; 球種変換表!$D$1),2,)</f>
        <v>スローカーブ</v>
      </c>
      <c r="K218">
        <f t="shared" si="6"/>
        <v>8.8495575221238937E-3</v>
      </c>
      <c r="L218">
        <f t="shared" ca="1" si="7"/>
        <v>0.89340277777777777</v>
      </c>
    </row>
  </sheetData>
  <autoFilter ref="A1:P178" xr:uid="{4AC8CA7C-B780-4447-B992-2C793647C121}">
    <filterColumn colId="6">
      <filters>
        <filter val="101"/>
        <filter val="102"/>
        <filter val="103"/>
        <filter val="104"/>
        <filter val="111"/>
        <filter val="112"/>
        <filter val="113"/>
        <filter val="114"/>
        <filter val="115"/>
        <filter val="116"/>
        <filter val="117"/>
        <filter val="118"/>
        <filter val="119"/>
        <filter val="121"/>
        <filter val="123"/>
        <filter val="124"/>
        <filter val="125"/>
        <filter val="126"/>
        <filter val="127"/>
        <filter val="128"/>
        <filter val="129"/>
        <filter val="130"/>
        <filter val="131"/>
        <filter val="132"/>
        <filter val="134"/>
        <filter val="135"/>
        <filter val="136"/>
        <filter val="137"/>
        <filter val="138"/>
        <filter val="139"/>
        <filter val="140"/>
        <filter val="141"/>
        <filter val="142"/>
        <filter val="143"/>
        <filter val="144"/>
        <filter val="145"/>
        <filter val="146"/>
        <filter val="147"/>
        <filter val="148"/>
      </filters>
    </filterColumn>
  </autoFilter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7C79-F5F2-4A25-966E-37AF1CA7A863}">
  <sheetPr codeName="Sheet1"/>
  <dimension ref="A1:D28"/>
  <sheetViews>
    <sheetView workbookViewId="0">
      <selection activeCell="B28" sqref="B28"/>
    </sheetView>
  </sheetViews>
  <sheetFormatPr defaultRowHeight="18" x14ac:dyDescent="0.55000000000000004"/>
  <cols>
    <col min="1" max="1" width="17.33203125" customWidth="1"/>
    <col min="2" max="2" width="18.25" customWidth="1"/>
  </cols>
  <sheetData>
    <row r="1" spans="1:4" x14ac:dyDescent="0.55000000000000004">
      <c r="A1" t="s">
        <v>16</v>
      </c>
      <c r="B1" t="s">
        <v>13</v>
      </c>
      <c r="D1">
        <f>COUNTA(A:A)</f>
        <v>28</v>
      </c>
    </row>
    <row r="2" spans="1:4" x14ac:dyDescent="0.55000000000000004">
      <c r="A2">
        <v>4</v>
      </c>
      <c r="B2" t="s">
        <v>13</v>
      </c>
    </row>
    <row r="3" spans="1:4" x14ac:dyDescent="0.55000000000000004">
      <c r="A3" t="s">
        <v>61</v>
      </c>
      <c r="B3" t="s">
        <v>99</v>
      </c>
    </row>
    <row r="4" spans="1:4" x14ac:dyDescent="0.55000000000000004">
      <c r="A4" t="s">
        <v>28</v>
      </c>
      <c r="B4" t="s">
        <v>98</v>
      </c>
    </row>
    <row r="5" spans="1:4" x14ac:dyDescent="0.55000000000000004">
      <c r="A5" t="s">
        <v>32</v>
      </c>
      <c r="B5" t="s">
        <v>98</v>
      </c>
    </row>
    <row r="6" spans="1:4" x14ac:dyDescent="0.55000000000000004">
      <c r="A6" t="s">
        <v>13</v>
      </c>
      <c r="B6" t="s">
        <v>13</v>
      </c>
    </row>
    <row r="7" spans="1:4" x14ac:dyDescent="0.55000000000000004">
      <c r="A7" t="s">
        <v>99</v>
      </c>
      <c r="B7" t="s">
        <v>99</v>
      </c>
    </row>
    <row r="8" spans="1:4" x14ac:dyDescent="0.55000000000000004">
      <c r="A8" t="s">
        <v>35</v>
      </c>
      <c r="B8" t="s">
        <v>98</v>
      </c>
    </row>
    <row r="9" spans="1:4" x14ac:dyDescent="0.55000000000000004">
      <c r="A9" t="s">
        <v>117</v>
      </c>
      <c r="B9" t="s">
        <v>117</v>
      </c>
    </row>
    <row r="10" spans="1:4" x14ac:dyDescent="0.55000000000000004">
      <c r="A10" t="s">
        <v>0</v>
      </c>
      <c r="B10" t="s">
        <v>0</v>
      </c>
    </row>
    <row r="11" spans="1:4" x14ac:dyDescent="0.55000000000000004">
      <c r="A11" t="s">
        <v>127</v>
      </c>
      <c r="B11" t="s">
        <v>127</v>
      </c>
    </row>
    <row r="12" spans="1:4" x14ac:dyDescent="0.55000000000000004">
      <c r="A12" t="s">
        <v>181</v>
      </c>
      <c r="B12" t="s">
        <v>181</v>
      </c>
    </row>
    <row r="13" spans="1:4" x14ac:dyDescent="0.55000000000000004">
      <c r="A13" t="s">
        <v>2</v>
      </c>
      <c r="B13" t="s">
        <v>2</v>
      </c>
    </row>
    <row r="14" spans="1:4" x14ac:dyDescent="0.55000000000000004">
      <c r="A14" t="s">
        <v>100</v>
      </c>
      <c r="B14" t="s">
        <v>100</v>
      </c>
    </row>
    <row r="15" spans="1:4" x14ac:dyDescent="0.55000000000000004">
      <c r="A15" t="s">
        <v>72</v>
      </c>
      <c r="B15" t="s">
        <v>100</v>
      </c>
    </row>
    <row r="16" spans="1:4" x14ac:dyDescent="0.55000000000000004">
      <c r="A16" t="s">
        <v>102</v>
      </c>
      <c r="B16" t="s">
        <v>102</v>
      </c>
    </row>
    <row r="17" spans="1:2" x14ac:dyDescent="0.55000000000000004">
      <c r="A17" t="s">
        <v>84</v>
      </c>
      <c r="B17" t="s">
        <v>100</v>
      </c>
    </row>
    <row r="18" spans="1:2" x14ac:dyDescent="0.55000000000000004">
      <c r="A18" t="s">
        <v>179</v>
      </c>
      <c r="B18" t="s">
        <v>181</v>
      </c>
    </row>
    <row r="19" spans="1:2" x14ac:dyDescent="0.55000000000000004">
      <c r="A19" t="s">
        <v>178</v>
      </c>
      <c r="B19" t="s">
        <v>181</v>
      </c>
    </row>
    <row r="20" spans="1:2" x14ac:dyDescent="0.55000000000000004">
      <c r="A20" t="s">
        <v>170</v>
      </c>
      <c r="B20" t="s">
        <v>163</v>
      </c>
    </row>
    <row r="21" spans="1:2" x14ac:dyDescent="0.55000000000000004">
      <c r="A21" t="s">
        <v>163</v>
      </c>
      <c r="B21" t="s">
        <v>163</v>
      </c>
    </row>
    <row r="22" spans="1:2" x14ac:dyDescent="0.55000000000000004">
      <c r="A22" t="s">
        <v>244</v>
      </c>
      <c r="B22" t="s">
        <v>244</v>
      </c>
    </row>
    <row r="23" spans="1:2" x14ac:dyDescent="0.55000000000000004">
      <c r="A23" t="s">
        <v>245</v>
      </c>
      <c r="B23" t="s">
        <v>245</v>
      </c>
    </row>
    <row r="24" spans="1:2" x14ac:dyDescent="0.55000000000000004">
      <c r="A24" t="s">
        <v>246</v>
      </c>
      <c r="B24" t="s">
        <v>245</v>
      </c>
    </row>
    <row r="25" spans="1:2" x14ac:dyDescent="0.55000000000000004">
      <c r="A25" t="s">
        <v>247</v>
      </c>
      <c r="B25" t="s">
        <v>102</v>
      </c>
    </row>
    <row r="26" spans="1:2" x14ac:dyDescent="0.55000000000000004">
      <c r="A26" t="s">
        <v>248</v>
      </c>
      <c r="B26" t="s">
        <v>102</v>
      </c>
    </row>
    <row r="27" spans="1:2" x14ac:dyDescent="0.55000000000000004">
      <c r="A27" t="s">
        <v>249</v>
      </c>
      <c r="B27" t="s">
        <v>102</v>
      </c>
    </row>
    <row r="28" spans="1:2" x14ac:dyDescent="0.55000000000000004">
      <c r="A28" t="s">
        <v>344</v>
      </c>
      <c r="B28" t="s">
        <v>181</v>
      </c>
    </row>
  </sheetData>
  <sortState xmlns:xlrd2="http://schemas.microsoft.com/office/spreadsheetml/2017/richdata2" ref="A2:B21">
    <sortCondition ref="A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5D045-225B-4777-8470-9E5A1C1A69E4}">
  <sheetPr codeName="Sheet2"/>
  <dimension ref="A1:D4"/>
  <sheetViews>
    <sheetView workbookViewId="0">
      <selection activeCell="A5" sqref="A5"/>
    </sheetView>
  </sheetViews>
  <sheetFormatPr defaultRowHeight="18" x14ac:dyDescent="0.55000000000000004"/>
  <sheetData>
    <row r="1" spans="1:4" x14ac:dyDescent="0.55000000000000004">
      <c r="A1" t="s">
        <v>183</v>
      </c>
      <c r="B1">
        <v>29</v>
      </c>
      <c r="D1">
        <f>COUNTA((A:A))</f>
        <v>4</v>
      </c>
    </row>
    <row r="2" spans="1:4" x14ac:dyDescent="0.55000000000000004">
      <c r="A2" t="s">
        <v>182</v>
      </c>
      <c r="B2">
        <v>46</v>
      </c>
    </row>
    <row r="3" spans="1:4" x14ac:dyDescent="0.55000000000000004">
      <c r="A3" t="s">
        <v>188</v>
      </c>
      <c r="B3">
        <v>13</v>
      </c>
    </row>
    <row r="4" spans="1:4" x14ac:dyDescent="0.55000000000000004">
      <c r="A4" t="s">
        <v>251</v>
      </c>
      <c r="B4">
        <v>47</v>
      </c>
    </row>
  </sheetData>
  <sortState xmlns:xlrd2="http://schemas.microsoft.com/office/spreadsheetml/2017/richdata2" ref="A1:B3">
    <sortCondition ref="A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解析データ</vt:lpstr>
      <vt:lpstr>output</vt:lpstr>
      <vt:lpstr>球種変換表</vt:lpstr>
      <vt:lpstr>フレーム変換表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2020-06-10T13:58:06Z</dcterms:modified>
</cp:coreProperties>
</file>