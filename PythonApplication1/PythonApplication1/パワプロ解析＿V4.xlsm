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l_l\Documents\GitHub\power-pro\PythonApplication1\PythonApplication1\"/>
    </mc:Choice>
  </mc:AlternateContent>
  <xr:revisionPtr revIDLastSave="0" documentId="13_ncr:1_{19AFAB13-BA1A-4ECE-9D4C-3DC20927257E}" xr6:coauthVersionLast="45" xr6:coauthVersionMax="45" xr10:uidLastSave="{00000000-0000-0000-0000-000000000000}"/>
  <bookViews>
    <workbookView xWindow="-110" yWindow="-110" windowWidth="22780" windowHeight="14660" activeTab="1" xr2:uid="{DC37FFB4-60E8-4900-8BC1-282FA68B8F01}"/>
  </bookViews>
  <sheets>
    <sheet name="解析データ" sheetId="3" r:id="rId1"/>
    <sheet name="output" sheetId="7" r:id="rId2"/>
    <sheet name="球種変換表" sheetId="13" r:id="rId3"/>
    <sheet name="フレーム変換表" sheetId="14" r:id="rId4"/>
  </sheets>
  <definedNames>
    <definedName name="_xlnm._FilterDatabase" localSheetId="1" hidden="1">output!$A$1:$Q$316</definedName>
    <definedName name="_xlnm._FilterDatabase" localSheetId="0" hidden="1">解析データ!$A$1:$P$441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68" i="7" l="1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179" i="7" l="1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D1" i="13"/>
  <c r="D1" i="14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2" i="7"/>
  <c r="H18" i="3"/>
  <c r="I18" i="3"/>
  <c r="H19" i="3"/>
  <c r="I19" i="3"/>
  <c r="H20" i="3"/>
  <c r="I20" i="3"/>
  <c r="H21" i="3"/>
  <c r="I21" i="3"/>
  <c r="H22" i="3"/>
  <c r="I22" i="3"/>
  <c r="H23" i="3"/>
  <c r="I23" i="3"/>
  <c r="H24" i="3"/>
  <c r="I24" i="3"/>
  <c r="H25" i="3"/>
  <c r="I25" i="3"/>
  <c r="H26" i="3"/>
  <c r="I26" i="3"/>
  <c r="H27" i="3"/>
  <c r="I27" i="3"/>
  <c r="H28" i="3"/>
  <c r="I28" i="3"/>
  <c r="H29" i="3"/>
  <c r="I29" i="3"/>
  <c r="H30" i="3"/>
  <c r="I30" i="3"/>
  <c r="H31" i="3"/>
  <c r="I31" i="3"/>
  <c r="H32" i="3"/>
  <c r="I32" i="3"/>
  <c r="H33" i="3"/>
  <c r="I33" i="3"/>
  <c r="H34" i="3"/>
  <c r="I34" i="3"/>
  <c r="H35" i="3"/>
  <c r="I35" i="3"/>
  <c r="H36" i="3"/>
  <c r="I36" i="3"/>
  <c r="H37" i="3"/>
  <c r="I37" i="3"/>
  <c r="H38" i="3"/>
  <c r="I38" i="3"/>
  <c r="H39" i="3"/>
  <c r="I39" i="3"/>
  <c r="H40" i="3"/>
  <c r="I40" i="3"/>
  <c r="H41" i="3"/>
  <c r="I41" i="3"/>
  <c r="H42" i="3"/>
  <c r="I42" i="3"/>
  <c r="H43" i="3"/>
  <c r="I43" i="3"/>
  <c r="H44" i="3"/>
  <c r="I44" i="3"/>
  <c r="H45" i="3"/>
  <c r="I45" i="3"/>
  <c r="H46" i="3"/>
  <c r="I46" i="3"/>
  <c r="H47" i="3"/>
  <c r="I47" i="3"/>
  <c r="H48" i="3"/>
  <c r="I48" i="3"/>
  <c r="H49" i="3"/>
  <c r="I49" i="3"/>
  <c r="H50" i="3"/>
  <c r="I50" i="3"/>
  <c r="H51" i="3"/>
  <c r="I51" i="3"/>
  <c r="H52" i="3"/>
  <c r="I52" i="3"/>
  <c r="H53" i="3"/>
  <c r="I53" i="3"/>
  <c r="H54" i="3"/>
  <c r="I54" i="3"/>
  <c r="H55" i="3"/>
  <c r="I55" i="3"/>
  <c r="H56" i="3"/>
  <c r="I56" i="3"/>
  <c r="H57" i="3"/>
  <c r="I57" i="3"/>
  <c r="H58" i="3"/>
  <c r="I58" i="3"/>
  <c r="H59" i="3"/>
  <c r="I59" i="3"/>
  <c r="H60" i="3"/>
  <c r="I60" i="3"/>
  <c r="H61" i="3"/>
  <c r="I61" i="3"/>
  <c r="H62" i="3"/>
  <c r="I62" i="3"/>
  <c r="H63" i="3"/>
  <c r="I63" i="3"/>
  <c r="H64" i="3"/>
  <c r="I64" i="3"/>
  <c r="H65" i="3"/>
  <c r="I65" i="3"/>
  <c r="H66" i="3"/>
  <c r="I66" i="3"/>
  <c r="H67" i="3"/>
  <c r="I67" i="3"/>
  <c r="H68" i="3"/>
  <c r="I68" i="3"/>
  <c r="H69" i="3"/>
  <c r="I69" i="3"/>
  <c r="H70" i="3"/>
  <c r="I70" i="3"/>
  <c r="H71" i="3"/>
  <c r="I71" i="3"/>
  <c r="H72" i="3"/>
  <c r="I72" i="3"/>
  <c r="H73" i="3"/>
  <c r="I73" i="3"/>
  <c r="H74" i="3"/>
  <c r="I74" i="3"/>
  <c r="H75" i="3"/>
  <c r="I75" i="3"/>
  <c r="H76" i="3"/>
  <c r="I76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I2" i="3"/>
  <c r="I3" i="3"/>
  <c r="I4" i="3"/>
  <c r="I5" i="3"/>
  <c r="I6" i="3"/>
  <c r="I7" i="3"/>
  <c r="I8" i="3"/>
  <c r="I1" i="3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95" i="7"/>
  <c r="K294" i="7"/>
  <c r="K293" i="7"/>
  <c r="K292" i="7"/>
  <c r="K291" i="7"/>
  <c r="K290" i="7"/>
  <c r="K289" i="7"/>
  <c r="K288" i="7"/>
  <c r="K287" i="7"/>
  <c r="K286" i="7"/>
  <c r="K285" i="7"/>
  <c r="K284" i="7"/>
  <c r="K283" i="7"/>
  <c r="K282" i="7"/>
  <c r="K281" i="7"/>
  <c r="K280" i="7"/>
  <c r="K279" i="7"/>
  <c r="K278" i="7"/>
  <c r="K277" i="7"/>
  <c r="K276" i="7"/>
  <c r="K275" i="7"/>
  <c r="K274" i="7"/>
  <c r="K273" i="7"/>
  <c r="K272" i="7"/>
  <c r="K271" i="7"/>
  <c r="K270" i="7"/>
  <c r="K269" i="7"/>
  <c r="K268" i="7"/>
  <c r="J2" i="7"/>
  <c r="J81" i="7"/>
  <c r="J133" i="7"/>
  <c r="J182" i="7"/>
  <c r="J220" i="7"/>
  <c r="J224" i="7"/>
  <c r="J3" i="7"/>
  <c r="J7" i="7"/>
  <c r="J78" i="7"/>
  <c r="J82" i="7"/>
  <c r="J86" i="7"/>
  <c r="J130" i="7"/>
  <c r="J134" i="7"/>
  <c r="J179" i="7"/>
  <c r="J183" i="7"/>
  <c r="J187" i="7"/>
  <c r="J221" i="7"/>
  <c r="J225" i="7"/>
  <c r="J10" i="7"/>
  <c r="J129" i="7"/>
  <c r="J4" i="7"/>
  <c r="J79" i="7"/>
  <c r="J83" i="7"/>
  <c r="J87" i="7"/>
  <c r="J131" i="7"/>
  <c r="J135" i="7"/>
  <c r="J180" i="7"/>
  <c r="J184" i="7"/>
  <c r="J188" i="7"/>
  <c r="J222" i="7"/>
  <c r="J226" i="7"/>
  <c r="J6" i="7"/>
  <c r="J85" i="7"/>
  <c r="J137" i="7"/>
  <c r="J186" i="7"/>
  <c r="J8" i="7"/>
  <c r="J5" i="7"/>
  <c r="J9" i="7"/>
  <c r="J80" i="7"/>
  <c r="J84" i="7"/>
  <c r="J128" i="7"/>
  <c r="J132" i="7"/>
  <c r="J136" i="7"/>
  <c r="J181" i="7"/>
  <c r="J185" i="7"/>
  <c r="J219" i="7"/>
  <c r="J223" i="7"/>
  <c r="J22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K267" i="7"/>
  <c r="K266" i="7"/>
  <c r="K265" i="7"/>
  <c r="K264" i="7"/>
  <c r="K263" i="7"/>
  <c r="K262" i="7"/>
  <c r="K261" i="7"/>
  <c r="K260" i="7"/>
  <c r="K259" i="7"/>
  <c r="K258" i="7"/>
  <c r="K257" i="7"/>
  <c r="K256" i="7"/>
  <c r="K255" i="7"/>
  <c r="K254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232" i="7"/>
  <c r="K231" i="7"/>
  <c r="K230" i="7"/>
  <c r="K229" i="7"/>
  <c r="K228" i="7"/>
  <c r="K227" i="7"/>
  <c r="K226" i="7"/>
  <c r="K225" i="7"/>
  <c r="K224" i="7"/>
  <c r="K223" i="7"/>
  <c r="K222" i="7"/>
  <c r="K221" i="7"/>
  <c r="K220" i="7"/>
  <c r="K219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M268" i="7" l="1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12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H1" i="3"/>
  <c r="H2" i="3"/>
  <c r="H3" i="3"/>
  <c r="H4" i="3"/>
  <c r="H5" i="3"/>
  <c r="H6" i="3"/>
  <c r="H7" i="3"/>
  <c r="H8" i="3"/>
  <c r="J189" i="7"/>
  <c r="J194" i="7"/>
  <c r="J198" i="7"/>
  <c r="J203" i="7"/>
  <c r="J212" i="7"/>
  <c r="K179" i="7"/>
  <c r="K183" i="7"/>
  <c r="K187" i="7"/>
  <c r="K191" i="7"/>
  <c r="K195" i="7"/>
  <c r="K199" i="7"/>
  <c r="K203" i="7"/>
  <c r="K207" i="7"/>
  <c r="K211" i="7"/>
  <c r="K215" i="7"/>
  <c r="J193" i="7"/>
  <c r="J208" i="7"/>
  <c r="J215" i="7"/>
  <c r="J11" i="7"/>
  <c r="J27" i="7"/>
  <c r="J43" i="7"/>
  <c r="J59" i="7"/>
  <c r="J75" i="7"/>
  <c r="J91" i="7"/>
  <c r="J107" i="7"/>
  <c r="J123" i="7"/>
  <c r="J139" i="7"/>
  <c r="J155" i="7"/>
  <c r="J171" i="7"/>
  <c r="J20" i="7"/>
  <c r="J36" i="7"/>
  <c r="J52" i="7"/>
  <c r="J68" i="7"/>
  <c r="J100" i="7"/>
  <c r="J116" i="7"/>
  <c r="J148" i="7"/>
  <c r="J164" i="7"/>
  <c r="J161" i="7"/>
  <c r="J22" i="7"/>
  <c r="J58" i="7"/>
  <c r="J94" i="7"/>
  <c r="J162" i="7"/>
  <c r="J25" i="7"/>
  <c r="J41" i="7"/>
  <c r="J57" i="7"/>
  <c r="J73" i="7"/>
  <c r="J89" i="7"/>
  <c r="J105" i="7"/>
  <c r="J121" i="7"/>
  <c r="J153" i="7"/>
  <c r="J177" i="7"/>
  <c r="J30" i="7"/>
  <c r="J62" i="7"/>
  <c r="J90" i="7"/>
  <c r="J118" i="7"/>
  <c r="J158" i="7"/>
  <c r="K7" i="7"/>
  <c r="K23" i="7"/>
  <c r="K39" i="7"/>
  <c r="K55" i="7"/>
  <c r="K71" i="7"/>
  <c r="K87" i="7"/>
  <c r="K103" i="7"/>
  <c r="K119" i="7"/>
  <c r="K135" i="7"/>
  <c r="K151" i="7"/>
  <c r="K167" i="7"/>
  <c r="K144" i="7"/>
  <c r="K160" i="7"/>
  <c r="K176" i="7"/>
  <c r="K17" i="7"/>
  <c r="K33" i="7"/>
  <c r="K49" i="7"/>
  <c r="K65" i="7"/>
  <c r="K85" i="7"/>
  <c r="K137" i="7"/>
  <c r="K6" i="7"/>
  <c r="K134" i="7"/>
  <c r="K174" i="7"/>
  <c r="K16" i="7"/>
  <c r="K32" i="7"/>
  <c r="K48" i="7"/>
  <c r="K64" i="7"/>
  <c r="K80" i="7"/>
  <c r="K96" i="7"/>
  <c r="K112" i="7"/>
  <c r="K128" i="7"/>
  <c r="K89" i="7"/>
  <c r="K109" i="7"/>
  <c r="K141" i="7"/>
  <c r="K14" i="7"/>
  <c r="K34" i="7"/>
  <c r="K62" i="7"/>
  <c r="K86" i="7"/>
  <c r="K142" i="7"/>
  <c r="K153" i="7"/>
  <c r="K30" i="7"/>
  <c r="K74" i="7"/>
  <c r="K106" i="7"/>
  <c r="K150" i="7"/>
  <c r="K148" i="7"/>
  <c r="K5" i="7"/>
  <c r="K37" i="7"/>
  <c r="K73" i="7"/>
  <c r="K93" i="7"/>
  <c r="K98" i="7"/>
  <c r="K4" i="7"/>
  <c r="K20" i="7"/>
  <c r="K52" i="7"/>
  <c r="K68" i="7"/>
  <c r="K100" i="7"/>
  <c r="K132" i="7"/>
  <c r="K97" i="7"/>
  <c r="K149" i="7"/>
  <c r="K18" i="7"/>
  <c r="K66" i="7"/>
  <c r="K158" i="7"/>
  <c r="K165" i="7"/>
  <c r="K82" i="7"/>
  <c r="J190" i="7"/>
  <c r="J195" i="7"/>
  <c r="J199" i="7"/>
  <c r="J206" i="7"/>
  <c r="J214" i="7"/>
  <c r="K180" i="7"/>
  <c r="K184" i="7"/>
  <c r="K188" i="7"/>
  <c r="K192" i="7"/>
  <c r="K196" i="7"/>
  <c r="K200" i="7"/>
  <c r="K204" i="7"/>
  <c r="K208" i="7"/>
  <c r="K212" i="7"/>
  <c r="K216" i="7"/>
  <c r="J201" i="7"/>
  <c r="J210" i="7"/>
  <c r="J217" i="7"/>
  <c r="J15" i="7"/>
  <c r="J31" i="7"/>
  <c r="J47" i="7"/>
  <c r="J63" i="7"/>
  <c r="J95" i="7"/>
  <c r="J111" i="7"/>
  <c r="J127" i="7"/>
  <c r="J143" i="7"/>
  <c r="J159" i="7"/>
  <c r="J175" i="7"/>
  <c r="J24" i="7"/>
  <c r="J40" i="7"/>
  <c r="J56" i="7"/>
  <c r="J72" i="7"/>
  <c r="J88" i="7"/>
  <c r="J104" i="7"/>
  <c r="J120" i="7"/>
  <c r="J152" i="7"/>
  <c r="J168" i="7"/>
  <c r="J173" i="7"/>
  <c r="J34" i="7"/>
  <c r="J70" i="7"/>
  <c r="J102" i="7"/>
  <c r="J138" i="7"/>
  <c r="J170" i="7"/>
  <c r="J13" i="7"/>
  <c r="J29" i="7"/>
  <c r="J45" i="7"/>
  <c r="J61" i="7"/>
  <c r="J77" i="7"/>
  <c r="J93" i="7"/>
  <c r="J109" i="7"/>
  <c r="J125" i="7"/>
  <c r="J141" i="7"/>
  <c r="J157" i="7"/>
  <c r="J38" i="7"/>
  <c r="J66" i="7"/>
  <c r="J98" i="7"/>
  <c r="J126" i="7"/>
  <c r="J166" i="7"/>
  <c r="K11" i="7"/>
  <c r="K27" i="7"/>
  <c r="K43" i="7"/>
  <c r="K59" i="7"/>
  <c r="K75" i="7"/>
  <c r="K91" i="7"/>
  <c r="K107" i="7"/>
  <c r="K123" i="7"/>
  <c r="K139" i="7"/>
  <c r="K155" i="7"/>
  <c r="K171" i="7"/>
  <c r="K164" i="7"/>
  <c r="K21" i="7"/>
  <c r="K53" i="7"/>
  <c r="K145" i="7"/>
  <c r="K146" i="7"/>
  <c r="K36" i="7"/>
  <c r="K84" i="7"/>
  <c r="K116" i="7"/>
  <c r="K113" i="7"/>
  <c r="K42" i="7"/>
  <c r="K102" i="7"/>
  <c r="K38" i="7"/>
  <c r="J191" i="7"/>
  <c r="J196" i="7"/>
  <c r="J200" i="7"/>
  <c r="J207" i="7"/>
  <c r="J216" i="7"/>
  <c r="K181" i="7"/>
  <c r="K185" i="7"/>
  <c r="K189" i="7"/>
  <c r="K193" i="7"/>
  <c r="K197" i="7"/>
  <c r="K201" i="7"/>
  <c r="K205" i="7"/>
  <c r="K209" i="7"/>
  <c r="K213" i="7"/>
  <c r="K217" i="7"/>
  <c r="J204" i="7"/>
  <c r="J211" i="7"/>
  <c r="J19" i="7"/>
  <c r="J35" i="7"/>
  <c r="J51" i="7"/>
  <c r="J67" i="7"/>
  <c r="J99" i="7"/>
  <c r="J115" i="7"/>
  <c r="J147" i="7"/>
  <c r="J163" i="7"/>
  <c r="J154" i="7"/>
  <c r="J12" i="7"/>
  <c r="J28" i="7"/>
  <c r="J44" i="7"/>
  <c r="J60" i="7"/>
  <c r="J76" i="7"/>
  <c r="J92" i="7"/>
  <c r="J108" i="7"/>
  <c r="J124" i="7"/>
  <c r="J140" i="7"/>
  <c r="J156" i="7"/>
  <c r="J172" i="7"/>
  <c r="J42" i="7"/>
  <c r="J114" i="7"/>
  <c r="J146" i="7"/>
  <c r="J174" i="7"/>
  <c r="J17" i="7"/>
  <c r="J33" i="7"/>
  <c r="J49" i="7"/>
  <c r="J65" i="7"/>
  <c r="J97" i="7"/>
  <c r="J113" i="7"/>
  <c r="J145" i="7"/>
  <c r="J165" i="7"/>
  <c r="J18" i="7"/>
  <c r="J46" i="7"/>
  <c r="J74" i="7"/>
  <c r="J106" i="7"/>
  <c r="K15" i="7"/>
  <c r="K31" i="7"/>
  <c r="K47" i="7"/>
  <c r="K63" i="7"/>
  <c r="K79" i="7"/>
  <c r="K95" i="7"/>
  <c r="K111" i="7"/>
  <c r="K127" i="7"/>
  <c r="K143" i="7"/>
  <c r="K159" i="7"/>
  <c r="K175" i="7"/>
  <c r="K152" i="7"/>
  <c r="K168" i="7"/>
  <c r="K9" i="7"/>
  <c r="K25" i="7"/>
  <c r="K41" i="7"/>
  <c r="K57" i="7"/>
  <c r="K77" i="7"/>
  <c r="K117" i="7"/>
  <c r="K157" i="7"/>
  <c r="K110" i="7"/>
  <c r="K154" i="7"/>
  <c r="K8" i="7"/>
  <c r="K24" i="7"/>
  <c r="K40" i="7"/>
  <c r="K56" i="7"/>
  <c r="K72" i="7"/>
  <c r="K88" i="7"/>
  <c r="K104" i="7"/>
  <c r="K120" i="7"/>
  <c r="K136" i="7"/>
  <c r="K101" i="7"/>
  <c r="K121" i="7"/>
  <c r="K161" i="7"/>
  <c r="K22" i="7"/>
  <c r="K54" i="7"/>
  <c r="K70" i="7"/>
  <c r="K114" i="7"/>
  <c r="K178" i="7"/>
  <c r="K177" i="7"/>
  <c r="K46" i="7"/>
  <c r="K90" i="7"/>
  <c r="K130" i="7"/>
  <c r="K170" i="7"/>
  <c r="J192" i="7"/>
  <c r="J197" i="7"/>
  <c r="J202" i="7"/>
  <c r="J209" i="7"/>
  <c r="J218" i="7"/>
  <c r="K182" i="7"/>
  <c r="K186" i="7"/>
  <c r="K190" i="7"/>
  <c r="K194" i="7"/>
  <c r="K198" i="7"/>
  <c r="K202" i="7"/>
  <c r="K206" i="7"/>
  <c r="K210" i="7"/>
  <c r="K214" i="7"/>
  <c r="J71" i="7"/>
  <c r="J16" i="7"/>
  <c r="J144" i="7"/>
  <c r="J50" i="7"/>
  <c r="J69" i="7"/>
  <c r="J54" i="7"/>
  <c r="K3" i="7"/>
  <c r="K67" i="7"/>
  <c r="K131" i="7"/>
  <c r="K156" i="7"/>
  <c r="K45" i="7"/>
  <c r="K169" i="7"/>
  <c r="K28" i="7"/>
  <c r="K92" i="7"/>
  <c r="K105" i="7"/>
  <c r="K58" i="7"/>
  <c r="K10" i="7"/>
  <c r="K138" i="7"/>
  <c r="K147" i="7"/>
  <c r="K61" i="7"/>
  <c r="K44" i="7"/>
  <c r="K129" i="7"/>
  <c r="K78" i="7"/>
  <c r="K162" i="7"/>
  <c r="J14" i="7"/>
  <c r="J117" i="7"/>
  <c r="K115" i="7"/>
  <c r="K29" i="7"/>
  <c r="K76" i="7"/>
  <c r="K26" i="7"/>
  <c r="K118" i="7"/>
  <c r="K218" i="7"/>
  <c r="J23" i="7"/>
  <c r="J151" i="7"/>
  <c r="J32" i="7"/>
  <c r="J96" i="7"/>
  <c r="J160" i="7"/>
  <c r="J21" i="7"/>
  <c r="J149" i="7"/>
  <c r="K19" i="7"/>
  <c r="K83" i="7"/>
  <c r="K172" i="7"/>
  <c r="K122" i="7"/>
  <c r="K108" i="7"/>
  <c r="K50" i="7"/>
  <c r="J53" i="7"/>
  <c r="J142" i="7"/>
  <c r="K133" i="7"/>
  <c r="K69" i="7"/>
  <c r="J205" i="7"/>
  <c r="J39" i="7"/>
  <c r="J103" i="7"/>
  <c r="J167" i="7"/>
  <c r="J48" i="7"/>
  <c r="J112" i="7"/>
  <c r="J176" i="7"/>
  <c r="J122" i="7"/>
  <c r="J37" i="7"/>
  <c r="J101" i="7"/>
  <c r="J169" i="7"/>
  <c r="J110" i="7"/>
  <c r="K35" i="7"/>
  <c r="K99" i="7"/>
  <c r="K163" i="7"/>
  <c r="K13" i="7"/>
  <c r="K81" i="7"/>
  <c r="K166" i="7"/>
  <c r="K60" i="7"/>
  <c r="K124" i="7"/>
  <c r="K173" i="7"/>
  <c r="K126" i="7"/>
  <c r="K94" i="7"/>
  <c r="K2" i="7"/>
  <c r="J213" i="7"/>
  <c r="J55" i="7"/>
  <c r="J119" i="7"/>
  <c r="J178" i="7"/>
  <c r="J64" i="7"/>
  <c r="J150" i="7"/>
  <c r="J26" i="7"/>
  <c r="K51" i="7"/>
  <c r="K140" i="7"/>
  <c r="K12" i="7"/>
  <c r="K125" i="7"/>
  <c r="M82" i="7" l="1"/>
  <c r="M85" i="7"/>
  <c r="M86" i="7"/>
  <c r="M87" i="7"/>
  <c r="M133" i="7"/>
  <c r="M5" i="7"/>
  <c r="M80" i="7"/>
  <c r="M135" i="7"/>
  <c r="M7" i="7"/>
  <c r="M188" i="7"/>
  <c r="M184" i="7"/>
  <c r="M134" i="7"/>
  <c r="M129" i="7"/>
  <c r="M81" i="7"/>
  <c r="M78" i="7"/>
  <c r="M6" i="7"/>
  <c r="M131" i="7"/>
  <c r="M83" i="7"/>
  <c r="M3" i="7"/>
  <c r="M187" i="7"/>
  <c r="M183" i="7"/>
  <c r="M179" i="7"/>
  <c r="M10" i="7"/>
  <c r="M136" i="7"/>
  <c r="M8" i="7"/>
  <c r="M79" i="7"/>
  <c r="M186" i="7"/>
  <c r="M182" i="7"/>
  <c r="M137" i="7"/>
  <c r="M9" i="7"/>
  <c r="M130" i="7"/>
  <c r="M132" i="7"/>
  <c r="M84" i="7"/>
  <c r="M4" i="7"/>
  <c r="M185" i="7"/>
  <c r="M181" i="7"/>
  <c r="M180" i="7"/>
  <c r="M26" i="7"/>
  <c r="M150" i="7"/>
  <c r="M64" i="7"/>
  <c r="M178" i="7"/>
  <c r="M119" i="7"/>
  <c r="M55" i="7"/>
  <c r="M213" i="7"/>
  <c r="M110" i="7"/>
  <c r="M169" i="7"/>
  <c r="M101" i="7"/>
  <c r="M37" i="7"/>
  <c r="M122" i="7"/>
  <c r="M176" i="7"/>
  <c r="M112" i="7"/>
  <c r="M48" i="7"/>
  <c r="M167" i="7"/>
  <c r="M103" i="7"/>
  <c r="M39" i="7"/>
  <c r="M205" i="7"/>
  <c r="M142" i="7"/>
  <c r="M53" i="7"/>
  <c r="M149" i="7"/>
  <c r="M21" i="7"/>
  <c r="M160" i="7"/>
  <c r="M96" i="7"/>
  <c r="M32" i="7"/>
  <c r="M151" i="7"/>
  <c r="M23" i="7"/>
  <c r="M117" i="7"/>
  <c r="M14" i="7"/>
  <c r="M54" i="7"/>
  <c r="M69" i="7"/>
  <c r="M50" i="7"/>
  <c r="M144" i="7"/>
  <c r="M16" i="7"/>
  <c r="M71" i="7"/>
  <c r="M218" i="7"/>
  <c r="M209" i="7"/>
  <c r="M202" i="7"/>
  <c r="M197" i="7"/>
  <c r="M192" i="7"/>
  <c r="M2" i="7"/>
  <c r="M106" i="7"/>
  <c r="M74" i="7"/>
  <c r="M46" i="7"/>
  <c r="M18" i="7"/>
  <c r="M165" i="7"/>
  <c r="M145" i="7"/>
  <c r="M113" i="7"/>
  <c r="M97" i="7"/>
  <c r="M65" i="7"/>
  <c r="M49" i="7"/>
  <c r="M33" i="7"/>
  <c r="M17" i="7"/>
  <c r="M174" i="7"/>
  <c r="M146" i="7"/>
  <c r="M114" i="7"/>
  <c r="M42" i="7"/>
  <c r="M172" i="7"/>
  <c r="M156" i="7"/>
  <c r="M140" i="7"/>
  <c r="M124" i="7"/>
  <c r="M108" i="7"/>
  <c r="M92" i="7"/>
  <c r="M76" i="7"/>
  <c r="M60" i="7"/>
  <c r="M44" i="7"/>
  <c r="M28" i="7"/>
  <c r="M12" i="7"/>
  <c r="M154" i="7"/>
  <c r="M163" i="7"/>
  <c r="M147" i="7"/>
  <c r="M115" i="7"/>
  <c r="M99" i="7"/>
  <c r="M67" i="7"/>
  <c r="M51" i="7"/>
  <c r="M35" i="7"/>
  <c r="M19" i="7"/>
  <c r="M211" i="7"/>
  <c r="M204" i="7"/>
  <c r="M216" i="7"/>
  <c r="M207" i="7"/>
  <c r="M200" i="7"/>
  <c r="M196" i="7"/>
  <c r="M191" i="7"/>
  <c r="M166" i="7"/>
  <c r="M126" i="7"/>
  <c r="M98" i="7"/>
  <c r="M66" i="7"/>
  <c r="M38" i="7"/>
  <c r="M157" i="7"/>
  <c r="M141" i="7"/>
  <c r="M125" i="7"/>
  <c r="M109" i="7"/>
  <c r="M93" i="7"/>
  <c r="M77" i="7"/>
  <c r="M61" i="7"/>
  <c r="M45" i="7"/>
  <c r="M29" i="7"/>
  <c r="M13" i="7"/>
  <c r="M170" i="7"/>
  <c r="M138" i="7"/>
  <c r="M102" i="7"/>
  <c r="M70" i="7"/>
  <c r="M34" i="7"/>
  <c r="M173" i="7"/>
  <c r="M168" i="7"/>
  <c r="M152" i="7"/>
  <c r="M120" i="7"/>
  <c r="M104" i="7"/>
  <c r="M88" i="7"/>
  <c r="M72" i="7"/>
  <c r="M56" i="7"/>
  <c r="M40" i="7"/>
  <c r="M24" i="7"/>
  <c r="M175" i="7"/>
  <c r="M159" i="7"/>
  <c r="M143" i="7"/>
  <c r="M127" i="7"/>
  <c r="M111" i="7"/>
  <c r="M95" i="7"/>
  <c r="M63" i="7"/>
  <c r="M47" i="7"/>
  <c r="M31" i="7"/>
  <c r="M15" i="7"/>
  <c r="M217" i="7"/>
  <c r="M210" i="7"/>
  <c r="M201" i="7"/>
  <c r="M214" i="7"/>
  <c r="M206" i="7"/>
  <c r="M199" i="7"/>
  <c r="M195" i="7"/>
  <c r="M190" i="7"/>
  <c r="M158" i="7"/>
  <c r="M118" i="7"/>
  <c r="M90" i="7"/>
  <c r="M62" i="7"/>
  <c r="M30" i="7"/>
  <c r="M177" i="7"/>
  <c r="M153" i="7"/>
  <c r="M121" i="7"/>
  <c r="M105" i="7"/>
  <c r="M89" i="7"/>
  <c r="M73" i="7"/>
  <c r="M57" i="7"/>
  <c r="M41" i="7"/>
  <c r="M25" i="7"/>
  <c r="M162" i="7"/>
  <c r="M94" i="7"/>
  <c r="M58" i="7"/>
  <c r="M22" i="7"/>
  <c r="M161" i="7"/>
  <c r="M164" i="7"/>
  <c r="M148" i="7"/>
  <c r="M116" i="7"/>
  <c r="M100" i="7"/>
  <c r="M68" i="7"/>
  <c r="M52" i="7"/>
  <c r="M36" i="7"/>
  <c r="M20" i="7"/>
  <c r="M171" i="7"/>
  <c r="M155" i="7"/>
  <c r="M139" i="7"/>
  <c r="M123" i="7"/>
  <c r="M107" i="7"/>
  <c r="M91" i="7"/>
  <c r="M75" i="7"/>
  <c r="M59" i="7"/>
  <c r="M43" i="7"/>
  <c r="M27" i="7"/>
  <c r="M11" i="7"/>
  <c r="M215" i="7"/>
  <c r="M208" i="7"/>
  <c r="M193" i="7"/>
  <c r="M212" i="7"/>
  <c r="M203" i="7"/>
  <c r="M198" i="7"/>
  <c r="M194" i="7"/>
  <c r="M189" i="7"/>
</calcChain>
</file>

<file path=xl/sharedStrings.xml><?xml version="1.0" encoding="utf-8"?>
<sst xmlns="http://schemas.openxmlformats.org/spreadsheetml/2006/main" count="1501" uniqueCount="479">
  <si>
    <t>ストレート</t>
    <phoneticPr fontId="1"/>
  </si>
  <si>
    <t>ストレート</t>
  </si>
  <si>
    <t>チェンジアップ</t>
  </si>
  <si>
    <t>実況パワフルプロ野球２０１８_20200608231304_shade.txt</t>
    <phoneticPr fontId="1"/>
  </si>
  <si>
    <t>実況パワフルプロ野球２０１８_20200608231311_shade.txt</t>
    <phoneticPr fontId="1"/>
  </si>
  <si>
    <t>実況パワフルプロ野球２０１８_20200608231324_shade.txt</t>
    <phoneticPr fontId="1"/>
  </si>
  <si>
    <t>実況パワフルプロ野球２０１８_20200608231330_shade.txt</t>
    <phoneticPr fontId="1"/>
  </si>
  <si>
    <t>実況パワフルプロ野球２０１８_20200608231336_shade.txt</t>
    <phoneticPr fontId="1"/>
  </si>
  <si>
    <t>実況パワフルプロ野球２０１８_20200608231343_shade.txt</t>
    <phoneticPr fontId="1"/>
  </si>
  <si>
    <t>実況パワフルプロ野球２０１８_20200608231350_shade.txt</t>
    <phoneticPr fontId="1"/>
  </si>
  <si>
    <t>実況パワフルプロ野球２０１８_20200608231258_shade.txt</t>
    <phoneticPr fontId="1"/>
  </si>
  <si>
    <t>選手</t>
    <rPh sb="0" eb="2">
      <t>センシュ</t>
    </rPh>
    <phoneticPr fontId="1"/>
  </si>
  <si>
    <t>パワプロ</t>
    <phoneticPr fontId="1"/>
  </si>
  <si>
    <t>カーブ</t>
    <phoneticPr fontId="1"/>
  </si>
  <si>
    <t>ストレート</t>
    <phoneticPr fontId="1"/>
  </si>
  <si>
    <t>実況パワフルプロ野球２０１８_20200608231356_shade.txt</t>
    <phoneticPr fontId="1"/>
  </si>
  <si>
    <t>PEん</t>
    <phoneticPr fontId="1"/>
  </si>
  <si>
    <t>実況パワフルプロ野球２０１８_20200610212128_shade.txt</t>
    <phoneticPr fontId="1"/>
  </si>
  <si>
    <t>実況パワフルプロ野球２０１８_20200610212141_shade.txt</t>
    <phoneticPr fontId="1"/>
  </si>
  <si>
    <t>実況パワフルプロ野球２０１８_20200610212147_shade.txt</t>
    <phoneticPr fontId="1"/>
  </si>
  <si>
    <t>実況パワフルプロ野球２０１８_20200610212153_shade.txt</t>
    <phoneticPr fontId="1"/>
  </si>
  <si>
    <t>実況パワフルプロ野球２０１８_20200610212159_shade.txt</t>
    <phoneticPr fontId="1"/>
  </si>
  <si>
    <t>実況パワフルプロ野球２０１８_20200610212205_shade.txt</t>
    <phoneticPr fontId="1"/>
  </si>
  <si>
    <t>実況パワフルプロ野球２０１８_20200610212212_shade.txt</t>
    <phoneticPr fontId="1"/>
  </si>
  <si>
    <t>実況パワフルプロ野球２０１８_20200610212218_shade.txt</t>
    <phoneticPr fontId="1"/>
  </si>
  <si>
    <t>フォーク</t>
  </si>
  <si>
    <t>実況パワフルプロ野球２０１８_20200610212820_shade.txt</t>
  </si>
  <si>
    <t>実況パワフルプロ野球２０１８_20200610212826_shade.txt</t>
  </si>
  <si>
    <t>アルのん</t>
  </si>
  <si>
    <t>実況パワフルプロ野球２０１８_20200610212832_shade.txt</t>
  </si>
  <si>
    <t>実況パワフルプロ野球２０１８_20200610212839_shade.txt</t>
  </si>
  <si>
    <t>実況パワフルプロ野球２０１８_20200610212845_shade.txt</t>
  </si>
  <si>
    <t>アンの</t>
  </si>
  <si>
    <t>実況パワフルプロ野球２０１８_20200610212852_shade.txt</t>
  </si>
  <si>
    <t>実況パワフルプロ野球２０１８_20200610212858_shade.txt</t>
  </si>
  <si>
    <t>シン</t>
  </si>
  <si>
    <t>実況パワフルプロ野球２０１８_20200610212904_shade.txt</t>
  </si>
  <si>
    <t>アンのん</t>
  </si>
  <si>
    <t>実況パワフルプロ野球２０１８_20200610212911_shade.txt</t>
  </si>
  <si>
    <t>実況パワフルプロ野球２０１８_20200610212917_shade.txt</t>
  </si>
  <si>
    <t>シンカー</t>
  </si>
  <si>
    <t>実況パワフルプロ野球２０１８_20200610213612_shade.txt</t>
  </si>
  <si>
    <t>実況パワフルプロ野球２０１８_20200610213619_shade.txt</t>
  </si>
  <si>
    <t>実況パワフルプロ野球２０１８_20200610213626_shade.txt</t>
  </si>
  <si>
    <t>実況パワフルプロ野球２０１８_20200610213632_shade.txt</t>
  </si>
  <si>
    <t>実況パワフルプロ野球２０１８_20200610213639_shade.txt</t>
  </si>
  <si>
    <t>実況パワフルプロ野球２０１８_20200610213645_shade.txt</t>
  </si>
  <si>
    <t>実況パワフルプロ野球２０１８_20200610213652_shade.txt</t>
  </si>
  <si>
    <t>実況パワフルプロ野球２０１８_20200610213658_shade.txt</t>
  </si>
  <si>
    <t>実況パワフルプロ野球２０１８_20200610213705_shade.txt</t>
  </si>
  <si>
    <t>スライダー</t>
  </si>
  <si>
    <t>実況パワフルプロ野球２０１８_20200610213723_shade.txt</t>
  </si>
  <si>
    <t>実況パワフルプロ野球２０１８_20200610213730_shade.txt</t>
  </si>
  <si>
    <t>実況パワフルプロ野球２０１８_20200610213736_shade.txt</t>
  </si>
  <si>
    <t>実況パワフルプロ野球２０１８_20200610213742_shade.txt</t>
  </si>
  <si>
    <t>実況パワフルプロ野球２０１８_20200610213749_shade.txt</t>
  </si>
  <si>
    <t>実況パワフルプロ野球２０１８_20200610213755_shade.txt</t>
  </si>
  <si>
    <t>実況パワフルプロ野球２０１８_20200610213802_shade.txt</t>
  </si>
  <si>
    <t>実況パワフルプロ野球２０１８_20200610213808_shade.txt</t>
  </si>
  <si>
    <t>実況パワフルプロ野球２０１８_20200610213815_shade.txt</t>
  </si>
  <si>
    <t>実況パワフルプロ野球２０１８_20200610213821_shade.txt</t>
  </si>
  <si>
    <t>アク</t>
  </si>
  <si>
    <t>実況パワフルプロ野球２０１８_20200610213832_shade.txt</t>
  </si>
  <si>
    <t>実況パワフルプロ野球２０１８_20200610213838_shade.txt</t>
  </si>
  <si>
    <t>実況パワフルプロ野球２０１８_20200610213844_shade.txt</t>
  </si>
  <si>
    <t>実況パワフルプロ野球２０１８_20200610213851_shade.txt</t>
  </si>
  <si>
    <t>実況パワフルプロ野球２０１８_20200610213857_shade.txt</t>
  </si>
  <si>
    <t>実況パワフルプロ野球２０１８_20200610213904_shade.txt</t>
  </si>
  <si>
    <t>実況パワフルプロ野球２０１８_20200610213910_shade.txt</t>
  </si>
  <si>
    <t>実況パワフルプロ野球２０１８_20200610213916_shade.txt</t>
  </si>
  <si>
    <t>実況パワフルプロ野球２０１８_20200610213923_shade.txt</t>
  </si>
  <si>
    <t>実況パワフルプロ野球２０１８_20200610213929_shade.txt</t>
  </si>
  <si>
    <t>ッツーシーム</t>
  </si>
  <si>
    <t>実況パワフルプロ野球２０１８_20200610213943_shade.txt</t>
  </si>
  <si>
    <t>ツーシーム</t>
  </si>
  <si>
    <t>実況パワフルプロ野球２０１８_20200610213950_shade.txt</t>
  </si>
  <si>
    <t>実況パワフルプロ野球２０１８_20200610213956_shade.txt</t>
  </si>
  <si>
    <t>ッーシーム</t>
  </si>
  <si>
    <t>実況パワフルプロ野球２０１８_20200610214003_shade.txt</t>
  </si>
  <si>
    <t>実況パワフルプロ野球２０１８_20200610214009_shade.txt</t>
  </si>
  <si>
    <t>実況パワフルプロ野球２０１８_20200610214016_shade.txt</t>
  </si>
  <si>
    <t>実況パワフルプロ野球２０１８_20200610214022_shade.txt</t>
  </si>
  <si>
    <t>実況パワフルプロ野球２０１８_20200610214029_shade.txt</t>
  </si>
  <si>
    <t>実況パワフルプロ野球２０１８_20200610214035_shade.txt</t>
  </si>
  <si>
    <t>りーアーパ</t>
  </si>
  <si>
    <t>実況パワフルプロ野球２０１８_20200610214042_shade.txt</t>
  </si>
  <si>
    <t>全力ストレート</t>
  </si>
  <si>
    <t>実況パワフルプロ野球２０１８_20200610214103_shade.txt</t>
  </si>
  <si>
    <t>実況パワフルプロ野球２０１８_20200610214109_shade.txt</t>
  </si>
  <si>
    <t>実況パワフルプロ野球２０１８_20200610214115_shade.txt</t>
  </si>
  <si>
    <t>実況パワフルプロ野球２０１８_20200610214121_shade.txt</t>
  </si>
  <si>
    <t>実況パワフルプロ野球２０１８_20200610214127_shade.txt</t>
  </si>
  <si>
    <t>全カストレート</t>
  </si>
  <si>
    <t>実況パワフルプロ野球２０１８_20200610214133_shade.txt</t>
  </si>
  <si>
    <t>実況パワフルプロ野球２０１８_20200610214140_shade.txt</t>
  </si>
  <si>
    <t>実況パワフルプロ野球２０１８_20200610214146_shade.txt</t>
  </si>
  <si>
    <t>実況パワフルプロ野球２０１８_20200610214152_shade.txt</t>
  </si>
  <si>
    <t>実況パワフルプロ野球２０１８_20200610214158_shade.txt</t>
  </si>
  <si>
    <t>フォーク</t>
    <phoneticPr fontId="1"/>
  </si>
  <si>
    <t>シュート</t>
    <phoneticPr fontId="1"/>
  </si>
  <si>
    <t>ツーシーム</t>
    <phoneticPr fontId="1"/>
  </si>
  <si>
    <t>フォーク</t>
    <phoneticPr fontId="1"/>
  </si>
  <si>
    <t>実況パワフルプロ野球２０１８_20200610212820_shade.txt</t>
    <phoneticPr fontId="1"/>
  </si>
  <si>
    <t>実況パワフルプロ野球２０１８_20200610212826_shade.txt</t>
    <phoneticPr fontId="1"/>
  </si>
  <si>
    <t>アルのん</t>
    <phoneticPr fontId="1"/>
  </si>
  <si>
    <t>実況パワフルプロ野球２０１８_20200610212832_shade.txt</t>
    <phoneticPr fontId="1"/>
  </si>
  <si>
    <t>実況パワフルプロ野球２０１８_20200610212839_shade.txt</t>
    <phoneticPr fontId="1"/>
  </si>
  <si>
    <t>実況パワフルプロ野球２０１８_20200610212845_shade.txt</t>
    <phoneticPr fontId="1"/>
  </si>
  <si>
    <t>アンの</t>
    <phoneticPr fontId="1"/>
  </si>
  <si>
    <t>実況パワフルプロ野球２０１８_20200610212852_shade.txt</t>
    <phoneticPr fontId="1"/>
  </si>
  <si>
    <t>実況パワフルプロ野球２０１８_20200610212858_shade.txt</t>
    <phoneticPr fontId="1"/>
  </si>
  <si>
    <t>シン</t>
    <phoneticPr fontId="1"/>
  </si>
  <si>
    <t>実況パワフルプロ野球２０１８_20200610212904_shade.txt</t>
    <phoneticPr fontId="1"/>
  </si>
  <si>
    <t>アンのん</t>
    <phoneticPr fontId="1"/>
  </si>
  <si>
    <t>実況パワフルプロ野球２０１８_20200610212911_shade.txt</t>
    <phoneticPr fontId="1"/>
  </si>
  <si>
    <t>実況パワフルプロ野球２０１８_20200610212917_shade.txt</t>
    <phoneticPr fontId="1"/>
  </si>
  <si>
    <t>シンカー</t>
    <phoneticPr fontId="1"/>
  </si>
  <si>
    <t>実況パワフルプロ野球２０１８_20200610213612_shade.txt</t>
    <phoneticPr fontId="1"/>
  </si>
  <si>
    <t>実況パワフルプロ野球２０１８_20200610213619_shade.txt</t>
    <phoneticPr fontId="1"/>
  </si>
  <si>
    <t>実況パワフルプロ野球２０１８_20200610213626_shade.txt</t>
    <phoneticPr fontId="1"/>
  </si>
  <si>
    <t>実況パワフルプロ野球２０１８_20200610213632_shade.txt</t>
    <phoneticPr fontId="1"/>
  </si>
  <si>
    <t>実況パワフルプロ野球２０１８_20200610213639_shade.txt</t>
    <phoneticPr fontId="1"/>
  </si>
  <si>
    <t>実況パワフルプロ野球２０１８_20200610213645_shade.txt</t>
    <phoneticPr fontId="1"/>
  </si>
  <si>
    <t>実況パワフルプロ野球２０１８_20200610213652_shade.txt</t>
    <phoneticPr fontId="1"/>
  </si>
  <si>
    <t>実況パワフルプロ野球２０１８_20200610213658_shade.txt</t>
    <phoneticPr fontId="1"/>
  </si>
  <si>
    <t>実況パワフルプロ野球２０１８_20200610213705_shade.txt</t>
    <phoneticPr fontId="1"/>
  </si>
  <si>
    <t>スライダー</t>
    <phoneticPr fontId="1"/>
  </si>
  <si>
    <t>実況パワフルプロ野球２０１８_20200610213723_shade.txt</t>
    <phoneticPr fontId="1"/>
  </si>
  <si>
    <t>実況パワフルプロ野球２０１８_20200610213730_shade.txt</t>
    <phoneticPr fontId="1"/>
  </si>
  <si>
    <t>実況パワフルプロ野球２０１８_20200610213736_shade.txt</t>
    <phoneticPr fontId="1"/>
  </si>
  <si>
    <t>実況パワフルプロ野球２０１８_20200610213742_shade.txt</t>
    <phoneticPr fontId="1"/>
  </si>
  <si>
    <t>実況パワフルプロ野球２０１８_20200610213749_shade.txt</t>
    <phoneticPr fontId="1"/>
  </si>
  <si>
    <t>実況パワフルプロ野球２０１８_20200610213755_shade.txt</t>
    <phoneticPr fontId="1"/>
  </si>
  <si>
    <t>実況パワフルプロ野球２０１８_20200610213802_shade.txt</t>
    <phoneticPr fontId="1"/>
  </si>
  <si>
    <t>実況パワフルプロ野球２０１８_20200610213808_shade.txt</t>
    <phoneticPr fontId="1"/>
  </si>
  <si>
    <t>実況パワフルプロ野球２０１８_20200610213815_shade.txt</t>
    <phoneticPr fontId="1"/>
  </si>
  <si>
    <t>実況パワフルプロ野球２０１８_20200610213821_shade.txt</t>
    <phoneticPr fontId="1"/>
  </si>
  <si>
    <t>アク</t>
    <phoneticPr fontId="1"/>
  </si>
  <si>
    <t>実況パワフルプロ野球２０１８_20200610213832_shade.txt</t>
    <phoneticPr fontId="1"/>
  </si>
  <si>
    <t>実況パワフルプロ野球２０１８_20200610213838_shade.txt</t>
    <phoneticPr fontId="1"/>
  </si>
  <si>
    <t>実況パワフルプロ野球２０１８_20200610213844_shade.txt</t>
    <phoneticPr fontId="1"/>
  </si>
  <si>
    <t>実況パワフルプロ野球２０１８_20200610213851_shade.txt</t>
    <phoneticPr fontId="1"/>
  </si>
  <si>
    <t>実況パワフルプロ野球２０１８_20200610213857_shade.txt</t>
    <phoneticPr fontId="1"/>
  </si>
  <si>
    <t>実況パワフルプロ野球２０１８_20200610213904_shade.txt</t>
    <phoneticPr fontId="1"/>
  </si>
  <si>
    <t>実況パワフルプロ野球２０１８_20200610213910_shade.txt</t>
    <phoneticPr fontId="1"/>
  </si>
  <si>
    <t>実況パワフルプロ野球２０１８_20200610213916_shade.txt</t>
    <phoneticPr fontId="1"/>
  </si>
  <si>
    <t>実況パワフルプロ野球２０１８_20200610213923_shade.txt</t>
    <phoneticPr fontId="1"/>
  </si>
  <si>
    <t>実況パワフルプロ野球２０１８_20200610213929_shade.txt</t>
    <phoneticPr fontId="1"/>
  </si>
  <si>
    <t>ッツーシーム</t>
    <phoneticPr fontId="1"/>
  </si>
  <si>
    <t>実況パワフルプロ野球２０１８_20200610213943_shade.txt</t>
    <phoneticPr fontId="1"/>
  </si>
  <si>
    <t>実況パワフルプロ野球２０１８_20200610213950_shade.txt</t>
    <phoneticPr fontId="1"/>
  </si>
  <si>
    <t>実況パワフルプロ野球２０１８_20200610213956_shade.txt</t>
    <phoneticPr fontId="1"/>
  </si>
  <si>
    <t>ッーシーム</t>
    <phoneticPr fontId="1"/>
  </si>
  <si>
    <t>実況パワフルプロ野球２０１８_20200610214003_shade.txt</t>
    <phoneticPr fontId="1"/>
  </si>
  <si>
    <t>実況パワフルプロ野球２０１８_20200610214009_shade.txt</t>
    <phoneticPr fontId="1"/>
  </si>
  <si>
    <t>実況パワフルプロ野球２０１８_20200610214016_shade.txt</t>
    <phoneticPr fontId="1"/>
  </si>
  <si>
    <t>実況パワフルプロ野球２０１８_20200610214022_shade.txt</t>
    <phoneticPr fontId="1"/>
  </si>
  <si>
    <t>実況パワフルプロ野球２０１８_20200610214029_shade.txt</t>
    <phoneticPr fontId="1"/>
  </si>
  <si>
    <t>実況パワフルプロ野球２０１８_20200610214035_shade.txt</t>
    <phoneticPr fontId="1"/>
  </si>
  <si>
    <t>りーアーパ</t>
    <phoneticPr fontId="1"/>
  </si>
  <si>
    <t>実況パワフルプロ野球２０１８_20200610214042_shade.txt</t>
    <phoneticPr fontId="1"/>
  </si>
  <si>
    <t>全力ストレート</t>
    <phoneticPr fontId="1"/>
  </si>
  <si>
    <t>実況パワフルプロ野球２０１８_20200610214103_shade.txt</t>
    <phoneticPr fontId="1"/>
  </si>
  <si>
    <t>実況パワフルプロ野球２０１８_20200610214109_shade.txt</t>
    <phoneticPr fontId="1"/>
  </si>
  <si>
    <t>実況パワフルプロ野球２０１８_20200610214115_shade.txt</t>
    <phoneticPr fontId="1"/>
  </si>
  <si>
    <t>実況パワフルプロ野球２０１８_20200610214121_shade.txt</t>
    <phoneticPr fontId="1"/>
  </si>
  <si>
    <t>実況パワフルプロ野球２０１８_20200610214127_shade.txt</t>
    <phoneticPr fontId="1"/>
  </si>
  <si>
    <t>全カストレート</t>
    <phoneticPr fontId="1"/>
  </si>
  <si>
    <t>実況パワフルプロ野球２０１８_20200610214133_shade.txt</t>
    <phoneticPr fontId="1"/>
  </si>
  <si>
    <t>実況パワフルプロ野球２０１８_20200610214140_shade.txt</t>
    <phoneticPr fontId="1"/>
  </si>
  <si>
    <t>実況パワフルプロ野球２０１８_20200610214146_shade.txt</t>
    <phoneticPr fontId="1"/>
  </si>
  <si>
    <t>実況パワフルプロ野球２０１８_20200610214152_shade.txt</t>
    <phoneticPr fontId="1"/>
  </si>
  <si>
    <t>実況パワフルプロ野球２０１８_20200610214158_shade.txt</t>
    <phoneticPr fontId="1"/>
  </si>
  <si>
    <t>レロビシ</t>
  </si>
  <si>
    <t>レロビーシッ</t>
  </si>
  <si>
    <t>武隈</t>
    <rPh sb="0" eb="2">
      <t>タケクマ</t>
    </rPh>
    <phoneticPr fontId="1"/>
  </si>
  <si>
    <t>スローカーブ</t>
    <phoneticPr fontId="1"/>
  </si>
  <si>
    <t>パワプロ</t>
    <phoneticPr fontId="1"/>
  </si>
  <si>
    <t>武隈</t>
    <rPh sb="0" eb="2">
      <t>タケクマ</t>
    </rPh>
    <phoneticPr fontId="1"/>
  </si>
  <si>
    <t>換算フレーム</t>
    <rPh sb="0" eb="2">
      <t>カンサン</t>
    </rPh>
    <phoneticPr fontId="1"/>
  </si>
  <si>
    <t>球種</t>
    <rPh sb="0" eb="2">
      <t>キュウシュ</t>
    </rPh>
    <phoneticPr fontId="1"/>
  </si>
  <si>
    <t>1/球速</t>
    <rPh sb="2" eb="4">
      <t>キュウソク</t>
    </rPh>
    <phoneticPr fontId="1"/>
  </si>
  <si>
    <t>時間</t>
    <rPh sb="0" eb="2">
      <t>ジカン</t>
    </rPh>
    <phoneticPr fontId="1"/>
  </si>
  <si>
    <t>森脇</t>
    <rPh sb="0" eb="2">
      <t>モリワキ</t>
    </rPh>
    <phoneticPr fontId="1"/>
  </si>
  <si>
    <t>実況パワフルプロ野球２０１８_20200610214643_shade.txt</t>
    <phoneticPr fontId="1"/>
  </si>
  <si>
    <t>実況パワフルプロ野球２０１８_20200610214649_shade.txt</t>
    <phoneticPr fontId="1"/>
  </si>
  <si>
    <t>実況パワフルプロ野球２０１８_20200610214655_shade.txt</t>
    <phoneticPr fontId="1"/>
  </si>
  <si>
    <t>実況パワフルプロ野球２０１８_20200610214700_shade.txt</t>
    <phoneticPr fontId="1"/>
  </si>
  <si>
    <t>実況パワフルプロ野球２０１８_20200610214706_shade.txt</t>
    <phoneticPr fontId="1"/>
  </si>
  <si>
    <t>実況パワフルプロ野球２０１８_20200610214712_shade.txt</t>
    <phoneticPr fontId="1"/>
  </si>
  <si>
    <t>実況パワフルプロ野球２０１８_20200610214718_shade.txt</t>
    <phoneticPr fontId="1"/>
  </si>
  <si>
    <t>実況パワフルプロ野球２０１８_20200610214723_shade.txt</t>
    <phoneticPr fontId="1"/>
  </si>
  <si>
    <t>実況パワフルプロ野球２０１８_20200610214729_shade.txt</t>
    <phoneticPr fontId="1"/>
  </si>
  <si>
    <t>実況パワフルプロ野球２０１８_20200610214735_shade.txt</t>
    <phoneticPr fontId="1"/>
  </si>
  <si>
    <t>実況パワフルプロ野球２０１８_20200610214749_shade.txt</t>
    <phoneticPr fontId="1"/>
  </si>
  <si>
    <t>実況パワフルプロ野球２０１８_20200610214754_shade.txt</t>
    <phoneticPr fontId="1"/>
  </si>
  <si>
    <t>実況パワフルプロ野球２０１８_20200610214759_shade.txt</t>
    <phoneticPr fontId="1"/>
  </si>
  <si>
    <t>実況パワフルプロ野球２０１８_20200610214804_shade.txt</t>
    <phoneticPr fontId="1"/>
  </si>
  <si>
    <t>実況パワフルプロ野球２０１８_20200610214809_shade.txt</t>
    <phoneticPr fontId="1"/>
  </si>
  <si>
    <t>実況パワフルプロ野球２０１８_20200610214814_shade.txt</t>
    <phoneticPr fontId="1"/>
  </si>
  <si>
    <t>実況パワフルプロ野球２０１８_20200610214819_shade.txt</t>
    <phoneticPr fontId="1"/>
  </si>
  <si>
    <t>実況パワフルプロ野球２０１８_20200610214825_shade.txt</t>
    <phoneticPr fontId="1"/>
  </si>
  <si>
    <t>実況パワフルプロ野球２０１８_20200610214830_shade.txt</t>
    <phoneticPr fontId="1"/>
  </si>
  <si>
    <t>実況パワフルプロ野球２０１８_20200610214835_shade.txt</t>
    <phoneticPr fontId="1"/>
  </si>
  <si>
    <t>チェンジアップ</t>
    <phoneticPr fontId="1"/>
  </si>
  <si>
    <t>実況パワフルプロ野球２０１８_20200610215216_shade.txt</t>
    <phoneticPr fontId="1"/>
  </si>
  <si>
    <t>実況パワフルプロ野球２０１８_20200610215221_shade.txt</t>
    <phoneticPr fontId="1"/>
  </si>
  <si>
    <t>実況パワフルプロ野球２０１８_20200610215227_shade.txt</t>
    <phoneticPr fontId="1"/>
  </si>
  <si>
    <t>実況パワフルプロ野球２０１８_20200610215233_shade.txt</t>
    <phoneticPr fontId="1"/>
  </si>
  <si>
    <t>実況パワフルプロ野球２０１８_20200610215238_shade.txt</t>
    <phoneticPr fontId="1"/>
  </si>
  <si>
    <t>実況パワフルプロ野球２０１８_20200610215243_shade.txt</t>
    <phoneticPr fontId="1"/>
  </si>
  <si>
    <t>実況パワフルプロ野球２０１８_20200610215249_shade.txt</t>
    <phoneticPr fontId="1"/>
  </si>
  <si>
    <t>実況パワフルプロ野球２０１８_20200610215254_shade.txt</t>
    <phoneticPr fontId="1"/>
  </si>
  <si>
    <t>実況パワフルプロ野球２０１８_20200610215300_shade.txt</t>
    <phoneticPr fontId="1"/>
  </si>
  <si>
    <t>実況パワフルプロ野球２０１８_20200610215305_shade.txt</t>
    <phoneticPr fontId="1"/>
  </si>
  <si>
    <t>実況パワフルプロ野球２０１８_20200610215317_shade.txt</t>
    <phoneticPr fontId="1"/>
  </si>
  <si>
    <t>レロビシ</t>
    <phoneticPr fontId="1"/>
  </si>
  <si>
    <t>実況パワフルプロ野球２０１８_20200610215323_shade.txt</t>
    <phoneticPr fontId="1"/>
  </si>
  <si>
    <t>実況パワフルプロ野球２０１８_20200610215328_shade.txt</t>
    <phoneticPr fontId="1"/>
  </si>
  <si>
    <t>レロビーシッ</t>
    <phoneticPr fontId="1"/>
  </si>
  <si>
    <t>実況パワフルプロ野球２０１８_20200610215333_shade.txt</t>
    <phoneticPr fontId="1"/>
  </si>
  <si>
    <t>1v3</t>
    <phoneticPr fontId="1"/>
  </si>
  <si>
    <t>実況パワフルプロ野球２０１８_20200610215339_shade.txt</t>
    <phoneticPr fontId="1"/>
  </si>
  <si>
    <t>実況パワフルプロ野球２０１８_20200610215344_shade.txt</t>
    <phoneticPr fontId="1"/>
  </si>
  <si>
    <t>実況パワフルプロ野球２０１８_20200610215350_shade.txt</t>
    <phoneticPr fontId="1"/>
  </si>
  <si>
    <t>実況パワフルプロ野球２０１８_20200610215355_shade.txt</t>
    <phoneticPr fontId="1"/>
  </si>
  <si>
    <t>実況パワフルプロ野球２０１８_20200610215401_shade.txt</t>
    <phoneticPr fontId="1"/>
  </si>
  <si>
    <t>実況パワフルプロ野球２０１８_20200610215406_shade.txt</t>
    <phoneticPr fontId="1"/>
  </si>
  <si>
    <t>実況パワフルプロ野球２０１８_20200610215416_shade.txt</t>
    <phoneticPr fontId="1"/>
  </si>
  <si>
    <t>実況パワフルプロ野球２０１８_20200610215422_shade.txt</t>
    <phoneticPr fontId="1"/>
  </si>
  <si>
    <t>実況パワフルプロ野球２０１８_20200610215427_shade.txt</t>
    <phoneticPr fontId="1"/>
  </si>
  <si>
    <t>実況パワフルプロ野球２０１８_20200610215432_shade.txt</t>
    <phoneticPr fontId="1"/>
  </si>
  <si>
    <t>実況パワフルプロ野球２０１８_20200610215438_shade.txt</t>
    <phoneticPr fontId="1"/>
  </si>
  <si>
    <t>実況パワフルプロ野球２０１８_20200610215443_shade.txt</t>
    <phoneticPr fontId="1"/>
  </si>
  <si>
    <t>実況パワフルプロ野球２０１８_20200610215449_shade.txt</t>
    <phoneticPr fontId="1"/>
  </si>
  <si>
    <t>実況パワフルプロ野球２０１８_20200610215455_shade.txt</t>
    <phoneticPr fontId="1"/>
  </si>
  <si>
    <t>実況パワフルプロ野球２０１８_20200610215500_shade.txt</t>
    <phoneticPr fontId="1"/>
  </si>
  <si>
    <t>実況パワフルプロ野球２０１８_20200610215505_shade.txt</t>
    <phoneticPr fontId="1"/>
  </si>
  <si>
    <t>カットボール</t>
  </si>
  <si>
    <t>ナックルカーブ</t>
  </si>
  <si>
    <t>レッルクガルにん</t>
  </si>
  <si>
    <t>アルの</t>
  </si>
  <si>
    <t>シアシン</t>
  </si>
  <si>
    <t>アルング</t>
  </si>
  <si>
    <t>森脇</t>
    <rPh sb="0" eb="2">
      <t>モリワキ</t>
    </rPh>
    <phoneticPr fontId="1"/>
  </si>
  <si>
    <t>中塚</t>
    <rPh sb="0" eb="2">
      <t>ナカツカ</t>
    </rPh>
    <phoneticPr fontId="1"/>
  </si>
  <si>
    <t>実況パワフルプロ野球２０１８_20200610222435_shade.txt</t>
    <phoneticPr fontId="1"/>
  </si>
  <si>
    <t>実況パワフルプロ野球２０１８_20200610222439_shade.txt</t>
    <phoneticPr fontId="1"/>
  </si>
  <si>
    <t>実況パワフルプロ野球２０１８_20200610222444_shade.txt</t>
    <phoneticPr fontId="1"/>
  </si>
  <si>
    <t>実況パワフルプロ野球２０１８_20200610222449_shade.txt</t>
    <phoneticPr fontId="1"/>
  </si>
  <si>
    <t>実況パワフルプロ野球２０１８_20200610222453_shade.txt</t>
    <phoneticPr fontId="1"/>
  </si>
  <si>
    <t>実況パワフルプロ野球２０１８_20200610222458_shade.txt</t>
    <phoneticPr fontId="1"/>
  </si>
  <si>
    <t>14,</t>
    <phoneticPr fontId="1"/>
  </si>
  <si>
    <t>実況パワフルプロ野球２０１８_20200610222503_shade.txt</t>
    <phoneticPr fontId="1"/>
  </si>
  <si>
    <t>実況パワフルプロ野球２０１８_20200610222507_shade.txt</t>
    <phoneticPr fontId="1"/>
  </si>
  <si>
    <t>実況パワフルプロ野球２０１８_20200610222512_shade.txt</t>
    <phoneticPr fontId="1"/>
  </si>
  <si>
    <t>実況パワフルプロ野球２０１８_20200610222516_shade.txt</t>
    <phoneticPr fontId="1"/>
  </si>
  <si>
    <t>にコー の得コウには</t>
    <phoneticPr fontId="1"/>
  </si>
  <si>
    <t>実況パワフルプロ野球２０１８_20200610222525_shade.txt</t>
    <phoneticPr fontId="1"/>
  </si>
  <si>
    <t>実況パワフルプロ野球２０１８_20200610222530_shade.txt</t>
    <phoneticPr fontId="1"/>
  </si>
  <si>
    <t>実況パワフルプロ野球２０１８_20200610222534_shade.txt</t>
    <phoneticPr fontId="1"/>
  </si>
  <si>
    <t>実況パワフルプロ野球２０１８_20200610222539_shade.txt</t>
    <phoneticPr fontId="1"/>
  </si>
  <si>
    <t>実況パワフルプロ野球２０１８_20200610222543_shade.txt</t>
    <phoneticPr fontId="1"/>
  </si>
  <si>
    <t>実況パワフルプロ野球２０１８_20200610222548_shade.txt</t>
    <phoneticPr fontId="1"/>
  </si>
  <si>
    <t>実況パワフルプロ野球２０１８_20200610222552_shade.txt</t>
    <phoneticPr fontId="1"/>
  </si>
  <si>
    <t>実況パワフルプロ野球２０１８_20200610222557_shade.txt</t>
    <phoneticPr fontId="1"/>
  </si>
  <si>
    <t>実況パワフルプロ野球２０１８_20200610222601_shade.txt</t>
    <phoneticPr fontId="1"/>
  </si>
  <si>
    <t>実況パワフルプロ野球２０１８_20200610222606_shade.txt</t>
    <phoneticPr fontId="1"/>
  </si>
  <si>
    <t>カットボール</t>
    <phoneticPr fontId="1"/>
  </si>
  <si>
    <t>実況パワフルプロ野球２０１８_20200610222616_shade.txt</t>
    <phoneticPr fontId="1"/>
  </si>
  <si>
    <t>実況パワフルプロ野球２０１８_20200610222621_shade.txt</t>
    <phoneticPr fontId="1"/>
  </si>
  <si>
    <t>実況パワフルプロ野球２０１８_20200610222626_shade.txt</t>
    <phoneticPr fontId="1"/>
  </si>
  <si>
    <t>実況パワフルプロ野球２０１８_20200610222632_shade.txt</t>
    <phoneticPr fontId="1"/>
  </si>
  <si>
    <t>実況パワフルプロ野球２０１８_20200610222637_shade.txt</t>
    <phoneticPr fontId="1"/>
  </si>
  <si>
    <t>13:]</t>
    <phoneticPr fontId="1"/>
  </si>
  <si>
    <t>実況パワフルプロ野球２０１８_20200610222642_shade.txt</t>
    <phoneticPr fontId="1"/>
  </si>
  <si>
    <t>実況パワフルプロ野球２０１８_20200610222648_shade.txt</t>
    <phoneticPr fontId="1"/>
  </si>
  <si>
    <t>実況パワフルプロ野球２０１８_20200610222653_shade.txt</t>
    <phoneticPr fontId="1"/>
  </si>
  <si>
    <t>実況パワフルプロ野球２０１８_20200610222658_shade.txt</t>
    <phoneticPr fontId="1"/>
  </si>
  <si>
    <t>実況パワフルプロ野球２０１８_20200610222703_shade.txt</t>
    <phoneticPr fontId="1"/>
  </si>
  <si>
    <t>ナックルカーブ</t>
    <phoneticPr fontId="1"/>
  </si>
  <si>
    <t>実況パワフルプロ野球２０１８_20200610222713_shade.txt</t>
    <phoneticPr fontId="1"/>
  </si>
  <si>
    <t>実況パワフルプロ野球２０１８_20200610222719_shade.txt</t>
    <phoneticPr fontId="1"/>
  </si>
  <si>
    <t>実況パワフルプロ野球２０１８_20200610222724_shade.txt</t>
    <phoneticPr fontId="1"/>
  </si>
  <si>
    <t>実況パワフルプロ野球２０１８_20200610222729_shade.txt</t>
    <phoneticPr fontId="1"/>
  </si>
  <si>
    <t>実況パワフルプロ野球２０１８_20200610222734_shade.txt</t>
    <phoneticPr fontId="1"/>
  </si>
  <si>
    <t>実況パワフルプロ野球２０１８_20200610222739_shade.txt</t>
    <phoneticPr fontId="1"/>
  </si>
  <si>
    <t>実況パワフルプロ野球２０１８_20200610222744_shade.txt</t>
    <phoneticPr fontId="1"/>
  </si>
  <si>
    <t>レッルクガルにん</t>
    <phoneticPr fontId="1"/>
  </si>
  <si>
    <t>実況パワフルプロ野球２０１８_20200610222749_shade.txt</t>
    <phoneticPr fontId="1"/>
  </si>
  <si>
    <t>実況パワフルプロ野球２０１８_20200610222754_shade.txt</t>
    <phoneticPr fontId="1"/>
  </si>
  <si>
    <t>実況パワフルプロ野球２０１８_20200610222759_shade.txt</t>
    <phoneticPr fontId="1"/>
  </si>
  <si>
    <t>実況パワフルプロ野球２０１８_20200610222808_shade.txt</t>
    <phoneticPr fontId="1"/>
  </si>
  <si>
    <t>アルの</t>
    <phoneticPr fontId="1"/>
  </si>
  <si>
    <t>実況パワフルプロ野球２０１８_20200610222813_shade.txt</t>
    <phoneticPr fontId="1"/>
  </si>
  <si>
    <t>シアシン</t>
    <phoneticPr fontId="1"/>
  </si>
  <si>
    <t>実況パワフルプロ野球２０１８_20200610222818_shade.txt</t>
    <phoneticPr fontId="1"/>
  </si>
  <si>
    <t>実況パワフルプロ野球２０１８_20200610222823_shade.txt</t>
    <phoneticPr fontId="1"/>
  </si>
  <si>
    <t>実況パワフルプロ野球２０１８_20200610222828_shade.txt</t>
    <phoneticPr fontId="1"/>
  </si>
  <si>
    <t>実況パワフルプロ野球２０１８_20200610222833_shade.txt</t>
    <phoneticPr fontId="1"/>
  </si>
  <si>
    <t>実況パワフルプロ野球２０１８_20200610222838_shade.txt</t>
    <phoneticPr fontId="1"/>
  </si>
  <si>
    <t>実況パワフルプロ野球２０１８_20200610222842_shade.txt</t>
    <phoneticPr fontId="1"/>
  </si>
  <si>
    <t>アルング</t>
    <phoneticPr fontId="1"/>
  </si>
  <si>
    <t>実況パワフルプロ野球２０１８_20200610222847_shade.txt</t>
    <phoneticPr fontId="1"/>
  </si>
  <si>
    <t>実況パワフルプロ野球２０１８_20200610222852_1_shade.txt</t>
    <phoneticPr fontId="1"/>
  </si>
  <si>
    <t>実況パワフルプロ野球２０１８_20200610222852_shade.txt</t>
    <phoneticPr fontId="1"/>
  </si>
  <si>
    <t>レロビーシッEEん</t>
  </si>
  <si>
    <t>中塚</t>
    <rPh sb="0" eb="2">
      <t>ナカツカ</t>
    </rPh>
    <phoneticPr fontId="1"/>
  </si>
  <si>
    <t>1v3</t>
  </si>
  <si>
    <t>ストレート</t>
    <phoneticPr fontId="1"/>
  </si>
  <si>
    <t>実況パワフルプロ野球２０１８_20200610223344_shade.txt</t>
    <phoneticPr fontId="1"/>
  </si>
  <si>
    <t>実況パワフルプロ野球２０１８_20200610223349_shade.txt</t>
    <phoneticPr fontId="1"/>
  </si>
  <si>
    <t>実況パワフルプロ野球２０１８_20200610223355_shade.txt</t>
    <phoneticPr fontId="1"/>
  </si>
  <si>
    <t>実況パワフルプロ野球２０１８_20200610223401_shade.txt</t>
    <phoneticPr fontId="1"/>
  </si>
  <si>
    <t>実況パワフルプロ野球２０１８_20200610223407_shade.txt</t>
    <phoneticPr fontId="1"/>
  </si>
  <si>
    <t>実況パワフルプロ野球２０１８_20200610223412_shade.txt</t>
    <phoneticPr fontId="1"/>
  </si>
  <si>
    <t>実況パワフルプロ野球２０１８_20200610223418_shade.txt</t>
    <phoneticPr fontId="1"/>
  </si>
  <si>
    <t>実況パワフルプロ野球２０１８_20200610223424_shade.txt</t>
    <phoneticPr fontId="1"/>
  </si>
  <si>
    <t>実況パワフルプロ野球２０１８_20200610223430_shade.txt</t>
    <phoneticPr fontId="1"/>
  </si>
  <si>
    <t>実況パワフルプロ野球２０１８_20200610223435_shade.txt</t>
    <phoneticPr fontId="1"/>
  </si>
  <si>
    <t>全力ストレート</t>
    <phoneticPr fontId="1"/>
  </si>
  <si>
    <t>実況パワフルプロ野球２０１８_20200610223444_shade.txt</t>
    <phoneticPr fontId="1"/>
  </si>
  <si>
    <t>実況パワフルプロ野球２０１８_20200610223450_shade.txt</t>
    <phoneticPr fontId="1"/>
  </si>
  <si>
    <t>実況パワフルプロ野球２０１８_20200610223456_shade.txt</t>
    <phoneticPr fontId="1"/>
  </si>
  <si>
    <t>全カストレート</t>
    <phoneticPr fontId="1"/>
  </si>
  <si>
    <t>実況パワフルプロ野球２０１８_20200610223501_shade.txt</t>
    <phoneticPr fontId="1"/>
  </si>
  <si>
    <t>実況パワフルプロ野球２０１８_20200610223507_shade.txt</t>
    <phoneticPr fontId="1"/>
  </si>
  <si>
    <t>実況パワフルプロ野球２０１８_20200610223513_shade.txt</t>
    <phoneticPr fontId="1"/>
  </si>
  <si>
    <t>実況パワフルプロ野球２０１８_20200610223518_shade.txt</t>
    <phoneticPr fontId="1"/>
  </si>
  <si>
    <t>実況パワフルプロ野球２０１８_20200610223524_shade.txt</t>
    <phoneticPr fontId="1"/>
  </si>
  <si>
    <t>実況パワフルプロ野球２０１８_20200610223529_shade.txt</t>
    <phoneticPr fontId="1"/>
  </si>
  <si>
    <t>実況パワフルプロ野球２０１８_20200610223535_shade.txt</t>
    <phoneticPr fontId="1"/>
  </si>
  <si>
    <t>フォーク</t>
    <phoneticPr fontId="1"/>
  </si>
  <si>
    <t>実況パワフルプロ野球２０１８_20200610224552_shade.txt</t>
    <phoneticPr fontId="1"/>
  </si>
  <si>
    <t>アルのん</t>
    <phoneticPr fontId="1"/>
  </si>
  <si>
    <t>実況パワフルプロ野球２０１８_20200610224558_shade.txt</t>
    <phoneticPr fontId="1"/>
  </si>
  <si>
    <t>アンの</t>
    <phoneticPr fontId="1"/>
  </si>
  <si>
    <t>実況パワフルプロ野球２０１８_20200610224604_shade.txt</t>
    <phoneticPr fontId="1"/>
  </si>
  <si>
    <t>実況パワフルプロ野球２０１８_20200610224610_shade.txt</t>
    <phoneticPr fontId="1"/>
  </si>
  <si>
    <t>実況パワフルプロ野球２０１８_20200610224616_shade.txt</t>
    <phoneticPr fontId="1"/>
  </si>
  <si>
    <t>実況パワフルプロ野球２０１８_20200610224622_shade.txt</t>
    <phoneticPr fontId="1"/>
  </si>
  <si>
    <t>実況パワフルプロ野球２０１８_20200610224628_shade.txt</t>
    <phoneticPr fontId="1"/>
  </si>
  <si>
    <t>実況パワフルプロ野球２０１８_20200610224633_shade.txt</t>
    <phoneticPr fontId="1"/>
  </si>
  <si>
    <t>実況パワフルプロ野球２０１８_20200610224639_shade.txt</t>
    <phoneticPr fontId="1"/>
  </si>
  <si>
    <t>実況パワフルプロ野球２０１８_20200610224645_shade.txt</t>
    <phoneticPr fontId="1"/>
  </si>
  <si>
    <t>スローカーブ</t>
    <phoneticPr fontId="1"/>
  </si>
  <si>
    <t>実況パワフルプロ野球２０１８_20200610224656_shade.txt</t>
    <phoneticPr fontId="1"/>
  </si>
  <si>
    <t>実況パワフルプロ野球２０１８_20200610224702_shade.txt</t>
    <phoneticPr fontId="1"/>
  </si>
  <si>
    <t>レロビーシッEEん</t>
    <phoneticPr fontId="1"/>
  </si>
  <si>
    <t>実況パワフルプロ野球２０１８_20200610224708_shade.txt</t>
    <phoneticPr fontId="1"/>
  </si>
  <si>
    <t>実況パワフルプロ野球２０１８_20200610224714_shade.txt</t>
    <phoneticPr fontId="1"/>
  </si>
  <si>
    <t>実況パワフルプロ野球２０１８_20200610224720_shade.txt</t>
    <phoneticPr fontId="1"/>
  </si>
  <si>
    <t>実況パワフルプロ野球２０１８_20200610224726_shade.txt</t>
    <phoneticPr fontId="1"/>
  </si>
  <si>
    <t>実況パワフルプロ野球２０１８_20200610224732_shade.txt</t>
    <phoneticPr fontId="1"/>
  </si>
  <si>
    <t>実況パワフルプロ野球２０１８_20200610224738_shade.txt</t>
    <phoneticPr fontId="1"/>
  </si>
  <si>
    <t>レロビーシッ</t>
    <phoneticPr fontId="1"/>
  </si>
  <si>
    <t>実況パワフルプロ野球２０１８_20200610224744_shade.txt</t>
    <phoneticPr fontId="1"/>
  </si>
  <si>
    <t>実況パワフルプロ野球２０１８_20200610224749_shade.txt</t>
    <phoneticPr fontId="1"/>
  </si>
  <si>
    <t>アクEl</t>
  </si>
  <si>
    <t>アクEN</t>
  </si>
  <si>
    <t>チーム</t>
    <phoneticPr fontId="1"/>
  </si>
  <si>
    <t>-</t>
    <phoneticPr fontId="1"/>
  </si>
  <si>
    <t>西武</t>
    <rPh sb="0" eb="2">
      <t>セイブ</t>
    </rPh>
    <phoneticPr fontId="1"/>
  </si>
  <si>
    <t>ホークス</t>
    <phoneticPr fontId="1"/>
  </si>
  <si>
    <t>岡本</t>
    <rPh sb="0" eb="2">
      <t>オカモト</t>
    </rPh>
    <phoneticPr fontId="1"/>
  </si>
  <si>
    <t>実況パワフルプロ野球２０１８_20200611212206_shade.txt</t>
    <phoneticPr fontId="1"/>
  </si>
  <si>
    <t>実況パワフルプロ野球２０１８_20200611212211_shade.txt</t>
    <phoneticPr fontId="1"/>
  </si>
  <si>
    <t>実況パワフルプロ野球２０１８_20200611212215_shade.txt</t>
    <phoneticPr fontId="1"/>
  </si>
  <si>
    <t>実況パワフルプロ野球２０１８_20200611212221_shade.txt</t>
    <phoneticPr fontId="1"/>
  </si>
  <si>
    <t>実況パワフルプロ野球２０１８_20200611212226_shade.txt</t>
    <phoneticPr fontId="1"/>
  </si>
  <si>
    <t>実況パワフルプロ野球２０１８_20200611212231_shade.txt</t>
    <phoneticPr fontId="1"/>
  </si>
  <si>
    <t>実況パワフルプロ野球２０１８_20200611212236_shade.txt</t>
    <phoneticPr fontId="1"/>
  </si>
  <si>
    <t>実況パワフルプロ野球２０１８_20200611212240_shade.txt</t>
    <phoneticPr fontId="1"/>
  </si>
  <si>
    <t>実況パワフルプロ野球２０１８_20200611212245_shade.txt</t>
    <phoneticPr fontId="1"/>
  </si>
  <si>
    <t>実況パワフルプロ野球２０１８_20200611212259_shade.txt</t>
    <phoneticPr fontId="1"/>
  </si>
  <si>
    <t>実況パワフルプロ野球２０１８_20200611212304_shade.txt</t>
    <phoneticPr fontId="1"/>
  </si>
  <si>
    <t>実況パワフルプロ野球２０１８_20200611212308_shade.txt</t>
    <phoneticPr fontId="1"/>
  </si>
  <si>
    <t>実況パワフルプロ野球２０１８_20200611212313_shade.txt</t>
    <phoneticPr fontId="1"/>
  </si>
  <si>
    <t>実況パワフルプロ野球２０１８_20200611212317_shade.txt</t>
    <phoneticPr fontId="1"/>
  </si>
  <si>
    <t>実況パワフルプロ野球２０１８_20200611212322_shade.txt</t>
    <phoneticPr fontId="1"/>
  </si>
  <si>
    <t>実況パワフルプロ野球２０１８_20200611212326_shade.txt</t>
    <phoneticPr fontId="1"/>
  </si>
  <si>
    <t>実況パワフルプロ野球２０１８_20200611212331_shade.txt</t>
    <phoneticPr fontId="1"/>
  </si>
  <si>
    <t>実況パワフルプロ野球２０１８_20200611212335_shade.txt</t>
    <phoneticPr fontId="1"/>
  </si>
  <si>
    <t>実況パワフルプロ野球２０１８_20200611212340_shade.txt</t>
    <phoneticPr fontId="1"/>
  </si>
  <si>
    <t>カットボール</t>
    <phoneticPr fontId="1"/>
  </si>
  <si>
    <t>実況パワフルプロ野球２０１８_20200611212350_shade.txt</t>
    <phoneticPr fontId="1"/>
  </si>
  <si>
    <t>実況パワフルプロ野球２０１８_20200611212355_shade.txt</t>
    <phoneticPr fontId="1"/>
  </si>
  <si>
    <t>実況パワフルプロ野球２０１８_20200611212400_shade.txt</t>
    <phoneticPr fontId="1"/>
  </si>
  <si>
    <t>実況パワフルプロ野球２０１８_20200611212404_shade.txt</t>
    <phoneticPr fontId="1"/>
  </si>
  <si>
    <t>実況パワフルプロ野球２０１８_20200611212409_shade.txt</t>
    <phoneticPr fontId="1"/>
  </si>
  <si>
    <t>実況パワフルプロ野球２０１８_20200611212414_shade.txt</t>
    <phoneticPr fontId="1"/>
  </si>
  <si>
    <t>実況パワフルプロ野球２０１８_20200611212419_shade.txt</t>
    <phoneticPr fontId="1"/>
  </si>
  <si>
    <t>実況パワフルプロ野球２０１８_20200611212424_shade.txt</t>
    <phoneticPr fontId="1"/>
  </si>
  <si>
    <t>実況パワフルプロ野球２０１８_20200611212428_shade.txt</t>
    <phoneticPr fontId="1"/>
  </si>
  <si>
    <t>実況パワフルプロ野球２０１８_20200611212433_shade.txt</t>
    <phoneticPr fontId="1"/>
  </si>
  <si>
    <t>実況パワフルプロ野球２０１８_20200611212444_shade.txt</t>
    <phoneticPr fontId="1"/>
  </si>
  <si>
    <t>実況パワフルプロ野球２０１８_20200611212449_shade.txt</t>
    <phoneticPr fontId="1"/>
  </si>
  <si>
    <t>実況パワフルプロ野球２０１８_20200611212453_shade.txt</t>
    <phoneticPr fontId="1"/>
  </si>
  <si>
    <t>実況パワフルプロ野球２０１８_20200611212458_shade.txt</t>
    <phoneticPr fontId="1"/>
  </si>
  <si>
    <t>実況パワフルプロ野球２０１８_20200611212503_shade.txt</t>
    <phoneticPr fontId="1"/>
  </si>
  <si>
    <t>10J]</t>
    <phoneticPr fontId="1"/>
  </si>
  <si>
    <t>実況パワフルプロ野球２０１８_20200611212508_shade.txt</t>
    <phoneticPr fontId="1"/>
  </si>
  <si>
    <t>実況パワフルプロ野球２０１８_20200611212513_shade.txt</t>
    <phoneticPr fontId="1"/>
  </si>
  <si>
    <t>実況パワフルプロ野球２０１８_20200611212518_shade.txt</t>
    <phoneticPr fontId="1"/>
  </si>
  <si>
    <t>実況パワフルプロ野球２０１８_20200611212522_shade.txt</t>
    <phoneticPr fontId="1"/>
  </si>
  <si>
    <t>実況パワフルプロ野球２０１８_20200611212527_shade.txt</t>
    <phoneticPr fontId="1"/>
  </si>
  <si>
    <t>アクEl</t>
    <phoneticPr fontId="1"/>
  </si>
  <si>
    <t>実況パワフルプロ野球２０１８_20200611212538_shade.txt</t>
    <phoneticPr fontId="1"/>
  </si>
  <si>
    <t>アク</t>
    <phoneticPr fontId="1"/>
  </si>
  <si>
    <t>実況パワフルプロ野球２０１８_20200611212543_shade.txt</t>
    <phoneticPr fontId="1"/>
  </si>
  <si>
    <t>実況パワフルプロ野球２０１８_20200611212548_shade.txt</t>
    <phoneticPr fontId="1"/>
  </si>
  <si>
    <t>実況パワフルプロ野球２０１８_20200611212553_shade.txt</t>
    <phoneticPr fontId="1"/>
  </si>
  <si>
    <t>実況パワフルプロ野球２０１８_20200611212557_shade.txt</t>
    <phoneticPr fontId="1"/>
  </si>
  <si>
    <t>実況パワフルプロ野球２０１８_20200611212602_shade.txt</t>
    <phoneticPr fontId="1"/>
  </si>
  <si>
    <t>シュート</t>
    <phoneticPr fontId="1"/>
  </si>
  <si>
    <t>実況パワフルプロ野球２０１８_20200611212607_shade.txt</t>
    <phoneticPr fontId="1"/>
  </si>
  <si>
    <t>実況パワフルプロ野球２０１８_20200611212612_shade.txt</t>
    <phoneticPr fontId="1"/>
  </si>
  <si>
    <t>アクEN</t>
    <phoneticPr fontId="1"/>
  </si>
  <si>
    <t>実況パワフルプロ野球２０１８_20200611212617_shade.txt</t>
    <phoneticPr fontId="1"/>
  </si>
  <si>
    <t>実況パワフルプロ野球２０１８_20200611212622_shade.txt</t>
    <phoneticPr fontId="1"/>
  </si>
  <si>
    <t>偶数フレームのデータを見る</t>
    <rPh sb="0" eb="2">
      <t>グウスウ</t>
    </rPh>
    <rPh sb="11" eb="12">
      <t>ミ</t>
    </rPh>
    <phoneticPr fontId="1"/>
  </si>
  <si>
    <t>腕が降り切れてない場合は＋0.5</t>
    <rPh sb="0" eb="1">
      <t>ウデ</t>
    </rPh>
    <rPh sb="2" eb="3">
      <t>フ</t>
    </rPh>
    <rPh sb="4" eb="5">
      <t>キ</t>
    </rPh>
    <rPh sb="9" eb="11">
      <t>バアイ</t>
    </rPh>
    <phoneticPr fontId="1"/>
  </si>
  <si>
    <t>実況パワフルプロ野球２０１８_20200611212905_shade.txt</t>
  </si>
  <si>
    <t>実況パワフルプロ野球２０１８_20200611212910_shade.txt</t>
  </si>
  <si>
    <t>実況パワフルプロ野球２０１８_20200611212916_shade.txt</t>
  </si>
  <si>
    <t>実況パワフルプロ野球２０１８_20200611212922_shade.txt</t>
  </si>
  <si>
    <t>実況パワフルプロ野球２０１８_20200611212929_shade.txt</t>
  </si>
  <si>
    <t>実況パワフルプロ野球２０１８_20200611212934_shade.txt</t>
  </si>
  <si>
    <t>実況パワフルプロ野球２０１８_20200611212940_shade.txt</t>
  </si>
  <si>
    <t>実況パワフルプロ野球２０１８_20200611212946_shade.txt</t>
  </si>
  <si>
    <t>実況パワフルプロ野球２０１８_20200611212953_shade.txt</t>
  </si>
  <si>
    <t>実況パワフルプロ野球２０１８_20200611212958_shade.txt</t>
  </si>
  <si>
    <t>実況パワフルプロ野球２０１８_20200611213010_shade.txt</t>
  </si>
  <si>
    <t>実況パワフルプロ野球２０１８_20200611213015_shade.txt</t>
  </si>
  <si>
    <t>実況パワフルプロ野球２０１８_20200611213021_shade.txt</t>
  </si>
  <si>
    <t>実況パワフルプロ野球２０１８_20200611213027_shade.txt</t>
  </si>
  <si>
    <t>実況パワフルプロ野球２０１８_20200611213032_shade.txt</t>
  </si>
  <si>
    <t>実況パワフルプロ野球２０１８_20200611213038_shade.txt</t>
  </si>
  <si>
    <t>実況パワフルプロ野球２０１８_20200611213044_shade.txt</t>
  </si>
  <si>
    <t>実況パワフルプロ野球２０１８_20200611213050_shade.txt</t>
  </si>
  <si>
    <t>実況パワフルプロ野球２０１８_20200611213055_shade.txt</t>
  </si>
  <si>
    <t>実況パワフルプロ野球２０１８_20200611213101_shade.txt</t>
  </si>
  <si>
    <t>HHシュート</t>
  </si>
  <si>
    <t>実況パワフルプロ野球２０１８_20200611213112_shade.txt</t>
  </si>
  <si>
    <t>実況パワフルプロ野球２０１８_20200611213118_shade.txt</t>
  </si>
  <si>
    <t>Hシュート</t>
  </si>
  <si>
    <t>実況パワフルプロ野球２０１８_20200611213125_shade.txt</t>
  </si>
  <si>
    <t>実況パワフルプロ野球２０１８_20200611213131_shade.txt</t>
  </si>
  <si>
    <t>1アク</t>
  </si>
  <si>
    <t>実況パワフルプロ野球２０１８_20200611213137_shade.txt</t>
  </si>
  <si>
    <t>実況パワフルプロ野球２０１８_20200611213143_shade.txt</t>
  </si>
  <si>
    <t>el</t>
  </si>
  <si>
    <t>実況パワフルプロ野球２０１８_20200611213149_shade.txt</t>
  </si>
  <si>
    <t>1アクel</t>
  </si>
  <si>
    <t>実況パワフルプロ野球２０１８_20200611213155_shade.txt</t>
  </si>
  <si>
    <t>実況パワフルプロ野球２０１８_20200611213202_shade.txt</t>
  </si>
  <si>
    <t>実況パワフルプロ野球２０１８_20200611213208_shade.txt</t>
  </si>
  <si>
    <t>スクリュー</t>
  </si>
  <si>
    <t>実況パワフルプロ野球２０１８_20200611213218_shade.txt</t>
  </si>
  <si>
    <t>実況パワフルプロ野球２０１８_20200611213225_shade.txt</t>
  </si>
  <si>
    <t>実況パワフルプロ野球２０１８_20200611213230_shade.txt</t>
  </si>
  <si>
    <t>実況パワフルプロ野球２０１８_20200611213236_shade.txt</t>
  </si>
  <si>
    <t>実況パワフルプロ野球２０１８_20200611213250_shade.txt</t>
  </si>
  <si>
    <t>実況パワフルプロ野球２０１８_20200611213256_shade.txt</t>
  </si>
  <si>
    <t>実況パワフルプロ野球２０１８_20200611213302_shade.txt</t>
  </si>
  <si>
    <t>実況パワフルプロ野球２０１８_20200611213309_shade.txt</t>
  </si>
  <si>
    <t>実況パワフルプロ野球２０１８_20200611213315_shade.txt</t>
  </si>
  <si>
    <t>実況パワフルプロ野球２０１８_20200611213327_shade.txt</t>
  </si>
  <si>
    <t>実況パワフルプロ野球２０１８_20200611213333_shade.txt</t>
  </si>
  <si>
    <t>実況パワフルプロ野球２０１８_20200611213339_shade.txt</t>
  </si>
  <si>
    <t>実況パワフルプロ野球２０１８_20200611213345_shade.txt</t>
  </si>
  <si>
    <t>実況パワフルプロ野球２０１８_20200611213351_shade.txt</t>
  </si>
  <si>
    <t>実況パワフルプロ野球２０１８_20200611213358_shade.txt</t>
  </si>
  <si>
    <t>実況パワフルプロ野球２０１８_20200611213404_shade.txt</t>
  </si>
  <si>
    <t>実況パワフルプロ野球２０１８_20200611213410_shade.txt</t>
  </si>
  <si>
    <t>実況パワフルプロ野球２０１８_20200611213416_shade.txt</t>
  </si>
  <si>
    <t>実況パワフルプロ野球２０１８_20200611213422_shade.txt</t>
  </si>
  <si>
    <t>オリジナル</t>
    <phoneticPr fontId="1"/>
  </si>
  <si>
    <t>島内</t>
    <rPh sb="0" eb="2">
      <t>シマウチ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</si>
</sst>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B8EA-A9AE-43B4-8BFA-4E30BC2DBCB4}">
  <sheetPr codeName="Sheet3"/>
  <dimension ref="A1:I76"/>
  <sheetViews>
    <sheetView topLeftCell="A5" workbookViewId="0">
      <selection activeCell="I5" sqref="I5"/>
    </sheetView>
  </sheetViews>
  <sheetFormatPr defaultRowHeight="18" x14ac:dyDescent="0.55000000000000004"/>
  <cols>
    <col min="1" max="1" width="56.5" customWidth="1"/>
    <col min="6" max="8" width="9.6640625" customWidth="1"/>
    <col min="14" max="14" width="10" customWidth="1"/>
  </cols>
  <sheetData>
    <row r="1" spans="1:9" x14ac:dyDescent="0.55000000000000004">
      <c r="A1" t="s">
        <v>10</v>
      </c>
      <c r="B1">
        <v>126</v>
      </c>
      <c r="C1">
        <v>645</v>
      </c>
      <c r="D1">
        <v>612.5</v>
      </c>
      <c r="E1">
        <v>10.012589999999999</v>
      </c>
      <c r="F1" t="s">
        <v>0</v>
      </c>
      <c r="G1">
        <v>142</v>
      </c>
      <c r="H1">
        <f t="shared" ref="H1:H8" si="0">1/G1</f>
        <v>7.0422535211267607E-3</v>
      </c>
      <c r="I1">
        <f>(B1-(D1-600)/24 - 94) * 2/120</f>
        <v>0.52465277777777786</v>
      </c>
    </row>
    <row r="2" spans="1:9" x14ac:dyDescent="0.55000000000000004">
      <c r="A2" t="s">
        <v>3</v>
      </c>
      <c r="B2">
        <v>128</v>
      </c>
      <c r="C2">
        <v>641.5</v>
      </c>
      <c r="D2">
        <v>606.5</v>
      </c>
      <c r="E2">
        <v>9.5132499999999993</v>
      </c>
      <c r="F2" t="s">
        <v>0</v>
      </c>
      <c r="G2">
        <v>140</v>
      </c>
      <c r="H2">
        <f t="shared" si="0"/>
        <v>7.1428571428571426E-3</v>
      </c>
      <c r="I2">
        <f t="shared" ref="I2:I8" si="1">(B2-(D2-600)/24 - 94) * 2/120</f>
        <v>0.56215277777777783</v>
      </c>
    </row>
    <row r="3" spans="1:9" x14ac:dyDescent="0.55000000000000004">
      <c r="A3" t="s">
        <v>4</v>
      </c>
      <c r="B3">
        <v>128</v>
      </c>
      <c r="C3">
        <v>629</v>
      </c>
      <c r="D3">
        <v>601.5</v>
      </c>
      <c r="E3">
        <v>10.012589999999999</v>
      </c>
      <c r="F3" t="s">
        <v>0</v>
      </c>
      <c r="G3">
        <v>139</v>
      </c>
      <c r="H3">
        <f t="shared" si="0"/>
        <v>7.1942446043165471E-3</v>
      </c>
      <c r="I3">
        <f t="shared" si="1"/>
        <v>0.56562500000000004</v>
      </c>
    </row>
    <row r="4" spans="1:9" x14ac:dyDescent="0.55000000000000004">
      <c r="A4" t="s">
        <v>5</v>
      </c>
      <c r="B4">
        <v>128</v>
      </c>
      <c r="C4">
        <v>632</v>
      </c>
      <c r="D4">
        <v>613.5</v>
      </c>
      <c r="E4">
        <v>10.012589999999999</v>
      </c>
      <c r="F4" t="s">
        <v>0</v>
      </c>
      <c r="H4" t="e">
        <f t="shared" si="0"/>
        <v>#DIV/0!</v>
      </c>
      <c r="I4">
        <f t="shared" si="1"/>
        <v>0.55729166666666663</v>
      </c>
    </row>
    <row r="5" spans="1:9" x14ac:dyDescent="0.55000000000000004">
      <c r="A5" t="s">
        <v>6</v>
      </c>
      <c r="B5">
        <v>128</v>
      </c>
      <c r="C5">
        <v>641</v>
      </c>
      <c r="D5">
        <v>613.5</v>
      </c>
      <c r="E5">
        <v>10.012589999999999</v>
      </c>
      <c r="F5" t="s">
        <v>0</v>
      </c>
      <c r="G5">
        <v>142</v>
      </c>
      <c r="H5">
        <f t="shared" si="0"/>
        <v>7.0422535211267607E-3</v>
      </c>
      <c r="I5">
        <f t="shared" si="1"/>
        <v>0.55729166666666663</v>
      </c>
    </row>
    <row r="6" spans="1:9" x14ac:dyDescent="0.55000000000000004">
      <c r="A6" t="s">
        <v>7</v>
      </c>
      <c r="B6">
        <v>128</v>
      </c>
      <c r="C6">
        <v>637</v>
      </c>
      <c r="D6">
        <v>600.5</v>
      </c>
      <c r="E6">
        <v>10.012589999999999</v>
      </c>
      <c r="F6" t="s">
        <v>0</v>
      </c>
      <c r="G6">
        <v>139</v>
      </c>
      <c r="H6">
        <f t="shared" si="0"/>
        <v>7.1942446043165471E-3</v>
      </c>
      <c r="I6">
        <f t="shared" si="1"/>
        <v>0.56631944444444449</v>
      </c>
    </row>
    <row r="7" spans="1:9" x14ac:dyDescent="0.55000000000000004">
      <c r="A7" t="s">
        <v>8</v>
      </c>
      <c r="B7">
        <v>130</v>
      </c>
      <c r="C7">
        <v>642</v>
      </c>
      <c r="D7">
        <v>643.5</v>
      </c>
      <c r="E7">
        <v>12.01051</v>
      </c>
      <c r="F7" t="s">
        <v>0</v>
      </c>
      <c r="G7">
        <v>138</v>
      </c>
      <c r="H7">
        <f t="shared" si="0"/>
        <v>7.246376811594203E-3</v>
      </c>
      <c r="I7">
        <f t="shared" si="1"/>
        <v>0.5697916666666667</v>
      </c>
    </row>
    <row r="8" spans="1:9" x14ac:dyDescent="0.55000000000000004">
      <c r="A8" t="s">
        <v>9</v>
      </c>
      <c r="B8">
        <v>129</v>
      </c>
      <c r="C8">
        <v>634.5</v>
      </c>
      <c r="D8">
        <v>624.5</v>
      </c>
      <c r="E8">
        <v>10.512</v>
      </c>
      <c r="F8" t="s">
        <v>0</v>
      </c>
      <c r="G8">
        <v>139</v>
      </c>
      <c r="H8">
        <f t="shared" si="0"/>
        <v>7.1942446043165471E-3</v>
      </c>
      <c r="I8">
        <f t="shared" si="1"/>
        <v>0.56631944444444449</v>
      </c>
    </row>
    <row r="9" spans="1:9" x14ac:dyDescent="0.55000000000000004">
      <c r="A9" t="s">
        <v>15</v>
      </c>
      <c r="B9">
        <v>128</v>
      </c>
      <c r="C9">
        <v>647</v>
      </c>
      <c r="D9">
        <v>612.5</v>
      </c>
      <c r="E9">
        <v>10.012589999999999</v>
      </c>
      <c r="F9" t="s">
        <v>14</v>
      </c>
      <c r="G9">
        <v>142</v>
      </c>
      <c r="H9">
        <f t="shared" ref="H9:H17" si="2">1/G9</f>
        <v>7.0422535211267607E-3</v>
      </c>
      <c r="I9">
        <f t="shared" ref="I9:I17" si="3">(B9-(D9-600)/24 - 94) * 2/120</f>
        <v>0.55798611111111118</v>
      </c>
    </row>
    <row r="10" spans="1:9" x14ac:dyDescent="0.55000000000000004">
      <c r="A10" t="s">
        <v>17</v>
      </c>
      <c r="B10">
        <v>145</v>
      </c>
      <c r="C10">
        <v>650.5</v>
      </c>
      <c r="D10">
        <v>608.5</v>
      </c>
      <c r="E10">
        <v>9.5132499999999993</v>
      </c>
      <c r="F10" t="s">
        <v>16</v>
      </c>
      <c r="G10">
        <v>115</v>
      </c>
      <c r="H10">
        <f t="shared" si="2"/>
        <v>8.6956521739130436E-3</v>
      </c>
      <c r="I10">
        <f t="shared" si="3"/>
        <v>0.84409722222222239</v>
      </c>
    </row>
    <row r="11" spans="1:9" x14ac:dyDescent="0.55000000000000004">
      <c r="A11" t="s">
        <v>18</v>
      </c>
      <c r="B11">
        <v>146</v>
      </c>
      <c r="C11">
        <v>658</v>
      </c>
      <c r="D11">
        <v>619.5</v>
      </c>
      <c r="E11">
        <v>10.012589999999999</v>
      </c>
      <c r="F11" t="s">
        <v>16</v>
      </c>
      <c r="G11">
        <v>114</v>
      </c>
      <c r="H11">
        <f t="shared" si="2"/>
        <v>8.771929824561403E-3</v>
      </c>
      <c r="I11">
        <f t="shared" si="3"/>
        <v>0.85312500000000002</v>
      </c>
    </row>
    <row r="12" spans="1:9" x14ac:dyDescent="0.55000000000000004">
      <c r="A12" t="s">
        <v>19</v>
      </c>
      <c r="B12">
        <v>145</v>
      </c>
      <c r="C12">
        <v>652</v>
      </c>
      <c r="D12">
        <v>611.5</v>
      </c>
      <c r="E12">
        <v>10.012589999999999</v>
      </c>
      <c r="F12" t="s">
        <v>16</v>
      </c>
      <c r="G12">
        <v>115</v>
      </c>
      <c r="H12">
        <f t="shared" si="2"/>
        <v>8.6956521739130436E-3</v>
      </c>
      <c r="I12">
        <f t="shared" si="3"/>
        <v>0.84201388888888906</v>
      </c>
    </row>
    <row r="13" spans="1:9" x14ac:dyDescent="0.55000000000000004">
      <c r="A13" t="s">
        <v>20</v>
      </c>
      <c r="B13">
        <v>147</v>
      </c>
      <c r="C13">
        <v>663.5</v>
      </c>
      <c r="D13">
        <v>623</v>
      </c>
      <c r="E13">
        <v>10.5001</v>
      </c>
      <c r="F13" t="s">
        <v>16</v>
      </c>
      <c r="G13">
        <v>113</v>
      </c>
      <c r="H13">
        <f t="shared" si="2"/>
        <v>8.8495575221238937E-3</v>
      </c>
      <c r="I13">
        <f t="shared" si="3"/>
        <v>0.86736111111111092</v>
      </c>
    </row>
    <row r="14" spans="1:9" x14ac:dyDescent="0.55000000000000004">
      <c r="A14" t="s">
        <v>21</v>
      </c>
      <c r="B14">
        <v>146</v>
      </c>
      <c r="C14">
        <v>662</v>
      </c>
      <c r="D14">
        <v>606</v>
      </c>
      <c r="E14">
        <v>10.0001</v>
      </c>
      <c r="F14" t="s">
        <v>16</v>
      </c>
      <c r="G14">
        <v>112</v>
      </c>
      <c r="H14">
        <f t="shared" si="2"/>
        <v>8.9285714285714281E-3</v>
      </c>
      <c r="I14">
        <f t="shared" si="3"/>
        <v>0.86250000000000004</v>
      </c>
    </row>
    <row r="15" spans="1:9" x14ac:dyDescent="0.55000000000000004">
      <c r="A15" t="s">
        <v>22</v>
      </c>
      <c r="B15">
        <v>146</v>
      </c>
      <c r="C15">
        <v>654</v>
      </c>
      <c r="D15">
        <v>607.5</v>
      </c>
      <c r="E15">
        <v>10.012589999999999</v>
      </c>
      <c r="F15">
        <v>4</v>
      </c>
      <c r="G15">
        <v>112</v>
      </c>
      <c r="H15">
        <f t="shared" si="2"/>
        <v>8.9285714285714281E-3</v>
      </c>
      <c r="I15">
        <f t="shared" si="3"/>
        <v>0.86145833333333333</v>
      </c>
    </row>
    <row r="16" spans="1:9" x14ac:dyDescent="0.55000000000000004">
      <c r="A16" t="s">
        <v>23</v>
      </c>
      <c r="B16">
        <v>145</v>
      </c>
      <c r="C16">
        <v>630.5</v>
      </c>
      <c r="D16">
        <v>600.5</v>
      </c>
      <c r="E16">
        <v>9.5132499999999993</v>
      </c>
      <c r="F16" t="s">
        <v>16</v>
      </c>
      <c r="G16">
        <v>113</v>
      </c>
      <c r="H16">
        <f t="shared" si="2"/>
        <v>8.8495575221238937E-3</v>
      </c>
      <c r="I16">
        <f t="shared" si="3"/>
        <v>0.84965277777777759</v>
      </c>
    </row>
    <row r="17" spans="1:9" x14ac:dyDescent="0.55000000000000004">
      <c r="A17" t="s">
        <v>24</v>
      </c>
      <c r="B17">
        <v>147</v>
      </c>
      <c r="C17">
        <v>661.5</v>
      </c>
      <c r="D17">
        <v>624</v>
      </c>
      <c r="E17">
        <v>9.5525900000000004</v>
      </c>
      <c r="F17" t="s">
        <v>16</v>
      </c>
      <c r="G17">
        <v>113</v>
      </c>
      <c r="H17">
        <f t="shared" si="2"/>
        <v>8.8495575221238937E-3</v>
      </c>
      <c r="I17">
        <f t="shared" si="3"/>
        <v>0.8666666666666667</v>
      </c>
    </row>
    <row r="18" spans="1:9" x14ac:dyDescent="0.55000000000000004">
      <c r="A18" t="s">
        <v>26</v>
      </c>
      <c r="B18">
        <v>132</v>
      </c>
      <c r="C18">
        <v>653</v>
      </c>
      <c r="D18">
        <v>602.5</v>
      </c>
      <c r="E18">
        <v>10.012589999999999</v>
      </c>
      <c r="F18" t="s">
        <v>25</v>
      </c>
      <c r="G18">
        <v>124</v>
      </c>
      <c r="H18">
        <f t="shared" ref="H18:H76" si="4">1/G18</f>
        <v>8.0645161290322578E-3</v>
      </c>
      <c r="I18">
        <f t="shared" ref="I18:I76" si="5">(B18-(D18-600)/24 - 94) * 2/120</f>
        <v>0.63159722222222237</v>
      </c>
    </row>
    <row r="19" spans="1:9" x14ac:dyDescent="0.55000000000000004">
      <c r="A19" t="s">
        <v>27</v>
      </c>
      <c r="B19">
        <v>133</v>
      </c>
      <c r="C19">
        <v>635</v>
      </c>
      <c r="D19">
        <v>608.5</v>
      </c>
      <c r="E19">
        <v>10.012589999999999</v>
      </c>
      <c r="F19" t="s">
        <v>25</v>
      </c>
      <c r="G19">
        <v>121</v>
      </c>
      <c r="H19">
        <f t="shared" si="4"/>
        <v>8.2644628099173556E-3</v>
      </c>
      <c r="I19">
        <f t="shared" si="5"/>
        <v>0.64409722222222243</v>
      </c>
    </row>
    <row r="20" spans="1:9" x14ac:dyDescent="0.55000000000000004">
      <c r="A20" t="s">
        <v>29</v>
      </c>
      <c r="B20">
        <v>134</v>
      </c>
      <c r="C20">
        <v>643</v>
      </c>
      <c r="D20">
        <v>635.5</v>
      </c>
      <c r="E20">
        <v>12.01051</v>
      </c>
      <c r="F20" t="s">
        <v>28</v>
      </c>
      <c r="G20">
        <v>123</v>
      </c>
      <c r="H20">
        <f t="shared" si="4"/>
        <v>8.130081300813009E-3</v>
      </c>
      <c r="I20">
        <f t="shared" si="5"/>
        <v>0.64201388888888899</v>
      </c>
    </row>
    <row r="21" spans="1:9" x14ac:dyDescent="0.55000000000000004">
      <c r="A21" t="s">
        <v>30</v>
      </c>
      <c r="B21">
        <v>133</v>
      </c>
      <c r="C21">
        <v>639.5</v>
      </c>
      <c r="D21">
        <v>622</v>
      </c>
      <c r="E21">
        <v>10.5001</v>
      </c>
      <c r="F21" t="s">
        <v>28</v>
      </c>
      <c r="G21">
        <v>114</v>
      </c>
      <c r="H21">
        <f t="shared" si="4"/>
        <v>8.771929824561403E-3</v>
      </c>
      <c r="I21">
        <f t="shared" si="5"/>
        <v>0.63472222222222241</v>
      </c>
    </row>
    <row r="22" spans="1:9" x14ac:dyDescent="0.55000000000000004">
      <c r="A22" t="s">
        <v>31</v>
      </c>
      <c r="B22">
        <v>133</v>
      </c>
      <c r="C22">
        <v>628.5</v>
      </c>
      <c r="D22">
        <v>617</v>
      </c>
      <c r="E22">
        <v>10.5001</v>
      </c>
      <c r="F22" t="s">
        <v>25</v>
      </c>
      <c r="G22">
        <v>113</v>
      </c>
      <c r="H22">
        <f t="shared" si="4"/>
        <v>8.8495575221238937E-3</v>
      </c>
      <c r="I22">
        <f t="shared" si="5"/>
        <v>0.63819444444444429</v>
      </c>
    </row>
    <row r="23" spans="1:9" x14ac:dyDescent="0.55000000000000004">
      <c r="A23" t="s">
        <v>33</v>
      </c>
      <c r="B23">
        <v>132</v>
      </c>
      <c r="C23">
        <v>648</v>
      </c>
      <c r="D23">
        <v>605.5</v>
      </c>
      <c r="E23">
        <v>10.012589999999999</v>
      </c>
      <c r="F23" t="s">
        <v>32</v>
      </c>
      <c r="G23">
        <v>124</v>
      </c>
      <c r="H23">
        <f t="shared" si="4"/>
        <v>8.0645161290322578E-3</v>
      </c>
      <c r="I23">
        <f t="shared" si="5"/>
        <v>0.62951388888888904</v>
      </c>
    </row>
    <row r="24" spans="1:9" x14ac:dyDescent="0.55000000000000004">
      <c r="A24" t="s">
        <v>34</v>
      </c>
      <c r="B24">
        <v>133</v>
      </c>
      <c r="C24">
        <v>643.5</v>
      </c>
      <c r="D24">
        <v>624</v>
      </c>
      <c r="E24">
        <v>10.5001</v>
      </c>
      <c r="F24" t="s">
        <v>28</v>
      </c>
      <c r="G24">
        <v>124</v>
      </c>
      <c r="H24">
        <f t="shared" si="4"/>
        <v>8.0645161290322578E-3</v>
      </c>
      <c r="I24">
        <f t="shared" si="5"/>
        <v>0.6333333333333333</v>
      </c>
    </row>
    <row r="25" spans="1:9" x14ac:dyDescent="0.55000000000000004">
      <c r="A25" t="s">
        <v>36</v>
      </c>
      <c r="B25">
        <v>133</v>
      </c>
      <c r="C25">
        <v>647.5</v>
      </c>
      <c r="D25">
        <v>616</v>
      </c>
      <c r="E25">
        <v>10.5001</v>
      </c>
      <c r="F25" t="s">
        <v>35</v>
      </c>
      <c r="G25">
        <v>113</v>
      </c>
      <c r="H25">
        <f t="shared" si="4"/>
        <v>8.8495575221238937E-3</v>
      </c>
      <c r="I25">
        <f t="shared" si="5"/>
        <v>0.63888888888888906</v>
      </c>
    </row>
    <row r="26" spans="1:9" x14ac:dyDescent="0.55000000000000004">
      <c r="A26" t="s">
        <v>38</v>
      </c>
      <c r="B26">
        <v>136</v>
      </c>
      <c r="C26">
        <v>668</v>
      </c>
      <c r="D26">
        <v>671</v>
      </c>
      <c r="E26">
        <v>12.041689999999999</v>
      </c>
      <c r="F26" t="s">
        <v>37</v>
      </c>
      <c r="G26">
        <v>121</v>
      </c>
      <c r="H26">
        <f t="shared" si="4"/>
        <v>8.2644628099173556E-3</v>
      </c>
      <c r="I26">
        <f t="shared" si="5"/>
        <v>0.65069444444444424</v>
      </c>
    </row>
    <row r="27" spans="1:9" x14ac:dyDescent="0.55000000000000004">
      <c r="A27" t="s">
        <v>39</v>
      </c>
      <c r="B27">
        <v>132</v>
      </c>
      <c r="C27">
        <v>644</v>
      </c>
      <c r="D27">
        <v>604.5</v>
      </c>
      <c r="E27">
        <v>10.012589999999999</v>
      </c>
      <c r="F27" t="s">
        <v>25</v>
      </c>
      <c r="G27">
        <v>114</v>
      </c>
      <c r="H27">
        <f t="shared" si="4"/>
        <v>8.771929824561403E-3</v>
      </c>
      <c r="I27">
        <f t="shared" si="5"/>
        <v>0.63020833333333337</v>
      </c>
    </row>
    <row r="28" spans="1:9" x14ac:dyDescent="0.55000000000000004">
      <c r="A28" t="s">
        <v>41</v>
      </c>
      <c r="B28">
        <v>138</v>
      </c>
      <c r="C28">
        <v>625</v>
      </c>
      <c r="D28">
        <v>614.5</v>
      </c>
      <c r="E28">
        <v>10.012589999999999</v>
      </c>
      <c r="F28" t="s">
        <v>40</v>
      </c>
      <c r="G28">
        <v>118</v>
      </c>
      <c r="H28">
        <f t="shared" si="4"/>
        <v>8.4745762711864406E-3</v>
      </c>
      <c r="I28">
        <f t="shared" si="5"/>
        <v>0.72326388888888904</v>
      </c>
    </row>
    <row r="29" spans="1:9" x14ac:dyDescent="0.55000000000000004">
      <c r="A29" t="s">
        <v>42</v>
      </c>
      <c r="B29">
        <v>138</v>
      </c>
      <c r="C29">
        <v>630.5</v>
      </c>
      <c r="D29">
        <v>618.5</v>
      </c>
      <c r="E29">
        <v>10.512</v>
      </c>
      <c r="F29" t="s">
        <v>40</v>
      </c>
      <c r="G29">
        <v>119</v>
      </c>
      <c r="H29">
        <f t="shared" si="4"/>
        <v>8.4033613445378148E-3</v>
      </c>
      <c r="I29">
        <f t="shared" si="5"/>
        <v>0.72048611111111094</v>
      </c>
    </row>
    <row r="30" spans="1:9" x14ac:dyDescent="0.55000000000000004">
      <c r="A30" t="s">
        <v>43</v>
      </c>
      <c r="B30">
        <v>138</v>
      </c>
      <c r="C30">
        <v>634.5</v>
      </c>
      <c r="D30">
        <v>615</v>
      </c>
      <c r="E30">
        <v>10.5001</v>
      </c>
      <c r="F30" t="s">
        <v>40</v>
      </c>
      <c r="G30">
        <v>118</v>
      </c>
      <c r="H30">
        <f t="shared" si="4"/>
        <v>8.4745762711864406E-3</v>
      </c>
      <c r="I30">
        <f t="shared" si="5"/>
        <v>0.72291666666666665</v>
      </c>
    </row>
    <row r="31" spans="1:9" x14ac:dyDescent="0.55000000000000004">
      <c r="A31" t="s">
        <v>44</v>
      </c>
      <c r="B31">
        <v>139</v>
      </c>
      <c r="C31">
        <v>616.5</v>
      </c>
      <c r="D31">
        <v>632.5</v>
      </c>
      <c r="E31">
        <v>11.510960000000001</v>
      </c>
      <c r="F31" t="s">
        <v>40</v>
      </c>
      <c r="G31">
        <v>118</v>
      </c>
      <c r="H31">
        <f t="shared" si="4"/>
        <v>8.4745762711864406E-3</v>
      </c>
      <c r="I31">
        <f t="shared" si="5"/>
        <v>0.72743055555555569</v>
      </c>
    </row>
    <row r="32" spans="1:9" x14ac:dyDescent="0.55000000000000004">
      <c r="A32" t="s">
        <v>45</v>
      </c>
      <c r="B32">
        <v>139</v>
      </c>
      <c r="C32">
        <v>610.5</v>
      </c>
      <c r="D32">
        <v>634</v>
      </c>
      <c r="E32">
        <v>11.5435</v>
      </c>
      <c r="F32" t="s">
        <v>40</v>
      </c>
      <c r="G32">
        <v>118</v>
      </c>
      <c r="H32">
        <f t="shared" si="4"/>
        <v>8.4745762711864406E-3</v>
      </c>
      <c r="I32">
        <f t="shared" si="5"/>
        <v>0.72638888888888908</v>
      </c>
    </row>
    <row r="33" spans="1:9" x14ac:dyDescent="0.55000000000000004">
      <c r="A33" t="s">
        <v>46</v>
      </c>
      <c r="B33">
        <v>138</v>
      </c>
      <c r="C33">
        <v>623.5</v>
      </c>
      <c r="D33">
        <v>626</v>
      </c>
      <c r="E33">
        <v>10.5001</v>
      </c>
      <c r="F33" t="s">
        <v>40</v>
      </c>
      <c r="G33">
        <v>114</v>
      </c>
      <c r="H33">
        <f t="shared" si="4"/>
        <v>8.771929824561403E-3</v>
      </c>
      <c r="I33">
        <f t="shared" si="5"/>
        <v>0.71527777777777757</v>
      </c>
    </row>
    <row r="34" spans="1:9" x14ac:dyDescent="0.55000000000000004">
      <c r="A34" t="s">
        <v>47</v>
      </c>
      <c r="B34">
        <v>138</v>
      </c>
      <c r="C34">
        <v>636</v>
      </c>
      <c r="D34">
        <v>633</v>
      </c>
      <c r="E34">
        <v>12.0001</v>
      </c>
      <c r="F34" t="s">
        <v>40</v>
      </c>
      <c r="G34">
        <v>121</v>
      </c>
      <c r="H34">
        <f t="shared" si="4"/>
        <v>8.2644628099173556E-3</v>
      </c>
      <c r="I34">
        <f t="shared" si="5"/>
        <v>0.7104166666666667</v>
      </c>
    </row>
    <row r="35" spans="1:9" x14ac:dyDescent="0.55000000000000004">
      <c r="A35" t="s">
        <v>48</v>
      </c>
      <c r="B35">
        <v>138</v>
      </c>
      <c r="C35">
        <v>628.5</v>
      </c>
      <c r="D35">
        <v>620.5</v>
      </c>
      <c r="E35">
        <v>10.512</v>
      </c>
      <c r="F35" t="s">
        <v>40</v>
      </c>
      <c r="G35">
        <v>119</v>
      </c>
      <c r="H35">
        <f t="shared" si="4"/>
        <v>8.4033613445378148E-3</v>
      </c>
      <c r="I35">
        <f t="shared" si="5"/>
        <v>0.71909722222222239</v>
      </c>
    </row>
    <row r="36" spans="1:9" x14ac:dyDescent="0.55000000000000004">
      <c r="A36" t="s">
        <v>49</v>
      </c>
      <c r="B36">
        <v>139</v>
      </c>
      <c r="C36">
        <v>622.5</v>
      </c>
      <c r="D36">
        <v>632.5</v>
      </c>
      <c r="E36">
        <v>11.510960000000001</v>
      </c>
      <c r="F36" t="s">
        <v>40</v>
      </c>
      <c r="G36">
        <v>118</v>
      </c>
      <c r="H36">
        <f t="shared" si="4"/>
        <v>8.4745762711864406E-3</v>
      </c>
      <c r="I36">
        <f t="shared" si="5"/>
        <v>0.72743055555555569</v>
      </c>
    </row>
    <row r="37" spans="1:9" x14ac:dyDescent="0.55000000000000004">
      <c r="A37" t="s">
        <v>51</v>
      </c>
      <c r="B37">
        <v>136</v>
      </c>
      <c r="C37">
        <v>677.02080999999998</v>
      </c>
      <c r="D37">
        <v>633</v>
      </c>
      <c r="E37">
        <v>12.020949999999999</v>
      </c>
      <c r="F37" t="s">
        <v>50</v>
      </c>
      <c r="G37">
        <v>125</v>
      </c>
      <c r="H37">
        <f t="shared" si="4"/>
        <v>8.0000000000000002E-3</v>
      </c>
      <c r="I37">
        <f t="shared" si="5"/>
        <v>0.67708333333333337</v>
      </c>
    </row>
    <row r="38" spans="1:9" x14ac:dyDescent="0.55000000000000004">
      <c r="A38" t="s">
        <v>52</v>
      </c>
      <c r="B38">
        <v>135</v>
      </c>
      <c r="C38">
        <v>669.5</v>
      </c>
      <c r="D38">
        <v>620.5</v>
      </c>
      <c r="E38">
        <v>9.5132499999999993</v>
      </c>
      <c r="F38" t="s">
        <v>50</v>
      </c>
      <c r="G38">
        <v>127</v>
      </c>
      <c r="H38">
        <f t="shared" si="4"/>
        <v>7.874015748031496E-3</v>
      </c>
      <c r="I38">
        <f t="shared" si="5"/>
        <v>0.66909722222222234</v>
      </c>
    </row>
    <row r="39" spans="1:9" x14ac:dyDescent="0.55000000000000004">
      <c r="A39" t="s">
        <v>53</v>
      </c>
      <c r="B39">
        <v>135</v>
      </c>
      <c r="C39">
        <v>668</v>
      </c>
      <c r="D39">
        <v>623.5</v>
      </c>
      <c r="E39">
        <v>10.012589999999999</v>
      </c>
      <c r="F39" t="s">
        <v>50</v>
      </c>
      <c r="G39">
        <v>127</v>
      </c>
      <c r="H39">
        <f t="shared" si="4"/>
        <v>7.874015748031496E-3</v>
      </c>
      <c r="I39">
        <f t="shared" si="5"/>
        <v>0.66701388888888902</v>
      </c>
    </row>
    <row r="40" spans="1:9" x14ac:dyDescent="0.55000000000000004">
      <c r="A40" t="s">
        <v>54</v>
      </c>
      <c r="B40">
        <v>136</v>
      </c>
      <c r="C40">
        <v>702.5</v>
      </c>
      <c r="D40">
        <v>637.5</v>
      </c>
      <c r="E40">
        <v>3.8079900000000002</v>
      </c>
      <c r="F40" t="s">
        <v>50</v>
      </c>
      <c r="G40">
        <v>126</v>
      </c>
      <c r="H40">
        <f t="shared" si="4"/>
        <v>7.9365079365079361E-3</v>
      </c>
      <c r="I40">
        <f t="shared" si="5"/>
        <v>0.67395833333333333</v>
      </c>
    </row>
    <row r="41" spans="1:9" x14ac:dyDescent="0.55000000000000004">
      <c r="A41" t="s">
        <v>55</v>
      </c>
      <c r="B41">
        <v>136</v>
      </c>
      <c r="C41">
        <v>666.5</v>
      </c>
      <c r="D41">
        <v>636</v>
      </c>
      <c r="E41">
        <v>11.5435</v>
      </c>
      <c r="F41" t="s">
        <v>50</v>
      </c>
      <c r="G41">
        <v>126</v>
      </c>
      <c r="H41">
        <f t="shared" si="4"/>
        <v>7.9365079365079361E-3</v>
      </c>
      <c r="I41">
        <f t="shared" si="5"/>
        <v>0.67500000000000004</v>
      </c>
    </row>
    <row r="42" spans="1:9" x14ac:dyDescent="0.55000000000000004">
      <c r="A42" t="s">
        <v>56</v>
      </c>
      <c r="B42">
        <v>136</v>
      </c>
      <c r="C42">
        <v>672.5</v>
      </c>
      <c r="D42">
        <v>634</v>
      </c>
      <c r="E42">
        <v>11.5435</v>
      </c>
      <c r="F42" t="s">
        <v>50</v>
      </c>
      <c r="G42">
        <v>116</v>
      </c>
      <c r="H42">
        <f t="shared" si="4"/>
        <v>8.6206896551724137E-3</v>
      </c>
      <c r="I42">
        <f t="shared" si="5"/>
        <v>0.67638888888888904</v>
      </c>
    </row>
    <row r="43" spans="1:9" x14ac:dyDescent="0.55000000000000004">
      <c r="A43" t="s">
        <v>57</v>
      </c>
      <c r="B43">
        <v>134</v>
      </c>
      <c r="C43">
        <v>668</v>
      </c>
      <c r="D43">
        <v>606.5</v>
      </c>
      <c r="E43">
        <v>10.012589999999999</v>
      </c>
      <c r="F43" t="s">
        <v>50</v>
      </c>
      <c r="G43">
        <v>128</v>
      </c>
      <c r="H43">
        <f t="shared" si="4"/>
        <v>7.8125E-3</v>
      </c>
      <c r="I43">
        <f t="shared" si="5"/>
        <v>0.66215277777777759</v>
      </c>
    </row>
    <row r="44" spans="1:9" x14ac:dyDescent="0.55000000000000004">
      <c r="A44" t="s">
        <v>58</v>
      </c>
      <c r="B44">
        <v>135</v>
      </c>
      <c r="C44">
        <v>678.5</v>
      </c>
      <c r="D44">
        <v>630</v>
      </c>
      <c r="E44">
        <v>10.5001</v>
      </c>
      <c r="F44" t="s">
        <v>50</v>
      </c>
      <c r="G44">
        <v>128</v>
      </c>
      <c r="H44">
        <f t="shared" si="4"/>
        <v>7.8125E-3</v>
      </c>
      <c r="I44">
        <f t="shared" si="5"/>
        <v>0.66249999999999998</v>
      </c>
    </row>
    <row r="45" spans="1:9" x14ac:dyDescent="0.55000000000000004">
      <c r="A45" t="s">
        <v>59</v>
      </c>
      <c r="B45">
        <v>134</v>
      </c>
      <c r="C45">
        <v>652.5</v>
      </c>
      <c r="D45">
        <v>603</v>
      </c>
      <c r="E45">
        <v>9.5000999999999998</v>
      </c>
      <c r="F45" t="s">
        <v>50</v>
      </c>
      <c r="G45">
        <v>127</v>
      </c>
      <c r="H45">
        <f t="shared" si="4"/>
        <v>7.874015748031496E-3</v>
      </c>
      <c r="I45">
        <f t="shared" si="5"/>
        <v>0.6645833333333333</v>
      </c>
    </row>
    <row r="46" spans="1:9" x14ac:dyDescent="0.55000000000000004">
      <c r="A46" t="s">
        <v>60</v>
      </c>
      <c r="B46">
        <v>135</v>
      </c>
      <c r="C46">
        <v>670.5</v>
      </c>
      <c r="D46">
        <v>617.5</v>
      </c>
      <c r="E46">
        <v>8.5147899999999996</v>
      </c>
      <c r="F46" t="s">
        <v>50</v>
      </c>
      <c r="G46">
        <v>126</v>
      </c>
      <c r="H46">
        <f t="shared" si="4"/>
        <v>7.9365079365079361E-3</v>
      </c>
      <c r="I46">
        <f t="shared" si="5"/>
        <v>0.67118055555555567</v>
      </c>
    </row>
    <row r="47" spans="1:9" x14ac:dyDescent="0.55000000000000004">
      <c r="A47" t="s">
        <v>62</v>
      </c>
      <c r="B47">
        <v>133</v>
      </c>
      <c r="C47">
        <v>610.5</v>
      </c>
      <c r="D47">
        <v>604</v>
      </c>
      <c r="E47">
        <v>10.5001</v>
      </c>
      <c r="F47" t="s">
        <v>61</v>
      </c>
      <c r="G47">
        <v>131</v>
      </c>
      <c r="H47">
        <f t="shared" si="4"/>
        <v>7.6335877862595417E-3</v>
      </c>
      <c r="I47">
        <f t="shared" si="5"/>
        <v>0.64722222222222237</v>
      </c>
    </row>
    <row r="48" spans="1:9" x14ac:dyDescent="0.55000000000000004">
      <c r="A48" t="s">
        <v>63</v>
      </c>
      <c r="B48">
        <v>133</v>
      </c>
      <c r="C48">
        <v>612.5</v>
      </c>
      <c r="D48">
        <v>601.5</v>
      </c>
      <c r="E48">
        <v>9.5132499999999993</v>
      </c>
      <c r="F48" t="s">
        <v>61</v>
      </c>
      <c r="G48">
        <v>130</v>
      </c>
      <c r="H48">
        <f t="shared" si="4"/>
        <v>7.6923076923076927E-3</v>
      </c>
      <c r="I48">
        <f t="shared" si="5"/>
        <v>0.6489583333333333</v>
      </c>
    </row>
    <row r="49" spans="1:9" x14ac:dyDescent="0.55000000000000004">
      <c r="A49" t="s">
        <v>64</v>
      </c>
      <c r="B49">
        <v>134</v>
      </c>
      <c r="C49">
        <v>623.5</v>
      </c>
      <c r="D49">
        <v>623.5</v>
      </c>
      <c r="E49">
        <v>10.512</v>
      </c>
      <c r="F49" t="s">
        <v>61</v>
      </c>
      <c r="G49">
        <v>131</v>
      </c>
      <c r="H49">
        <f t="shared" si="4"/>
        <v>7.6335877862595417E-3</v>
      </c>
      <c r="I49">
        <f t="shared" si="5"/>
        <v>0.65034722222222241</v>
      </c>
    </row>
    <row r="50" spans="1:9" x14ac:dyDescent="0.55000000000000004">
      <c r="A50" t="s">
        <v>65</v>
      </c>
      <c r="B50">
        <v>134</v>
      </c>
      <c r="C50">
        <v>617</v>
      </c>
      <c r="D50">
        <v>612.5</v>
      </c>
      <c r="E50">
        <v>10.012589999999999</v>
      </c>
      <c r="F50" t="s">
        <v>61</v>
      </c>
      <c r="G50">
        <v>129</v>
      </c>
      <c r="H50">
        <f t="shared" si="4"/>
        <v>7.7519379844961239E-3</v>
      </c>
      <c r="I50">
        <f t="shared" si="5"/>
        <v>0.65798611111111094</v>
      </c>
    </row>
    <row r="51" spans="1:9" x14ac:dyDescent="0.55000000000000004">
      <c r="A51" t="s">
        <v>66</v>
      </c>
      <c r="B51">
        <v>133</v>
      </c>
      <c r="C51">
        <v>610.5</v>
      </c>
      <c r="D51">
        <v>600.5</v>
      </c>
      <c r="E51">
        <v>9.5132499999999993</v>
      </c>
      <c r="F51" t="s">
        <v>61</v>
      </c>
      <c r="G51">
        <v>134</v>
      </c>
      <c r="H51">
        <f t="shared" si="4"/>
        <v>7.462686567164179E-3</v>
      </c>
      <c r="I51">
        <f t="shared" si="5"/>
        <v>0.64965277777777763</v>
      </c>
    </row>
    <row r="52" spans="1:9" x14ac:dyDescent="0.55000000000000004">
      <c r="A52" t="s">
        <v>67</v>
      </c>
      <c r="B52">
        <v>134</v>
      </c>
      <c r="C52">
        <v>597.5</v>
      </c>
      <c r="D52">
        <v>626.5</v>
      </c>
      <c r="E52">
        <v>9.5132499999999993</v>
      </c>
      <c r="F52" t="s">
        <v>61</v>
      </c>
      <c r="G52">
        <v>132</v>
      </c>
      <c r="H52">
        <f t="shared" si="4"/>
        <v>7.575757575757576E-3</v>
      </c>
      <c r="I52">
        <f t="shared" si="5"/>
        <v>0.64826388888888908</v>
      </c>
    </row>
    <row r="53" spans="1:9" x14ac:dyDescent="0.55000000000000004">
      <c r="A53" t="s">
        <v>68</v>
      </c>
      <c r="B53">
        <v>133</v>
      </c>
      <c r="C53">
        <v>619</v>
      </c>
      <c r="D53">
        <v>606</v>
      </c>
      <c r="E53">
        <v>10.0001</v>
      </c>
      <c r="F53" t="s">
        <v>61</v>
      </c>
      <c r="G53">
        <v>131</v>
      </c>
      <c r="H53">
        <f t="shared" si="4"/>
        <v>7.6335877862595417E-3</v>
      </c>
      <c r="I53">
        <f t="shared" si="5"/>
        <v>0.64583333333333337</v>
      </c>
    </row>
    <row r="54" spans="1:9" x14ac:dyDescent="0.55000000000000004">
      <c r="A54" t="s">
        <v>69</v>
      </c>
      <c r="B54">
        <v>135</v>
      </c>
      <c r="C54">
        <v>613</v>
      </c>
      <c r="D54">
        <v>638.5</v>
      </c>
      <c r="E54">
        <v>12.01051</v>
      </c>
      <c r="F54" t="s">
        <v>61</v>
      </c>
      <c r="G54">
        <v>130</v>
      </c>
      <c r="H54">
        <f t="shared" si="4"/>
        <v>7.6923076923076927E-3</v>
      </c>
      <c r="I54">
        <f t="shared" si="5"/>
        <v>0.65659722222222239</v>
      </c>
    </row>
    <row r="55" spans="1:9" x14ac:dyDescent="0.55000000000000004">
      <c r="A55" t="s">
        <v>70</v>
      </c>
      <c r="B55">
        <v>134</v>
      </c>
      <c r="C55">
        <v>610</v>
      </c>
      <c r="D55">
        <v>613.5</v>
      </c>
      <c r="E55">
        <v>10.012589999999999</v>
      </c>
      <c r="F55" t="s">
        <v>61</v>
      </c>
      <c r="G55">
        <v>129</v>
      </c>
      <c r="H55">
        <f t="shared" si="4"/>
        <v>7.7519379844961239E-3</v>
      </c>
      <c r="I55">
        <f t="shared" si="5"/>
        <v>0.65729166666666672</v>
      </c>
    </row>
    <row r="56" spans="1:9" x14ac:dyDescent="0.55000000000000004">
      <c r="A56" t="s">
        <v>71</v>
      </c>
      <c r="B56">
        <v>134</v>
      </c>
      <c r="C56">
        <v>605.95452999999998</v>
      </c>
      <c r="D56">
        <v>631.5</v>
      </c>
      <c r="E56">
        <v>11.05688</v>
      </c>
      <c r="F56" t="s">
        <v>61</v>
      </c>
      <c r="G56">
        <v>132</v>
      </c>
      <c r="H56">
        <f t="shared" si="4"/>
        <v>7.575757575757576E-3</v>
      </c>
      <c r="I56">
        <f t="shared" si="5"/>
        <v>0.64479166666666665</v>
      </c>
    </row>
    <row r="57" spans="1:9" x14ac:dyDescent="0.55000000000000004">
      <c r="A57" t="s">
        <v>73</v>
      </c>
      <c r="B57">
        <v>130</v>
      </c>
      <c r="C57">
        <v>639</v>
      </c>
      <c r="D57">
        <v>635.5</v>
      </c>
      <c r="E57">
        <v>12.01051</v>
      </c>
      <c r="F57" t="s">
        <v>72</v>
      </c>
      <c r="G57">
        <v>138</v>
      </c>
      <c r="H57">
        <f t="shared" si="4"/>
        <v>7.246376811594203E-3</v>
      </c>
      <c r="I57">
        <f t="shared" si="5"/>
        <v>0.57534722222222234</v>
      </c>
    </row>
    <row r="58" spans="1:9" x14ac:dyDescent="0.55000000000000004">
      <c r="A58" t="s">
        <v>75</v>
      </c>
      <c r="B58">
        <v>130</v>
      </c>
      <c r="C58">
        <v>639</v>
      </c>
      <c r="D58">
        <v>626</v>
      </c>
      <c r="E58">
        <v>11.0001</v>
      </c>
      <c r="F58" t="s">
        <v>74</v>
      </c>
      <c r="G58">
        <v>136</v>
      </c>
      <c r="H58">
        <f t="shared" si="4"/>
        <v>7.3529411764705881E-3</v>
      </c>
      <c r="I58">
        <f t="shared" si="5"/>
        <v>0.58194444444444426</v>
      </c>
    </row>
    <row r="59" spans="1:9" x14ac:dyDescent="0.55000000000000004">
      <c r="A59" t="s">
        <v>76</v>
      </c>
      <c r="B59">
        <v>130</v>
      </c>
      <c r="C59">
        <v>647.5</v>
      </c>
      <c r="D59">
        <v>638</v>
      </c>
      <c r="E59">
        <v>11.5435</v>
      </c>
      <c r="F59" t="s">
        <v>74</v>
      </c>
      <c r="G59">
        <v>139</v>
      </c>
      <c r="H59">
        <f t="shared" si="4"/>
        <v>7.1942446043165471E-3</v>
      </c>
      <c r="I59">
        <f t="shared" si="5"/>
        <v>0.57361111111111096</v>
      </c>
    </row>
    <row r="60" spans="1:9" x14ac:dyDescent="0.55000000000000004">
      <c r="A60" t="s">
        <v>78</v>
      </c>
      <c r="B60">
        <v>130</v>
      </c>
      <c r="C60">
        <v>638.5</v>
      </c>
      <c r="D60">
        <v>630.5</v>
      </c>
      <c r="E60">
        <v>11.510960000000001</v>
      </c>
      <c r="F60" t="s">
        <v>77</v>
      </c>
      <c r="G60">
        <v>137</v>
      </c>
      <c r="H60">
        <f t="shared" si="4"/>
        <v>7.2992700729927005E-3</v>
      </c>
      <c r="I60">
        <f t="shared" si="5"/>
        <v>0.57881944444444433</v>
      </c>
    </row>
    <row r="61" spans="1:9" x14ac:dyDescent="0.55000000000000004">
      <c r="A61" t="s">
        <v>79</v>
      </c>
      <c r="B61">
        <v>130</v>
      </c>
      <c r="C61">
        <v>630.97919000000002</v>
      </c>
      <c r="D61">
        <v>639</v>
      </c>
      <c r="E61">
        <v>12.020910000000001</v>
      </c>
      <c r="F61" t="s">
        <v>77</v>
      </c>
      <c r="G61">
        <v>139</v>
      </c>
      <c r="H61">
        <f t="shared" si="4"/>
        <v>7.1942446043165471E-3</v>
      </c>
      <c r="I61">
        <f t="shared" si="5"/>
        <v>0.57291666666666663</v>
      </c>
    </row>
    <row r="62" spans="1:9" x14ac:dyDescent="0.55000000000000004">
      <c r="A62" t="s">
        <v>80</v>
      </c>
      <c r="B62">
        <v>130</v>
      </c>
      <c r="C62">
        <v>649.5</v>
      </c>
      <c r="D62">
        <v>635</v>
      </c>
      <c r="E62">
        <v>11.5435</v>
      </c>
      <c r="F62" t="s">
        <v>74</v>
      </c>
      <c r="G62">
        <v>138</v>
      </c>
      <c r="H62">
        <f t="shared" si="4"/>
        <v>7.246376811594203E-3</v>
      </c>
      <c r="I62">
        <f t="shared" si="5"/>
        <v>0.57569444444444429</v>
      </c>
    </row>
    <row r="63" spans="1:9" x14ac:dyDescent="0.55000000000000004">
      <c r="A63" t="s">
        <v>81</v>
      </c>
      <c r="B63">
        <v>129</v>
      </c>
      <c r="C63">
        <v>630</v>
      </c>
      <c r="D63">
        <v>606.5</v>
      </c>
      <c r="E63">
        <v>10.012589999999999</v>
      </c>
      <c r="F63" t="s">
        <v>74</v>
      </c>
      <c r="G63">
        <v>136</v>
      </c>
      <c r="H63">
        <f t="shared" si="4"/>
        <v>7.3529411764705881E-3</v>
      </c>
      <c r="I63">
        <f t="shared" si="5"/>
        <v>0.57881944444444433</v>
      </c>
    </row>
    <row r="64" spans="1:9" x14ac:dyDescent="0.55000000000000004">
      <c r="A64" t="s">
        <v>82</v>
      </c>
      <c r="B64">
        <v>129</v>
      </c>
      <c r="C64">
        <v>644.5</v>
      </c>
      <c r="D64">
        <v>603.5</v>
      </c>
      <c r="E64">
        <v>9.5132499999999993</v>
      </c>
      <c r="F64" t="s">
        <v>74</v>
      </c>
      <c r="G64">
        <v>136</v>
      </c>
      <c r="H64">
        <f t="shared" si="4"/>
        <v>7.3529411764705881E-3</v>
      </c>
      <c r="I64">
        <f t="shared" si="5"/>
        <v>0.58090277777777766</v>
      </c>
    </row>
    <row r="65" spans="1:9" x14ac:dyDescent="0.55000000000000004">
      <c r="A65" t="s">
        <v>83</v>
      </c>
      <c r="B65">
        <v>130</v>
      </c>
      <c r="C65">
        <v>646.97919000000002</v>
      </c>
      <c r="D65">
        <v>634</v>
      </c>
      <c r="E65">
        <v>12.020910000000001</v>
      </c>
      <c r="F65" t="s">
        <v>72</v>
      </c>
      <c r="G65">
        <v>138</v>
      </c>
      <c r="H65">
        <f t="shared" si="4"/>
        <v>7.246376811594203E-3</v>
      </c>
      <c r="I65">
        <f t="shared" si="5"/>
        <v>0.57638888888888906</v>
      </c>
    </row>
    <row r="66" spans="1:9" x14ac:dyDescent="0.55000000000000004">
      <c r="A66" t="s">
        <v>85</v>
      </c>
      <c r="B66">
        <v>130</v>
      </c>
      <c r="C66">
        <v>637</v>
      </c>
      <c r="D66">
        <v>622.5</v>
      </c>
      <c r="E66">
        <v>10.012589999999999</v>
      </c>
      <c r="F66" t="s">
        <v>84</v>
      </c>
      <c r="G66">
        <v>135</v>
      </c>
      <c r="H66">
        <f t="shared" si="4"/>
        <v>7.4074074074074077E-3</v>
      </c>
      <c r="I66">
        <f t="shared" si="5"/>
        <v>0.58437499999999998</v>
      </c>
    </row>
    <row r="67" spans="1:9" x14ac:dyDescent="0.55000000000000004">
      <c r="A67" t="s">
        <v>87</v>
      </c>
      <c r="B67">
        <v>125</v>
      </c>
      <c r="C67">
        <v>642</v>
      </c>
      <c r="D67">
        <v>630</v>
      </c>
      <c r="E67">
        <v>12.0001</v>
      </c>
      <c r="F67" t="s">
        <v>86</v>
      </c>
      <c r="G67">
        <v>144</v>
      </c>
      <c r="H67">
        <f t="shared" si="4"/>
        <v>6.9444444444444441E-3</v>
      </c>
      <c r="I67">
        <f t="shared" si="5"/>
        <v>0.49583333333333335</v>
      </c>
    </row>
    <row r="68" spans="1:9" x14ac:dyDescent="0.55000000000000004">
      <c r="A68" t="s">
        <v>88</v>
      </c>
      <c r="B68">
        <v>125</v>
      </c>
      <c r="C68">
        <v>640.5</v>
      </c>
      <c r="D68">
        <v>619.5</v>
      </c>
      <c r="E68">
        <v>9.5132499999999993</v>
      </c>
      <c r="F68" t="s">
        <v>86</v>
      </c>
      <c r="G68">
        <v>139</v>
      </c>
      <c r="H68">
        <f t="shared" si="4"/>
        <v>7.1942446043165471E-3</v>
      </c>
      <c r="I68">
        <f t="shared" si="5"/>
        <v>0.50312500000000004</v>
      </c>
    </row>
    <row r="69" spans="1:9" x14ac:dyDescent="0.55000000000000004">
      <c r="A69" t="s">
        <v>89</v>
      </c>
      <c r="B69">
        <v>125</v>
      </c>
      <c r="C69">
        <v>644</v>
      </c>
      <c r="D69">
        <v>640.5</v>
      </c>
      <c r="E69">
        <v>12.01051</v>
      </c>
      <c r="F69" t="s">
        <v>86</v>
      </c>
      <c r="G69">
        <v>143</v>
      </c>
      <c r="H69">
        <f t="shared" si="4"/>
        <v>6.993006993006993E-3</v>
      </c>
      <c r="I69">
        <f t="shared" si="5"/>
        <v>0.48854166666666665</v>
      </c>
    </row>
    <row r="70" spans="1:9" x14ac:dyDescent="0.55000000000000004">
      <c r="A70" t="s">
        <v>90</v>
      </c>
      <c r="B70">
        <v>124</v>
      </c>
      <c r="C70">
        <v>637.5</v>
      </c>
      <c r="D70">
        <v>604.5</v>
      </c>
      <c r="E70">
        <v>9.5132499999999993</v>
      </c>
      <c r="F70" t="s">
        <v>86</v>
      </c>
      <c r="G70">
        <v>140</v>
      </c>
      <c r="H70">
        <f t="shared" si="4"/>
        <v>7.1428571428571426E-3</v>
      </c>
      <c r="I70">
        <f t="shared" si="5"/>
        <v>0.49687500000000001</v>
      </c>
    </row>
    <row r="71" spans="1:9" x14ac:dyDescent="0.55000000000000004">
      <c r="A71" t="s">
        <v>91</v>
      </c>
      <c r="B71">
        <v>125</v>
      </c>
      <c r="C71">
        <v>644</v>
      </c>
      <c r="D71">
        <v>640.5</v>
      </c>
      <c r="E71">
        <v>12.01051</v>
      </c>
      <c r="F71" t="s">
        <v>86</v>
      </c>
      <c r="H71" t="e">
        <f t="shared" si="4"/>
        <v>#DIV/0!</v>
      </c>
      <c r="I71">
        <f t="shared" si="5"/>
        <v>0.48854166666666665</v>
      </c>
    </row>
    <row r="72" spans="1:9" x14ac:dyDescent="0.55000000000000004">
      <c r="A72" t="s">
        <v>93</v>
      </c>
      <c r="B72">
        <v>124</v>
      </c>
      <c r="C72">
        <v>637.5</v>
      </c>
      <c r="D72">
        <v>601.5</v>
      </c>
      <c r="E72">
        <v>9.5132499999999993</v>
      </c>
      <c r="F72" t="s">
        <v>92</v>
      </c>
      <c r="G72">
        <v>139</v>
      </c>
      <c r="H72">
        <f t="shared" si="4"/>
        <v>7.1942446043165471E-3</v>
      </c>
      <c r="I72">
        <f t="shared" si="5"/>
        <v>0.49895833333333334</v>
      </c>
    </row>
    <row r="73" spans="1:9" x14ac:dyDescent="0.55000000000000004">
      <c r="A73" t="s">
        <v>94</v>
      </c>
      <c r="B73">
        <v>124</v>
      </c>
      <c r="C73">
        <v>638.5</v>
      </c>
      <c r="D73">
        <v>607.5</v>
      </c>
      <c r="E73">
        <v>9.5132499999999993</v>
      </c>
      <c r="F73" t="s">
        <v>86</v>
      </c>
      <c r="H73" t="e">
        <f t="shared" si="4"/>
        <v>#DIV/0!</v>
      </c>
      <c r="I73">
        <f t="shared" si="5"/>
        <v>0.49479166666666669</v>
      </c>
    </row>
    <row r="74" spans="1:9" x14ac:dyDescent="0.55000000000000004">
      <c r="A74" t="s">
        <v>95</v>
      </c>
      <c r="B74">
        <v>125</v>
      </c>
      <c r="C74">
        <v>643.5</v>
      </c>
      <c r="D74">
        <v>639</v>
      </c>
      <c r="E74">
        <v>11.5435</v>
      </c>
      <c r="F74" t="s">
        <v>86</v>
      </c>
      <c r="G74">
        <v>142</v>
      </c>
      <c r="H74">
        <f t="shared" si="4"/>
        <v>7.0422535211267607E-3</v>
      </c>
      <c r="I74">
        <f t="shared" si="5"/>
        <v>0.48958333333333331</v>
      </c>
    </row>
    <row r="75" spans="1:9" x14ac:dyDescent="0.55000000000000004">
      <c r="A75" t="s">
        <v>96</v>
      </c>
      <c r="B75">
        <v>125</v>
      </c>
      <c r="C75">
        <v>642</v>
      </c>
      <c r="D75">
        <v>630.5</v>
      </c>
      <c r="E75">
        <v>12.01051</v>
      </c>
      <c r="F75" t="s">
        <v>86</v>
      </c>
      <c r="G75">
        <v>144</v>
      </c>
      <c r="H75">
        <f t="shared" si="4"/>
        <v>6.9444444444444441E-3</v>
      </c>
      <c r="I75">
        <f t="shared" si="5"/>
        <v>0.49548611111111118</v>
      </c>
    </row>
    <row r="76" spans="1:9" x14ac:dyDescent="0.55000000000000004">
      <c r="A76" t="s">
        <v>97</v>
      </c>
      <c r="B76">
        <v>125</v>
      </c>
      <c r="C76">
        <v>641</v>
      </c>
      <c r="D76">
        <v>618.5</v>
      </c>
      <c r="E76">
        <v>10.012589999999999</v>
      </c>
      <c r="F76" t="s">
        <v>86</v>
      </c>
      <c r="G76">
        <v>135</v>
      </c>
      <c r="H76">
        <f t="shared" si="4"/>
        <v>7.4074074074074077E-3</v>
      </c>
      <c r="I76">
        <f t="shared" si="5"/>
        <v>0.50381944444444449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10569-99F1-4BAD-8F51-58048D6DFDCE}">
  <sheetPr codeName="Sheet5" filterMode="1"/>
  <dimension ref="A1:M316"/>
  <sheetViews>
    <sheetView tabSelected="1" workbookViewId="0">
      <pane ySplit="1" topLeftCell="A2" activePane="bottomLeft" state="frozen"/>
      <selection activeCell="D1" sqref="D1"/>
      <selection pane="bottomLeft"/>
    </sheetView>
  </sheetViews>
  <sheetFormatPr defaultRowHeight="18" x14ac:dyDescent="0.55000000000000004"/>
  <cols>
    <col min="1" max="1" width="61.1640625" customWidth="1"/>
    <col min="6" max="6" width="12.58203125" customWidth="1"/>
    <col min="10" max="11" width="11.83203125" customWidth="1"/>
  </cols>
  <sheetData>
    <row r="1" spans="1:13" x14ac:dyDescent="0.55000000000000004">
      <c r="H1" t="s">
        <v>360</v>
      </c>
      <c r="I1" t="s">
        <v>11</v>
      </c>
      <c r="J1" t="s">
        <v>179</v>
      </c>
      <c r="K1" t="s">
        <v>180</v>
      </c>
      <c r="L1" t="s">
        <v>181</v>
      </c>
      <c r="M1" t="s">
        <v>182</v>
      </c>
    </row>
    <row r="2" spans="1:13" x14ac:dyDescent="0.55000000000000004">
      <c r="A2" t="s">
        <v>10</v>
      </c>
      <c r="B2">
        <v>126</v>
      </c>
      <c r="C2">
        <v>645</v>
      </c>
      <c r="D2">
        <v>612.5</v>
      </c>
      <c r="E2">
        <v>10.012589999999999</v>
      </c>
      <c r="F2" t="s">
        <v>0</v>
      </c>
      <c r="G2">
        <v>142</v>
      </c>
      <c r="H2" t="s">
        <v>361</v>
      </c>
      <c r="I2" t="s">
        <v>12</v>
      </c>
      <c r="J2">
        <f ca="1">(B2-VLOOKUP(I2,INDIRECT("フレーム変換表!A$1:B$"&amp;フレーム変換表!$D$1),2,FALSE)*2)</f>
        <v>32</v>
      </c>
      <c r="K2" t="str">
        <f ca="1">VLOOKUP(F2,INDIRECT("球種変換表!A$1:B$" &amp; 球種変換表!$D$1),2,)</f>
        <v>ストレート</v>
      </c>
      <c r="L2">
        <f>1/G2</f>
        <v>7.0422535211267607E-3</v>
      </c>
      <c r="M2">
        <f ca="1">(J2-(D2-600)/24)*2/120</f>
        <v>0.52465277777777775</v>
      </c>
    </row>
    <row r="3" spans="1:13" x14ac:dyDescent="0.55000000000000004">
      <c r="A3" t="s">
        <v>3</v>
      </c>
      <c r="B3">
        <v>128</v>
      </c>
      <c r="C3">
        <v>641.5</v>
      </c>
      <c r="D3">
        <v>606.5</v>
      </c>
      <c r="E3">
        <v>9.5132499999999993</v>
      </c>
      <c r="F3" t="s">
        <v>0</v>
      </c>
      <c r="G3">
        <v>140</v>
      </c>
      <c r="H3" t="s">
        <v>361</v>
      </c>
      <c r="I3" t="s">
        <v>12</v>
      </c>
      <c r="J3">
        <f ca="1">(B3-VLOOKUP(I3,INDIRECT("フレーム変換表!A$1:B$"&amp;フレーム変換表!$D$1),2,FALSE)*2)</f>
        <v>34</v>
      </c>
      <c r="K3" t="str">
        <f ca="1">VLOOKUP(F3,INDIRECT("球種変換表!A$1:B$" &amp; 球種変換表!$D$1),2,)</f>
        <v>ストレート</v>
      </c>
      <c r="L3">
        <f t="shared" ref="L3:L66" si="0">1/G3</f>
        <v>7.1428571428571426E-3</v>
      </c>
      <c r="M3">
        <f t="shared" ref="M3:M10" ca="1" si="1">(J3-(D3-600)/24)*2/120</f>
        <v>0.56215277777777772</v>
      </c>
    </row>
    <row r="4" spans="1:13" x14ac:dyDescent="0.55000000000000004">
      <c r="A4" t="s">
        <v>4</v>
      </c>
      <c r="B4">
        <v>128</v>
      </c>
      <c r="C4">
        <v>629</v>
      </c>
      <c r="D4">
        <v>601.5</v>
      </c>
      <c r="E4">
        <v>10.012589999999999</v>
      </c>
      <c r="F4" t="s">
        <v>0</v>
      </c>
      <c r="G4">
        <v>139</v>
      </c>
      <c r="H4" t="s">
        <v>361</v>
      </c>
      <c r="I4" t="s">
        <v>12</v>
      </c>
      <c r="J4">
        <f ca="1">(B4-VLOOKUP(I4,INDIRECT("フレーム変換表!A$1:B$"&amp;フレーム変換表!$D$1),2,FALSE)*2)</f>
        <v>34</v>
      </c>
      <c r="K4" t="str">
        <f ca="1">VLOOKUP(F4,INDIRECT("球種変換表!A$1:B$" &amp; 球種変換表!$D$1),2,)</f>
        <v>ストレート</v>
      </c>
      <c r="L4">
        <f t="shared" si="0"/>
        <v>7.1942446043165471E-3</v>
      </c>
      <c r="M4">
        <f t="shared" ca="1" si="1"/>
        <v>0.56562500000000004</v>
      </c>
    </row>
    <row r="5" spans="1:13" x14ac:dyDescent="0.55000000000000004">
      <c r="A5" t="s">
        <v>5</v>
      </c>
      <c r="B5">
        <v>128</v>
      </c>
      <c r="C5">
        <v>632</v>
      </c>
      <c r="D5">
        <v>613.5</v>
      </c>
      <c r="E5">
        <v>10.012589999999999</v>
      </c>
      <c r="F5" t="s">
        <v>0</v>
      </c>
      <c r="G5">
        <v>142</v>
      </c>
      <c r="H5" t="s">
        <v>361</v>
      </c>
      <c r="I5" t="s">
        <v>12</v>
      </c>
      <c r="J5">
        <f ca="1">(B5-VLOOKUP(I5,INDIRECT("フレーム変換表!A$1:B$"&amp;フレーム変換表!$D$1),2,FALSE)*2)</f>
        <v>34</v>
      </c>
      <c r="K5" t="str">
        <f ca="1">VLOOKUP(F5,INDIRECT("球種変換表!A$1:B$" &amp; 球種変換表!$D$1),2,)</f>
        <v>ストレート</v>
      </c>
      <c r="L5">
        <f t="shared" si="0"/>
        <v>7.0422535211267607E-3</v>
      </c>
      <c r="M5">
        <f t="shared" ca="1" si="1"/>
        <v>0.55729166666666663</v>
      </c>
    </row>
    <row r="6" spans="1:13" x14ac:dyDescent="0.55000000000000004">
      <c r="A6" t="s">
        <v>6</v>
      </c>
      <c r="B6">
        <v>128</v>
      </c>
      <c r="C6">
        <v>641</v>
      </c>
      <c r="D6">
        <v>613.5</v>
      </c>
      <c r="E6">
        <v>10.012589999999999</v>
      </c>
      <c r="F6" t="s">
        <v>0</v>
      </c>
      <c r="G6">
        <v>142</v>
      </c>
      <c r="H6" t="s">
        <v>361</v>
      </c>
      <c r="I6" t="s">
        <v>12</v>
      </c>
      <c r="J6">
        <f ca="1">(B6-VLOOKUP(I6,INDIRECT("フレーム変換表!A$1:B$"&amp;フレーム変換表!$D$1),2,FALSE)*2)</f>
        <v>34</v>
      </c>
      <c r="K6" t="str">
        <f ca="1">VLOOKUP(F6,INDIRECT("球種変換表!A$1:B$" &amp; 球種変換表!$D$1),2,)</f>
        <v>ストレート</v>
      </c>
      <c r="L6">
        <f t="shared" si="0"/>
        <v>7.0422535211267607E-3</v>
      </c>
      <c r="M6">
        <f t="shared" ca="1" si="1"/>
        <v>0.55729166666666663</v>
      </c>
    </row>
    <row r="7" spans="1:13" x14ac:dyDescent="0.55000000000000004">
      <c r="A7" t="s">
        <v>7</v>
      </c>
      <c r="B7">
        <v>128</v>
      </c>
      <c r="C7">
        <v>637</v>
      </c>
      <c r="D7">
        <v>600.5</v>
      </c>
      <c r="E7">
        <v>10.012589999999999</v>
      </c>
      <c r="F7" t="s">
        <v>0</v>
      </c>
      <c r="G7">
        <v>139</v>
      </c>
      <c r="H7" t="s">
        <v>361</v>
      </c>
      <c r="I7" t="s">
        <v>12</v>
      </c>
      <c r="J7">
        <f ca="1">(B7-VLOOKUP(I7,INDIRECT("フレーム変換表!A$1:B$"&amp;フレーム変換表!$D$1),2,FALSE)*2)</f>
        <v>34</v>
      </c>
      <c r="K7" t="str">
        <f ca="1">VLOOKUP(F7,INDIRECT("球種変換表!A$1:B$" &amp; 球種変換表!$D$1),2,)</f>
        <v>ストレート</v>
      </c>
      <c r="L7">
        <f t="shared" si="0"/>
        <v>7.1942446043165471E-3</v>
      </c>
      <c r="M7">
        <f t="shared" ca="1" si="1"/>
        <v>0.56631944444444438</v>
      </c>
    </row>
    <row r="8" spans="1:13" x14ac:dyDescent="0.55000000000000004">
      <c r="A8" t="s">
        <v>8</v>
      </c>
      <c r="B8">
        <v>130</v>
      </c>
      <c r="C8">
        <v>642</v>
      </c>
      <c r="D8">
        <v>643.5</v>
      </c>
      <c r="E8">
        <v>12.01051</v>
      </c>
      <c r="F8" t="s">
        <v>0</v>
      </c>
      <c r="G8">
        <v>138</v>
      </c>
      <c r="H8" t="s">
        <v>361</v>
      </c>
      <c r="I8" t="s">
        <v>12</v>
      </c>
      <c r="J8">
        <f ca="1">(B8-VLOOKUP(I8,INDIRECT("フレーム変換表!A$1:B$"&amp;フレーム変換表!$D$1),2,FALSE)*2)</f>
        <v>36</v>
      </c>
      <c r="K8" t="str">
        <f ca="1">VLOOKUP(F8,INDIRECT("球種変換表!A$1:B$" &amp; 球種変換表!$D$1),2,)</f>
        <v>ストレート</v>
      </c>
      <c r="L8">
        <f t="shared" si="0"/>
        <v>7.246376811594203E-3</v>
      </c>
      <c r="M8">
        <f t="shared" ca="1" si="1"/>
        <v>0.5697916666666667</v>
      </c>
    </row>
    <row r="9" spans="1:13" x14ac:dyDescent="0.55000000000000004">
      <c r="A9" t="s">
        <v>9</v>
      </c>
      <c r="B9">
        <v>129</v>
      </c>
      <c r="C9">
        <v>634.5</v>
      </c>
      <c r="D9">
        <v>624.5</v>
      </c>
      <c r="E9">
        <v>10.512</v>
      </c>
      <c r="F9" t="s">
        <v>0</v>
      </c>
      <c r="G9">
        <v>139</v>
      </c>
      <c r="H9" t="s">
        <v>361</v>
      </c>
      <c r="I9" t="s">
        <v>12</v>
      </c>
      <c r="J9">
        <f ca="1">(B9-VLOOKUP(I9,INDIRECT("フレーム変換表!A$1:B$"&amp;フレーム変換表!$D$1),2,FALSE)*2)</f>
        <v>35</v>
      </c>
      <c r="K9" t="str">
        <f ca="1">VLOOKUP(F9,INDIRECT("球種変換表!A$1:B$" &amp; 球種変換表!$D$1),2,)</f>
        <v>ストレート</v>
      </c>
      <c r="L9">
        <f t="shared" si="0"/>
        <v>7.1942446043165471E-3</v>
      </c>
      <c r="M9">
        <f t="shared" ca="1" si="1"/>
        <v>0.56631944444444438</v>
      </c>
    </row>
    <row r="10" spans="1:13" x14ac:dyDescent="0.55000000000000004">
      <c r="A10" t="s">
        <v>15</v>
      </c>
      <c r="B10">
        <v>128</v>
      </c>
      <c r="C10">
        <v>647</v>
      </c>
      <c r="D10">
        <v>612.5</v>
      </c>
      <c r="E10">
        <v>10.012589999999999</v>
      </c>
      <c r="F10" t="s">
        <v>0</v>
      </c>
      <c r="G10">
        <v>142</v>
      </c>
      <c r="H10" t="s">
        <v>361</v>
      </c>
      <c r="I10" t="s">
        <v>12</v>
      </c>
      <c r="J10">
        <f ca="1">(B10-VLOOKUP(I10,INDIRECT("フレーム変換表!A$1:B$"&amp;フレーム変換表!$D$1),2,FALSE)*2)</f>
        <v>34</v>
      </c>
      <c r="K10" t="str">
        <f ca="1">VLOOKUP(F10,INDIRECT("球種変換表!A$1:B$" &amp; 球種変換表!$D$1),2,)</f>
        <v>ストレート</v>
      </c>
      <c r="L10">
        <f t="shared" si="0"/>
        <v>7.0422535211267607E-3</v>
      </c>
      <c r="M10">
        <f t="shared" ca="1" si="1"/>
        <v>0.55798611111111107</v>
      </c>
    </row>
    <row r="11" spans="1:13" hidden="1" x14ac:dyDescent="0.55000000000000004">
      <c r="A11" t="s">
        <v>17</v>
      </c>
      <c r="B11">
        <v>145</v>
      </c>
      <c r="C11">
        <v>650.5</v>
      </c>
      <c r="D11">
        <v>608.5</v>
      </c>
      <c r="E11">
        <v>9.5132499999999993</v>
      </c>
      <c r="F11" t="s">
        <v>16</v>
      </c>
      <c r="G11">
        <v>115</v>
      </c>
      <c r="H11" t="s">
        <v>361</v>
      </c>
      <c r="I11" t="s">
        <v>12</v>
      </c>
      <c r="J11">
        <f ca="1">B11-VLOOKUP(I11,INDIRECT("フレーム変換表!A$1:B$" &amp; フレーム変換表!$D$1),2,FALSE)*2</f>
        <v>51</v>
      </c>
      <c r="K11" t="str">
        <f ca="1">VLOOKUP(F11,INDIRECT("球種変換表!A$1:B$" &amp; 球種変換表!$D$1),2,)</f>
        <v>カーブ</v>
      </c>
      <c r="L11">
        <f t="shared" si="0"/>
        <v>8.6956521739130436E-3</v>
      </c>
      <c r="M11">
        <f t="shared" ref="M3:M66" ca="1" si="2">(J11-(D11-600)/24)*2/120</f>
        <v>0.84409722222222228</v>
      </c>
    </row>
    <row r="12" spans="1:13" hidden="1" x14ac:dyDescent="0.55000000000000004">
      <c r="A12" t="s">
        <v>18</v>
      </c>
      <c r="B12">
        <v>146</v>
      </c>
      <c r="C12">
        <v>658</v>
      </c>
      <c r="D12">
        <v>619.5</v>
      </c>
      <c r="E12">
        <v>10.012589999999999</v>
      </c>
      <c r="F12" t="s">
        <v>16</v>
      </c>
      <c r="G12">
        <v>114</v>
      </c>
      <c r="H12" t="s">
        <v>361</v>
      </c>
      <c r="I12" t="s">
        <v>12</v>
      </c>
      <c r="J12">
        <f ca="1">B12-VLOOKUP(I12,INDIRECT("フレーム変換表!A$1:B$" &amp; フレーム変換表!$D$1),2,FALSE)*2</f>
        <v>52</v>
      </c>
      <c r="K12" t="str">
        <f ca="1">VLOOKUP(F12,INDIRECT("球種変換表!A$1:B$" &amp; 球種変換表!$D$1),2,)</f>
        <v>カーブ</v>
      </c>
      <c r="L12">
        <f t="shared" si="0"/>
        <v>8.771929824561403E-3</v>
      </c>
      <c r="M12">
        <f t="shared" ca="1" si="2"/>
        <v>0.85312500000000002</v>
      </c>
    </row>
    <row r="13" spans="1:13" hidden="1" x14ac:dyDescent="0.55000000000000004">
      <c r="A13" t="s">
        <v>19</v>
      </c>
      <c r="B13">
        <v>145</v>
      </c>
      <c r="C13">
        <v>652</v>
      </c>
      <c r="D13">
        <v>611.5</v>
      </c>
      <c r="E13">
        <v>10.012589999999999</v>
      </c>
      <c r="F13" t="s">
        <v>16</v>
      </c>
      <c r="G13">
        <v>115</v>
      </c>
      <c r="H13" t="s">
        <v>361</v>
      </c>
      <c r="I13" t="s">
        <v>12</v>
      </c>
      <c r="J13">
        <f ca="1">B13-VLOOKUP(I13,INDIRECT("フレーム変換表!A$1:B$" &amp; フレーム変換表!$D$1),2,FALSE)*2</f>
        <v>51</v>
      </c>
      <c r="K13" t="str">
        <f ca="1">VLOOKUP(F13,INDIRECT("球種変換表!A$1:B$" &amp; 球種変換表!$D$1),2,)</f>
        <v>カーブ</v>
      </c>
      <c r="L13">
        <f t="shared" si="0"/>
        <v>8.6956521739130436E-3</v>
      </c>
      <c r="M13">
        <f t="shared" ca="1" si="2"/>
        <v>0.84201388888888895</v>
      </c>
    </row>
    <row r="14" spans="1:13" hidden="1" x14ac:dyDescent="0.55000000000000004">
      <c r="A14" t="s">
        <v>20</v>
      </c>
      <c r="B14">
        <v>147</v>
      </c>
      <c r="C14">
        <v>663.5</v>
      </c>
      <c r="D14">
        <v>623</v>
      </c>
      <c r="E14">
        <v>10.5001</v>
      </c>
      <c r="F14" t="s">
        <v>16</v>
      </c>
      <c r="G14">
        <v>113</v>
      </c>
      <c r="H14" t="s">
        <v>361</v>
      </c>
      <c r="I14" t="s">
        <v>12</v>
      </c>
      <c r="J14">
        <f ca="1">B14-VLOOKUP(I14,INDIRECT("フレーム変換表!A$1:B$" &amp; フレーム変換表!$D$1),2,FALSE)*2</f>
        <v>53</v>
      </c>
      <c r="K14" t="str">
        <f ca="1">VLOOKUP(F14,INDIRECT("球種変換表!A$1:B$" &amp; 球種変換表!$D$1),2,)</f>
        <v>カーブ</v>
      </c>
      <c r="L14">
        <f t="shared" si="0"/>
        <v>8.8495575221238937E-3</v>
      </c>
      <c r="M14">
        <f t="shared" ca="1" si="2"/>
        <v>0.86736111111111103</v>
      </c>
    </row>
    <row r="15" spans="1:13" hidden="1" x14ac:dyDescent="0.55000000000000004">
      <c r="A15" t="s">
        <v>21</v>
      </c>
      <c r="B15">
        <v>146</v>
      </c>
      <c r="C15">
        <v>662</v>
      </c>
      <c r="D15">
        <v>606</v>
      </c>
      <c r="E15">
        <v>10.0001</v>
      </c>
      <c r="F15" t="s">
        <v>16</v>
      </c>
      <c r="G15">
        <v>112</v>
      </c>
      <c r="H15" t="s">
        <v>361</v>
      </c>
      <c r="I15" t="s">
        <v>12</v>
      </c>
      <c r="J15">
        <f ca="1">B15-VLOOKUP(I15,INDIRECT("フレーム変換表!A$1:B$" &amp; フレーム変換表!$D$1),2,FALSE)*2</f>
        <v>52</v>
      </c>
      <c r="K15" t="str">
        <f ca="1">VLOOKUP(F15,INDIRECT("球種変換表!A$1:B$" &amp; 球種変換表!$D$1),2,)</f>
        <v>カーブ</v>
      </c>
      <c r="L15">
        <f t="shared" si="0"/>
        <v>8.9285714285714281E-3</v>
      </c>
      <c r="M15">
        <f t="shared" ca="1" si="2"/>
        <v>0.86250000000000004</v>
      </c>
    </row>
    <row r="16" spans="1:13" hidden="1" x14ac:dyDescent="0.55000000000000004">
      <c r="A16" t="s">
        <v>22</v>
      </c>
      <c r="B16">
        <v>146</v>
      </c>
      <c r="C16">
        <v>654</v>
      </c>
      <c r="D16">
        <v>607.5</v>
      </c>
      <c r="E16">
        <v>10.012589999999999</v>
      </c>
      <c r="F16">
        <v>4</v>
      </c>
      <c r="G16">
        <v>112</v>
      </c>
      <c r="H16" t="s">
        <v>361</v>
      </c>
      <c r="I16" t="s">
        <v>12</v>
      </c>
      <c r="J16">
        <f ca="1">B16-VLOOKUP(I16,INDIRECT("フレーム変換表!A$1:B$" &amp; フレーム変換表!$D$1),2,FALSE)*2</f>
        <v>52</v>
      </c>
      <c r="K16" t="str">
        <f ca="1">VLOOKUP(F16,INDIRECT("球種変換表!A$1:B$" &amp; 球種変換表!$D$1),2,)</f>
        <v>カーブ</v>
      </c>
      <c r="L16">
        <f t="shared" si="0"/>
        <v>8.9285714285714281E-3</v>
      </c>
      <c r="M16">
        <f t="shared" ca="1" si="2"/>
        <v>0.86145833333333333</v>
      </c>
    </row>
    <row r="17" spans="1:13" hidden="1" x14ac:dyDescent="0.55000000000000004">
      <c r="A17" t="s">
        <v>23</v>
      </c>
      <c r="B17">
        <v>145</v>
      </c>
      <c r="C17">
        <v>630.5</v>
      </c>
      <c r="D17">
        <v>600.5</v>
      </c>
      <c r="E17">
        <v>9.5132499999999993</v>
      </c>
      <c r="F17" t="s">
        <v>16</v>
      </c>
      <c r="G17">
        <v>113</v>
      </c>
      <c r="H17" t="s">
        <v>361</v>
      </c>
      <c r="I17" t="s">
        <v>12</v>
      </c>
      <c r="J17">
        <f ca="1">B17-VLOOKUP(I17,INDIRECT("フレーム変換表!A$1:B$" &amp; フレーム変換表!$D$1),2,FALSE)*2</f>
        <v>51</v>
      </c>
      <c r="K17" t="str">
        <f ca="1">VLOOKUP(F17,INDIRECT("球種変換表!A$1:B$" &amp; 球種変換表!$D$1),2,)</f>
        <v>カーブ</v>
      </c>
      <c r="L17">
        <f t="shared" si="0"/>
        <v>8.8495575221238937E-3</v>
      </c>
      <c r="M17">
        <f t="shared" ca="1" si="2"/>
        <v>0.8496527777777777</v>
      </c>
    </row>
    <row r="18" spans="1:13" hidden="1" x14ac:dyDescent="0.55000000000000004">
      <c r="A18" t="s">
        <v>24</v>
      </c>
      <c r="B18">
        <v>147</v>
      </c>
      <c r="C18">
        <v>661.5</v>
      </c>
      <c r="D18">
        <v>624</v>
      </c>
      <c r="E18">
        <v>9.5525900000000004</v>
      </c>
      <c r="F18" t="s">
        <v>16</v>
      </c>
      <c r="G18">
        <v>113</v>
      </c>
      <c r="H18" t="s">
        <v>361</v>
      </c>
      <c r="I18" t="s">
        <v>12</v>
      </c>
      <c r="J18">
        <f ca="1">B18-VLOOKUP(I18,INDIRECT("フレーム変換表!A$1:B$" &amp; フレーム変換表!$D$1),2,FALSE)*2</f>
        <v>53</v>
      </c>
      <c r="K18" t="str">
        <f ca="1">VLOOKUP(F18,INDIRECT("球種変換表!A$1:B$" &amp; 球種変換表!$D$1),2,)</f>
        <v>カーブ</v>
      </c>
      <c r="L18">
        <f t="shared" si="0"/>
        <v>8.8495575221238937E-3</v>
      </c>
      <c r="M18">
        <f t="shared" ca="1" si="2"/>
        <v>0.8666666666666667</v>
      </c>
    </row>
    <row r="19" spans="1:13" hidden="1" x14ac:dyDescent="0.55000000000000004">
      <c r="A19" t="s">
        <v>102</v>
      </c>
      <c r="B19">
        <v>132</v>
      </c>
      <c r="C19">
        <v>653</v>
      </c>
      <c r="D19">
        <v>602.5</v>
      </c>
      <c r="E19">
        <v>10.012589999999999</v>
      </c>
      <c r="F19" t="s">
        <v>98</v>
      </c>
      <c r="G19">
        <v>124</v>
      </c>
      <c r="H19" t="s">
        <v>361</v>
      </c>
      <c r="I19" t="s">
        <v>12</v>
      </c>
      <c r="J19">
        <f ca="1">B19-VLOOKUP(I19,INDIRECT("フレーム変換表!A$1:B$" &amp; フレーム変換表!$D$1),2,FALSE)*2</f>
        <v>38</v>
      </c>
      <c r="K19" t="str">
        <f ca="1">VLOOKUP(F19,INDIRECT("球種変換表!A$1:B$" &amp; 球種変換表!$D$1),2,)</f>
        <v>フォーク</v>
      </c>
      <c r="L19">
        <f t="shared" si="0"/>
        <v>8.0645161290322578E-3</v>
      </c>
      <c r="M19">
        <f t="shared" ca="1" si="2"/>
        <v>0.63159722222222225</v>
      </c>
    </row>
    <row r="20" spans="1:13" hidden="1" x14ac:dyDescent="0.55000000000000004">
      <c r="A20" t="s">
        <v>103</v>
      </c>
      <c r="B20">
        <v>133</v>
      </c>
      <c r="C20">
        <v>635</v>
      </c>
      <c r="D20">
        <v>608.5</v>
      </c>
      <c r="E20">
        <v>10.012589999999999</v>
      </c>
      <c r="F20" t="s">
        <v>98</v>
      </c>
      <c r="G20">
        <v>121</v>
      </c>
      <c r="H20" t="s">
        <v>361</v>
      </c>
      <c r="I20" t="s">
        <v>12</v>
      </c>
      <c r="J20">
        <f ca="1">B20-VLOOKUP(I20,INDIRECT("フレーム変換表!A$1:B$" &amp; フレーム変換表!$D$1),2,FALSE)*2</f>
        <v>39</v>
      </c>
      <c r="K20" t="str">
        <f ca="1">VLOOKUP(F20,INDIRECT("球種変換表!A$1:B$" &amp; 球種変換表!$D$1),2,)</f>
        <v>フォーク</v>
      </c>
      <c r="L20">
        <f t="shared" si="0"/>
        <v>8.2644628099173556E-3</v>
      </c>
      <c r="M20">
        <f t="shared" ca="1" si="2"/>
        <v>0.64409722222222221</v>
      </c>
    </row>
    <row r="21" spans="1:13" hidden="1" x14ac:dyDescent="0.55000000000000004">
      <c r="A21" t="s">
        <v>105</v>
      </c>
      <c r="B21">
        <v>134</v>
      </c>
      <c r="C21">
        <v>643</v>
      </c>
      <c r="D21">
        <v>635.5</v>
      </c>
      <c r="E21">
        <v>12.01051</v>
      </c>
      <c r="F21" t="s">
        <v>104</v>
      </c>
      <c r="G21">
        <v>123</v>
      </c>
      <c r="H21" t="s">
        <v>361</v>
      </c>
      <c r="I21" t="s">
        <v>12</v>
      </c>
      <c r="J21">
        <f ca="1">B21-VLOOKUP(I21,INDIRECT("フレーム変換表!A$1:B$" &amp; フレーム変換表!$D$1),2,FALSE)*2</f>
        <v>40</v>
      </c>
      <c r="K21" t="str">
        <f ca="1">VLOOKUP(F21,INDIRECT("球種変換表!A$1:B$" &amp; 球種変換表!$D$1),2,)</f>
        <v>フォーク</v>
      </c>
      <c r="L21">
        <f t="shared" si="0"/>
        <v>8.130081300813009E-3</v>
      </c>
      <c r="M21">
        <f t="shared" ca="1" si="2"/>
        <v>0.64201388888888888</v>
      </c>
    </row>
    <row r="22" spans="1:13" hidden="1" x14ac:dyDescent="0.55000000000000004">
      <c r="A22" t="s">
        <v>106</v>
      </c>
      <c r="B22">
        <v>133</v>
      </c>
      <c r="C22">
        <v>639.5</v>
      </c>
      <c r="D22">
        <v>622</v>
      </c>
      <c r="E22">
        <v>10.5001</v>
      </c>
      <c r="F22" t="s">
        <v>104</v>
      </c>
      <c r="G22">
        <v>114</v>
      </c>
      <c r="H22" t="s">
        <v>361</v>
      </c>
      <c r="I22" t="s">
        <v>12</v>
      </c>
      <c r="J22">
        <f ca="1">B22-VLOOKUP(I22,INDIRECT("フレーム変換表!A$1:B$" &amp; フレーム変換表!$D$1),2,FALSE)*2</f>
        <v>39</v>
      </c>
      <c r="K22" t="str">
        <f ca="1">VLOOKUP(F22,INDIRECT("球種変換表!A$1:B$" &amp; 球種変換表!$D$1),2,)</f>
        <v>フォーク</v>
      </c>
      <c r="L22">
        <f t="shared" si="0"/>
        <v>8.771929824561403E-3</v>
      </c>
      <c r="M22">
        <f t="shared" ca="1" si="2"/>
        <v>0.6347222222222223</v>
      </c>
    </row>
    <row r="23" spans="1:13" hidden="1" x14ac:dyDescent="0.55000000000000004">
      <c r="A23" t="s">
        <v>107</v>
      </c>
      <c r="B23">
        <v>133</v>
      </c>
      <c r="C23">
        <v>628.5</v>
      </c>
      <c r="D23">
        <v>617</v>
      </c>
      <c r="E23">
        <v>10.5001</v>
      </c>
      <c r="F23" t="s">
        <v>98</v>
      </c>
      <c r="G23">
        <v>113</v>
      </c>
      <c r="H23" t="s">
        <v>361</v>
      </c>
      <c r="I23" t="s">
        <v>12</v>
      </c>
      <c r="J23">
        <f ca="1">B23-VLOOKUP(I23,INDIRECT("フレーム変換表!A$1:B$" &amp; フレーム変換表!$D$1),2,FALSE)*2</f>
        <v>39</v>
      </c>
      <c r="K23" t="str">
        <f ca="1">VLOOKUP(F23,INDIRECT("球種変換表!A$1:B$" &amp; 球種変換表!$D$1),2,)</f>
        <v>フォーク</v>
      </c>
      <c r="L23">
        <f t="shared" si="0"/>
        <v>8.8495575221238937E-3</v>
      </c>
      <c r="M23">
        <f t="shared" ca="1" si="2"/>
        <v>0.6381944444444444</v>
      </c>
    </row>
    <row r="24" spans="1:13" hidden="1" x14ac:dyDescent="0.55000000000000004">
      <c r="A24" t="s">
        <v>109</v>
      </c>
      <c r="B24">
        <v>132</v>
      </c>
      <c r="C24">
        <v>648</v>
      </c>
      <c r="D24">
        <v>605.5</v>
      </c>
      <c r="E24">
        <v>10.012589999999999</v>
      </c>
      <c r="F24" t="s">
        <v>108</v>
      </c>
      <c r="G24">
        <v>124</v>
      </c>
      <c r="H24" t="s">
        <v>361</v>
      </c>
      <c r="I24" t="s">
        <v>12</v>
      </c>
      <c r="J24">
        <f ca="1">B24-VLOOKUP(I24,INDIRECT("フレーム変換表!A$1:B$" &amp; フレーム変換表!$D$1),2,FALSE)*2</f>
        <v>38</v>
      </c>
      <c r="K24" t="str">
        <f ca="1">VLOOKUP(F24,INDIRECT("球種変換表!A$1:B$" &amp; 球種変換表!$D$1),2,)</f>
        <v>フォーク</v>
      </c>
      <c r="L24">
        <f t="shared" si="0"/>
        <v>8.0645161290322578E-3</v>
      </c>
      <c r="M24">
        <f t="shared" ca="1" si="2"/>
        <v>0.62951388888888893</v>
      </c>
    </row>
    <row r="25" spans="1:13" hidden="1" x14ac:dyDescent="0.55000000000000004">
      <c r="A25" t="s">
        <v>110</v>
      </c>
      <c r="B25">
        <v>133</v>
      </c>
      <c r="C25">
        <v>643.5</v>
      </c>
      <c r="D25">
        <v>624</v>
      </c>
      <c r="E25">
        <v>10.5001</v>
      </c>
      <c r="F25" t="s">
        <v>104</v>
      </c>
      <c r="G25">
        <v>124</v>
      </c>
      <c r="H25" t="s">
        <v>361</v>
      </c>
      <c r="I25" t="s">
        <v>12</v>
      </c>
      <c r="J25">
        <f ca="1">B25-VLOOKUP(I25,INDIRECT("フレーム変換表!A$1:B$" &amp; フレーム変換表!$D$1),2,FALSE)*2</f>
        <v>39</v>
      </c>
      <c r="K25" t="str">
        <f ca="1">VLOOKUP(F25,INDIRECT("球種変換表!A$1:B$" &amp; 球種変換表!$D$1),2,)</f>
        <v>フォーク</v>
      </c>
      <c r="L25">
        <f t="shared" si="0"/>
        <v>8.0645161290322578E-3</v>
      </c>
      <c r="M25">
        <f t="shared" ca="1" si="2"/>
        <v>0.6333333333333333</v>
      </c>
    </row>
    <row r="26" spans="1:13" hidden="1" x14ac:dyDescent="0.55000000000000004">
      <c r="A26" t="s">
        <v>112</v>
      </c>
      <c r="B26">
        <v>133</v>
      </c>
      <c r="C26">
        <v>647.5</v>
      </c>
      <c r="D26">
        <v>616</v>
      </c>
      <c r="E26">
        <v>10.5001</v>
      </c>
      <c r="F26" t="s">
        <v>111</v>
      </c>
      <c r="G26">
        <v>113</v>
      </c>
      <c r="H26" t="s">
        <v>361</v>
      </c>
      <c r="I26" t="s">
        <v>12</v>
      </c>
      <c r="J26">
        <f ca="1">B26-VLOOKUP(I26,INDIRECT("フレーム変換表!A$1:B$" &amp; フレーム変換表!$D$1),2,FALSE)*2</f>
        <v>39</v>
      </c>
      <c r="K26" t="str">
        <f ca="1">VLOOKUP(F26,INDIRECT("球種変換表!A$1:B$" &amp; 球種変換表!$D$1),2,)</f>
        <v>フォーク</v>
      </c>
      <c r="L26">
        <f t="shared" si="0"/>
        <v>8.8495575221238937E-3</v>
      </c>
      <c r="M26">
        <f t="shared" ca="1" si="2"/>
        <v>0.63888888888888895</v>
      </c>
    </row>
    <row r="27" spans="1:13" hidden="1" x14ac:dyDescent="0.55000000000000004">
      <c r="A27" t="s">
        <v>114</v>
      </c>
      <c r="B27">
        <v>136</v>
      </c>
      <c r="C27">
        <v>668</v>
      </c>
      <c r="D27">
        <v>671</v>
      </c>
      <c r="E27">
        <v>12.041689999999999</v>
      </c>
      <c r="F27" t="s">
        <v>113</v>
      </c>
      <c r="G27">
        <v>121</v>
      </c>
      <c r="H27" t="s">
        <v>361</v>
      </c>
      <c r="I27" t="s">
        <v>12</v>
      </c>
      <c r="J27">
        <f ca="1">B27-VLOOKUP(I27,INDIRECT("フレーム変換表!A$1:B$" &amp; フレーム変換表!$D$1),2,FALSE)*2</f>
        <v>42</v>
      </c>
      <c r="K27" t="str">
        <f ca="1">VLOOKUP(F27,INDIRECT("球種変換表!A$1:B$" &amp; 球種変換表!$D$1),2,)</f>
        <v>フォーク</v>
      </c>
      <c r="L27">
        <f t="shared" si="0"/>
        <v>8.2644628099173556E-3</v>
      </c>
      <c r="M27">
        <f t="shared" ca="1" si="2"/>
        <v>0.65069444444444435</v>
      </c>
    </row>
    <row r="28" spans="1:13" hidden="1" x14ac:dyDescent="0.55000000000000004">
      <c r="A28" t="s">
        <v>115</v>
      </c>
      <c r="B28">
        <v>132</v>
      </c>
      <c r="C28">
        <v>644</v>
      </c>
      <c r="D28">
        <v>604.5</v>
      </c>
      <c r="E28">
        <v>10.012589999999999</v>
      </c>
      <c r="F28" t="s">
        <v>98</v>
      </c>
      <c r="G28">
        <v>114</v>
      </c>
      <c r="H28" t="s">
        <v>361</v>
      </c>
      <c r="I28" t="s">
        <v>12</v>
      </c>
      <c r="J28">
        <f ca="1">B28-VLOOKUP(I28,INDIRECT("フレーム変換表!A$1:B$" &amp; フレーム変換表!$D$1),2,FALSE)*2</f>
        <v>38</v>
      </c>
      <c r="K28" t="str">
        <f ca="1">VLOOKUP(F28,INDIRECT("球種変換表!A$1:B$" &amp; 球種変換表!$D$1),2,)</f>
        <v>フォーク</v>
      </c>
      <c r="L28">
        <f t="shared" si="0"/>
        <v>8.771929824561403E-3</v>
      </c>
      <c r="M28">
        <f t="shared" ca="1" si="2"/>
        <v>0.63020833333333337</v>
      </c>
    </row>
    <row r="29" spans="1:13" hidden="1" x14ac:dyDescent="0.55000000000000004">
      <c r="A29" t="s">
        <v>117</v>
      </c>
      <c r="B29">
        <v>138</v>
      </c>
      <c r="C29">
        <v>625</v>
      </c>
      <c r="D29">
        <v>614.5</v>
      </c>
      <c r="E29">
        <v>10.012589999999999</v>
      </c>
      <c r="F29" t="s">
        <v>116</v>
      </c>
      <c r="G29">
        <v>118</v>
      </c>
      <c r="H29" t="s">
        <v>361</v>
      </c>
      <c r="I29" t="s">
        <v>12</v>
      </c>
      <c r="J29">
        <f ca="1">B29-VLOOKUP(I29,INDIRECT("フレーム変換表!A$1:B$" &amp; フレーム変換表!$D$1),2,FALSE)*2</f>
        <v>44</v>
      </c>
      <c r="K29" t="str">
        <f ca="1">VLOOKUP(F29,INDIRECT("球種変換表!A$1:B$" &amp; 球種変換表!$D$1),2,)</f>
        <v>シンカー</v>
      </c>
      <c r="L29">
        <f t="shared" si="0"/>
        <v>8.4745762711864406E-3</v>
      </c>
      <c r="M29">
        <f t="shared" ca="1" si="2"/>
        <v>0.72326388888888893</v>
      </c>
    </row>
    <row r="30" spans="1:13" hidden="1" x14ac:dyDescent="0.55000000000000004">
      <c r="A30" t="s">
        <v>118</v>
      </c>
      <c r="B30">
        <v>138</v>
      </c>
      <c r="C30">
        <v>630.5</v>
      </c>
      <c r="D30">
        <v>618.5</v>
      </c>
      <c r="E30">
        <v>10.512</v>
      </c>
      <c r="F30" t="s">
        <v>116</v>
      </c>
      <c r="G30">
        <v>119</v>
      </c>
      <c r="H30" t="s">
        <v>361</v>
      </c>
      <c r="I30" t="s">
        <v>12</v>
      </c>
      <c r="J30">
        <f ca="1">B30-VLOOKUP(I30,INDIRECT("フレーム変換表!A$1:B$" &amp; フレーム変換表!$D$1),2,FALSE)*2</f>
        <v>44</v>
      </c>
      <c r="K30" t="str">
        <f ca="1">VLOOKUP(F30,INDIRECT("球種変換表!A$1:B$" &amp; 球種変換表!$D$1),2,)</f>
        <v>シンカー</v>
      </c>
      <c r="L30">
        <f t="shared" si="0"/>
        <v>8.4033613445378148E-3</v>
      </c>
      <c r="M30">
        <f t="shared" ca="1" si="2"/>
        <v>0.72048611111111105</v>
      </c>
    </row>
    <row r="31" spans="1:13" hidden="1" x14ac:dyDescent="0.55000000000000004">
      <c r="A31" t="s">
        <v>119</v>
      </c>
      <c r="B31">
        <v>138</v>
      </c>
      <c r="C31">
        <v>634.5</v>
      </c>
      <c r="D31">
        <v>615</v>
      </c>
      <c r="E31">
        <v>10.5001</v>
      </c>
      <c r="F31" t="s">
        <v>116</v>
      </c>
      <c r="G31">
        <v>118</v>
      </c>
      <c r="H31" t="s">
        <v>361</v>
      </c>
      <c r="I31" t="s">
        <v>12</v>
      </c>
      <c r="J31">
        <f ca="1">B31-VLOOKUP(I31,INDIRECT("フレーム変換表!A$1:B$" &amp; フレーム変換表!$D$1),2,FALSE)*2</f>
        <v>44</v>
      </c>
      <c r="K31" t="str">
        <f ca="1">VLOOKUP(F31,INDIRECT("球種変換表!A$1:B$" &amp; 球種変換表!$D$1),2,)</f>
        <v>シンカー</v>
      </c>
      <c r="L31">
        <f t="shared" si="0"/>
        <v>8.4745762711864406E-3</v>
      </c>
      <c r="M31">
        <f t="shared" ca="1" si="2"/>
        <v>0.72291666666666665</v>
      </c>
    </row>
    <row r="32" spans="1:13" hidden="1" x14ac:dyDescent="0.55000000000000004">
      <c r="A32" t="s">
        <v>120</v>
      </c>
      <c r="B32">
        <v>139</v>
      </c>
      <c r="C32">
        <v>616.5</v>
      </c>
      <c r="D32">
        <v>632.5</v>
      </c>
      <c r="E32">
        <v>11.510960000000001</v>
      </c>
      <c r="F32" t="s">
        <v>116</v>
      </c>
      <c r="G32">
        <v>118</v>
      </c>
      <c r="H32" t="s">
        <v>361</v>
      </c>
      <c r="I32" t="s">
        <v>12</v>
      </c>
      <c r="J32">
        <f ca="1">B32-VLOOKUP(I32,INDIRECT("フレーム変換表!A$1:B$" &amp; フレーム変換表!$D$1),2,FALSE)*2</f>
        <v>45</v>
      </c>
      <c r="K32" t="str">
        <f ca="1">VLOOKUP(F32,INDIRECT("球種変換表!A$1:B$" &amp; 球種変換表!$D$1),2,)</f>
        <v>シンカー</v>
      </c>
      <c r="L32">
        <f t="shared" si="0"/>
        <v>8.4745762711864406E-3</v>
      </c>
      <c r="M32">
        <f t="shared" ca="1" si="2"/>
        <v>0.72743055555555558</v>
      </c>
    </row>
    <row r="33" spans="1:13" hidden="1" x14ac:dyDescent="0.55000000000000004">
      <c r="A33" t="s">
        <v>121</v>
      </c>
      <c r="B33">
        <v>139</v>
      </c>
      <c r="C33">
        <v>610.5</v>
      </c>
      <c r="D33">
        <v>634</v>
      </c>
      <c r="E33">
        <v>11.5435</v>
      </c>
      <c r="F33" t="s">
        <v>116</v>
      </c>
      <c r="G33">
        <v>118</v>
      </c>
      <c r="H33" t="s">
        <v>361</v>
      </c>
      <c r="I33" t="s">
        <v>12</v>
      </c>
      <c r="J33">
        <f ca="1">B33-VLOOKUP(I33,INDIRECT("フレーム変換表!A$1:B$" &amp; フレーム変換表!$D$1),2,FALSE)*2</f>
        <v>45</v>
      </c>
      <c r="K33" t="str">
        <f ca="1">VLOOKUP(F33,INDIRECT("球種変換表!A$1:B$" &amp; 球種変換表!$D$1),2,)</f>
        <v>シンカー</v>
      </c>
      <c r="L33">
        <f t="shared" si="0"/>
        <v>8.4745762711864406E-3</v>
      </c>
      <c r="M33">
        <f t="shared" ca="1" si="2"/>
        <v>0.72638888888888897</v>
      </c>
    </row>
    <row r="34" spans="1:13" hidden="1" x14ac:dyDescent="0.55000000000000004">
      <c r="A34" t="s">
        <v>122</v>
      </c>
      <c r="B34">
        <v>138</v>
      </c>
      <c r="C34">
        <v>623.5</v>
      </c>
      <c r="D34">
        <v>626</v>
      </c>
      <c r="E34">
        <v>10.5001</v>
      </c>
      <c r="F34" t="s">
        <v>116</v>
      </c>
      <c r="G34">
        <v>114</v>
      </c>
      <c r="H34" t="s">
        <v>361</v>
      </c>
      <c r="I34" t="s">
        <v>12</v>
      </c>
      <c r="J34">
        <f ca="1">B34-VLOOKUP(I34,INDIRECT("フレーム変換表!A$1:B$" &amp; フレーム変換表!$D$1),2,FALSE)*2</f>
        <v>44</v>
      </c>
      <c r="K34" t="str">
        <f ca="1">VLOOKUP(F34,INDIRECT("球種変換表!A$1:B$" &amp; 球種変換表!$D$1),2,)</f>
        <v>シンカー</v>
      </c>
      <c r="L34">
        <f t="shared" si="0"/>
        <v>8.771929824561403E-3</v>
      </c>
      <c r="M34">
        <f t="shared" ca="1" si="2"/>
        <v>0.71527777777777779</v>
      </c>
    </row>
    <row r="35" spans="1:13" hidden="1" x14ac:dyDescent="0.55000000000000004">
      <c r="A35" t="s">
        <v>123</v>
      </c>
      <c r="B35">
        <v>138</v>
      </c>
      <c r="C35">
        <v>636</v>
      </c>
      <c r="D35">
        <v>633</v>
      </c>
      <c r="E35">
        <v>12.0001</v>
      </c>
      <c r="F35" t="s">
        <v>116</v>
      </c>
      <c r="G35">
        <v>121</v>
      </c>
      <c r="H35" t="s">
        <v>361</v>
      </c>
      <c r="I35" t="s">
        <v>12</v>
      </c>
      <c r="J35">
        <f ca="1">B35-VLOOKUP(I35,INDIRECT("フレーム変換表!A$1:B$" &amp; フレーム変換表!$D$1),2,FALSE)*2</f>
        <v>44</v>
      </c>
      <c r="K35" t="str">
        <f ca="1">VLOOKUP(F35,INDIRECT("球種変換表!A$1:B$" &amp; 球種変換表!$D$1),2,)</f>
        <v>シンカー</v>
      </c>
      <c r="L35">
        <f t="shared" si="0"/>
        <v>8.2644628099173556E-3</v>
      </c>
      <c r="M35">
        <f t="shared" ca="1" si="2"/>
        <v>0.7104166666666667</v>
      </c>
    </row>
    <row r="36" spans="1:13" hidden="1" x14ac:dyDescent="0.55000000000000004">
      <c r="A36" t="s">
        <v>124</v>
      </c>
      <c r="B36">
        <v>138</v>
      </c>
      <c r="C36">
        <v>628.5</v>
      </c>
      <c r="D36">
        <v>620.5</v>
      </c>
      <c r="E36">
        <v>10.512</v>
      </c>
      <c r="F36" t="s">
        <v>116</v>
      </c>
      <c r="G36">
        <v>119</v>
      </c>
      <c r="H36" t="s">
        <v>361</v>
      </c>
      <c r="I36" t="s">
        <v>12</v>
      </c>
      <c r="J36">
        <f ca="1">B36-VLOOKUP(I36,INDIRECT("フレーム変換表!A$1:B$" &amp; フレーム変換表!$D$1),2,FALSE)*2</f>
        <v>44</v>
      </c>
      <c r="K36" t="str">
        <f ca="1">VLOOKUP(F36,INDIRECT("球種変換表!A$1:B$" &amp; 球種変換表!$D$1),2,)</f>
        <v>シンカー</v>
      </c>
      <c r="L36">
        <f t="shared" si="0"/>
        <v>8.4033613445378148E-3</v>
      </c>
      <c r="M36">
        <f t="shared" ca="1" si="2"/>
        <v>0.71909722222222228</v>
      </c>
    </row>
    <row r="37" spans="1:13" hidden="1" x14ac:dyDescent="0.55000000000000004">
      <c r="A37" t="s">
        <v>125</v>
      </c>
      <c r="B37">
        <v>139</v>
      </c>
      <c r="C37">
        <v>622.5</v>
      </c>
      <c r="D37">
        <v>632.5</v>
      </c>
      <c r="E37">
        <v>11.510960000000001</v>
      </c>
      <c r="F37" t="s">
        <v>116</v>
      </c>
      <c r="G37">
        <v>118</v>
      </c>
      <c r="H37" t="s">
        <v>361</v>
      </c>
      <c r="I37" t="s">
        <v>12</v>
      </c>
      <c r="J37">
        <f ca="1">B37-VLOOKUP(I37,INDIRECT("フレーム変換表!A$1:B$" &amp; フレーム変換表!$D$1),2,FALSE)*2</f>
        <v>45</v>
      </c>
      <c r="K37" t="str">
        <f ca="1">VLOOKUP(F37,INDIRECT("球種変換表!A$1:B$" &amp; 球種変換表!$D$1),2,)</f>
        <v>シンカー</v>
      </c>
      <c r="L37">
        <f t="shared" si="0"/>
        <v>8.4745762711864406E-3</v>
      </c>
      <c r="M37">
        <f t="shared" ca="1" si="2"/>
        <v>0.72743055555555558</v>
      </c>
    </row>
    <row r="38" spans="1:13" hidden="1" x14ac:dyDescent="0.55000000000000004">
      <c r="A38" t="s">
        <v>127</v>
      </c>
      <c r="B38">
        <v>136</v>
      </c>
      <c r="C38">
        <v>677.02080999999998</v>
      </c>
      <c r="D38">
        <v>633</v>
      </c>
      <c r="E38">
        <v>12.020949999999999</v>
      </c>
      <c r="F38" t="s">
        <v>126</v>
      </c>
      <c r="G38">
        <v>125</v>
      </c>
      <c r="H38" t="s">
        <v>361</v>
      </c>
      <c r="I38" t="s">
        <v>12</v>
      </c>
      <c r="J38">
        <f ca="1">B38-VLOOKUP(I38,INDIRECT("フレーム変換表!A$1:B$" &amp; フレーム変換表!$D$1),2,FALSE)*2</f>
        <v>42</v>
      </c>
      <c r="K38" t="str">
        <f ca="1">VLOOKUP(F38,INDIRECT("球種変換表!A$1:B$" &amp; 球種変換表!$D$1),2,)</f>
        <v>スライダー</v>
      </c>
      <c r="L38">
        <f t="shared" si="0"/>
        <v>8.0000000000000002E-3</v>
      </c>
      <c r="M38">
        <f t="shared" ca="1" si="2"/>
        <v>0.67708333333333337</v>
      </c>
    </row>
    <row r="39" spans="1:13" hidden="1" x14ac:dyDescent="0.55000000000000004">
      <c r="A39" t="s">
        <v>128</v>
      </c>
      <c r="B39">
        <v>135</v>
      </c>
      <c r="C39">
        <v>669.5</v>
      </c>
      <c r="D39">
        <v>620.5</v>
      </c>
      <c r="E39">
        <v>9.5132499999999993</v>
      </c>
      <c r="F39" t="s">
        <v>126</v>
      </c>
      <c r="G39">
        <v>127</v>
      </c>
      <c r="H39" t="s">
        <v>361</v>
      </c>
      <c r="I39" t="s">
        <v>12</v>
      </c>
      <c r="J39">
        <f ca="1">B39-VLOOKUP(I39,INDIRECT("フレーム変換表!A$1:B$" &amp; フレーム変換表!$D$1),2,FALSE)*2</f>
        <v>41</v>
      </c>
      <c r="K39" t="str">
        <f ca="1">VLOOKUP(F39,INDIRECT("球種変換表!A$1:B$" &amp; 球種変換表!$D$1),2,)</f>
        <v>スライダー</v>
      </c>
      <c r="L39">
        <f t="shared" si="0"/>
        <v>7.874015748031496E-3</v>
      </c>
      <c r="M39">
        <f t="shared" ca="1" si="2"/>
        <v>0.66909722222222223</v>
      </c>
    </row>
    <row r="40" spans="1:13" hidden="1" x14ac:dyDescent="0.55000000000000004">
      <c r="A40" t="s">
        <v>129</v>
      </c>
      <c r="B40">
        <v>135</v>
      </c>
      <c r="C40">
        <v>668</v>
      </c>
      <c r="D40">
        <v>623.5</v>
      </c>
      <c r="E40">
        <v>10.012589999999999</v>
      </c>
      <c r="F40" t="s">
        <v>126</v>
      </c>
      <c r="G40">
        <v>127</v>
      </c>
      <c r="H40" t="s">
        <v>361</v>
      </c>
      <c r="I40" t="s">
        <v>12</v>
      </c>
      <c r="J40">
        <f ca="1">B40-VLOOKUP(I40,INDIRECT("フレーム変換表!A$1:B$" &amp; フレーム変換表!$D$1),2,FALSE)*2</f>
        <v>41</v>
      </c>
      <c r="K40" t="str">
        <f ca="1">VLOOKUP(F40,INDIRECT("球種変換表!A$1:B$" &amp; 球種変換表!$D$1),2,)</f>
        <v>スライダー</v>
      </c>
      <c r="L40">
        <f t="shared" si="0"/>
        <v>7.874015748031496E-3</v>
      </c>
      <c r="M40">
        <f t="shared" ca="1" si="2"/>
        <v>0.66701388888888891</v>
      </c>
    </row>
    <row r="41" spans="1:13" hidden="1" x14ac:dyDescent="0.55000000000000004">
      <c r="A41" t="s">
        <v>130</v>
      </c>
      <c r="B41">
        <v>136</v>
      </c>
      <c r="C41">
        <v>702.5</v>
      </c>
      <c r="D41">
        <v>637.5</v>
      </c>
      <c r="E41">
        <v>3.8079900000000002</v>
      </c>
      <c r="F41" t="s">
        <v>126</v>
      </c>
      <c r="G41">
        <v>126</v>
      </c>
      <c r="H41" t="s">
        <v>361</v>
      </c>
      <c r="I41" t="s">
        <v>12</v>
      </c>
      <c r="J41">
        <f ca="1">B41-VLOOKUP(I41,INDIRECT("フレーム変換表!A$1:B$" &amp; フレーム変換表!$D$1),2,FALSE)*2</f>
        <v>42</v>
      </c>
      <c r="K41" t="str">
        <f ca="1">VLOOKUP(F41,INDIRECT("球種変換表!A$1:B$" &amp; 球種変換表!$D$1),2,)</f>
        <v>スライダー</v>
      </c>
      <c r="L41">
        <f t="shared" si="0"/>
        <v>7.9365079365079361E-3</v>
      </c>
      <c r="M41">
        <f t="shared" ca="1" si="2"/>
        <v>0.67395833333333333</v>
      </c>
    </row>
    <row r="42" spans="1:13" hidden="1" x14ac:dyDescent="0.55000000000000004">
      <c r="A42" t="s">
        <v>131</v>
      </c>
      <c r="B42">
        <v>136</v>
      </c>
      <c r="C42">
        <v>666.5</v>
      </c>
      <c r="D42">
        <v>636</v>
      </c>
      <c r="E42">
        <v>11.5435</v>
      </c>
      <c r="F42" t="s">
        <v>126</v>
      </c>
      <c r="G42">
        <v>126</v>
      </c>
      <c r="H42" t="s">
        <v>361</v>
      </c>
      <c r="I42" t="s">
        <v>12</v>
      </c>
      <c r="J42">
        <f ca="1">B42-VLOOKUP(I42,INDIRECT("フレーム変換表!A$1:B$" &amp; フレーム変換表!$D$1),2,FALSE)*2</f>
        <v>42</v>
      </c>
      <c r="K42" t="str">
        <f ca="1">VLOOKUP(F42,INDIRECT("球種変換表!A$1:B$" &amp; 球種変換表!$D$1),2,)</f>
        <v>スライダー</v>
      </c>
      <c r="L42">
        <f t="shared" si="0"/>
        <v>7.9365079365079361E-3</v>
      </c>
      <c r="M42">
        <f t="shared" ca="1" si="2"/>
        <v>0.67500000000000004</v>
      </c>
    </row>
    <row r="43" spans="1:13" hidden="1" x14ac:dyDescent="0.55000000000000004">
      <c r="A43" t="s">
        <v>132</v>
      </c>
      <c r="B43">
        <v>136</v>
      </c>
      <c r="C43">
        <v>672.5</v>
      </c>
      <c r="D43">
        <v>634</v>
      </c>
      <c r="E43">
        <v>11.5435</v>
      </c>
      <c r="F43" t="s">
        <v>126</v>
      </c>
      <c r="G43">
        <v>116</v>
      </c>
      <c r="H43" t="s">
        <v>361</v>
      </c>
      <c r="I43" t="s">
        <v>12</v>
      </c>
      <c r="J43">
        <f ca="1">B43-VLOOKUP(I43,INDIRECT("フレーム変換表!A$1:B$" &amp; フレーム変換表!$D$1),2,FALSE)*2</f>
        <v>42</v>
      </c>
      <c r="K43" t="str">
        <f ca="1">VLOOKUP(F43,INDIRECT("球種変換表!A$1:B$" &amp; 球種変換表!$D$1),2,)</f>
        <v>スライダー</v>
      </c>
      <c r="L43">
        <f t="shared" si="0"/>
        <v>8.6206896551724137E-3</v>
      </c>
      <c r="M43">
        <f t="shared" ca="1" si="2"/>
        <v>0.67638888888888893</v>
      </c>
    </row>
    <row r="44" spans="1:13" hidden="1" x14ac:dyDescent="0.55000000000000004">
      <c r="A44" t="s">
        <v>133</v>
      </c>
      <c r="B44">
        <v>134</v>
      </c>
      <c r="C44">
        <v>668</v>
      </c>
      <c r="D44">
        <v>606.5</v>
      </c>
      <c r="E44">
        <v>10.012589999999999</v>
      </c>
      <c r="F44" t="s">
        <v>126</v>
      </c>
      <c r="G44">
        <v>128</v>
      </c>
      <c r="H44" t="s">
        <v>361</v>
      </c>
      <c r="I44" t="s">
        <v>12</v>
      </c>
      <c r="J44">
        <f ca="1">B44-VLOOKUP(I44,INDIRECT("フレーム変換表!A$1:B$" &amp; フレーム変換表!$D$1),2,FALSE)*2</f>
        <v>40</v>
      </c>
      <c r="K44" t="str">
        <f ca="1">VLOOKUP(F44,INDIRECT("球種変換表!A$1:B$" &amp; 球種変換表!$D$1),2,)</f>
        <v>スライダー</v>
      </c>
      <c r="L44">
        <f t="shared" si="0"/>
        <v>7.8125E-3</v>
      </c>
      <c r="M44">
        <f t="shared" ca="1" si="2"/>
        <v>0.6621527777777777</v>
      </c>
    </row>
    <row r="45" spans="1:13" hidden="1" x14ac:dyDescent="0.55000000000000004">
      <c r="A45" t="s">
        <v>134</v>
      </c>
      <c r="B45">
        <v>135</v>
      </c>
      <c r="C45">
        <v>678.5</v>
      </c>
      <c r="D45">
        <v>630</v>
      </c>
      <c r="E45">
        <v>10.5001</v>
      </c>
      <c r="F45" t="s">
        <v>126</v>
      </c>
      <c r="G45">
        <v>128</v>
      </c>
      <c r="H45" t="s">
        <v>361</v>
      </c>
      <c r="I45" t="s">
        <v>12</v>
      </c>
      <c r="J45">
        <f ca="1">B45-VLOOKUP(I45,INDIRECT("フレーム変換表!A$1:B$" &amp; フレーム変換表!$D$1),2,FALSE)*2</f>
        <v>41</v>
      </c>
      <c r="K45" t="str">
        <f ca="1">VLOOKUP(F45,INDIRECT("球種変換表!A$1:B$" &amp; 球種変換表!$D$1),2,)</f>
        <v>スライダー</v>
      </c>
      <c r="L45">
        <f t="shared" si="0"/>
        <v>7.8125E-3</v>
      </c>
      <c r="M45">
        <f t="shared" ca="1" si="2"/>
        <v>0.66249999999999998</v>
      </c>
    </row>
    <row r="46" spans="1:13" hidden="1" x14ac:dyDescent="0.55000000000000004">
      <c r="A46" t="s">
        <v>135</v>
      </c>
      <c r="B46">
        <v>134</v>
      </c>
      <c r="C46">
        <v>652.5</v>
      </c>
      <c r="D46">
        <v>603</v>
      </c>
      <c r="E46">
        <v>9.5000999999999998</v>
      </c>
      <c r="F46" t="s">
        <v>126</v>
      </c>
      <c r="G46">
        <v>127</v>
      </c>
      <c r="H46" t="s">
        <v>361</v>
      </c>
      <c r="I46" t="s">
        <v>12</v>
      </c>
      <c r="J46">
        <f ca="1">B46-VLOOKUP(I46,INDIRECT("フレーム変換表!A$1:B$" &amp; フレーム変換表!$D$1),2,FALSE)*2</f>
        <v>40</v>
      </c>
      <c r="K46" t="str">
        <f ca="1">VLOOKUP(F46,INDIRECT("球種変換表!A$1:B$" &amp; 球種変換表!$D$1),2,)</f>
        <v>スライダー</v>
      </c>
      <c r="L46">
        <f t="shared" si="0"/>
        <v>7.874015748031496E-3</v>
      </c>
      <c r="M46">
        <f t="shared" ca="1" si="2"/>
        <v>0.6645833333333333</v>
      </c>
    </row>
    <row r="47" spans="1:13" hidden="1" x14ac:dyDescent="0.55000000000000004">
      <c r="A47" t="s">
        <v>136</v>
      </c>
      <c r="B47">
        <v>135</v>
      </c>
      <c r="C47">
        <v>670.5</v>
      </c>
      <c r="D47">
        <v>617.5</v>
      </c>
      <c r="E47">
        <v>8.5147899999999996</v>
      </c>
      <c r="F47" t="s">
        <v>126</v>
      </c>
      <c r="G47">
        <v>126</v>
      </c>
      <c r="H47" t="s">
        <v>361</v>
      </c>
      <c r="I47" t="s">
        <v>12</v>
      </c>
      <c r="J47">
        <f ca="1">B47-VLOOKUP(I47,INDIRECT("フレーム変換表!A$1:B$" &amp; フレーム変換表!$D$1),2,FALSE)*2</f>
        <v>41</v>
      </c>
      <c r="K47" t="str">
        <f ca="1">VLOOKUP(F47,INDIRECT("球種変換表!A$1:B$" &amp; 球種変換表!$D$1),2,)</f>
        <v>スライダー</v>
      </c>
      <c r="L47">
        <f t="shared" si="0"/>
        <v>7.9365079365079361E-3</v>
      </c>
      <c r="M47">
        <f t="shared" ca="1" si="2"/>
        <v>0.67118055555555556</v>
      </c>
    </row>
    <row r="48" spans="1:13" hidden="1" x14ac:dyDescent="0.55000000000000004">
      <c r="A48" t="s">
        <v>138</v>
      </c>
      <c r="B48">
        <v>133</v>
      </c>
      <c r="C48">
        <v>610.5</v>
      </c>
      <c r="D48">
        <v>604</v>
      </c>
      <c r="E48">
        <v>10.5001</v>
      </c>
      <c r="F48" t="s">
        <v>137</v>
      </c>
      <c r="G48">
        <v>131</v>
      </c>
      <c r="H48" t="s">
        <v>361</v>
      </c>
      <c r="I48" t="s">
        <v>12</v>
      </c>
      <c r="J48">
        <f ca="1">B48-VLOOKUP(I48,INDIRECT("フレーム変換表!A$1:B$" &amp; フレーム変換表!$D$1),2,FALSE)*2</f>
        <v>39</v>
      </c>
      <c r="K48" t="str">
        <f ca="1">VLOOKUP(F48,INDIRECT("球種変換表!A$1:B$" &amp; 球種変換表!$D$1),2,)</f>
        <v>シュート</v>
      </c>
      <c r="L48">
        <f t="shared" si="0"/>
        <v>7.6335877862595417E-3</v>
      </c>
      <c r="M48">
        <f t="shared" ca="1" si="2"/>
        <v>0.64722222222222225</v>
      </c>
    </row>
    <row r="49" spans="1:13" hidden="1" x14ac:dyDescent="0.55000000000000004">
      <c r="A49" t="s">
        <v>139</v>
      </c>
      <c r="B49">
        <v>133</v>
      </c>
      <c r="C49">
        <v>612.5</v>
      </c>
      <c r="D49">
        <v>601.5</v>
      </c>
      <c r="E49">
        <v>9.5132499999999993</v>
      </c>
      <c r="F49" t="s">
        <v>137</v>
      </c>
      <c r="G49">
        <v>130</v>
      </c>
      <c r="H49" t="s">
        <v>361</v>
      </c>
      <c r="I49" t="s">
        <v>12</v>
      </c>
      <c r="J49">
        <f ca="1">B49-VLOOKUP(I49,INDIRECT("フレーム変換表!A$1:B$" &amp; フレーム変換表!$D$1),2,FALSE)*2</f>
        <v>39</v>
      </c>
      <c r="K49" t="str">
        <f ca="1">VLOOKUP(F49,INDIRECT("球種変換表!A$1:B$" &amp; 球種変換表!$D$1),2,)</f>
        <v>シュート</v>
      </c>
      <c r="L49">
        <f t="shared" si="0"/>
        <v>7.6923076923076927E-3</v>
      </c>
      <c r="M49">
        <f t="shared" ca="1" si="2"/>
        <v>0.6489583333333333</v>
      </c>
    </row>
    <row r="50" spans="1:13" hidden="1" x14ac:dyDescent="0.55000000000000004">
      <c r="A50" t="s">
        <v>140</v>
      </c>
      <c r="B50">
        <v>134</v>
      </c>
      <c r="C50">
        <v>623.5</v>
      </c>
      <c r="D50">
        <v>623.5</v>
      </c>
      <c r="E50">
        <v>10.512</v>
      </c>
      <c r="F50" t="s">
        <v>137</v>
      </c>
      <c r="G50">
        <v>131</v>
      </c>
      <c r="H50" t="s">
        <v>361</v>
      </c>
      <c r="I50" t="s">
        <v>12</v>
      </c>
      <c r="J50">
        <f ca="1">B50-VLOOKUP(I50,INDIRECT("フレーム変換表!A$1:B$" &amp; フレーム変換表!$D$1),2,FALSE)*2</f>
        <v>40</v>
      </c>
      <c r="K50" t="str">
        <f ca="1">VLOOKUP(F50,INDIRECT("球種変換表!A$1:B$" &amp; 球種変換表!$D$1),2,)</f>
        <v>シュート</v>
      </c>
      <c r="L50">
        <f t="shared" si="0"/>
        <v>7.6335877862595417E-3</v>
      </c>
      <c r="M50">
        <f t="shared" ca="1" si="2"/>
        <v>0.6503472222222223</v>
      </c>
    </row>
    <row r="51" spans="1:13" hidden="1" x14ac:dyDescent="0.55000000000000004">
      <c r="A51" t="s">
        <v>141</v>
      </c>
      <c r="B51">
        <v>134</v>
      </c>
      <c r="C51">
        <v>617</v>
      </c>
      <c r="D51">
        <v>612.5</v>
      </c>
      <c r="E51">
        <v>10.012589999999999</v>
      </c>
      <c r="F51" t="s">
        <v>137</v>
      </c>
      <c r="G51">
        <v>129</v>
      </c>
      <c r="H51" t="s">
        <v>361</v>
      </c>
      <c r="I51" t="s">
        <v>12</v>
      </c>
      <c r="J51">
        <f ca="1">B51-VLOOKUP(I51,INDIRECT("フレーム変換表!A$1:B$" &amp; フレーム変換表!$D$1),2,FALSE)*2</f>
        <v>40</v>
      </c>
      <c r="K51" t="str">
        <f ca="1">VLOOKUP(F51,INDIRECT("球種変換表!A$1:B$" &amp; 球種変換表!$D$1),2,)</f>
        <v>シュート</v>
      </c>
      <c r="L51">
        <f t="shared" si="0"/>
        <v>7.7519379844961239E-3</v>
      </c>
      <c r="M51">
        <f t="shared" ca="1" si="2"/>
        <v>0.65798611111111105</v>
      </c>
    </row>
    <row r="52" spans="1:13" hidden="1" x14ac:dyDescent="0.55000000000000004">
      <c r="A52" t="s">
        <v>142</v>
      </c>
      <c r="B52">
        <v>133</v>
      </c>
      <c r="C52">
        <v>610.5</v>
      </c>
      <c r="D52">
        <v>600.5</v>
      </c>
      <c r="E52">
        <v>9.5132499999999993</v>
      </c>
      <c r="F52" t="s">
        <v>137</v>
      </c>
      <c r="G52">
        <v>134</v>
      </c>
      <c r="H52" t="s">
        <v>361</v>
      </c>
      <c r="I52" t="s">
        <v>12</v>
      </c>
      <c r="J52">
        <f ca="1">B52-VLOOKUP(I52,INDIRECT("フレーム変換表!A$1:B$" &amp; フレーム変換表!$D$1),2,FALSE)*2</f>
        <v>39</v>
      </c>
      <c r="K52" t="str">
        <f ca="1">VLOOKUP(F52,INDIRECT("球種変換表!A$1:B$" &amp; 球種変換表!$D$1),2,)</f>
        <v>シュート</v>
      </c>
      <c r="L52">
        <f t="shared" si="0"/>
        <v>7.462686567164179E-3</v>
      </c>
      <c r="M52">
        <f t="shared" ca="1" si="2"/>
        <v>0.64965277777777775</v>
      </c>
    </row>
    <row r="53" spans="1:13" hidden="1" x14ac:dyDescent="0.55000000000000004">
      <c r="A53" t="s">
        <v>143</v>
      </c>
      <c r="B53">
        <v>134</v>
      </c>
      <c r="C53">
        <v>597.5</v>
      </c>
      <c r="D53">
        <v>626.5</v>
      </c>
      <c r="E53">
        <v>9.5132499999999993</v>
      </c>
      <c r="F53" t="s">
        <v>137</v>
      </c>
      <c r="G53">
        <v>132</v>
      </c>
      <c r="H53" t="s">
        <v>361</v>
      </c>
      <c r="I53" t="s">
        <v>12</v>
      </c>
      <c r="J53">
        <f ca="1">B53-VLOOKUP(I53,INDIRECT("フレーム変換表!A$1:B$" &amp; フレーム変換表!$D$1),2,FALSE)*2</f>
        <v>40</v>
      </c>
      <c r="K53" t="str">
        <f ca="1">VLOOKUP(F53,INDIRECT("球種変換表!A$1:B$" &amp; 球種変換表!$D$1),2,)</f>
        <v>シュート</v>
      </c>
      <c r="L53">
        <f t="shared" si="0"/>
        <v>7.575757575757576E-3</v>
      </c>
      <c r="M53">
        <f t="shared" ca="1" si="2"/>
        <v>0.64826388888888897</v>
      </c>
    </row>
    <row r="54" spans="1:13" hidden="1" x14ac:dyDescent="0.55000000000000004">
      <c r="A54" t="s">
        <v>144</v>
      </c>
      <c r="B54">
        <v>133</v>
      </c>
      <c r="C54">
        <v>619</v>
      </c>
      <c r="D54">
        <v>606</v>
      </c>
      <c r="E54">
        <v>10.0001</v>
      </c>
      <c r="F54" t="s">
        <v>137</v>
      </c>
      <c r="G54">
        <v>131</v>
      </c>
      <c r="H54" t="s">
        <v>361</v>
      </c>
      <c r="I54" t="s">
        <v>12</v>
      </c>
      <c r="J54">
        <f ca="1">B54-VLOOKUP(I54,INDIRECT("フレーム変換表!A$1:B$" &amp; フレーム変換表!$D$1),2,FALSE)*2</f>
        <v>39</v>
      </c>
      <c r="K54" t="str">
        <f ca="1">VLOOKUP(F54,INDIRECT("球種変換表!A$1:B$" &amp; 球種変換表!$D$1),2,)</f>
        <v>シュート</v>
      </c>
      <c r="L54">
        <f t="shared" si="0"/>
        <v>7.6335877862595417E-3</v>
      </c>
      <c r="M54">
        <f t="shared" ca="1" si="2"/>
        <v>0.64583333333333337</v>
      </c>
    </row>
    <row r="55" spans="1:13" hidden="1" x14ac:dyDescent="0.55000000000000004">
      <c r="A55" t="s">
        <v>145</v>
      </c>
      <c r="B55">
        <v>135</v>
      </c>
      <c r="C55">
        <v>613</v>
      </c>
      <c r="D55">
        <v>638.5</v>
      </c>
      <c r="E55">
        <v>12.01051</v>
      </c>
      <c r="F55" t="s">
        <v>137</v>
      </c>
      <c r="G55">
        <v>130</v>
      </c>
      <c r="H55" t="s">
        <v>361</v>
      </c>
      <c r="I55" t="s">
        <v>12</v>
      </c>
      <c r="J55">
        <f ca="1">B55-VLOOKUP(I55,INDIRECT("フレーム変換表!A$1:B$" &amp; フレーム変換表!$D$1),2,FALSE)*2</f>
        <v>41</v>
      </c>
      <c r="K55" t="str">
        <f ca="1">VLOOKUP(F55,INDIRECT("球種変換表!A$1:B$" &amp; 球種変換表!$D$1),2,)</f>
        <v>シュート</v>
      </c>
      <c r="L55">
        <f t="shared" si="0"/>
        <v>7.6923076923076927E-3</v>
      </c>
      <c r="M55">
        <f t="shared" ca="1" si="2"/>
        <v>0.65659722222222228</v>
      </c>
    </row>
    <row r="56" spans="1:13" hidden="1" x14ac:dyDescent="0.55000000000000004">
      <c r="A56" t="s">
        <v>146</v>
      </c>
      <c r="B56">
        <v>134</v>
      </c>
      <c r="C56">
        <v>610</v>
      </c>
      <c r="D56">
        <v>613.5</v>
      </c>
      <c r="E56">
        <v>10.012589999999999</v>
      </c>
      <c r="F56" t="s">
        <v>137</v>
      </c>
      <c r="G56">
        <v>129</v>
      </c>
      <c r="H56" t="s">
        <v>361</v>
      </c>
      <c r="I56" t="s">
        <v>12</v>
      </c>
      <c r="J56">
        <f ca="1">B56-VLOOKUP(I56,INDIRECT("フレーム変換表!A$1:B$" &amp; フレーム変換表!$D$1),2,FALSE)*2</f>
        <v>40</v>
      </c>
      <c r="K56" t="str">
        <f ca="1">VLOOKUP(F56,INDIRECT("球種変換表!A$1:B$" &amp; 球種変換表!$D$1),2,)</f>
        <v>シュート</v>
      </c>
      <c r="L56">
        <f t="shared" si="0"/>
        <v>7.7519379844961239E-3</v>
      </c>
      <c r="M56">
        <f t="shared" ca="1" si="2"/>
        <v>0.65729166666666672</v>
      </c>
    </row>
    <row r="57" spans="1:13" hidden="1" x14ac:dyDescent="0.55000000000000004">
      <c r="A57" t="s">
        <v>147</v>
      </c>
      <c r="B57">
        <v>134</v>
      </c>
      <c r="C57">
        <v>605.95452999999998</v>
      </c>
      <c r="D57">
        <v>631.5</v>
      </c>
      <c r="E57">
        <v>11.05688</v>
      </c>
      <c r="F57" t="s">
        <v>137</v>
      </c>
      <c r="G57">
        <v>132</v>
      </c>
      <c r="H57" t="s">
        <v>361</v>
      </c>
      <c r="I57" t="s">
        <v>12</v>
      </c>
      <c r="J57">
        <f ca="1">B57-VLOOKUP(I57,INDIRECT("フレーム変換表!A$1:B$" &amp; フレーム変換表!$D$1),2,FALSE)*2</f>
        <v>40</v>
      </c>
      <c r="K57" t="str">
        <f ca="1">VLOOKUP(F57,INDIRECT("球種変換表!A$1:B$" &amp; 球種変換表!$D$1),2,)</f>
        <v>シュート</v>
      </c>
      <c r="L57">
        <f t="shared" si="0"/>
        <v>7.575757575757576E-3</v>
      </c>
      <c r="M57">
        <f t="shared" ca="1" si="2"/>
        <v>0.64479166666666665</v>
      </c>
    </row>
    <row r="58" spans="1:13" hidden="1" x14ac:dyDescent="0.55000000000000004">
      <c r="A58" t="s">
        <v>149</v>
      </c>
      <c r="B58">
        <v>130</v>
      </c>
      <c r="C58">
        <v>639</v>
      </c>
      <c r="D58">
        <v>635.5</v>
      </c>
      <c r="E58">
        <v>12.01051</v>
      </c>
      <c r="F58" t="s">
        <v>148</v>
      </c>
      <c r="G58">
        <v>138</v>
      </c>
      <c r="H58" t="s">
        <v>361</v>
      </c>
      <c r="I58" t="s">
        <v>12</v>
      </c>
      <c r="J58">
        <f ca="1">B58-VLOOKUP(I58,INDIRECT("フレーム変換表!A$1:B$" &amp; フレーム変換表!$D$1),2,FALSE)*2</f>
        <v>36</v>
      </c>
      <c r="K58" t="str">
        <f ca="1">VLOOKUP(F58,INDIRECT("球種変換表!A$1:B$" &amp; 球種変換表!$D$1),2,)</f>
        <v>ツーシーム</v>
      </c>
      <c r="L58">
        <f t="shared" si="0"/>
        <v>7.246376811594203E-3</v>
      </c>
      <c r="M58">
        <f t="shared" ca="1" si="2"/>
        <v>0.57534722222222223</v>
      </c>
    </row>
    <row r="59" spans="1:13" hidden="1" x14ac:dyDescent="0.55000000000000004">
      <c r="A59" t="s">
        <v>150</v>
      </c>
      <c r="B59">
        <v>130</v>
      </c>
      <c r="C59">
        <v>639</v>
      </c>
      <c r="D59">
        <v>626</v>
      </c>
      <c r="E59">
        <v>11.0001</v>
      </c>
      <c r="F59" t="s">
        <v>100</v>
      </c>
      <c r="G59">
        <v>136</v>
      </c>
      <c r="H59" t="s">
        <v>361</v>
      </c>
      <c r="I59" t="s">
        <v>12</v>
      </c>
      <c r="J59">
        <f ca="1">B59-VLOOKUP(I59,INDIRECT("フレーム変換表!A$1:B$" &amp; フレーム変換表!$D$1),2,FALSE)*2</f>
        <v>36</v>
      </c>
      <c r="K59" t="str">
        <f ca="1">VLOOKUP(F59,INDIRECT("球種変換表!A$1:B$" &amp; 球種変換表!$D$1),2,)</f>
        <v>ツーシーム</v>
      </c>
      <c r="L59">
        <f t="shared" si="0"/>
        <v>7.3529411764705881E-3</v>
      </c>
      <c r="M59">
        <f t="shared" ca="1" si="2"/>
        <v>0.58194444444444438</v>
      </c>
    </row>
    <row r="60" spans="1:13" hidden="1" x14ac:dyDescent="0.55000000000000004">
      <c r="A60" t="s">
        <v>151</v>
      </c>
      <c r="B60">
        <v>130</v>
      </c>
      <c r="C60">
        <v>647.5</v>
      </c>
      <c r="D60">
        <v>638</v>
      </c>
      <c r="E60">
        <v>11.5435</v>
      </c>
      <c r="F60" t="s">
        <v>100</v>
      </c>
      <c r="G60">
        <v>139</v>
      </c>
      <c r="H60" t="s">
        <v>361</v>
      </c>
      <c r="I60" t="s">
        <v>12</v>
      </c>
      <c r="J60">
        <f ca="1">B60-VLOOKUP(I60,INDIRECT("フレーム変換表!A$1:B$" &amp; フレーム変換表!$D$1),2,FALSE)*2</f>
        <v>36</v>
      </c>
      <c r="K60" t="str">
        <f ca="1">VLOOKUP(F60,INDIRECT("球種変換表!A$1:B$" &amp; 球種変換表!$D$1),2,)</f>
        <v>ツーシーム</v>
      </c>
      <c r="L60">
        <f t="shared" si="0"/>
        <v>7.1942446043165471E-3</v>
      </c>
      <c r="M60">
        <f t="shared" ca="1" si="2"/>
        <v>0.57361111111111107</v>
      </c>
    </row>
    <row r="61" spans="1:13" hidden="1" x14ac:dyDescent="0.55000000000000004">
      <c r="A61" t="s">
        <v>153</v>
      </c>
      <c r="B61">
        <v>130</v>
      </c>
      <c r="C61">
        <v>638.5</v>
      </c>
      <c r="D61">
        <v>630.5</v>
      </c>
      <c r="E61">
        <v>11.510960000000001</v>
      </c>
      <c r="F61" t="s">
        <v>152</v>
      </c>
      <c r="G61">
        <v>137</v>
      </c>
      <c r="H61" t="s">
        <v>361</v>
      </c>
      <c r="I61" t="s">
        <v>12</v>
      </c>
      <c r="J61">
        <f ca="1">B61-VLOOKUP(I61,INDIRECT("フレーム変換表!A$1:B$" &amp; フレーム変換表!$D$1),2,FALSE)*2</f>
        <v>36</v>
      </c>
      <c r="K61" t="str">
        <f ca="1">VLOOKUP(F61,INDIRECT("球種変換表!A$1:B$" &amp; 球種変換表!$D$1),2,)</f>
        <v>ツーシーム</v>
      </c>
      <c r="L61">
        <f t="shared" si="0"/>
        <v>7.2992700729927005E-3</v>
      </c>
      <c r="M61">
        <f t="shared" ca="1" si="2"/>
        <v>0.57881944444444444</v>
      </c>
    </row>
    <row r="62" spans="1:13" hidden="1" x14ac:dyDescent="0.55000000000000004">
      <c r="A62" t="s">
        <v>154</v>
      </c>
      <c r="B62">
        <v>130</v>
      </c>
      <c r="C62">
        <v>630.97919000000002</v>
      </c>
      <c r="D62">
        <v>639</v>
      </c>
      <c r="E62">
        <v>12.020910000000001</v>
      </c>
      <c r="F62" t="s">
        <v>152</v>
      </c>
      <c r="G62">
        <v>139</v>
      </c>
      <c r="H62" t="s">
        <v>361</v>
      </c>
      <c r="I62" t="s">
        <v>12</v>
      </c>
      <c r="J62">
        <f ca="1">B62-VLOOKUP(I62,INDIRECT("フレーム変換表!A$1:B$" &amp; フレーム変換表!$D$1),2,FALSE)*2</f>
        <v>36</v>
      </c>
      <c r="K62" t="str">
        <f ca="1">VLOOKUP(F62,INDIRECT("球種変換表!A$1:B$" &amp; 球種変換表!$D$1),2,)</f>
        <v>ツーシーム</v>
      </c>
      <c r="L62">
        <f t="shared" si="0"/>
        <v>7.1942446043165471E-3</v>
      </c>
      <c r="M62">
        <f t="shared" ca="1" si="2"/>
        <v>0.57291666666666663</v>
      </c>
    </row>
    <row r="63" spans="1:13" hidden="1" x14ac:dyDescent="0.55000000000000004">
      <c r="A63" t="s">
        <v>155</v>
      </c>
      <c r="B63">
        <v>130</v>
      </c>
      <c r="C63">
        <v>649.5</v>
      </c>
      <c r="D63">
        <v>635</v>
      </c>
      <c r="E63">
        <v>11.5435</v>
      </c>
      <c r="F63" t="s">
        <v>100</v>
      </c>
      <c r="G63">
        <v>138</v>
      </c>
      <c r="H63" t="s">
        <v>361</v>
      </c>
      <c r="I63" t="s">
        <v>12</v>
      </c>
      <c r="J63">
        <f ca="1">B63-VLOOKUP(I63,INDIRECT("フレーム変換表!A$1:B$" &amp; フレーム変換表!$D$1),2,FALSE)*2</f>
        <v>36</v>
      </c>
      <c r="K63" t="str">
        <f ca="1">VLOOKUP(F63,INDIRECT("球種変換表!A$1:B$" &amp; 球種変換表!$D$1),2,)</f>
        <v>ツーシーム</v>
      </c>
      <c r="L63">
        <f t="shared" si="0"/>
        <v>7.246376811594203E-3</v>
      </c>
      <c r="M63">
        <f t="shared" ca="1" si="2"/>
        <v>0.5756944444444444</v>
      </c>
    </row>
    <row r="64" spans="1:13" hidden="1" x14ac:dyDescent="0.55000000000000004">
      <c r="A64" t="s">
        <v>156</v>
      </c>
      <c r="B64">
        <v>129</v>
      </c>
      <c r="C64">
        <v>630</v>
      </c>
      <c r="D64">
        <v>606.5</v>
      </c>
      <c r="E64">
        <v>10.012589999999999</v>
      </c>
      <c r="F64" t="s">
        <v>100</v>
      </c>
      <c r="G64">
        <v>136</v>
      </c>
      <c r="H64" t="s">
        <v>361</v>
      </c>
      <c r="I64" t="s">
        <v>12</v>
      </c>
      <c r="J64">
        <f ca="1">B64-VLOOKUP(I64,INDIRECT("フレーム変換表!A$1:B$" &amp; フレーム変換表!$D$1),2,FALSE)*2</f>
        <v>35</v>
      </c>
      <c r="K64" t="str">
        <f ca="1">VLOOKUP(F64,INDIRECT("球種変換表!A$1:B$" &amp; 球種変換表!$D$1),2,)</f>
        <v>ツーシーム</v>
      </c>
      <c r="L64">
        <f t="shared" si="0"/>
        <v>7.3529411764705881E-3</v>
      </c>
      <c r="M64">
        <f t="shared" ca="1" si="2"/>
        <v>0.57881944444444444</v>
      </c>
    </row>
    <row r="65" spans="1:13" hidden="1" x14ac:dyDescent="0.55000000000000004">
      <c r="A65" t="s">
        <v>157</v>
      </c>
      <c r="B65">
        <v>129</v>
      </c>
      <c r="C65">
        <v>644.5</v>
      </c>
      <c r="D65">
        <v>603.5</v>
      </c>
      <c r="E65">
        <v>9.5132499999999993</v>
      </c>
      <c r="F65" t="s">
        <v>100</v>
      </c>
      <c r="G65">
        <v>136</v>
      </c>
      <c r="H65" t="s">
        <v>361</v>
      </c>
      <c r="I65" t="s">
        <v>12</v>
      </c>
      <c r="J65">
        <f ca="1">B65-VLOOKUP(I65,INDIRECT("フレーム変換表!A$1:B$" &amp; フレーム変換表!$D$1),2,FALSE)*2</f>
        <v>35</v>
      </c>
      <c r="K65" t="str">
        <f ca="1">VLOOKUP(F65,INDIRECT("球種変換表!A$1:B$" &amp; 球種変換表!$D$1),2,)</f>
        <v>ツーシーム</v>
      </c>
      <c r="L65">
        <f t="shared" si="0"/>
        <v>7.3529411764705881E-3</v>
      </c>
      <c r="M65">
        <f t="shared" ca="1" si="2"/>
        <v>0.58090277777777777</v>
      </c>
    </row>
    <row r="66" spans="1:13" hidden="1" x14ac:dyDescent="0.55000000000000004">
      <c r="A66" t="s">
        <v>158</v>
      </c>
      <c r="B66">
        <v>130</v>
      </c>
      <c r="C66">
        <v>646.97919000000002</v>
      </c>
      <c r="D66">
        <v>634</v>
      </c>
      <c r="E66">
        <v>12.020910000000001</v>
      </c>
      <c r="F66" t="s">
        <v>148</v>
      </c>
      <c r="G66">
        <v>138</v>
      </c>
      <c r="H66" t="s">
        <v>361</v>
      </c>
      <c r="I66" t="s">
        <v>12</v>
      </c>
      <c r="J66">
        <f ca="1">B66-VLOOKUP(I66,INDIRECT("フレーム変換表!A$1:B$" &amp; フレーム変換表!$D$1),2,FALSE)*2</f>
        <v>36</v>
      </c>
      <c r="K66" t="str">
        <f ca="1">VLOOKUP(F66,INDIRECT("球種変換表!A$1:B$" &amp; 球種変換表!$D$1),2,)</f>
        <v>ツーシーム</v>
      </c>
      <c r="L66">
        <f t="shared" si="0"/>
        <v>7.246376811594203E-3</v>
      </c>
      <c r="M66">
        <f t="shared" ca="1" si="2"/>
        <v>0.57638888888888895</v>
      </c>
    </row>
    <row r="67" spans="1:13" hidden="1" x14ac:dyDescent="0.55000000000000004">
      <c r="A67" t="s">
        <v>160</v>
      </c>
      <c r="B67">
        <v>130</v>
      </c>
      <c r="C67">
        <v>637</v>
      </c>
      <c r="D67">
        <v>622.5</v>
      </c>
      <c r="E67">
        <v>10.012589999999999</v>
      </c>
      <c r="F67" t="s">
        <v>159</v>
      </c>
      <c r="G67">
        <v>135</v>
      </c>
      <c r="H67" t="s">
        <v>361</v>
      </c>
      <c r="I67" t="s">
        <v>12</v>
      </c>
      <c r="J67">
        <f ca="1">B67-VLOOKUP(I67,INDIRECT("フレーム変換表!A$1:B$" &amp; フレーム変換表!$D$1),2,FALSE)*2</f>
        <v>36</v>
      </c>
      <c r="K67" t="str">
        <f ca="1">VLOOKUP(F67,INDIRECT("球種変換表!A$1:B$" &amp; 球種変換表!$D$1),2,)</f>
        <v>ツーシーム</v>
      </c>
      <c r="L67">
        <f t="shared" ref="L67:L127" si="3">1/G67</f>
        <v>7.4074074074074077E-3</v>
      </c>
      <c r="M67">
        <f t="shared" ref="M67:M130" ca="1" si="4">(J67-(D67-600)/24)*2/120</f>
        <v>0.58437499999999998</v>
      </c>
    </row>
    <row r="68" spans="1:13" hidden="1" x14ac:dyDescent="0.55000000000000004">
      <c r="A68" t="s">
        <v>162</v>
      </c>
      <c r="B68">
        <v>125</v>
      </c>
      <c r="C68">
        <v>642</v>
      </c>
      <c r="D68">
        <v>630</v>
      </c>
      <c r="E68">
        <v>12.0001</v>
      </c>
      <c r="F68" t="s">
        <v>161</v>
      </c>
      <c r="G68">
        <v>144</v>
      </c>
      <c r="H68" t="s">
        <v>361</v>
      </c>
      <c r="I68" t="s">
        <v>12</v>
      </c>
      <c r="J68">
        <f ca="1">B68-VLOOKUP(I68,INDIRECT("フレーム変換表!A$1:B$" &amp; フレーム変換表!$D$1),2,FALSE)*2</f>
        <v>31</v>
      </c>
      <c r="K68" t="str">
        <f ca="1">VLOOKUP(F68,INDIRECT("球種変換表!A$1:B$" &amp; 球種変換表!$D$1),2,)</f>
        <v>全力ストレート</v>
      </c>
      <c r="L68">
        <f t="shared" si="3"/>
        <v>6.9444444444444441E-3</v>
      </c>
      <c r="M68">
        <f t="shared" ca="1" si="4"/>
        <v>0.49583333333333335</v>
      </c>
    </row>
    <row r="69" spans="1:13" hidden="1" x14ac:dyDescent="0.55000000000000004">
      <c r="A69" t="s">
        <v>163</v>
      </c>
      <c r="B69">
        <v>125</v>
      </c>
      <c r="C69">
        <v>640.5</v>
      </c>
      <c r="D69">
        <v>619.5</v>
      </c>
      <c r="E69">
        <v>9.5132499999999993</v>
      </c>
      <c r="F69" t="s">
        <v>161</v>
      </c>
      <c r="G69">
        <v>139</v>
      </c>
      <c r="H69" t="s">
        <v>361</v>
      </c>
      <c r="I69" t="s">
        <v>12</v>
      </c>
      <c r="J69">
        <f ca="1">B69-VLOOKUP(I69,INDIRECT("フレーム変換表!A$1:B$" &amp; フレーム変換表!$D$1),2,FALSE)*2</f>
        <v>31</v>
      </c>
      <c r="K69" t="str">
        <f ca="1">VLOOKUP(F69,INDIRECT("球種変換表!A$1:B$" &amp; 球種変換表!$D$1),2,)</f>
        <v>全力ストレート</v>
      </c>
      <c r="L69">
        <f t="shared" si="3"/>
        <v>7.1942446043165471E-3</v>
      </c>
      <c r="M69">
        <f t="shared" ca="1" si="4"/>
        <v>0.50312500000000004</v>
      </c>
    </row>
    <row r="70" spans="1:13" hidden="1" x14ac:dyDescent="0.55000000000000004">
      <c r="A70" t="s">
        <v>164</v>
      </c>
      <c r="B70">
        <v>125</v>
      </c>
      <c r="C70">
        <v>644</v>
      </c>
      <c r="D70">
        <v>640.5</v>
      </c>
      <c r="E70">
        <v>12.01051</v>
      </c>
      <c r="F70" t="s">
        <v>161</v>
      </c>
      <c r="G70">
        <v>143</v>
      </c>
      <c r="H70" t="s">
        <v>361</v>
      </c>
      <c r="I70" t="s">
        <v>12</v>
      </c>
      <c r="J70">
        <f ca="1">B70-VLOOKUP(I70,INDIRECT("フレーム変換表!A$1:B$" &amp; フレーム変換表!$D$1),2,FALSE)*2</f>
        <v>31</v>
      </c>
      <c r="K70" t="str">
        <f ca="1">VLOOKUP(F70,INDIRECT("球種変換表!A$1:B$" &amp; 球種変換表!$D$1),2,)</f>
        <v>全力ストレート</v>
      </c>
      <c r="L70">
        <f t="shared" si="3"/>
        <v>6.993006993006993E-3</v>
      </c>
      <c r="M70">
        <f t="shared" ca="1" si="4"/>
        <v>0.48854166666666665</v>
      </c>
    </row>
    <row r="71" spans="1:13" hidden="1" x14ac:dyDescent="0.55000000000000004">
      <c r="A71" t="s">
        <v>165</v>
      </c>
      <c r="B71">
        <v>124</v>
      </c>
      <c r="C71">
        <v>637.5</v>
      </c>
      <c r="D71">
        <v>604.5</v>
      </c>
      <c r="E71">
        <v>9.5132499999999993</v>
      </c>
      <c r="F71" t="s">
        <v>161</v>
      </c>
      <c r="G71">
        <v>140</v>
      </c>
      <c r="H71" t="s">
        <v>361</v>
      </c>
      <c r="I71" t="s">
        <v>12</v>
      </c>
      <c r="J71">
        <f ca="1">B71-VLOOKUP(I71,INDIRECT("フレーム変換表!A$1:B$" &amp; フレーム変換表!$D$1),2,FALSE)*2</f>
        <v>30</v>
      </c>
      <c r="K71" t="str">
        <f ca="1">VLOOKUP(F71,INDIRECT("球種変換表!A$1:B$" &amp; 球種変換表!$D$1),2,)</f>
        <v>全力ストレート</v>
      </c>
      <c r="L71">
        <f t="shared" si="3"/>
        <v>7.1428571428571426E-3</v>
      </c>
      <c r="M71">
        <f t="shared" ca="1" si="4"/>
        <v>0.49687500000000001</v>
      </c>
    </row>
    <row r="72" spans="1:13" hidden="1" x14ac:dyDescent="0.55000000000000004">
      <c r="A72" t="s">
        <v>166</v>
      </c>
      <c r="B72">
        <v>125</v>
      </c>
      <c r="C72">
        <v>644</v>
      </c>
      <c r="D72">
        <v>640.5</v>
      </c>
      <c r="E72">
        <v>12.01051</v>
      </c>
      <c r="F72" t="s">
        <v>161</v>
      </c>
      <c r="G72">
        <v>143</v>
      </c>
      <c r="H72" t="s">
        <v>361</v>
      </c>
      <c r="I72" t="s">
        <v>12</v>
      </c>
      <c r="J72">
        <f ca="1">B72-VLOOKUP(I72,INDIRECT("フレーム変換表!A$1:B$" &amp; フレーム変換表!$D$1),2,FALSE)*2</f>
        <v>31</v>
      </c>
      <c r="K72" t="str">
        <f ca="1">VLOOKUP(F72,INDIRECT("球種変換表!A$1:B$" &amp; 球種変換表!$D$1),2,)</f>
        <v>全力ストレート</v>
      </c>
      <c r="L72">
        <f t="shared" si="3"/>
        <v>6.993006993006993E-3</v>
      </c>
      <c r="M72">
        <f t="shared" ca="1" si="4"/>
        <v>0.48854166666666665</v>
      </c>
    </row>
    <row r="73" spans="1:13" hidden="1" x14ac:dyDescent="0.55000000000000004">
      <c r="A73" t="s">
        <v>168</v>
      </c>
      <c r="B73">
        <v>124</v>
      </c>
      <c r="C73">
        <v>637.5</v>
      </c>
      <c r="D73">
        <v>601.5</v>
      </c>
      <c r="E73">
        <v>9.5132499999999993</v>
      </c>
      <c r="F73" t="s">
        <v>167</v>
      </c>
      <c r="G73">
        <v>139</v>
      </c>
      <c r="H73" t="s">
        <v>361</v>
      </c>
      <c r="I73" t="s">
        <v>12</v>
      </c>
      <c r="J73">
        <f ca="1">B73-VLOOKUP(I73,INDIRECT("フレーム変換表!A$1:B$" &amp; フレーム変換表!$D$1),2,FALSE)*2</f>
        <v>30</v>
      </c>
      <c r="K73" t="str">
        <f ca="1">VLOOKUP(F73,INDIRECT("球種変換表!A$1:B$" &amp; 球種変換表!$D$1),2,)</f>
        <v>全力ストレート</v>
      </c>
      <c r="L73">
        <f t="shared" si="3"/>
        <v>7.1942446043165471E-3</v>
      </c>
      <c r="M73">
        <f t="shared" ca="1" si="4"/>
        <v>0.49895833333333334</v>
      </c>
    </row>
    <row r="74" spans="1:13" hidden="1" x14ac:dyDescent="0.55000000000000004">
      <c r="A74" t="s">
        <v>169</v>
      </c>
      <c r="B74">
        <v>124</v>
      </c>
      <c r="C74">
        <v>638.5</v>
      </c>
      <c r="D74">
        <v>607.5</v>
      </c>
      <c r="E74">
        <v>9.5132499999999993</v>
      </c>
      <c r="F74" t="s">
        <v>161</v>
      </c>
      <c r="G74">
        <v>141</v>
      </c>
      <c r="H74" t="s">
        <v>361</v>
      </c>
      <c r="I74" t="s">
        <v>12</v>
      </c>
      <c r="J74">
        <f ca="1">B74-VLOOKUP(I74,INDIRECT("フレーム変換表!A$1:B$" &amp; フレーム変換表!$D$1),2,FALSE)*2</f>
        <v>30</v>
      </c>
      <c r="K74" t="str">
        <f ca="1">VLOOKUP(F74,INDIRECT("球種変換表!A$1:B$" &amp; 球種変換表!$D$1),2,)</f>
        <v>全力ストレート</v>
      </c>
      <c r="L74">
        <f t="shared" si="3"/>
        <v>7.0921985815602835E-3</v>
      </c>
      <c r="M74">
        <f t="shared" ca="1" si="4"/>
        <v>0.49479166666666669</v>
      </c>
    </row>
    <row r="75" spans="1:13" hidden="1" x14ac:dyDescent="0.55000000000000004">
      <c r="A75" t="s">
        <v>170</v>
      </c>
      <c r="B75">
        <v>125</v>
      </c>
      <c r="C75">
        <v>643.5</v>
      </c>
      <c r="D75">
        <v>639</v>
      </c>
      <c r="E75">
        <v>11.5435</v>
      </c>
      <c r="F75" t="s">
        <v>161</v>
      </c>
      <c r="G75">
        <v>142</v>
      </c>
      <c r="H75" t="s">
        <v>361</v>
      </c>
      <c r="I75" t="s">
        <v>12</v>
      </c>
      <c r="J75">
        <f ca="1">B75-VLOOKUP(I75,INDIRECT("フレーム変換表!A$1:B$" &amp; フレーム変換表!$D$1),2,FALSE)*2</f>
        <v>31</v>
      </c>
      <c r="K75" t="str">
        <f ca="1">VLOOKUP(F75,INDIRECT("球種変換表!A$1:B$" &amp; 球種変換表!$D$1),2,)</f>
        <v>全力ストレート</v>
      </c>
      <c r="L75">
        <f t="shared" si="3"/>
        <v>7.0422535211267607E-3</v>
      </c>
      <c r="M75">
        <f t="shared" ca="1" si="4"/>
        <v>0.48958333333333331</v>
      </c>
    </row>
    <row r="76" spans="1:13" hidden="1" x14ac:dyDescent="0.55000000000000004">
      <c r="A76" t="s">
        <v>171</v>
      </c>
      <c r="B76">
        <v>125</v>
      </c>
      <c r="C76">
        <v>642</v>
      </c>
      <c r="D76">
        <v>630.5</v>
      </c>
      <c r="E76">
        <v>12.01051</v>
      </c>
      <c r="F76" t="s">
        <v>161</v>
      </c>
      <c r="G76">
        <v>144</v>
      </c>
      <c r="H76" t="s">
        <v>361</v>
      </c>
      <c r="I76" t="s">
        <v>12</v>
      </c>
      <c r="J76">
        <f ca="1">B76-VLOOKUP(I76,INDIRECT("フレーム変換表!A$1:B$" &amp; フレーム変換表!$D$1),2,FALSE)*2</f>
        <v>31</v>
      </c>
      <c r="K76" t="str">
        <f ca="1">VLOOKUP(F76,INDIRECT("球種変換表!A$1:B$" &amp; 球種変換表!$D$1),2,)</f>
        <v>全力ストレート</v>
      </c>
      <c r="L76">
        <f t="shared" si="3"/>
        <v>6.9444444444444441E-3</v>
      </c>
      <c r="M76">
        <f t="shared" ca="1" si="4"/>
        <v>0.49548611111111113</v>
      </c>
    </row>
    <row r="77" spans="1:13" hidden="1" x14ac:dyDescent="0.55000000000000004">
      <c r="A77" t="s">
        <v>172</v>
      </c>
      <c r="B77">
        <v>125</v>
      </c>
      <c r="C77">
        <v>641</v>
      </c>
      <c r="D77">
        <v>618.5</v>
      </c>
      <c r="E77">
        <v>10.012589999999999</v>
      </c>
      <c r="F77" t="s">
        <v>161</v>
      </c>
      <c r="G77">
        <v>135</v>
      </c>
      <c r="H77" t="s">
        <v>361</v>
      </c>
      <c r="I77" t="s">
        <v>12</v>
      </c>
      <c r="J77">
        <f ca="1">B77-VLOOKUP(I77,INDIRECT("フレーム変換表!A$1:B$" &amp; フレーム変換表!$D$1),2,FALSE)*2</f>
        <v>31</v>
      </c>
      <c r="K77" t="str">
        <f ca="1">VLOOKUP(F77,INDIRECT("球種変換表!A$1:B$" &amp; 球種変換表!$D$1),2,)</f>
        <v>全力ストレート</v>
      </c>
      <c r="L77">
        <f t="shared" si="3"/>
        <v>7.4074074074074077E-3</v>
      </c>
      <c r="M77">
        <f t="shared" ca="1" si="4"/>
        <v>0.50381944444444449</v>
      </c>
    </row>
    <row r="78" spans="1:13" x14ac:dyDescent="0.55000000000000004">
      <c r="A78" t="s">
        <v>184</v>
      </c>
      <c r="B78">
        <v>94</v>
      </c>
      <c r="C78">
        <v>637</v>
      </c>
      <c r="D78">
        <v>614.5</v>
      </c>
      <c r="E78">
        <v>10.012589999999999</v>
      </c>
      <c r="F78" t="s">
        <v>0</v>
      </c>
      <c r="G78">
        <v>137</v>
      </c>
      <c r="H78" t="s">
        <v>362</v>
      </c>
      <c r="I78" t="s">
        <v>175</v>
      </c>
      <c r="J78">
        <f ca="1">(B78-VLOOKUP(I78,INDIRECT("フレーム変換表!A$1:B$"&amp;フレーム変換表!$D$1),2,FALSE)*2)</f>
        <v>35</v>
      </c>
      <c r="K78" t="str">
        <f ca="1">VLOOKUP(F78,INDIRECT("球種変換表!A$1:B$" &amp; 球種変換表!$D$1),2,)</f>
        <v>ストレート</v>
      </c>
      <c r="L78">
        <f t="shared" si="3"/>
        <v>7.2992700729927005E-3</v>
      </c>
      <c r="M78">
        <f t="shared" ca="1" si="4"/>
        <v>0.57326388888888891</v>
      </c>
    </row>
    <row r="79" spans="1:13" x14ac:dyDescent="0.55000000000000004">
      <c r="A79" t="s">
        <v>185</v>
      </c>
      <c r="B79">
        <v>94</v>
      </c>
      <c r="C79">
        <v>645.5</v>
      </c>
      <c r="D79">
        <v>623</v>
      </c>
      <c r="E79">
        <v>10.5001</v>
      </c>
      <c r="F79" t="s">
        <v>0</v>
      </c>
      <c r="G79">
        <v>131</v>
      </c>
      <c r="H79" t="s">
        <v>362</v>
      </c>
      <c r="I79" t="s">
        <v>175</v>
      </c>
      <c r="J79">
        <f ca="1">(B79-VLOOKUP(I79,INDIRECT("フレーム変換表!A$1:B$"&amp;フレーム変換表!$D$1),2,FALSE)*2)</f>
        <v>35</v>
      </c>
      <c r="K79" t="str">
        <f ca="1">VLOOKUP(F79,INDIRECT("球種変換表!A$1:B$" &amp; 球種変換表!$D$1),2,)</f>
        <v>ストレート</v>
      </c>
      <c r="L79">
        <f t="shared" si="3"/>
        <v>7.6335877862595417E-3</v>
      </c>
      <c r="M79">
        <f t="shared" ca="1" si="4"/>
        <v>0.56736111111111109</v>
      </c>
    </row>
    <row r="80" spans="1:13" x14ac:dyDescent="0.55000000000000004">
      <c r="A80" t="s">
        <v>186</v>
      </c>
      <c r="B80">
        <v>93</v>
      </c>
      <c r="C80">
        <v>642.5</v>
      </c>
      <c r="D80">
        <v>602</v>
      </c>
      <c r="E80">
        <v>10.5001</v>
      </c>
      <c r="F80" t="s">
        <v>0</v>
      </c>
      <c r="G80">
        <v>135</v>
      </c>
      <c r="H80" t="s">
        <v>362</v>
      </c>
      <c r="I80" t="s">
        <v>175</v>
      </c>
      <c r="J80">
        <f ca="1">(B80-VLOOKUP(I80,INDIRECT("フレーム変換表!A$1:B$"&amp;フレーム変換表!$D$1),2,FALSE)*2)</f>
        <v>34</v>
      </c>
      <c r="K80" t="str">
        <f ca="1">VLOOKUP(F80,INDIRECT("球種変換表!A$1:B$" &amp; 球種変換表!$D$1),2,)</f>
        <v>ストレート</v>
      </c>
      <c r="L80">
        <f t="shared" si="3"/>
        <v>7.4074074074074077E-3</v>
      </c>
      <c r="M80">
        <f t="shared" ca="1" si="4"/>
        <v>0.56527777777777777</v>
      </c>
    </row>
    <row r="81" spans="1:13" x14ac:dyDescent="0.55000000000000004">
      <c r="A81" t="s">
        <v>187</v>
      </c>
      <c r="B81">
        <v>94</v>
      </c>
      <c r="C81">
        <v>638.5</v>
      </c>
      <c r="D81">
        <v>618</v>
      </c>
      <c r="E81">
        <v>10.5001</v>
      </c>
      <c r="F81" t="s">
        <v>0</v>
      </c>
      <c r="G81">
        <v>138</v>
      </c>
      <c r="H81" t="s">
        <v>362</v>
      </c>
      <c r="I81" t="s">
        <v>175</v>
      </c>
      <c r="J81">
        <f ca="1">(B81-VLOOKUP(I81,INDIRECT("フレーム変換表!A$1:B$"&amp;フレーム変換表!$D$1),2,FALSE)*2)</f>
        <v>35</v>
      </c>
      <c r="K81" t="str">
        <f ca="1">VLOOKUP(F81,INDIRECT("球種変換表!A$1:B$" &amp; 球種変換表!$D$1),2,)</f>
        <v>ストレート</v>
      </c>
      <c r="L81">
        <f t="shared" si="3"/>
        <v>7.246376811594203E-3</v>
      </c>
      <c r="M81">
        <f t="shared" ca="1" si="4"/>
        <v>0.5708333333333333</v>
      </c>
    </row>
    <row r="82" spans="1:13" x14ac:dyDescent="0.55000000000000004">
      <c r="A82" t="s">
        <v>188</v>
      </c>
      <c r="B82">
        <v>94</v>
      </c>
      <c r="C82">
        <v>644</v>
      </c>
      <c r="D82">
        <v>626</v>
      </c>
      <c r="E82">
        <v>10.0001</v>
      </c>
      <c r="F82" t="s">
        <v>0</v>
      </c>
      <c r="G82">
        <v>140</v>
      </c>
      <c r="H82" t="s">
        <v>362</v>
      </c>
      <c r="I82" t="s">
        <v>175</v>
      </c>
      <c r="J82">
        <f ca="1">(B82-VLOOKUP(I82,INDIRECT("フレーム変換表!A$1:B$"&amp;フレーム変換表!$D$1),2,FALSE)*2)</f>
        <v>35</v>
      </c>
      <c r="K82" t="str">
        <f ca="1">VLOOKUP(F82,INDIRECT("球種変換表!A$1:B$" &amp; 球種変換表!$D$1),2,)</f>
        <v>ストレート</v>
      </c>
      <c r="L82">
        <f t="shared" si="3"/>
        <v>7.1428571428571426E-3</v>
      </c>
      <c r="M82">
        <f t="shared" ca="1" si="4"/>
        <v>0.56527777777777777</v>
      </c>
    </row>
    <row r="83" spans="1:13" x14ac:dyDescent="0.55000000000000004">
      <c r="A83" t="s">
        <v>189</v>
      </c>
      <c r="B83">
        <v>95</v>
      </c>
      <c r="C83">
        <v>632.5</v>
      </c>
      <c r="D83">
        <v>634.5</v>
      </c>
      <c r="E83">
        <v>11.510960000000001</v>
      </c>
      <c r="F83" t="s">
        <v>0</v>
      </c>
      <c r="G83">
        <v>137</v>
      </c>
      <c r="H83" t="s">
        <v>362</v>
      </c>
      <c r="I83" t="s">
        <v>175</v>
      </c>
      <c r="J83">
        <f ca="1">(B83-VLOOKUP(I83,INDIRECT("フレーム変換表!A$1:B$"&amp;フレーム変換表!$D$1),2,FALSE)*2)</f>
        <v>36</v>
      </c>
      <c r="K83" t="str">
        <f ca="1">VLOOKUP(F83,INDIRECT("球種変換表!A$1:B$" &amp; 球種変換表!$D$1),2,)</f>
        <v>ストレート</v>
      </c>
      <c r="L83">
        <f t="shared" si="3"/>
        <v>7.2992700729927005E-3</v>
      </c>
      <c r="M83">
        <f t="shared" ca="1" si="4"/>
        <v>0.57604166666666667</v>
      </c>
    </row>
    <row r="84" spans="1:13" x14ac:dyDescent="0.55000000000000004">
      <c r="A84" t="s">
        <v>190</v>
      </c>
      <c r="B84">
        <v>95</v>
      </c>
      <c r="C84">
        <v>643.5</v>
      </c>
      <c r="D84">
        <v>639</v>
      </c>
      <c r="E84">
        <v>11.5435</v>
      </c>
      <c r="F84" t="s">
        <v>0</v>
      </c>
      <c r="G84">
        <v>138</v>
      </c>
      <c r="H84" t="s">
        <v>362</v>
      </c>
      <c r="I84" t="s">
        <v>175</v>
      </c>
      <c r="J84">
        <f ca="1">(B84-VLOOKUP(I84,INDIRECT("フレーム変換表!A$1:B$"&amp;フレーム変換表!$D$1),2,FALSE)*2)</f>
        <v>36</v>
      </c>
      <c r="K84" t="str">
        <f ca="1">VLOOKUP(F84,INDIRECT("球種変換表!A$1:B$" &amp; 球種変換表!$D$1),2,)</f>
        <v>ストレート</v>
      </c>
      <c r="L84">
        <f t="shared" si="3"/>
        <v>7.246376811594203E-3</v>
      </c>
      <c r="M84">
        <f t="shared" ca="1" si="4"/>
        <v>0.57291666666666663</v>
      </c>
    </row>
    <row r="85" spans="1:13" x14ac:dyDescent="0.55000000000000004">
      <c r="A85" t="s">
        <v>191</v>
      </c>
      <c r="B85">
        <v>94</v>
      </c>
      <c r="C85">
        <v>646.5</v>
      </c>
      <c r="D85">
        <v>626</v>
      </c>
      <c r="E85">
        <v>10.5001</v>
      </c>
      <c r="F85" t="s">
        <v>0</v>
      </c>
      <c r="G85">
        <v>140</v>
      </c>
      <c r="H85" t="s">
        <v>362</v>
      </c>
      <c r="I85" t="s">
        <v>175</v>
      </c>
      <c r="J85">
        <f ca="1">(B85-VLOOKUP(I85,INDIRECT("フレーム変換表!A$1:B$"&amp;フレーム変換表!$D$1),2,FALSE)*2)</f>
        <v>35</v>
      </c>
      <c r="K85" t="str">
        <f ca="1">VLOOKUP(F85,INDIRECT("球種変換表!A$1:B$" &amp; 球種変換表!$D$1),2,)</f>
        <v>ストレート</v>
      </c>
      <c r="L85">
        <f t="shared" si="3"/>
        <v>7.1428571428571426E-3</v>
      </c>
      <c r="M85">
        <f t="shared" ca="1" si="4"/>
        <v>0.56527777777777777</v>
      </c>
    </row>
    <row r="86" spans="1:13" x14ac:dyDescent="0.55000000000000004">
      <c r="A86" t="s">
        <v>192</v>
      </c>
      <c r="B86">
        <v>95</v>
      </c>
      <c r="C86">
        <v>637</v>
      </c>
      <c r="D86">
        <v>642</v>
      </c>
      <c r="E86">
        <v>12.041689999999999</v>
      </c>
      <c r="F86" t="s">
        <v>0</v>
      </c>
      <c r="G86">
        <v>138</v>
      </c>
      <c r="H86" t="s">
        <v>362</v>
      </c>
      <c r="I86" t="s">
        <v>175</v>
      </c>
      <c r="J86">
        <f ca="1">(B86-VLOOKUP(I86,INDIRECT("フレーム変換表!A$1:B$"&amp;フレーム変換表!$D$1),2,FALSE)*2)</f>
        <v>36</v>
      </c>
      <c r="K86" t="str">
        <f ca="1">VLOOKUP(F86,INDIRECT("球種変換表!A$1:B$" &amp; 球種変換表!$D$1),2,)</f>
        <v>ストレート</v>
      </c>
      <c r="L86">
        <f t="shared" si="3"/>
        <v>7.246376811594203E-3</v>
      </c>
      <c r="M86">
        <f t="shared" ca="1" si="4"/>
        <v>0.5708333333333333</v>
      </c>
    </row>
    <row r="87" spans="1:13" x14ac:dyDescent="0.55000000000000004">
      <c r="A87" t="s">
        <v>193</v>
      </c>
      <c r="B87">
        <v>95</v>
      </c>
      <c r="C87">
        <v>637</v>
      </c>
      <c r="D87">
        <v>643</v>
      </c>
      <c r="E87">
        <v>12.041689999999999</v>
      </c>
      <c r="F87" t="s">
        <v>0</v>
      </c>
      <c r="G87">
        <v>138</v>
      </c>
      <c r="H87" t="s">
        <v>362</v>
      </c>
      <c r="I87" t="s">
        <v>175</v>
      </c>
      <c r="J87">
        <f ca="1">(B87-VLOOKUP(I87,INDIRECT("フレーム変換表!A$1:B$"&amp;フレーム変換表!$D$1),2,FALSE)*2)</f>
        <v>36</v>
      </c>
      <c r="K87" t="str">
        <f ca="1">VLOOKUP(F87,INDIRECT("球種変換表!A$1:B$" &amp; 球種変換表!$D$1),2,)</f>
        <v>ストレート</v>
      </c>
      <c r="L87">
        <f t="shared" si="3"/>
        <v>7.246376811594203E-3</v>
      </c>
      <c r="M87">
        <f t="shared" ca="1" si="4"/>
        <v>0.57013888888888897</v>
      </c>
    </row>
    <row r="88" spans="1:13" hidden="1" x14ac:dyDescent="0.55000000000000004">
      <c r="A88" t="s">
        <v>194</v>
      </c>
      <c r="B88">
        <v>91</v>
      </c>
      <c r="C88">
        <v>641.02080999999998</v>
      </c>
      <c r="D88">
        <v>641</v>
      </c>
      <c r="E88">
        <v>12.020949999999999</v>
      </c>
      <c r="F88" t="s">
        <v>161</v>
      </c>
      <c r="G88">
        <v>137</v>
      </c>
      <c r="H88" t="s">
        <v>362</v>
      </c>
      <c r="I88" t="s">
        <v>175</v>
      </c>
      <c r="J88">
        <f ca="1">B88-VLOOKUP(I88,INDIRECT("フレーム変換表!A$1:B$" &amp; フレーム変換表!$D$1),2,FALSE)*2</f>
        <v>32</v>
      </c>
      <c r="K88" t="str">
        <f ca="1">VLOOKUP(F88,INDIRECT("球種変換表!A$1:B$" &amp; 球種変換表!$D$1),2,)</f>
        <v>全力ストレート</v>
      </c>
      <c r="L88">
        <f t="shared" si="3"/>
        <v>7.2992700729927005E-3</v>
      </c>
      <c r="M88">
        <f t="shared" ca="1" si="4"/>
        <v>0.50486111111111109</v>
      </c>
    </row>
    <row r="89" spans="1:13" hidden="1" x14ac:dyDescent="0.55000000000000004">
      <c r="A89" t="s">
        <v>195</v>
      </c>
      <c r="B89">
        <v>91</v>
      </c>
      <c r="C89">
        <v>641</v>
      </c>
      <c r="D89">
        <v>642</v>
      </c>
      <c r="E89">
        <v>12.041689999999999</v>
      </c>
      <c r="F89" t="s">
        <v>161</v>
      </c>
      <c r="G89">
        <v>137</v>
      </c>
      <c r="H89" t="s">
        <v>362</v>
      </c>
      <c r="I89" t="s">
        <v>175</v>
      </c>
      <c r="J89">
        <f ca="1">B89-VLOOKUP(I89,INDIRECT("フレーム変換表!A$1:B$" &amp; フレーム変換表!$D$1),2,FALSE)*2</f>
        <v>32</v>
      </c>
      <c r="K89" t="str">
        <f ca="1">VLOOKUP(F89,INDIRECT("球種変換表!A$1:B$" &amp; 球種変換表!$D$1),2,)</f>
        <v>全力ストレート</v>
      </c>
      <c r="L89">
        <f t="shared" si="3"/>
        <v>7.2992700729927005E-3</v>
      </c>
      <c r="M89">
        <f t="shared" ca="1" si="4"/>
        <v>0.50416666666666665</v>
      </c>
    </row>
    <row r="90" spans="1:13" hidden="1" x14ac:dyDescent="0.55000000000000004">
      <c r="A90" t="s">
        <v>196</v>
      </c>
      <c r="B90">
        <v>90</v>
      </c>
      <c r="C90">
        <v>642</v>
      </c>
      <c r="D90">
        <v>613.5</v>
      </c>
      <c r="E90">
        <v>10.012589999999999</v>
      </c>
      <c r="F90" t="s">
        <v>161</v>
      </c>
      <c r="G90">
        <v>137</v>
      </c>
      <c r="H90" t="s">
        <v>362</v>
      </c>
      <c r="I90" t="s">
        <v>175</v>
      </c>
      <c r="J90">
        <f ca="1">B90-VLOOKUP(I90,INDIRECT("フレーム変換表!A$1:B$" &amp; フレーム変換表!$D$1),2,FALSE)*2</f>
        <v>31</v>
      </c>
      <c r="K90" t="str">
        <f ca="1">VLOOKUP(F90,INDIRECT("球種変換表!A$1:B$" &amp; 球種変換表!$D$1),2,)</f>
        <v>全力ストレート</v>
      </c>
      <c r="L90">
        <f t="shared" si="3"/>
        <v>7.2992700729927005E-3</v>
      </c>
      <c r="M90">
        <f t="shared" ca="1" si="4"/>
        <v>0.5072916666666667</v>
      </c>
    </row>
    <row r="91" spans="1:13" hidden="1" x14ac:dyDescent="0.55000000000000004">
      <c r="A91" t="s">
        <v>197</v>
      </c>
      <c r="B91">
        <v>91</v>
      </c>
      <c r="C91">
        <v>641</v>
      </c>
      <c r="D91">
        <v>644</v>
      </c>
      <c r="E91">
        <v>12.0001</v>
      </c>
      <c r="F91" t="s">
        <v>161</v>
      </c>
      <c r="G91">
        <v>138</v>
      </c>
      <c r="H91" t="s">
        <v>362</v>
      </c>
      <c r="I91" t="s">
        <v>175</v>
      </c>
      <c r="J91">
        <f ca="1">B91-VLOOKUP(I91,INDIRECT("フレーム変換表!A$1:B$" &amp; フレーム変換表!$D$1),2,FALSE)*2</f>
        <v>32</v>
      </c>
      <c r="K91" t="str">
        <f ca="1">VLOOKUP(F91,INDIRECT("球種変換表!A$1:B$" &amp; 球種変換表!$D$1),2,)</f>
        <v>全力ストレート</v>
      </c>
      <c r="L91">
        <f t="shared" si="3"/>
        <v>7.246376811594203E-3</v>
      </c>
      <c r="M91">
        <f t="shared" ca="1" si="4"/>
        <v>0.50277777777777777</v>
      </c>
    </row>
    <row r="92" spans="1:13" hidden="1" x14ac:dyDescent="0.55000000000000004">
      <c r="A92" t="s">
        <v>198</v>
      </c>
      <c r="B92">
        <v>90</v>
      </c>
      <c r="C92">
        <v>642</v>
      </c>
      <c r="D92">
        <v>632.5</v>
      </c>
      <c r="E92">
        <v>12.01051</v>
      </c>
      <c r="F92" t="s">
        <v>161</v>
      </c>
      <c r="G92">
        <v>141</v>
      </c>
      <c r="H92" t="s">
        <v>362</v>
      </c>
      <c r="I92" t="s">
        <v>175</v>
      </c>
      <c r="J92">
        <f ca="1">B92-VLOOKUP(I92,INDIRECT("フレーム変換表!A$1:B$" &amp; フレーム変換表!$D$1),2,FALSE)*2</f>
        <v>31</v>
      </c>
      <c r="K92" t="str">
        <f ca="1">VLOOKUP(F92,INDIRECT("球種変換表!A$1:B$" &amp; 球種変換表!$D$1),2,)</f>
        <v>全力ストレート</v>
      </c>
      <c r="L92">
        <f t="shared" si="3"/>
        <v>7.0921985815602835E-3</v>
      </c>
      <c r="M92">
        <f t="shared" ca="1" si="4"/>
        <v>0.49409722222222219</v>
      </c>
    </row>
    <row r="93" spans="1:13" hidden="1" x14ac:dyDescent="0.55000000000000004">
      <c r="A93" t="s">
        <v>199</v>
      </c>
      <c r="B93">
        <v>90</v>
      </c>
      <c r="C93">
        <v>642</v>
      </c>
      <c r="D93">
        <v>616.5</v>
      </c>
      <c r="E93">
        <v>10.012589999999999</v>
      </c>
      <c r="F93" t="s">
        <v>161</v>
      </c>
      <c r="G93">
        <v>138</v>
      </c>
      <c r="H93" t="s">
        <v>362</v>
      </c>
      <c r="I93" t="s">
        <v>175</v>
      </c>
      <c r="J93">
        <f ca="1">B93-VLOOKUP(I93,INDIRECT("フレーム変換表!A$1:B$" &amp; フレーム変換表!$D$1),2,FALSE)*2</f>
        <v>31</v>
      </c>
      <c r="K93" t="str">
        <f ca="1">VLOOKUP(F93,INDIRECT("球種変換表!A$1:B$" &amp; 球種変換表!$D$1),2,)</f>
        <v>全力ストレート</v>
      </c>
      <c r="L93">
        <f t="shared" si="3"/>
        <v>7.246376811594203E-3</v>
      </c>
      <c r="M93">
        <f t="shared" ca="1" si="4"/>
        <v>0.50520833333333337</v>
      </c>
    </row>
    <row r="94" spans="1:13" hidden="1" x14ac:dyDescent="0.55000000000000004">
      <c r="A94" t="s">
        <v>200</v>
      </c>
      <c r="B94">
        <v>90</v>
      </c>
      <c r="C94">
        <v>642</v>
      </c>
      <c r="D94">
        <v>618.5</v>
      </c>
      <c r="E94">
        <v>10.012589999999999</v>
      </c>
      <c r="F94" t="s">
        <v>161</v>
      </c>
      <c r="G94">
        <v>139</v>
      </c>
      <c r="H94" t="s">
        <v>362</v>
      </c>
      <c r="I94" t="s">
        <v>175</v>
      </c>
      <c r="J94">
        <f ca="1">B94-VLOOKUP(I94,INDIRECT("フレーム変換表!A$1:B$" &amp; フレーム変換表!$D$1),2,FALSE)*2</f>
        <v>31</v>
      </c>
      <c r="K94" t="str">
        <f ca="1">VLOOKUP(F94,INDIRECT("球種変換表!A$1:B$" &amp; 球種変換表!$D$1),2,)</f>
        <v>全力ストレート</v>
      </c>
      <c r="L94">
        <f t="shared" si="3"/>
        <v>7.1942446043165471E-3</v>
      </c>
      <c r="M94">
        <f t="shared" ca="1" si="4"/>
        <v>0.50381944444444449</v>
      </c>
    </row>
    <row r="95" spans="1:13" hidden="1" x14ac:dyDescent="0.55000000000000004">
      <c r="A95" t="s">
        <v>201</v>
      </c>
      <c r="B95">
        <v>90</v>
      </c>
      <c r="C95">
        <v>642</v>
      </c>
      <c r="D95">
        <v>613.5</v>
      </c>
      <c r="E95">
        <v>10.012589999999999</v>
      </c>
      <c r="F95" t="s">
        <v>161</v>
      </c>
      <c r="G95">
        <v>137</v>
      </c>
      <c r="H95" t="s">
        <v>362</v>
      </c>
      <c r="I95" t="s">
        <v>175</v>
      </c>
      <c r="J95">
        <f ca="1">B95-VLOOKUP(I95,INDIRECT("フレーム変換表!A$1:B$" &amp; フレーム変換表!$D$1),2,FALSE)*2</f>
        <v>31</v>
      </c>
      <c r="K95" t="str">
        <f ca="1">VLOOKUP(F95,INDIRECT("球種変換表!A$1:B$" &amp; 球種変換表!$D$1),2,)</f>
        <v>全力ストレート</v>
      </c>
      <c r="L95">
        <f t="shared" si="3"/>
        <v>7.2992700729927005E-3</v>
      </c>
      <c r="M95">
        <f t="shared" ca="1" si="4"/>
        <v>0.5072916666666667</v>
      </c>
    </row>
    <row r="96" spans="1:13" hidden="1" x14ac:dyDescent="0.55000000000000004">
      <c r="A96" t="s">
        <v>202</v>
      </c>
      <c r="B96">
        <v>91</v>
      </c>
      <c r="C96">
        <v>641</v>
      </c>
      <c r="D96">
        <v>643.5</v>
      </c>
      <c r="E96">
        <v>12.01051</v>
      </c>
      <c r="F96" t="s">
        <v>161</v>
      </c>
      <c r="G96">
        <v>138</v>
      </c>
      <c r="H96" t="s">
        <v>362</v>
      </c>
      <c r="I96" t="s">
        <v>175</v>
      </c>
      <c r="J96">
        <f ca="1">B96-VLOOKUP(I96,INDIRECT("フレーム変換表!A$1:B$" &amp; フレーム変換表!$D$1),2,FALSE)*2</f>
        <v>32</v>
      </c>
      <c r="K96" t="str">
        <f ca="1">VLOOKUP(F96,INDIRECT("球種変換表!A$1:B$" &amp; 球種変換表!$D$1),2,)</f>
        <v>全力ストレート</v>
      </c>
      <c r="L96">
        <f t="shared" si="3"/>
        <v>7.246376811594203E-3</v>
      </c>
      <c r="M96">
        <f t="shared" ca="1" si="4"/>
        <v>0.50312500000000004</v>
      </c>
    </row>
    <row r="97" spans="1:13" hidden="1" x14ac:dyDescent="0.55000000000000004">
      <c r="A97" t="s">
        <v>203</v>
      </c>
      <c r="B97">
        <v>90</v>
      </c>
      <c r="C97">
        <v>641.5</v>
      </c>
      <c r="D97">
        <v>633</v>
      </c>
      <c r="E97">
        <v>11.5435</v>
      </c>
      <c r="F97" t="s">
        <v>167</v>
      </c>
      <c r="G97">
        <v>141</v>
      </c>
      <c r="H97" t="s">
        <v>362</v>
      </c>
      <c r="I97" t="s">
        <v>175</v>
      </c>
      <c r="J97">
        <f ca="1">B97-VLOOKUP(I97,INDIRECT("フレーム変換表!A$1:B$" &amp; フレーム変換表!$D$1),2,FALSE)*2</f>
        <v>31</v>
      </c>
      <c r="K97" t="str">
        <f ca="1">VLOOKUP(F97,INDIRECT("球種変換表!A$1:B$" &amp; 球種変換表!$D$1),2,)</f>
        <v>全力ストレート</v>
      </c>
      <c r="L97">
        <f t="shared" si="3"/>
        <v>7.0921985815602835E-3</v>
      </c>
      <c r="M97">
        <f t="shared" ca="1" si="4"/>
        <v>0.49375000000000002</v>
      </c>
    </row>
    <row r="98" spans="1:13" hidden="1" x14ac:dyDescent="0.55000000000000004">
      <c r="A98" t="s">
        <v>205</v>
      </c>
      <c r="B98">
        <v>107</v>
      </c>
      <c r="C98">
        <v>643.5</v>
      </c>
      <c r="D98">
        <v>610</v>
      </c>
      <c r="E98">
        <v>10.5001</v>
      </c>
      <c r="F98" t="s">
        <v>204</v>
      </c>
      <c r="G98">
        <v>115</v>
      </c>
      <c r="H98" t="s">
        <v>362</v>
      </c>
      <c r="I98" t="s">
        <v>175</v>
      </c>
      <c r="J98">
        <f ca="1">B98-VLOOKUP(I98,INDIRECT("フレーム変換表!A$1:B$" &amp; フレーム変換表!$D$1),2,FALSE)*2</f>
        <v>48</v>
      </c>
      <c r="K98" t="str">
        <f ca="1">VLOOKUP(F98,INDIRECT("球種変換表!A$1:B$" &amp; 球種変換表!$D$1),2,)</f>
        <v>チェンジアップ</v>
      </c>
      <c r="L98">
        <f t="shared" si="3"/>
        <v>8.6956521739130436E-3</v>
      </c>
      <c r="M98">
        <f t="shared" ca="1" si="4"/>
        <v>0.79305555555555562</v>
      </c>
    </row>
    <row r="99" spans="1:13" hidden="1" x14ac:dyDescent="0.55000000000000004">
      <c r="A99" t="s">
        <v>206</v>
      </c>
      <c r="B99">
        <v>107</v>
      </c>
      <c r="C99">
        <v>634</v>
      </c>
      <c r="D99">
        <v>614.5</v>
      </c>
      <c r="E99">
        <v>10.012589999999999</v>
      </c>
      <c r="F99" t="s">
        <v>204</v>
      </c>
      <c r="G99">
        <v>115</v>
      </c>
      <c r="H99" t="s">
        <v>362</v>
      </c>
      <c r="I99" t="s">
        <v>175</v>
      </c>
      <c r="J99">
        <f ca="1">B99-VLOOKUP(I99,INDIRECT("フレーム変換表!A$1:B$" &amp; フレーム変換表!$D$1),2,FALSE)*2</f>
        <v>48</v>
      </c>
      <c r="K99" t="str">
        <f ca="1">VLOOKUP(F99,INDIRECT("球種変換表!A$1:B$" &amp; 球種変換表!$D$1),2,)</f>
        <v>チェンジアップ</v>
      </c>
      <c r="L99">
        <f t="shared" si="3"/>
        <v>8.6956521739130436E-3</v>
      </c>
      <c r="M99">
        <f t="shared" ca="1" si="4"/>
        <v>0.78993055555555558</v>
      </c>
    </row>
    <row r="100" spans="1:13" hidden="1" x14ac:dyDescent="0.55000000000000004">
      <c r="A100" t="s">
        <v>207</v>
      </c>
      <c r="B100">
        <v>106</v>
      </c>
      <c r="C100">
        <v>650</v>
      </c>
      <c r="D100">
        <v>601.5</v>
      </c>
      <c r="E100">
        <v>10.012589999999999</v>
      </c>
      <c r="F100" t="s">
        <v>204</v>
      </c>
      <c r="G100">
        <v>117</v>
      </c>
      <c r="H100" t="s">
        <v>362</v>
      </c>
      <c r="I100" t="s">
        <v>175</v>
      </c>
      <c r="J100">
        <f ca="1">B100-VLOOKUP(I100,INDIRECT("フレーム変換表!A$1:B$" &amp; フレーム変換表!$D$1),2,FALSE)*2</f>
        <v>47</v>
      </c>
      <c r="K100" t="str">
        <f ca="1">VLOOKUP(F100,INDIRECT("球種変換表!A$1:B$" &amp; 球種変換表!$D$1),2,)</f>
        <v>チェンジアップ</v>
      </c>
      <c r="L100">
        <f t="shared" si="3"/>
        <v>8.5470085470085479E-3</v>
      </c>
      <c r="M100">
        <f t="shared" ca="1" si="4"/>
        <v>0.78229166666666672</v>
      </c>
    </row>
    <row r="101" spans="1:13" hidden="1" x14ac:dyDescent="0.55000000000000004">
      <c r="A101" t="s">
        <v>208</v>
      </c>
      <c r="B101">
        <v>106</v>
      </c>
      <c r="C101">
        <v>644</v>
      </c>
      <c r="D101">
        <v>605.5</v>
      </c>
      <c r="E101">
        <v>10.012589999999999</v>
      </c>
      <c r="F101" t="s">
        <v>204</v>
      </c>
      <c r="G101">
        <v>117</v>
      </c>
      <c r="H101" t="s">
        <v>362</v>
      </c>
      <c r="I101" t="s">
        <v>175</v>
      </c>
      <c r="J101">
        <f ca="1">B101-VLOOKUP(I101,INDIRECT("フレーム変換表!A$1:B$" &amp; フレーム変換表!$D$1),2,FALSE)*2</f>
        <v>47</v>
      </c>
      <c r="K101" t="str">
        <f ca="1">VLOOKUP(F101,INDIRECT("球種変換表!A$1:B$" &amp; 球種変換表!$D$1),2,)</f>
        <v>チェンジアップ</v>
      </c>
      <c r="L101">
        <f t="shared" si="3"/>
        <v>8.5470085470085479E-3</v>
      </c>
      <c r="M101">
        <f t="shared" ca="1" si="4"/>
        <v>0.77951388888888895</v>
      </c>
    </row>
    <row r="102" spans="1:13" hidden="1" x14ac:dyDescent="0.55000000000000004">
      <c r="A102" t="s">
        <v>209</v>
      </c>
      <c r="B102">
        <v>107</v>
      </c>
      <c r="C102">
        <v>644</v>
      </c>
      <c r="D102">
        <v>612.5</v>
      </c>
      <c r="E102">
        <v>10.012589999999999</v>
      </c>
      <c r="F102" t="s">
        <v>204</v>
      </c>
      <c r="G102">
        <v>115</v>
      </c>
      <c r="H102" t="s">
        <v>362</v>
      </c>
      <c r="I102" t="s">
        <v>175</v>
      </c>
      <c r="J102">
        <f ca="1">B102-VLOOKUP(I102,INDIRECT("フレーム変換表!A$1:B$" &amp; フレーム変換表!$D$1),2,FALSE)*2</f>
        <v>48</v>
      </c>
      <c r="K102" t="str">
        <f ca="1">VLOOKUP(F102,INDIRECT("球種変換表!A$1:B$" &amp; 球種変換表!$D$1),2,)</f>
        <v>チェンジアップ</v>
      </c>
      <c r="L102">
        <f t="shared" si="3"/>
        <v>8.6956521739130436E-3</v>
      </c>
      <c r="M102">
        <f t="shared" ca="1" si="4"/>
        <v>0.79131944444444435</v>
      </c>
    </row>
    <row r="103" spans="1:13" hidden="1" x14ac:dyDescent="0.55000000000000004">
      <c r="A103" t="s">
        <v>210</v>
      </c>
      <c r="B103">
        <v>106</v>
      </c>
      <c r="C103">
        <v>649</v>
      </c>
      <c r="D103">
        <v>604.5</v>
      </c>
      <c r="E103">
        <v>10.012589999999999</v>
      </c>
      <c r="F103" t="s">
        <v>204</v>
      </c>
      <c r="G103">
        <v>117</v>
      </c>
      <c r="H103" t="s">
        <v>362</v>
      </c>
      <c r="I103" t="s">
        <v>175</v>
      </c>
      <c r="J103">
        <f ca="1">B103-VLOOKUP(I103,INDIRECT("フレーム変換表!A$1:B$" &amp; フレーム変換表!$D$1),2,FALSE)*2</f>
        <v>47</v>
      </c>
      <c r="K103" t="str">
        <f ca="1">VLOOKUP(F103,INDIRECT("球種変換表!A$1:B$" &amp; 球種変換表!$D$1),2,)</f>
        <v>チェンジアップ</v>
      </c>
      <c r="L103">
        <f t="shared" si="3"/>
        <v>8.5470085470085479E-3</v>
      </c>
      <c r="M103">
        <f t="shared" ca="1" si="4"/>
        <v>0.78020833333333328</v>
      </c>
    </row>
    <row r="104" spans="1:13" hidden="1" x14ac:dyDescent="0.55000000000000004">
      <c r="A104" t="s">
        <v>211</v>
      </c>
      <c r="B104">
        <v>107</v>
      </c>
      <c r="C104">
        <v>650</v>
      </c>
      <c r="D104">
        <v>617.5</v>
      </c>
      <c r="E104">
        <v>10.012589999999999</v>
      </c>
      <c r="F104" t="s">
        <v>204</v>
      </c>
      <c r="G104">
        <v>117</v>
      </c>
      <c r="H104" t="s">
        <v>362</v>
      </c>
      <c r="I104" t="s">
        <v>175</v>
      </c>
      <c r="J104">
        <f ca="1">B104-VLOOKUP(I104,INDIRECT("フレーム変換表!A$1:B$" &amp; フレーム変換表!$D$1),2,FALSE)*2</f>
        <v>48</v>
      </c>
      <c r="K104" t="str">
        <f ca="1">VLOOKUP(F104,INDIRECT("球種変換表!A$1:B$" &amp; 球種変換表!$D$1),2,)</f>
        <v>チェンジアップ</v>
      </c>
      <c r="L104">
        <f t="shared" si="3"/>
        <v>8.5470085470085479E-3</v>
      </c>
      <c r="M104">
        <f t="shared" ca="1" si="4"/>
        <v>0.78784722222222225</v>
      </c>
    </row>
    <row r="105" spans="1:13" hidden="1" x14ac:dyDescent="0.55000000000000004">
      <c r="A105" t="s">
        <v>212</v>
      </c>
      <c r="B105">
        <v>107</v>
      </c>
      <c r="C105">
        <v>640.5</v>
      </c>
      <c r="D105">
        <v>605.5</v>
      </c>
      <c r="E105">
        <v>9.5132499999999993</v>
      </c>
      <c r="F105" t="s">
        <v>204</v>
      </c>
      <c r="G105">
        <v>114</v>
      </c>
      <c r="H105" t="s">
        <v>362</v>
      </c>
      <c r="I105" t="s">
        <v>175</v>
      </c>
      <c r="J105">
        <f ca="1">B105-VLOOKUP(I105,INDIRECT("フレーム変換表!A$1:B$" &amp; フレーム変換表!$D$1),2,FALSE)*2</f>
        <v>48</v>
      </c>
      <c r="K105" t="str">
        <f ca="1">VLOOKUP(F105,INDIRECT("球種変換表!A$1:B$" &amp; 球種変換表!$D$1),2,)</f>
        <v>チェンジアップ</v>
      </c>
      <c r="L105">
        <f t="shared" si="3"/>
        <v>8.771929824561403E-3</v>
      </c>
      <c r="M105">
        <f t="shared" ca="1" si="4"/>
        <v>0.79618055555555556</v>
      </c>
    </row>
    <row r="106" spans="1:13" hidden="1" x14ac:dyDescent="0.55000000000000004">
      <c r="A106" t="s">
        <v>213</v>
      </c>
      <c r="B106">
        <v>108</v>
      </c>
      <c r="C106">
        <v>642.5</v>
      </c>
      <c r="D106">
        <v>622</v>
      </c>
      <c r="E106">
        <v>10.5001</v>
      </c>
      <c r="F106" t="s">
        <v>204</v>
      </c>
      <c r="G106">
        <v>116</v>
      </c>
      <c r="H106" t="s">
        <v>362</v>
      </c>
      <c r="I106" t="s">
        <v>175</v>
      </c>
      <c r="J106">
        <f ca="1">B106-VLOOKUP(I106,INDIRECT("フレーム変換表!A$1:B$" &amp; フレーム変換表!$D$1),2,FALSE)*2</f>
        <v>49</v>
      </c>
      <c r="K106" t="str">
        <f ca="1">VLOOKUP(F106,INDIRECT("球種変換表!A$1:B$" &amp; 球種変換表!$D$1),2,)</f>
        <v>チェンジアップ</v>
      </c>
      <c r="L106">
        <f t="shared" si="3"/>
        <v>8.6206896551724137E-3</v>
      </c>
      <c r="M106">
        <f t="shared" ca="1" si="4"/>
        <v>0.80138888888888893</v>
      </c>
    </row>
    <row r="107" spans="1:13" hidden="1" x14ac:dyDescent="0.55000000000000004">
      <c r="A107" t="s">
        <v>214</v>
      </c>
      <c r="B107">
        <v>108</v>
      </c>
      <c r="C107">
        <v>644</v>
      </c>
      <c r="D107">
        <v>616.5</v>
      </c>
      <c r="E107">
        <v>10.012589999999999</v>
      </c>
      <c r="F107" t="s">
        <v>204</v>
      </c>
      <c r="G107">
        <v>114</v>
      </c>
      <c r="H107" t="s">
        <v>362</v>
      </c>
      <c r="I107" t="s">
        <v>175</v>
      </c>
      <c r="J107">
        <f ca="1">B107-VLOOKUP(I107,INDIRECT("フレーム変換表!A$1:B$" &amp; フレーム変換表!$D$1),2,FALSE)*2</f>
        <v>49</v>
      </c>
      <c r="K107" t="str">
        <f ca="1">VLOOKUP(F107,INDIRECT("球種変換表!A$1:B$" &amp; 球種変換表!$D$1),2,)</f>
        <v>チェンジアップ</v>
      </c>
      <c r="L107">
        <f t="shared" si="3"/>
        <v>8.771929824561403E-3</v>
      </c>
      <c r="M107">
        <f t="shared" ca="1" si="4"/>
        <v>0.8052083333333333</v>
      </c>
    </row>
    <row r="108" spans="1:13" hidden="1" x14ac:dyDescent="0.55000000000000004">
      <c r="A108" t="s">
        <v>215</v>
      </c>
      <c r="B108">
        <v>114</v>
      </c>
      <c r="C108">
        <v>661</v>
      </c>
      <c r="D108">
        <v>623.5</v>
      </c>
      <c r="E108">
        <v>10.012589999999999</v>
      </c>
      <c r="F108" t="s">
        <v>176</v>
      </c>
      <c r="G108">
        <v>104</v>
      </c>
      <c r="H108" t="s">
        <v>362</v>
      </c>
      <c r="I108" t="s">
        <v>175</v>
      </c>
      <c r="J108">
        <f ca="1">B108-VLOOKUP(I108,INDIRECT("フレーム変換表!A$1:B$" &amp; フレーム変換表!$D$1),2,FALSE)*2</f>
        <v>55</v>
      </c>
      <c r="K108" t="str">
        <f ca="1">VLOOKUP(F108,INDIRECT("球種変換表!A$1:B$" &amp; 球種変換表!$D$1),2,)</f>
        <v>スローカーブ</v>
      </c>
      <c r="L108">
        <f t="shared" si="3"/>
        <v>9.6153846153846159E-3</v>
      </c>
      <c r="M108">
        <f t="shared" ca="1" si="4"/>
        <v>0.9003472222222223</v>
      </c>
    </row>
    <row r="109" spans="1:13" hidden="1" x14ac:dyDescent="0.55000000000000004">
      <c r="A109" t="s">
        <v>217</v>
      </c>
      <c r="B109">
        <v>119</v>
      </c>
      <c r="C109">
        <v>655</v>
      </c>
      <c r="D109">
        <v>617.5</v>
      </c>
      <c r="E109">
        <v>10.012589999999999</v>
      </c>
      <c r="F109" t="s">
        <v>216</v>
      </c>
      <c r="G109">
        <v>102</v>
      </c>
      <c r="H109" t="s">
        <v>362</v>
      </c>
      <c r="I109" t="s">
        <v>175</v>
      </c>
      <c r="J109">
        <f ca="1">B109-VLOOKUP(I109,INDIRECT("フレーム変換表!A$1:B$" &amp; フレーム変換表!$D$1),2,FALSE)*2</f>
        <v>60</v>
      </c>
      <c r="K109" t="str">
        <f ca="1">VLOOKUP(F109,INDIRECT("球種変換表!A$1:B$" &amp; 球種変換表!$D$1),2,)</f>
        <v>スローカーブ</v>
      </c>
      <c r="L109">
        <f t="shared" si="3"/>
        <v>9.8039215686274508E-3</v>
      </c>
      <c r="M109">
        <f t="shared" ca="1" si="4"/>
        <v>0.98784722222222221</v>
      </c>
    </row>
    <row r="110" spans="1:13" hidden="1" x14ac:dyDescent="0.55000000000000004">
      <c r="A110" t="s">
        <v>218</v>
      </c>
      <c r="B110">
        <v>118</v>
      </c>
      <c r="C110">
        <v>642</v>
      </c>
      <c r="D110">
        <v>608</v>
      </c>
      <c r="E110">
        <v>10.0001</v>
      </c>
      <c r="F110" t="s">
        <v>176</v>
      </c>
      <c r="G110">
        <v>102</v>
      </c>
      <c r="H110" t="s">
        <v>362</v>
      </c>
      <c r="I110" t="s">
        <v>175</v>
      </c>
      <c r="J110">
        <f ca="1">B110-VLOOKUP(I110,INDIRECT("フレーム変換表!A$1:B$" &amp; フレーム変換表!$D$1),2,FALSE)*2</f>
        <v>59</v>
      </c>
      <c r="K110" t="str">
        <f ca="1">VLOOKUP(F110,INDIRECT("球種変換表!A$1:B$" &amp; 球種変換表!$D$1),2,)</f>
        <v>スローカーブ</v>
      </c>
      <c r="L110">
        <f t="shared" si="3"/>
        <v>9.8039215686274508E-3</v>
      </c>
      <c r="M110">
        <f t="shared" ca="1" si="4"/>
        <v>0.97777777777777775</v>
      </c>
    </row>
    <row r="111" spans="1:13" hidden="1" x14ac:dyDescent="0.55000000000000004">
      <c r="A111" t="s">
        <v>220</v>
      </c>
      <c r="B111">
        <v>117</v>
      </c>
      <c r="C111">
        <v>642</v>
      </c>
      <c r="D111">
        <v>611</v>
      </c>
      <c r="E111">
        <v>10.0001</v>
      </c>
      <c r="F111" t="s">
        <v>219</v>
      </c>
      <c r="G111">
        <v>104</v>
      </c>
      <c r="H111" t="s">
        <v>362</v>
      </c>
      <c r="I111" t="s">
        <v>175</v>
      </c>
      <c r="J111">
        <f ca="1">B111-VLOOKUP(I111,INDIRECT("フレーム変換表!A$1:B$" &amp; フレーム変換表!$D$1),2,FALSE)*2</f>
        <v>58</v>
      </c>
      <c r="K111" t="str">
        <f ca="1">VLOOKUP(F111,INDIRECT("球種変換表!A$1:B$" &amp; 球種変換表!$D$1),2,)</f>
        <v>スローカーブ</v>
      </c>
      <c r="L111">
        <f t="shared" si="3"/>
        <v>9.6153846153846159E-3</v>
      </c>
      <c r="M111">
        <f t="shared" ca="1" si="4"/>
        <v>0.9590277777777777</v>
      </c>
    </row>
    <row r="112" spans="1:13" hidden="1" x14ac:dyDescent="0.55000000000000004">
      <c r="A112" t="s">
        <v>222</v>
      </c>
      <c r="B112">
        <v>119</v>
      </c>
      <c r="C112">
        <v>633.5</v>
      </c>
      <c r="D112">
        <v>623</v>
      </c>
      <c r="E112">
        <v>10.5001</v>
      </c>
      <c r="F112" t="s">
        <v>219</v>
      </c>
      <c r="G112" t="s">
        <v>221</v>
      </c>
      <c r="H112" t="s">
        <v>362</v>
      </c>
      <c r="I112" t="s">
        <v>175</v>
      </c>
      <c r="J112">
        <f ca="1">B112-VLOOKUP(I112,INDIRECT("フレーム変換表!A$1:B$" &amp; フレーム変換表!$D$1),2,FALSE)*2</f>
        <v>60</v>
      </c>
      <c r="K112" t="str">
        <f ca="1">VLOOKUP(F112,INDIRECT("球種変換表!A$1:B$" &amp; 球種変換表!$D$1),2,)</f>
        <v>スローカーブ</v>
      </c>
      <c r="L112" t="e">
        <f t="shared" si="3"/>
        <v>#VALUE!</v>
      </c>
      <c r="M112">
        <f t="shared" ca="1" si="4"/>
        <v>0.98402777777777772</v>
      </c>
    </row>
    <row r="113" spans="1:13" hidden="1" x14ac:dyDescent="0.55000000000000004">
      <c r="A113" t="s">
        <v>223</v>
      </c>
      <c r="B113">
        <v>117</v>
      </c>
      <c r="C113">
        <v>652</v>
      </c>
      <c r="D113">
        <v>612.5</v>
      </c>
      <c r="E113">
        <v>10.012589999999999</v>
      </c>
      <c r="F113" t="s">
        <v>176</v>
      </c>
      <c r="G113">
        <v>104</v>
      </c>
      <c r="H113" t="s">
        <v>362</v>
      </c>
      <c r="I113" t="s">
        <v>175</v>
      </c>
      <c r="J113">
        <f ca="1">B113-VLOOKUP(I113,INDIRECT("フレーム変換表!A$1:B$" &amp; フレーム変換表!$D$1),2,FALSE)*2</f>
        <v>58</v>
      </c>
      <c r="K113" t="str">
        <f ca="1">VLOOKUP(F113,INDIRECT("球種変換表!A$1:B$" &amp; 球種変換表!$D$1),2,)</f>
        <v>スローカーブ</v>
      </c>
      <c r="L113">
        <f t="shared" si="3"/>
        <v>9.6153846153846159E-3</v>
      </c>
      <c r="M113">
        <f t="shared" ca="1" si="4"/>
        <v>0.95798611111111109</v>
      </c>
    </row>
    <row r="114" spans="1:13" hidden="1" x14ac:dyDescent="0.55000000000000004">
      <c r="A114" t="s">
        <v>224</v>
      </c>
      <c r="B114">
        <v>118</v>
      </c>
      <c r="C114">
        <v>652.5</v>
      </c>
      <c r="D114">
        <v>618.5</v>
      </c>
      <c r="E114">
        <v>8.5147899999999996</v>
      </c>
      <c r="F114" t="s">
        <v>219</v>
      </c>
      <c r="G114">
        <v>104</v>
      </c>
      <c r="H114" t="s">
        <v>362</v>
      </c>
      <c r="I114" t="s">
        <v>175</v>
      </c>
      <c r="J114">
        <f ca="1">B114-VLOOKUP(I114,INDIRECT("フレーム変換表!A$1:B$" &amp; フレーム変換表!$D$1),2,FALSE)*2</f>
        <v>59</v>
      </c>
      <c r="K114" t="str">
        <f ca="1">VLOOKUP(F114,INDIRECT("球種変換表!A$1:B$" &amp; 球種変換表!$D$1),2,)</f>
        <v>スローカーブ</v>
      </c>
      <c r="L114">
        <f t="shared" si="3"/>
        <v>9.6153846153846159E-3</v>
      </c>
      <c r="M114">
        <f t="shared" ca="1" si="4"/>
        <v>0.97048611111111105</v>
      </c>
    </row>
    <row r="115" spans="1:13" hidden="1" x14ac:dyDescent="0.55000000000000004">
      <c r="A115" t="s">
        <v>225</v>
      </c>
      <c r="B115">
        <v>117</v>
      </c>
      <c r="C115">
        <v>658.5</v>
      </c>
      <c r="D115">
        <v>600.5</v>
      </c>
      <c r="E115">
        <v>9.5132499999999993</v>
      </c>
      <c r="F115" t="s">
        <v>176</v>
      </c>
      <c r="G115">
        <v>103</v>
      </c>
      <c r="H115" t="s">
        <v>362</v>
      </c>
      <c r="I115" t="s">
        <v>175</v>
      </c>
      <c r="J115">
        <f ca="1">B115-VLOOKUP(I115,INDIRECT("フレーム変換表!A$1:B$" &amp; フレーム変換表!$D$1),2,FALSE)*2</f>
        <v>58</v>
      </c>
      <c r="K115" t="str">
        <f ca="1">VLOOKUP(F115,INDIRECT("球種変換表!A$1:B$" &amp; 球種変換表!$D$1),2,)</f>
        <v>スローカーブ</v>
      </c>
      <c r="L115">
        <f t="shared" si="3"/>
        <v>9.7087378640776691E-3</v>
      </c>
      <c r="M115">
        <f t="shared" ca="1" si="4"/>
        <v>0.9663194444444444</v>
      </c>
    </row>
    <row r="116" spans="1:13" hidden="1" x14ac:dyDescent="0.55000000000000004">
      <c r="A116" t="s">
        <v>226</v>
      </c>
      <c r="B116">
        <v>119</v>
      </c>
      <c r="C116">
        <v>647</v>
      </c>
      <c r="D116">
        <v>616.5</v>
      </c>
      <c r="E116">
        <v>10.012589999999999</v>
      </c>
      <c r="F116" t="s">
        <v>176</v>
      </c>
      <c r="G116">
        <v>102</v>
      </c>
      <c r="H116" t="s">
        <v>362</v>
      </c>
      <c r="I116" t="s">
        <v>175</v>
      </c>
      <c r="J116">
        <f ca="1">B116-VLOOKUP(I116,INDIRECT("フレーム変換表!A$1:B$" &amp; フレーム変換表!$D$1),2,FALSE)*2</f>
        <v>60</v>
      </c>
      <c r="K116" t="str">
        <f ca="1">VLOOKUP(F116,INDIRECT("球種変換表!A$1:B$" &amp; 球種変換表!$D$1),2,)</f>
        <v>スローカーブ</v>
      </c>
      <c r="L116">
        <f t="shared" si="3"/>
        <v>9.8039215686274508E-3</v>
      </c>
      <c r="M116">
        <f t="shared" ca="1" si="4"/>
        <v>0.98854166666666665</v>
      </c>
    </row>
    <row r="117" spans="1:13" hidden="1" x14ac:dyDescent="0.55000000000000004">
      <c r="A117" t="s">
        <v>227</v>
      </c>
      <c r="B117">
        <v>118</v>
      </c>
      <c r="C117">
        <v>644.5</v>
      </c>
      <c r="D117">
        <v>603</v>
      </c>
      <c r="E117">
        <v>10.5001</v>
      </c>
      <c r="F117" t="s">
        <v>219</v>
      </c>
      <c r="G117">
        <v>101</v>
      </c>
      <c r="H117" t="s">
        <v>362</v>
      </c>
      <c r="I117" t="s">
        <v>175</v>
      </c>
      <c r="J117">
        <f ca="1">B117-VLOOKUP(I117,INDIRECT("フレーム変換表!A$1:B$" &amp; フレーム変換表!$D$1),2,FALSE)*2</f>
        <v>59</v>
      </c>
      <c r="K117" t="str">
        <f ca="1">VLOOKUP(F117,INDIRECT("球種変換表!A$1:B$" &amp; 球種変換表!$D$1),2,)</f>
        <v>スローカーブ</v>
      </c>
      <c r="L117">
        <f t="shared" si="3"/>
        <v>9.9009900990099011E-3</v>
      </c>
      <c r="M117">
        <f t="shared" ca="1" si="4"/>
        <v>0.98124999999999996</v>
      </c>
    </row>
    <row r="118" spans="1:13" hidden="1" x14ac:dyDescent="0.55000000000000004">
      <c r="A118" t="s">
        <v>228</v>
      </c>
      <c r="B118">
        <v>101</v>
      </c>
      <c r="C118">
        <v>610.97919000000002</v>
      </c>
      <c r="D118">
        <v>638</v>
      </c>
      <c r="E118">
        <v>12.020910000000001</v>
      </c>
      <c r="F118" t="s">
        <v>126</v>
      </c>
      <c r="G118">
        <v>125</v>
      </c>
      <c r="H118" t="s">
        <v>362</v>
      </c>
      <c r="I118" t="s">
        <v>175</v>
      </c>
      <c r="J118">
        <f ca="1">B118-VLOOKUP(I118,INDIRECT("フレーム変換表!A$1:B$" &amp; フレーム変換表!$D$1),2,FALSE)*2</f>
        <v>42</v>
      </c>
      <c r="K118" t="str">
        <f ca="1">VLOOKUP(F118,INDIRECT("球種変換表!A$1:B$" &amp; 球種変換表!$D$1),2,)</f>
        <v>スライダー</v>
      </c>
      <c r="L118">
        <f t="shared" si="3"/>
        <v>8.0000000000000002E-3</v>
      </c>
      <c r="M118">
        <f t="shared" ca="1" si="4"/>
        <v>0.67361111111111105</v>
      </c>
    </row>
    <row r="119" spans="1:13" hidden="1" x14ac:dyDescent="0.55000000000000004">
      <c r="A119" t="s">
        <v>229</v>
      </c>
      <c r="B119">
        <v>101</v>
      </c>
      <c r="C119">
        <v>627.5</v>
      </c>
      <c r="D119">
        <v>637.5</v>
      </c>
      <c r="E119">
        <v>11.510960000000001</v>
      </c>
      <c r="F119" t="s">
        <v>126</v>
      </c>
      <c r="G119">
        <v>126</v>
      </c>
      <c r="H119" t="s">
        <v>362</v>
      </c>
      <c r="I119" t="s">
        <v>175</v>
      </c>
      <c r="J119">
        <f ca="1">B119-VLOOKUP(I119,INDIRECT("フレーム変換表!A$1:B$" &amp; フレーム変換表!$D$1),2,FALSE)*2</f>
        <v>42</v>
      </c>
      <c r="K119" t="str">
        <f ca="1">VLOOKUP(F119,INDIRECT("球種変換表!A$1:B$" &amp; 球種変換表!$D$1),2,)</f>
        <v>スライダー</v>
      </c>
      <c r="L119">
        <f t="shared" si="3"/>
        <v>7.9365079365079361E-3</v>
      </c>
      <c r="M119">
        <f t="shared" ca="1" si="4"/>
        <v>0.67395833333333333</v>
      </c>
    </row>
    <row r="120" spans="1:13" hidden="1" x14ac:dyDescent="0.55000000000000004">
      <c r="A120" t="s">
        <v>230</v>
      </c>
      <c r="B120">
        <v>100</v>
      </c>
      <c r="C120">
        <v>624</v>
      </c>
      <c r="D120">
        <v>606.5</v>
      </c>
      <c r="E120">
        <v>10.012589999999999</v>
      </c>
      <c r="F120" t="s">
        <v>126</v>
      </c>
      <c r="G120">
        <v>121</v>
      </c>
      <c r="H120" t="s">
        <v>362</v>
      </c>
      <c r="I120" t="s">
        <v>175</v>
      </c>
      <c r="J120">
        <f ca="1">B120-VLOOKUP(I120,INDIRECT("フレーム変換表!A$1:B$" &amp; フレーム変換表!$D$1),2,FALSE)*2</f>
        <v>41</v>
      </c>
      <c r="K120" t="str">
        <f ca="1">VLOOKUP(F120,INDIRECT("球種変換表!A$1:B$" &amp; 球種変換表!$D$1),2,)</f>
        <v>スライダー</v>
      </c>
      <c r="L120">
        <f t="shared" si="3"/>
        <v>8.2644628099173556E-3</v>
      </c>
      <c r="M120">
        <f t="shared" ca="1" si="4"/>
        <v>0.67881944444444442</v>
      </c>
    </row>
    <row r="121" spans="1:13" hidden="1" x14ac:dyDescent="0.55000000000000004">
      <c r="A121" t="s">
        <v>231</v>
      </c>
      <c r="B121">
        <v>100</v>
      </c>
      <c r="C121">
        <v>635</v>
      </c>
      <c r="D121">
        <v>615.5</v>
      </c>
      <c r="E121">
        <v>10.012589999999999</v>
      </c>
      <c r="F121" t="s">
        <v>126</v>
      </c>
      <c r="G121">
        <v>126</v>
      </c>
      <c r="H121" t="s">
        <v>362</v>
      </c>
      <c r="I121" t="s">
        <v>175</v>
      </c>
      <c r="J121">
        <f ca="1">B121-VLOOKUP(I121,INDIRECT("フレーム変換表!A$1:B$" &amp; フレーム変換表!$D$1),2,FALSE)*2</f>
        <v>41</v>
      </c>
      <c r="K121" t="str">
        <f ca="1">VLOOKUP(F121,INDIRECT("球種変換表!A$1:B$" &amp; 球種変換表!$D$1),2,)</f>
        <v>スライダー</v>
      </c>
      <c r="L121">
        <f t="shared" si="3"/>
        <v>7.9365079365079361E-3</v>
      </c>
      <c r="M121">
        <f t="shared" ca="1" si="4"/>
        <v>0.67256944444444444</v>
      </c>
    </row>
    <row r="122" spans="1:13" hidden="1" x14ac:dyDescent="0.55000000000000004">
      <c r="A122" t="s">
        <v>232</v>
      </c>
      <c r="B122">
        <v>101</v>
      </c>
      <c r="C122">
        <v>620.5</v>
      </c>
      <c r="D122">
        <v>638.5</v>
      </c>
      <c r="E122">
        <v>11.510960000000001</v>
      </c>
      <c r="F122" t="s">
        <v>126</v>
      </c>
      <c r="G122">
        <v>126</v>
      </c>
      <c r="H122" t="s">
        <v>362</v>
      </c>
      <c r="I122" t="s">
        <v>175</v>
      </c>
      <c r="J122">
        <f ca="1">B122-VLOOKUP(I122,INDIRECT("フレーム変換表!A$1:B$" &amp; フレーム変換表!$D$1),2,FALSE)*2</f>
        <v>42</v>
      </c>
      <c r="K122" t="str">
        <f ca="1">VLOOKUP(F122,INDIRECT("球種変換表!A$1:B$" &amp; 球種変換表!$D$1),2,)</f>
        <v>スライダー</v>
      </c>
      <c r="L122">
        <f t="shared" si="3"/>
        <v>7.9365079365079361E-3</v>
      </c>
      <c r="M122">
        <f t="shared" ca="1" si="4"/>
        <v>0.67326388888888888</v>
      </c>
    </row>
    <row r="123" spans="1:13" hidden="1" x14ac:dyDescent="0.55000000000000004">
      <c r="A123" t="s">
        <v>233</v>
      </c>
      <c r="B123">
        <v>100</v>
      </c>
      <c r="C123">
        <v>633</v>
      </c>
      <c r="D123">
        <v>611</v>
      </c>
      <c r="E123">
        <v>10.0001</v>
      </c>
      <c r="F123" t="s">
        <v>126</v>
      </c>
      <c r="G123">
        <v>125</v>
      </c>
      <c r="H123" t="s">
        <v>362</v>
      </c>
      <c r="I123" t="s">
        <v>175</v>
      </c>
      <c r="J123">
        <f ca="1">B123-VLOOKUP(I123,INDIRECT("フレーム変換表!A$1:B$" &amp; フレーム変換表!$D$1),2,FALSE)*2</f>
        <v>41</v>
      </c>
      <c r="K123" t="str">
        <f ca="1">VLOOKUP(F123,INDIRECT("球種変換表!A$1:B$" &amp; 球種変換表!$D$1),2,)</f>
        <v>スライダー</v>
      </c>
      <c r="L123">
        <f t="shared" si="3"/>
        <v>8.0000000000000002E-3</v>
      </c>
      <c r="M123">
        <f t="shared" ca="1" si="4"/>
        <v>0.67569444444444438</v>
      </c>
    </row>
    <row r="124" spans="1:13" hidden="1" x14ac:dyDescent="0.55000000000000004">
      <c r="A124" t="s">
        <v>234</v>
      </c>
      <c r="B124">
        <v>101</v>
      </c>
      <c r="C124">
        <v>616.5</v>
      </c>
      <c r="D124">
        <v>624</v>
      </c>
      <c r="E124">
        <v>10.5001</v>
      </c>
      <c r="F124" t="s">
        <v>126</v>
      </c>
      <c r="G124">
        <v>124</v>
      </c>
      <c r="H124" t="s">
        <v>362</v>
      </c>
      <c r="I124" t="s">
        <v>175</v>
      </c>
      <c r="J124">
        <f ca="1">B124-VLOOKUP(I124,INDIRECT("フレーム変換表!A$1:B$" &amp; フレーム変換表!$D$1),2,FALSE)*2</f>
        <v>42</v>
      </c>
      <c r="K124" t="str">
        <f ca="1">VLOOKUP(F124,INDIRECT("球種変換表!A$1:B$" &amp; 球種変換表!$D$1),2,)</f>
        <v>スライダー</v>
      </c>
      <c r="L124">
        <f t="shared" si="3"/>
        <v>8.0645161290322578E-3</v>
      </c>
      <c r="M124">
        <f t="shared" ca="1" si="4"/>
        <v>0.68333333333333335</v>
      </c>
    </row>
    <row r="125" spans="1:13" hidden="1" x14ac:dyDescent="0.55000000000000004">
      <c r="A125" t="s">
        <v>235</v>
      </c>
      <c r="B125">
        <v>100</v>
      </c>
      <c r="C125">
        <v>618</v>
      </c>
      <c r="D125">
        <v>606.5</v>
      </c>
      <c r="E125">
        <v>10.012589999999999</v>
      </c>
      <c r="F125" t="s">
        <v>126</v>
      </c>
      <c r="G125">
        <v>124</v>
      </c>
      <c r="H125" t="s">
        <v>362</v>
      </c>
      <c r="I125" t="s">
        <v>175</v>
      </c>
      <c r="J125">
        <f ca="1">B125-VLOOKUP(I125,INDIRECT("フレーム変換表!A$1:B$" &amp; フレーム変換表!$D$1),2,FALSE)*2</f>
        <v>41</v>
      </c>
      <c r="K125" t="str">
        <f ca="1">VLOOKUP(F125,INDIRECT("球種変換表!A$1:B$" &amp; 球種変換表!$D$1),2,)</f>
        <v>スライダー</v>
      </c>
      <c r="L125">
        <f t="shared" si="3"/>
        <v>8.0645161290322578E-3</v>
      </c>
      <c r="M125">
        <f t="shared" ca="1" si="4"/>
        <v>0.67881944444444442</v>
      </c>
    </row>
    <row r="126" spans="1:13" hidden="1" x14ac:dyDescent="0.55000000000000004">
      <c r="A126" t="s">
        <v>236</v>
      </c>
      <c r="B126">
        <v>99</v>
      </c>
      <c r="C126">
        <v>634</v>
      </c>
      <c r="D126">
        <v>600.5</v>
      </c>
      <c r="E126">
        <v>10.012589999999999</v>
      </c>
      <c r="F126" t="s">
        <v>126</v>
      </c>
      <c r="G126">
        <v>126</v>
      </c>
      <c r="H126" t="s">
        <v>362</v>
      </c>
      <c r="I126" t="s">
        <v>175</v>
      </c>
      <c r="J126">
        <f ca="1">B126-VLOOKUP(I126,INDIRECT("フレーム変換表!A$1:B$" &amp; フレーム変換表!$D$1),2,FALSE)*2</f>
        <v>40</v>
      </c>
      <c r="K126" t="str">
        <f ca="1">VLOOKUP(F126,INDIRECT("球種変換表!A$1:B$" &amp; 球種変換表!$D$1),2,)</f>
        <v>スライダー</v>
      </c>
      <c r="L126">
        <f t="shared" si="3"/>
        <v>7.9365079365079361E-3</v>
      </c>
      <c r="M126">
        <f t="shared" ca="1" si="4"/>
        <v>0.66631944444444435</v>
      </c>
    </row>
    <row r="127" spans="1:13" hidden="1" x14ac:dyDescent="0.55000000000000004">
      <c r="A127" t="s">
        <v>237</v>
      </c>
      <c r="B127">
        <v>101</v>
      </c>
      <c r="C127">
        <v>618</v>
      </c>
      <c r="D127">
        <v>630.5</v>
      </c>
      <c r="E127">
        <v>12.01051</v>
      </c>
      <c r="F127" t="s">
        <v>126</v>
      </c>
      <c r="G127">
        <v>125</v>
      </c>
      <c r="H127" t="s">
        <v>362</v>
      </c>
      <c r="I127" t="s">
        <v>175</v>
      </c>
      <c r="J127">
        <f ca="1">B127-VLOOKUP(I127,INDIRECT("フレーム変換表!A$1:B$" &amp; フレーム変換表!$D$1),2,FALSE)*2</f>
        <v>42</v>
      </c>
      <c r="K127" t="str">
        <f ca="1">VLOOKUP(F127,INDIRECT("球種変換表!A$1:B$" &amp; 球種変換表!$D$1),2,)</f>
        <v>スライダー</v>
      </c>
      <c r="L127">
        <f t="shared" si="3"/>
        <v>8.0000000000000002E-3</v>
      </c>
      <c r="M127">
        <f t="shared" ca="1" si="4"/>
        <v>0.67881944444444442</v>
      </c>
    </row>
    <row r="128" spans="1:13" x14ac:dyDescent="0.55000000000000004">
      <c r="A128" t="s">
        <v>246</v>
      </c>
      <c r="B128">
        <v>60</v>
      </c>
      <c r="C128">
        <v>635.5</v>
      </c>
      <c r="D128">
        <v>636</v>
      </c>
      <c r="E128">
        <v>11.5435</v>
      </c>
      <c r="F128" t="s">
        <v>0</v>
      </c>
      <c r="G128">
        <v>148</v>
      </c>
      <c r="H128" t="s">
        <v>362</v>
      </c>
      <c r="I128" t="s">
        <v>244</v>
      </c>
      <c r="J128">
        <f ca="1">(B128-VLOOKUP(I128,INDIRECT("フレーム変換表!A$1:B$"&amp;フレーム変換表!$D$1),2,FALSE)*2)</f>
        <v>34</v>
      </c>
      <c r="K128" t="str">
        <f ca="1">VLOOKUP(F128,INDIRECT("球種変換表!A$1:B$" &amp; 球種変換表!$D$1),2,)</f>
        <v>ストレート</v>
      </c>
      <c r="L128">
        <f t="shared" ref="L128:L178" si="5">1/G128</f>
        <v>6.7567567567567571E-3</v>
      </c>
      <c r="M128">
        <f ca="1">(J128-(D128-600)/24)*2/120</f>
        <v>0.54166666666666663</v>
      </c>
    </row>
    <row r="129" spans="1:13" x14ac:dyDescent="0.55000000000000004">
      <c r="A129" t="s">
        <v>247</v>
      </c>
      <c r="B129">
        <v>60</v>
      </c>
      <c r="C129">
        <v>638.5</v>
      </c>
      <c r="D129">
        <v>631</v>
      </c>
      <c r="E129">
        <v>11.5435</v>
      </c>
      <c r="F129" t="s">
        <v>0</v>
      </c>
      <c r="G129">
        <v>146</v>
      </c>
      <c r="H129" t="s">
        <v>362</v>
      </c>
      <c r="I129" t="s">
        <v>244</v>
      </c>
      <c r="J129">
        <f ca="1">(B129-VLOOKUP(I129,INDIRECT("フレーム変換表!A$1:B$"&amp;フレーム変換表!$D$1),2,FALSE)*2)</f>
        <v>34</v>
      </c>
      <c r="K129" t="str">
        <f ca="1">VLOOKUP(F129,INDIRECT("球種変換表!A$1:B$" &amp; 球種変換表!$D$1),2,)</f>
        <v>ストレート</v>
      </c>
      <c r="L129">
        <f t="shared" si="5"/>
        <v>6.8493150684931503E-3</v>
      </c>
      <c r="M129">
        <f t="shared" ca="1" si="4"/>
        <v>0.54513888888888895</v>
      </c>
    </row>
    <row r="130" spans="1:13" x14ac:dyDescent="0.55000000000000004">
      <c r="A130" t="s">
        <v>248</v>
      </c>
      <c r="B130">
        <v>61</v>
      </c>
      <c r="C130">
        <v>644.5</v>
      </c>
      <c r="D130">
        <v>644.5</v>
      </c>
      <c r="E130">
        <v>12.5101</v>
      </c>
      <c r="F130" t="s">
        <v>0</v>
      </c>
      <c r="G130">
        <v>144</v>
      </c>
      <c r="H130" t="s">
        <v>362</v>
      </c>
      <c r="I130" t="s">
        <v>244</v>
      </c>
      <c r="J130">
        <f ca="1">(B130-VLOOKUP(I130,INDIRECT("フレーム変換表!A$1:B$"&amp;フレーム変換表!$D$1),2,FALSE)*2)</f>
        <v>35</v>
      </c>
      <c r="K130" t="str">
        <f ca="1">VLOOKUP(F130,INDIRECT("球種変換表!A$1:B$" &amp; 球種変換表!$D$1),2,)</f>
        <v>ストレート</v>
      </c>
      <c r="L130">
        <f t="shared" si="5"/>
        <v>6.9444444444444441E-3</v>
      </c>
      <c r="M130">
        <f t="shared" ca="1" si="4"/>
        <v>0.55243055555555565</v>
      </c>
    </row>
    <row r="131" spans="1:13" x14ac:dyDescent="0.55000000000000004">
      <c r="A131" t="s">
        <v>249</v>
      </c>
      <c r="B131">
        <v>60</v>
      </c>
      <c r="C131">
        <v>646</v>
      </c>
      <c r="D131">
        <v>623.5</v>
      </c>
      <c r="E131">
        <v>10.012589999999999</v>
      </c>
      <c r="F131" t="s">
        <v>0</v>
      </c>
      <c r="G131">
        <v>145</v>
      </c>
      <c r="H131" t="s">
        <v>362</v>
      </c>
      <c r="I131" t="s">
        <v>244</v>
      </c>
      <c r="J131">
        <f ca="1">(B131-VLOOKUP(I131,INDIRECT("フレーム変換表!A$1:B$"&amp;フレーム変換表!$D$1),2,FALSE)*2)</f>
        <v>34</v>
      </c>
      <c r="K131" t="str">
        <f ca="1">VLOOKUP(F131,INDIRECT("球種変換表!A$1:B$" &amp; 球種変換表!$D$1),2,)</f>
        <v>ストレート</v>
      </c>
      <c r="L131">
        <f t="shared" si="5"/>
        <v>6.8965517241379309E-3</v>
      </c>
      <c r="M131">
        <f t="shared" ref="M131:M137" ca="1" si="6">(J131-(D131-600)/24)*2/120</f>
        <v>0.55034722222222221</v>
      </c>
    </row>
    <row r="132" spans="1:13" x14ac:dyDescent="0.55000000000000004">
      <c r="A132" t="s">
        <v>250</v>
      </c>
      <c r="B132">
        <v>60</v>
      </c>
      <c r="C132">
        <v>648</v>
      </c>
      <c r="D132">
        <v>632.5</v>
      </c>
      <c r="E132">
        <v>12.01051</v>
      </c>
      <c r="F132" t="s">
        <v>0</v>
      </c>
      <c r="G132">
        <v>147</v>
      </c>
      <c r="H132" t="s">
        <v>362</v>
      </c>
      <c r="I132" t="s">
        <v>244</v>
      </c>
      <c r="J132">
        <f ca="1">(B132-VLOOKUP(I132,INDIRECT("フレーム変換表!A$1:B$"&amp;フレーム変換表!$D$1),2,FALSE)*2)</f>
        <v>34</v>
      </c>
      <c r="K132" t="str">
        <f ca="1">VLOOKUP(F132,INDIRECT("球種変換表!A$1:B$" &amp; 球種変換表!$D$1),2,)</f>
        <v>ストレート</v>
      </c>
      <c r="L132">
        <f t="shared" si="5"/>
        <v>6.8027210884353739E-3</v>
      </c>
      <c r="M132">
        <f t="shared" ca="1" si="6"/>
        <v>0.54409722222222223</v>
      </c>
    </row>
    <row r="133" spans="1:13" x14ac:dyDescent="0.55000000000000004">
      <c r="A133" t="s">
        <v>251</v>
      </c>
      <c r="B133">
        <v>60</v>
      </c>
      <c r="C133">
        <v>640</v>
      </c>
      <c r="D133">
        <v>618</v>
      </c>
      <c r="E133">
        <v>10.0001</v>
      </c>
      <c r="F133" t="s">
        <v>0</v>
      </c>
      <c r="G133">
        <v>143</v>
      </c>
      <c r="H133" t="s">
        <v>362</v>
      </c>
      <c r="I133" t="s">
        <v>244</v>
      </c>
      <c r="J133">
        <f ca="1">(B133-VLOOKUP(I133,INDIRECT("フレーム変換表!A$1:B$"&amp;フレーム変換表!$D$1),2,FALSE)*2)</f>
        <v>34</v>
      </c>
      <c r="K133" t="str">
        <f ca="1">VLOOKUP(F133,INDIRECT("球種変換表!A$1:B$" &amp; 球種変換表!$D$1),2,)</f>
        <v>ストレート</v>
      </c>
      <c r="L133">
        <f t="shared" si="5"/>
        <v>6.993006993006993E-3</v>
      </c>
      <c r="M133">
        <f t="shared" ca="1" si="6"/>
        <v>0.5541666666666667</v>
      </c>
    </row>
    <row r="134" spans="1:13" x14ac:dyDescent="0.55000000000000004">
      <c r="A134" t="s">
        <v>253</v>
      </c>
      <c r="B134">
        <v>59</v>
      </c>
      <c r="C134">
        <v>631</v>
      </c>
      <c r="D134">
        <v>601</v>
      </c>
      <c r="E134">
        <v>10.0001</v>
      </c>
      <c r="F134" t="s">
        <v>0</v>
      </c>
      <c r="G134" t="s">
        <v>252</v>
      </c>
      <c r="H134" t="s">
        <v>362</v>
      </c>
      <c r="I134" t="s">
        <v>244</v>
      </c>
      <c r="J134">
        <f ca="1">(B134-VLOOKUP(I134,INDIRECT("フレーム変換表!A$1:B$"&amp;フレーム変換表!$D$1),2,FALSE)*2)</f>
        <v>33</v>
      </c>
      <c r="K134" t="str">
        <f ca="1">VLOOKUP(F134,INDIRECT("球種変換表!A$1:B$" &amp; 球種変換表!$D$1),2,)</f>
        <v>ストレート</v>
      </c>
      <c r="L134" t="e">
        <f t="shared" si="5"/>
        <v>#VALUE!</v>
      </c>
      <c r="M134">
        <f t="shared" ca="1" si="6"/>
        <v>0.5493055555555556</v>
      </c>
    </row>
    <row r="135" spans="1:13" x14ac:dyDescent="0.55000000000000004">
      <c r="A135" t="s">
        <v>254</v>
      </c>
      <c r="B135">
        <v>59</v>
      </c>
      <c r="C135">
        <v>635.5</v>
      </c>
      <c r="D135">
        <v>603</v>
      </c>
      <c r="E135">
        <v>10.5001</v>
      </c>
      <c r="F135" t="s">
        <v>0</v>
      </c>
      <c r="G135">
        <v>145</v>
      </c>
      <c r="H135" t="s">
        <v>362</v>
      </c>
      <c r="I135" t="s">
        <v>244</v>
      </c>
      <c r="J135">
        <f ca="1">(B135-VLOOKUP(I135,INDIRECT("フレーム変換表!A$1:B$"&amp;フレーム変換表!$D$1),2,FALSE)*2)</f>
        <v>33</v>
      </c>
      <c r="K135" t="str">
        <f ca="1">VLOOKUP(F135,INDIRECT("球種変換表!A$1:B$" &amp; 球種変換表!$D$1),2,)</f>
        <v>ストレート</v>
      </c>
      <c r="L135">
        <f t="shared" si="5"/>
        <v>6.8965517241379309E-3</v>
      </c>
      <c r="M135">
        <f t="shared" ca="1" si="6"/>
        <v>0.54791666666666672</v>
      </c>
    </row>
    <row r="136" spans="1:13" x14ac:dyDescent="0.55000000000000004">
      <c r="A136" t="s">
        <v>255</v>
      </c>
      <c r="B136">
        <v>59</v>
      </c>
      <c r="C136">
        <v>640</v>
      </c>
      <c r="D136">
        <v>601.5</v>
      </c>
      <c r="E136">
        <v>10.012589999999999</v>
      </c>
      <c r="F136" t="s">
        <v>0</v>
      </c>
      <c r="G136">
        <v>146</v>
      </c>
      <c r="H136" t="s">
        <v>362</v>
      </c>
      <c r="I136" t="s">
        <v>244</v>
      </c>
      <c r="J136">
        <f ca="1">(B136-VLOOKUP(I136,INDIRECT("フレーム変換表!A$1:B$"&amp;フレーム変換表!$D$1),2,FALSE)*2)</f>
        <v>33</v>
      </c>
      <c r="K136" t="str">
        <f ca="1">VLOOKUP(F136,INDIRECT("球種変換表!A$1:B$" &amp; 球種変換表!$D$1),2,)</f>
        <v>ストレート</v>
      </c>
      <c r="L136">
        <f t="shared" si="5"/>
        <v>6.8493150684931503E-3</v>
      </c>
      <c r="M136">
        <f t="shared" ca="1" si="6"/>
        <v>0.54895833333333333</v>
      </c>
    </row>
    <row r="137" spans="1:13" x14ac:dyDescent="0.55000000000000004">
      <c r="A137" t="s">
        <v>256</v>
      </c>
      <c r="B137">
        <v>59</v>
      </c>
      <c r="C137">
        <v>646</v>
      </c>
      <c r="D137">
        <v>612</v>
      </c>
      <c r="E137">
        <v>10.0001</v>
      </c>
      <c r="F137" t="s">
        <v>0</v>
      </c>
      <c r="G137">
        <v>148</v>
      </c>
      <c r="H137" t="s">
        <v>362</v>
      </c>
      <c r="I137" t="s">
        <v>244</v>
      </c>
      <c r="J137">
        <f ca="1">(B137-VLOOKUP(I137,INDIRECT("フレーム変換表!A$1:B$"&amp;フレーム変換表!$D$1),2,FALSE)*2)</f>
        <v>33</v>
      </c>
      <c r="K137" t="str">
        <f ca="1">VLOOKUP(F137,INDIRECT("球種変換表!A$1:B$" &amp; 球種変換表!$D$1),2,)</f>
        <v>ストレート</v>
      </c>
      <c r="L137">
        <f t="shared" si="5"/>
        <v>6.7567567567567571E-3</v>
      </c>
      <c r="M137">
        <f t="shared" ca="1" si="6"/>
        <v>0.54166666666666663</v>
      </c>
    </row>
    <row r="138" spans="1:13" hidden="1" x14ac:dyDescent="0.55000000000000004">
      <c r="A138" t="s">
        <v>258</v>
      </c>
      <c r="B138">
        <v>56</v>
      </c>
      <c r="C138">
        <v>640</v>
      </c>
      <c r="D138">
        <v>616.5</v>
      </c>
      <c r="E138">
        <v>10.012589999999999</v>
      </c>
      <c r="F138" t="s">
        <v>257</v>
      </c>
      <c r="G138">
        <v>144</v>
      </c>
      <c r="H138" t="s">
        <v>362</v>
      </c>
      <c r="I138" t="s">
        <v>244</v>
      </c>
      <c r="J138">
        <f ca="1">B138-VLOOKUP(I138,INDIRECT("フレーム変換表!A$1:B$" &amp; フレーム変換表!$D$1),2,FALSE)*2</f>
        <v>30</v>
      </c>
      <c r="K138" t="e">
        <f ca="1">VLOOKUP(F138,INDIRECT("球種変換表!A$1:B$" &amp; 球種変換表!$D$1),2,)</f>
        <v>#N/A</v>
      </c>
      <c r="L138">
        <f t="shared" si="5"/>
        <v>6.9444444444444441E-3</v>
      </c>
      <c r="M138">
        <f t="shared" ref="M128:M188" ca="1" si="7">(J138-(D138-600)/24)*2/120</f>
        <v>0.48854166666666665</v>
      </c>
    </row>
    <row r="139" spans="1:13" hidden="1" x14ac:dyDescent="0.55000000000000004">
      <c r="A139" t="s">
        <v>259</v>
      </c>
      <c r="B139">
        <v>55</v>
      </c>
      <c r="C139">
        <v>637.5</v>
      </c>
      <c r="D139">
        <v>600.5</v>
      </c>
      <c r="E139">
        <v>9.5132499999999993</v>
      </c>
      <c r="F139" t="s">
        <v>161</v>
      </c>
      <c r="G139">
        <v>148</v>
      </c>
      <c r="H139" t="s">
        <v>362</v>
      </c>
      <c r="I139" t="s">
        <v>244</v>
      </c>
      <c r="J139">
        <f ca="1">B139-VLOOKUP(I139,INDIRECT("フレーム変換表!A$1:B$" &amp; フレーム変換表!$D$1),2,FALSE)*2</f>
        <v>29</v>
      </c>
      <c r="K139" t="str">
        <f ca="1">VLOOKUP(F139,INDIRECT("球種変換表!A$1:B$" &amp; 球種変換表!$D$1),2,)</f>
        <v>全力ストレート</v>
      </c>
      <c r="L139">
        <f t="shared" si="5"/>
        <v>6.7567567567567571E-3</v>
      </c>
      <c r="M139">
        <f t="shared" ca="1" si="7"/>
        <v>0.48298611111111112</v>
      </c>
    </row>
    <row r="140" spans="1:13" hidden="1" x14ac:dyDescent="0.55000000000000004">
      <c r="A140" t="s">
        <v>260</v>
      </c>
      <c r="B140">
        <v>57</v>
      </c>
      <c r="C140">
        <v>642.22222999999997</v>
      </c>
      <c r="D140">
        <v>650</v>
      </c>
      <c r="E140">
        <v>9.27637</v>
      </c>
      <c r="F140" t="s">
        <v>161</v>
      </c>
      <c r="G140">
        <v>145</v>
      </c>
      <c r="H140" t="s">
        <v>362</v>
      </c>
      <c r="I140" t="s">
        <v>244</v>
      </c>
      <c r="J140">
        <f ca="1">B140-VLOOKUP(I140,INDIRECT("フレーム変換表!A$1:B$" &amp; フレーム変換表!$D$1),2,FALSE)*2</f>
        <v>31</v>
      </c>
      <c r="K140" t="str">
        <f ca="1">VLOOKUP(F140,INDIRECT("球種変換表!A$1:B$" &amp; 球種変換表!$D$1),2,)</f>
        <v>全力ストレート</v>
      </c>
      <c r="L140">
        <f t="shared" si="5"/>
        <v>6.8965517241379309E-3</v>
      </c>
      <c r="M140">
        <f t="shared" ca="1" si="7"/>
        <v>0.48194444444444445</v>
      </c>
    </row>
    <row r="141" spans="1:13" hidden="1" x14ac:dyDescent="0.55000000000000004">
      <c r="A141" t="s">
        <v>261</v>
      </c>
      <c r="B141">
        <v>57</v>
      </c>
      <c r="C141">
        <v>642.5</v>
      </c>
      <c r="D141">
        <v>646</v>
      </c>
      <c r="E141">
        <v>9.7083399999999997</v>
      </c>
      <c r="F141" t="s">
        <v>161</v>
      </c>
      <c r="G141">
        <v>144</v>
      </c>
      <c r="H141" t="s">
        <v>362</v>
      </c>
      <c r="I141" t="s">
        <v>244</v>
      </c>
      <c r="J141">
        <f ca="1">B141-VLOOKUP(I141,INDIRECT("フレーム変換表!A$1:B$" &amp; フレーム変換表!$D$1),2,FALSE)*2</f>
        <v>31</v>
      </c>
      <c r="K141" t="str">
        <f ca="1">VLOOKUP(F141,INDIRECT("球種変換表!A$1:B$" &amp; 球種変換表!$D$1),2,)</f>
        <v>全力ストレート</v>
      </c>
      <c r="L141">
        <f t="shared" si="5"/>
        <v>6.9444444444444441E-3</v>
      </c>
      <c r="M141">
        <f t="shared" ca="1" si="7"/>
        <v>0.48472222222222222</v>
      </c>
    </row>
    <row r="142" spans="1:13" hidden="1" x14ac:dyDescent="0.55000000000000004">
      <c r="A142" t="s">
        <v>262</v>
      </c>
      <c r="B142">
        <v>56</v>
      </c>
      <c r="C142">
        <v>642</v>
      </c>
      <c r="D142">
        <v>626</v>
      </c>
      <c r="E142">
        <v>9.0000999999999998</v>
      </c>
      <c r="F142" t="s">
        <v>161</v>
      </c>
      <c r="G142">
        <v>147</v>
      </c>
      <c r="H142" t="s">
        <v>362</v>
      </c>
      <c r="I142" t="s">
        <v>244</v>
      </c>
      <c r="J142">
        <f ca="1">B142-VLOOKUP(I142,INDIRECT("フレーム変換表!A$1:B$" &amp; フレーム変換表!$D$1),2,FALSE)*2</f>
        <v>30</v>
      </c>
      <c r="K142" t="str">
        <f ca="1">VLOOKUP(F142,INDIRECT("球種変換表!A$1:B$" &amp; 球種変換表!$D$1),2,)</f>
        <v>全力ストレート</v>
      </c>
      <c r="L142">
        <f t="shared" si="5"/>
        <v>6.8027210884353739E-3</v>
      </c>
      <c r="M142">
        <f t="shared" ca="1" si="7"/>
        <v>0.48194444444444445</v>
      </c>
    </row>
    <row r="143" spans="1:13" hidden="1" x14ac:dyDescent="0.55000000000000004">
      <c r="A143" t="s">
        <v>263</v>
      </c>
      <c r="B143">
        <v>57</v>
      </c>
      <c r="C143">
        <v>642.61767999999995</v>
      </c>
      <c r="D143">
        <v>651.5</v>
      </c>
      <c r="E143">
        <v>8.7472899999999996</v>
      </c>
      <c r="F143" t="s">
        <v>161</v>
      </c>
      <c r="G143">
        <v>146</v>
      </c>
      <c r="H143" t="s">
        <v>362</v>
      </c>
      <c r="I143" t="s">
        <v>244</v>
      </c>
      <c r="J143">
        <f ca="1">B143-VLOOKUP(I143,INDIRECT("フレーム変換表!A$1:B$" &amp; フレーム変換表!$D$1),2,FALSE)*2</f>
        <v>31</v>
      </c>
      <c r="K143" t="str">
        <f ca="1">VLOOKUP(F143,INDIRECT("球種変換表!A$1:B$" &amp; 球種変換表!$D$1),2,)</f>
        <v>全力ストレート</v>
      </c>
      <c r="L143">
        <f t="shared" si="5"/>
        <v>6.8493150684931503E-3</v>
      </c>
      <c r="M143">
        <f t="shared" ca="1" si="7"/>
        <v>0.48090277777777779</v>
      </c>
    </row>
    <row r="144" spans="1:13" hidden="1" x14ac:dyDescent="0.55000000000000004">
      <c r="A144" t="s">
        <v>264</v>
      </c>
      <c r="B144">
        <v>56</v>
      </c>
      <c r="C144">
        <v>641.5</v>
      </c>
      <c r="D144">
        <v>626.5</v>
      </c>
      <c r="E144">
        <v>9.5132499999999993</v>
      </c>
      <c r="F144" t="s">
        <v>161</v>
      </c>
      <c r="G144">
        <v>147</v>
      </c>
      <c r="H144" t="s">
        <v>362</v>
      </c>
      <c r="I144" t="s">
        <v>244</v>
      </c>
      <c r="J144">
        <f ca="1">B144-VLOOKUP(I144,INDIRECT("フレーム変換表!A$1:B$" &amp; フレーム変換表!$D$1),2,FALSE)*2</f>
        <v>30</v>
      </c>
      <c r="K144" t="str">
        <f ca="1">VLOOKUP(F144,INDIRECT("球種変換表!A$1:B$" &amp; 球種変換表!$D$1),2,)</f>
        <v>全力ストレート</v>
      </c>
      <c r="L144">
        <f t="shared" si="5"/>
        <v>6.8027210884353739E-3</v>
      </c>
      <c r="M144">
        <f t="shared" ca="1" si="7"/>
        <v>0.48159722222222218</v>
      </c>
    </row>
    <row r="145" spans="1:13" hidden="1" x14ac:dyDescent="0.55000000000000004">
      <c r="A145" t="s">
        <v>265</v>
      </c>
      <c r="B145">
        <v>56</v>
      </c>
      <c r="C145">
        <v>642</v>
      </c>
      <c r="D145">
        <v>630</v>
      </c>
      <c r="E145">
        <v>10.0001</v>
      </c>
      <c r="F145" t="s">
        <v>161</v>
      </c>
      <c r="G145">
        <v>148</v>
      </c>
      <c r="H145" t="s">
        <v>362</v>
      </c>
      <c r="I145" t="s">
        <v>244</v>
      </c>
      <c r="J145">
        <f ca="1">B145-VLOOKUP(I145,INDIRECT("フレーム変換表!A$1:B$" &amp; フレーム変換表!$D$1),2,FALSE)*2</f>
        <v>30</v>
      </c>
      <c r="K145" t="str">
        <f ca="1">VLOOKUP(F145,INDIRECT("球種変換表!A$1:B$" &amp; 球種変換表!$D$1),2,)</f>
        <v>全力ストレート</v>
      </c>
      <c r="L145">
        <f t="shared" si="5"/>
        <v>6.7567567567567571E-3</v>
      </c>
      <c r="M145">
        <f t="shared" ca="1" si="7"/>
        <v>0.47916666666666669</v>
      </c>
    </row>
    <row r="146" spans="1:13" hidden="1" x14ac:dyDescent="0.55000000000000004">
      <c r="A146" t="s">
        <v>266</v>
      </c>
      <c r="B146">
        <v>56</v>
      </c>
      <c r="C146">
        <v>640</v>
      </c>
      <c r="D146">
        <v>615.5</v>
      </c>
      <c r="E146">
        <v>10.012589999999999</v>
      </c>
      <c r="F146" t="s">
        <v>161</v>
      </c>
      <c r="G146">
        <v>141</v>
      </c>
      <c r="H146" t="s">
        <v>362</v>
      </c>
      <c r="I146" t="s">
        <v>244</v>
      </c>
      <c r="J146">
        <f ca="1">B146-VLOOKUP(I146,INDIRECT("フレーム変換表!A$1:B$" &amp; フレーム変換表!$D$1),2,FALSE)*2</f>
        <v>30</v>
      </c>
      <c r="K146" t="str">
        <f ca="1">VLOOKUP(F146,INDIRECT("球種変換表!A$1:B$" &amp; 球種変換表!$D$1),2,)</f>
        <v>全力ストレート</v>
      </c>
      <c r="L146">
        <f t="shared" si="5"/>
        <v>7.0921985815602835E-3</v>
      </c>
      <c r="M146">
        <f t="shared" ca="1" si="7"/>
        <v>0.48923611111111115</v>
      </c>
    </row>
    <row r="147" spans="1:13" hidden="1" x14ac:dyDescent="0.55000000000000004">
      <c r="A147" t="s">
        <v>267</v>
      </c>
      <c r="B147">
        <v>57</v>
      </c>
      <c r="C147">
        <v>642.22222999999997</v>
      </c>
      <c r="D147">
        <v>648</v>
      </c>
      <c r="E147">
        <v>9.27637</v>
      </c>
      <c r="F147" t="s">
        <v>167</v>
      </c>
      <c r="G147">
        <v>144</v>
      </c>
      <c r="H147" t="s">
        <v>362</v>
      </c>
      <c r="I147" t="s">
        <v>244</v>
      </c>
      <c r="J147">
        <f ca="1">B147-VLOOKUP(I147,INDIRECT("フレーム変換表!A$1:B$" &amp; フレーム変換表!$D$1),2,FALSE)*2</f>
        <v>31</v>
      </c>
      <c r="K147" t="str">
        <f ca="1">VLOOKUP(F147,INDIRECT("球種変換表!A$1:B$" &amp; 球種変換表!$D$1),2,)</f>
        <v>全力ストレート</v>
      </c>
      <c r="L147">
        <f t="shared" si="5"/>
        <v>6.9444444444444441E-3</v>
      </c>
      <c r="M147">
        <f t="shared" ca="1" si="7"/>
        <v>0.48333333333333334</v>
      </c>
    </row>
    <row r="148" spans="1:13" hidden="1" x14ac:dyDescent="0.55000000000000004">
      <c r="A148" t="s">
        <v>269</v>
      </c>
      <c r="B148">
        <v>63</v>
      </c>
      <c r="C148">
        <v>656</v>
      </c>
      <c r="D148">
        <v>622</v>
      </c>
      <c r="E148">
        <v>10.0001</v>
      </c>
      <c r="F148" t="s">
        <v>268</v>
      </c>
      <c r="G148">
        <v>140</v>
      </c>
      <c r="H148" t="s">
        <v>362</v>
      </c>
      <c r="I148" t="s">
        <v>244</v>
      </c>
      <c r="J148">
        <f ca="1">B148-VLOOKUP(I148,INDIRECT("フレーム変換表!A$1:B$" &amp; フレーム変換表!$D$1),2,FALSE)*2</f>
        <v>37</v>
      </c>
      <c r="K148" t="str">
        <f ca="1">VLOOKUP(F148,INDIRECT("球種変換表!A$1:B$" &amp; 球種変換表!$D$1),2,)</f>
        <v>カットボール</v>
      </c>
      <c r="L148">
        <f t="shared" si="5"/>
        <v>7.1428571428571426E-3</v>
      </c>
      <c r="M148">
        <f t="shared" ca="1" si="7"/>
        <v>0.60138888888888897</v>
      </c>
    </row>
    <row r="149" spans="1:13" hidden="1" x14ac:dyDescent="0.55000000000000004">
      <c r="A149" t="s">
        <v>270</v>
      </c>
      <c r="B149">
        <v>64</v>
      </c>
      <c r="C149">
        <v>649</v>
      </c>
      <c r="D149">
        <v>643</v>
      </c>
      <c r="E149">
        <v>12.041689999999999</v>
      </c>
      <c r="F149" t="s">
        <v>268</v>
      </c>
      <c r="G149">
        <v>139</v>
      </c>
      <c r="H149" t="s">
        <v>362</v>
      </c>
      <c r="I149" t="s">
        <v>244</v>
      </c>
      <c r="J149">
        <f ca="1">B149-VLOOKUP(I149,INDIRECT("フレーム変換表!A$1:B$" &amp; フレーム変換表!$D$1),2,FALSE)*2</f>
        <v>38</v>
      </c>
      <c r="K149" t="str">
        <f ca="1">VLOOKUP(F149,INDIRECT("球種変換表!A$1:B$" &amp; 球種変換表!$D$1),2,)</f>
        <v>カットボール</v>
      </c>
      <c r="L149">
        <f t="shared" si="5"/>
        <v>7.1942446043165471E-3</v>
      </c>
      <c r="M149">
        <f t="shared" ca="1" si="7"/>
        <v>0.6034722222222223</v>
      </c>
    </row>
    <row r="150" spans="1:13" hidden="1" x14ac:dyDescent="0.55000000000000004">
      <c r="A150" t="s">
        <v>271</v>
      </c>
      <c r="B150">
        <v>62</v>
      </c>
      <c r="C150">
        <v>652</v>
      </c>
      <c r="D150">
        <v>604</v>
      </c>
      <c r="E150">
        <v>10.0001</v>
      </c>
      <c r="F150" t="s">
        <v>268</v>
      </c>
      <c r="G150">
        <v>140</v>
      </c>
      <c r="H150" t="s">
        <v>362</v>
      </c>
      <c r="I150" t="s">
        <v>244</v>
      </c>
      <c r="J150">
        <f ca="1">B150-VLOOKUP(I150,INDIRECT("フレーム変換表!A$1:B$" &amp; フレーム変換表!$D$1),2,FALSE)*2</f>
        <v>36</v>
      </c>
      <c r="K150" t="str">
        <f ca="1">VLOOKUP(F150,INDIRECT("球種変換表!A$1:B$" &amp; 球種変換表!$D$1),2,)</f>
        <v>カットボール</v>
      </c>
      <c r="L150">
        <f t="shared" si="5"/>
        <v>7.1428571428571426E-3</v>
      </c>
      <c r="M150">
        <f t="shared" ca="1" si="7"/>
        <v>0.59722222222222221</v>
      </c>
    </row>
    <row r="151" spans="1:13" hidden="1" x14ac:dyDescent="0.55000000000000004">
      <c r="A151" t="s">
        <v>272</v>
      </c>
      <c r="B151">
        <v>63</v>
      </c>
      <c r="C151">
        <v>645</v>
      </c>
      <c r="D151">
        <v>624.5</v>
      </c>
      <c r="E151">
        <v>10.012589999999999</v>
      </c>
      <c r="F151" t="s">
        <v>268</v>
      </c>
      <c r="G151">
        <v>146</v>
      </c>
      <c r="H151" t="s">
        <v>362</v>
      </c>
      <c r="I151" t="s">
        <v>244</v>
      </c>
      <c r="J151">
        <f ca="1">B151-VLOOKUP(I151,INDIRECT("フレーム変換表!A$1:B$" &amp; フレーム変換表!$D$1),2,FALSE)*2</f>
        <v>37</v>
      </c>
      <c r="K151" t="str">
        <f ca="1">VLOOKUP(F151,INDIRECT("球種変換表!A$1:B$" &amp; 球種変換表!$D$1),2,)</f>
        <v>カットボール</v>
      </c>
      <c r="L151">
        <f t="shared" si="5"/>
        <v>6.8493150684931503E-3</v>
      </c>
      <c r="M151">
        <f t="shared" ca="1" si="7"/>
        <v>0.5996527777777777</v>
      </c>
    </row>
    <row r="152" spans="1:13" hidden="1" x14ac:dyDescent="0.55000000000000004">
      <c r="A152" t="s">
        <v>273</v>
      </c>
      <c r="B152">
        <v>63</v>
      </c>
      <c r="C152">
        <v>660.5</v>
      </c>
      <c r="D152">
        <v>623.5</v>
      </c>
      <c r="E152">
        <v>10.512</v>
      </c>
      <c r="F152" t="s">
        <v>268</v>
      </c>
      <c r="G152">
        <v>140</v>
      </c>
      <c r="H152" t="s">
        <v>362</v>
      </c>
      <c r="I152" t="s">
        <v>244</v>
      </c>
      <c r="J152">
        <f ca="1">B152-VLOOKUP(I152,INDIRECT("フレーム変換表!A$1:B$" &amp; フレーム変換表!$D$1),2,FALSE)*2</f>
        <v>37</v>
      </c>
      <c r="K152" t="str">
        <f ca="1">VLOOKUP(F152,INDIRECT("球種変換表!A$1:B$" &amp; 球種変換表!$D$1),2,)</f>
        <v>カットボール</v>
      </c>
      <c r="L152">
        <f t="shared" si="5"/>
        <v>7.1428571428571426E-3</v>
      </c>
      <c r="M152">
        <f t="shared" ca="1" si="7"/>
        <v>0.60034722222222225</v>
      </c>
    </row>
    <row r="153" spans="1:13" hidden="1" x14ac:dyDescent="0.55000000000000004">
      <c r="A153" t="s">
        <v>275</v>
      </c>
      <c r="B153">
        <v>63</v>
      </c>
      <c r="C153">
        <v>636.5</v>
      </c>
      <c r="D153">
        <v>614</v>
      </c>
      <c r="E153">
        <v>10.5001</v>
      </c>
      <c r="F153" t="s">
        <v>268</v>
      </c>
      <c r="G153" t="s">
        <v>274</v>
      </c>
      <c r="H153" t="s">
        <v>362</v>
      </c>
      <c r="I153" t="s">
        <v>244</v>
      </c>
      <c r="J153">
        <f ca="1">B153-VLOOKUP(I153,INDIRECT("フレーム変換表!A$1:B$" &amp; フレーム変換表!$D$1),2,FALSE)*2</f>
        <v>37</v>
      </c>
      <c r="K153" t="str">
        <f ca="1">VLOOKUP(F153,INDIRECT("球種変換表!A$1:B$" &amp; 球種変換表!$D$1),2,)</f>
        <v>カットボール</v>
      </c>
      <c r="L153" t="e">
        <f t="shared" si="5"/>
        <v>#VALUE!</v>
      </c>
      <c r="M153">
        <f t="shared" ca="1" si="7"/>
        <v>0.6069444444444444</v>
      </c>
    </row>
    <row r="154" spans="1:13" hidden="1" x14ac:dyDescent="0.55000000000000004">
      <c r="A154" t="s">
        <v>276</v>
      </c>
      <c r="B154">
        <v>64</v>
      </c>
      <c r="C154">
        <v>649.02080999999998</v>
      </c>
      <c r="D154">
        <v>640</v>
      </c>
      <c r="E154">
        <v>12.020949999999999</v>
      </c>
      <c r="F154" t="s">
        <v>268</v>
      </c>
      <c r="G154">
        <v>135</v>
      </c>
      <c r="H154" t="s">
        <v>362</v>
      </c>
      <c r="I154" t="s">
        <v>244</v>
      </c>
      <c r="J154">
        <f ca="1">B154-VLOOKUP(I154,INDIRECT("フレーム変換表!A$1:B$" &amp; フレーム変換表!$D$1),2,FALSE)*2</f>
        <v>38</v>
      </c>
      <c r="K154" t="str">
        <f ca="1">VLOOKUP(F154,INDIRECT("球種変換表!A$1:B$" &amp; 球種変換表!$D$1),2,)</f>
        <v>カットボール</v>
      </c>
      <c r="L154">
        <f t="shared" si="5"/>
        <v>7.4074074074074077E-3</v>
      </c>
      <c r="M154">
        <f t="shared" ca="1" si="7"/>
        <v>0.60555555555555562</v>
      </c>
    </row>
    <row r="155" spans="1:13" hidden="1" x14ac:dyDescent="0.55000000000000004">
      <c r="A155" t="s">
        <v>277</v>
      </c>
      <c r="B155">
        <v>63</v>
      </c>
      <c r="C155">
        <v>643</v>
      </c>
      <c r="D155">
        <v>612</v>
      </c>
      <c r="E155">
        <v>10.0001</v>
      </c>
      <c r="F155" t="s">
        <v>268</v>
      </c>
      <c r="G155">
        <v>137</v>
      </c>
      <c r="H155" t="s">
        <v>362</v>
      </c>
      <c r="I155" t="s">
        <v>244</v>
      </c>
      <c r="J155">
        <f ca="1">B155-VLOOKUP(I155,INDIRECT("フレーム変換表!A$1:B$" &amp; フレーム変換表!$D$1),2,FALSE)*2</f>
        <v>37</v>
      </c>
      <c r="K155" t="str">
        <f ca="1">VLOOKUP(F155,INDIRECT("球種変換表!A$1:B$" &amp; 球種変換表!$D$1),2,)</f>
        <v>カットボール</v>
      </c>
      <c r="L155">
        <f t="shared" si="5"/>
        <v>7.2992700729927005E-3</v>
      </c>
      <c r="M155">
        <f t="shared" ca="1" si="7"/>
        <v>0.60833333333333328</v>
      </c>
    </row>
    <row r="156" spans="1:13" hidden="1" x14ac:dyDescent="0.55000000000000004">
      <c r="A156" t="s">
        <v>278</v>
      </c>
      <c r="B156">
        <v>63</v>
      </c>
      <c r="C156">
        <v>633</v>
      </c>
      <c r="D156">
        <v>618</v>
      </c>
      <c r="E156">
        <v>10.0001</v>
      </c>
      <c r="F156" t="s">
        <v>268</v>
      </c>
      <c r="G156">
        <v>139</v>
      </c>
      <c r="H156" t="s">
        <v>362</v>
      </c>
      <c r="I156" t="s">
        <v>244</v>
      </c>
      <c r="J156">
        <f ca="1">B156-VLOOKUP(I156,INDIRECT("フレーム変換表!A$1:B$" &amp; フレーム変換表!$D$1),2,FALSE)*2</f>
        <v>37</v>
      </c>
      <c r="K156" t="str">
        <f ca="1">VLOOKUP(F156,INDIRECT("球種変換表!A$1:B$" &amp; 球種変換表!$D$1),2,)</f>
        <v>カットボール</v>
      </c>
      <c r="L156">
        <f t="shared" si="5"/>
        <v>7.1942446043165471E-3</v>
      </c>
      <c r="M156">
        <f t="shared" ca="1" si="7"/>
        <v>0.60416666666666663</v>
      </c>
    </row>
    <row r="157" spans="1:13" hidden="1" x14ac:dyDescent="0.55000000000000004">
      <c r="A157" t="s">
        <v>279</v>
      </c>
      <c r="B157">
        <v>63</v>
      </c>
      <c r="C157">
        <v>650.5</v>
      </c>
      <c r="D157">
        <v>608.5</v>
      </c>
      <c r="E157">
        <v>9.5132499999999993</v>
      </c>
      <c r="F157" t="s">
        <v>268</v>
      </c>
      <c r="G157">
        <v>136</v>
      </c>
      <c r="H157" t="s">
        <v>362</v>
      </c>
      <c r="I157" t="s">
        <v>244</v>
      </c>
      <c r="J157">
        <f ca="1">B157-VLOOKUP(I157,INDIRECT("フレーム変換表!A$1:B$" &amp; フレーム変換表!$D$1),2,FALSE)*2</f>
        <v>37</v>
      </c>
      <c r="K157" t="str">
        <f ca="1">VLOOKUP(F157,INDIRECT("球種変換表!A$1:B$" &amp; 球種変換表!$D$1),2,)</f>
        <v>カットボール</v>
      </c>
      <c r="L157">
        <f t="shared" si="5"/>
        <v>7.3529411764705881E-3</v>
      </c>
      <c r="M157">
        <f t="shared" ca="1" si="7"/>
        <v>0.61076388888888888</v>
      </c>
    </row>
    <row r="158" spans="1:13" hidden="1" x14ac:dyDescent="0.55000000000000004">
      <c r="A158" t="s">
        <v>281</v>
      </c>
      <c r="B158">
        <v>74</v>
      </c>
      <c r="C158">
        <v>622</v>
      </c>
      <c r="D158">
        <v>602</v>
      </c>
      <c r="E158">
        <v>10.0001</v>
      </c>
      <c r="F158" t="s">
        <v>280</v>
      </c>
      <c r="G158">
        <v>118</v>
      </c>
      <c r="H158" t="s">
        <v>362</v>
      </c>
      <c r="I158" t="s">
        <v>244</v>
      </c>
      <c r="J158">
        <f ca="1">B158-VLOOKUP(I158,INDIRECT("フレーム変換表!A$1:B$" &amp; フレーム変換表!$D$1),2,FALSE)*2</f>
        <v>48</v>
      </c>
      <c r="K158" t="str">
        <f ca="1">VLOOKUP(F158,INDIRECT("球種変換表!A$1:B$" &amp; 球種変換表!$D$1),2,)</f>
        <v>ナックルカーブ</v>
      </c>
      <c r="L158">
        <f t="shared" si="5"/>
        <v>8.4745762711864406E-3</v>
      </c>
      <c r="M158">
        <f t="shared" ca="1" si="7"/>
        <v>0.79861111111111105</v>
      </c>
    </row>
    <row r="159" spans="1:13" hidden="1" x14ac:dyDescent="0.55000000000000004">
      <c r="A159" t="s">
        <v>282</v>
      </c>
      <c r="B159">
        <v>74</v>
      </c>
      <c r="C159">
        <v>639.5</v>
      </c>
      <c r="D159">
        <v>605</v>
      </c>
      <c r="E159">
        <v>10.5001</v>
      </c>
      <c r="F159" t="s">
        <v>280</v>
      </c>
      <c r="G159">
        <v>119</v>
      </c>
      <c r="H159" t="s">
        <v>362</v>
      </c>
      <c r="I159" t="s">
        <v>244</v>
      </c>
      <c r="J159">
        <f ca="1">B159-VLOOKUP(I159,INDIRECT("フレーム変換表!A$1:B$" &amp; フレーム変換表!$D$1),2,FALSE)*2</f>
        <v>48</v>
      </c>
      <c r="K159" t="str">
        <f ca="1">VLOOKUP(F159,INDIRECT("球種変換表!A$1:B$" &amp; 球種変換表!$D$1),2,)</f>
        <v>ナックルカーブ</v>
      </c>
      <c r="L159">
        <f t="shared" si="5"/>
        <v>8.4033613445378148E-3</v>
      </c>
      <c r="M159">
        <f t="shared" ca="1" si="7"/>
        <v>0.79652777777777772</v>
      </c>
    </row>
    <row r="160" spans="1:13" hidden="1" x14ac:dyDescent="0.55000000000000004">
      <c r="A160" t="s">
        <v>283</v>
      </c>
      <c r="B160">
        <v>74</v>
      </c>
      <c r="C160">
        <v>642</v>
      </c>
      <c r="D160">
        <v>602.5</v>
      </c>
      <c r="E160">
        <v>10.012589999999999</v>
      </c>
      <c r="F160" t="s">
        <v>280</v>
      </c>
      <c r="G160">
        <v>118</v>
      </c>
      <c r="H160" t="s">
        <v>362</v>
      </c>
      <c r="I160" t="s">
        <v>244</v>
      </c>
      <c r="J160">
        <f ca="1">B160-VLOOKUP(I160,INDIRECT("フレーム変換表!A$1:B$" &amp; フレーム変換表!$D$1),2,FALSE)*2</f>
        <v>48</v>
      </c>
      <c r="K160" t="str">
        <f ca="1">VLOOKUP(F160,INDIRECT("球種変換表!A$1:B$" &amp; 球種変換表!$D$1),2,)</f>
        <v>ナックルカーブ</v>
      </c>
      <c r="L160">
        <f t="shared" si="5"/>
        <v>8.4745762711864406E-3</v>
      </c>
      <c r="M160">
        <f t="shared" ca="1" si="7"/>
        <v>0.79826388888888888</v>
      </c>
    </row>
    <row r="161" spans="1:13" hidden="1" x14ac:dyDescent="0.55000000000000004">
      <c r="A161" t="s">
        <v>284</v>
      </c>
      <c r="B161">
        <v>75</v>
      </c>
      <c r="C161">
        <v>654</v>
      </c>
      <c r="D161">
        <v>614</v>
      </c>
      <c r="E161">
        <v>10.0001</v>
      </c>
      <c r="F161" t="s">
        <v>280</v>
      </c>
      <c r="G161">
        <v>118</v>
      </c>
      <c r="H161" t="s">
        <v>362</v>
      </c>
      <c r="I161" t="s">
        <v>244</v>
      </c>
      <c r="J161">
        <f ca="1">B161-VLOOKUP(I161,INDIRECT("フレーム変換表!A$1:B$" &amp; フレーム変換表!$D$1),2,FALSE)*2</f>
        <v>49</v>
      </c>
      <c r="K161" t="str">
        <f ca="1">VLOOKUP(F161,INDIRECT("球種変換表!A$1:B$" &amp; 球種変換表!$D$1),2,)</f>
        <v>ナックルカーブ</v>
      </c>
      <c r="L161">
        <f t="shared" si="5"/>
        <v>8.4745762711864406E-3</v>
      </c>
      <c r="M161">
        <f t="shared" ca="1" si="7"/>
        <v>0.80694444444444435</v>
      </c>
    </row>
    <row r="162" spans="1:13" hidden="1" x14ac:dyDescent="0.55000000000000004">
      <c r="A162" t="s">
        <v>285</v>
      </c>
      <c r="B162">
        <v>75</v>
      </c>
      <c r="C162">
        <v>668</v>
      </c>
      <c r="D162">
        <v>619.5</v>
      </c>
      <c r="E162">
        <v>10.012589999999999</v>
      </c>
      <c r="F162" t="s">
        <v>280</v>
      </c>
      <c r="G162">
        <v>119</v>
      </c>
      <c r="H162" t="s">
        <v>362</v>
      </c>
      <c r="I162" t="s">
        <v>244</v>
      </c>
      <c r="J162">
        <f ca="1">B162-VLOOKUP(I162,INDIRECT("フレーム変換表!A$1:B$" &amp; フレーム変換表!$D$1),2,FALSE)*2</f>
        <v>49</v>
      </c>
      <c r="K162" t="str">
        <f ca="1">VLOOKUP(F162,INDIRECT("球種変換表!A$1:B$" &amp; 球種変換表!$D$1),2,)</f>
        <v>ナックルカーブ</v>
      </c>
      <c r="L162">
        <f t="shared" si="5"/>
        <v>8.4033613445378148E-3</v>
      </c>
      <c r="M162">
        <f t="shared" ca="1" si="7"/>
        <v>0.80312499999999998</v>
      </c>
    </row>
    <row r="163" spans="1:13" hidden="1" x14ac:dyDescent="0.55000000000000004">
      <c r="A163" t="s">
        <v>286</v>
      </c>
      <c r="B163">
        <v>78</v>
      </c>
      <c r="C163">
        <v>675.52173000000005</v>
      </c>
      <c r="D163">
        <v>662</v>
      </c>
      <c r="E163">
        <v>11.521850000000001</v>
      </c>
      <c r="F163" t="s">
        <v>280</v>
      </c>
      <c r="G163">
        <v>117</v>
      </c>
      <c r="H163" t="s">
        <v>362</v>
      </c>
      <c r="I163" t="s">
        <v>244</v>
      </c>
      <c r="J163">
        <f ca="1">B163-VLOOKUP(I163,INDIRECT("フレーム変換表!A$1:B$" &amp; フレーム変換表!$D$1),2,FALSE)*2</f>
        <v>52</v>
      </c>
      <c r="K163" t="str">
        <f ca="1">VLOOKUP(F163,INDIRECT("球種変換表!A$1:B$" &amp; 球種変換表!$D$1),2,)</f>
        <v>ナックルカーブ</v>
      </c>
      <c r="L163">
        <f t="shared" si="5"/>
        <v>8.5470085470085479E-3</v>
      </c>
      <c r="M163">
        <f t="shared" ca="1" si="7"/>
        <v>0.82361111111111107</v>
      </c>
    </row>
    <row r="164" spans="1:13" hidden="1" x14ac:dyDescent="0.55000000000000004">
      <c r="A164" t="s">
        <v>287</v>
      </c>
      <c r="B164">
        <v>75</v>
      </c>
      <c r="C164">
        <v>630.5</v>
      </c>
      <c r="D164">
        <v>619</v>
      </c>
      <c r="E164">
        <v>10.5001</v>
      </c>
      <c r="F164" t="s">
        <v>280</v>
      </c>
      <c r="G164">
        <v>111</v>
      </c>
      <c r="H164" t="s">
        <v>362</v>
      </c>
      <c r="I164" t="s">
        <v>244</v>
      </c>
      <c r="J164">
        <f ca="1">B164-VLOOKUP(I164,INDIRECT("フレーム変換表!A$1:B$" &amp; フレーム変換表!$D$1),2,FALSE)*2</f>
        <v>49</v>
      </c>
      <c r="K164" t="str">
        <f ca="1">VLOOKUP(F164,INDIRECT("球種変換表!A$1:B$" &amp; 球種変換表!$D$1),2,)</f>
        <v>ナックルカーブ</v>
      </c>
      <c r="L164">
        <f t="shared" si="5"/>
        <v>9.0090090090090089E-3</v>
      </c>
      <c r="M164">
        <f t="shared" ca="1" si="7"/>
        <v>0.80347222222222225</v>
      </c>
    </row>
    <row r="165" spans="1:13" hidden="1" x14ac:dyDescent="0.55000000000000004">
      <c r="A165" t="s">
        <v>289</v>
      </c>
      <c r="B165">
        <v>75</v>
      </c>
      <c r="C165">
        <v>654</v>
      </c>
      <c r="D165">
        <v>607</v>
      </c>
      <c r="E165">
        <v>10.0001</v>
      </c>
      <c r="F165" t="s">
        <v>288</v>
      </c>
      <c r="G165">
        <v>116</v>
      </c>
      <c r="H165" t="s">
        <v>362</v>
      </c>
      <c r="I165" t="s">
        <v>244</v>
      </c>
      <c r="J165">
        <f ca="1">B165-VLOOKUP(I165,INDIRECT("フレーム変換表!A$1:B$" &amp; フレーム変換表!$D$1),2,FALSE)*2</f>
        <v>49</v>
      </c>
      <c r="K165" t="str">
        <f ca="1">VLOOKUP(F165,INDIRECT("球種変換表!A$1:B$" &amp; 球種変換表!$D$1),2,)</f>
        <v>ナックルカーブ</v>
      </c>
      <c r="L165">
        <f t="shared" si="5"/>
        <v>8.6206896551724137E-3</v>
      </c>
      <c r="M165">
        <f t="shared" ca="1" si="7"/>
        <v>0.81180555555555556</v>
      </c>
    </row>
    <row r="166" spans="1:13" hidden="1" x14ac:dyDescent="0.55000000000000004">
      <c r="A166" t="s">
        <v>290</v>
      </c>
      <c r="B166">
        <v>75</v>
      </c>
      <c r="C166">
        <v>643.5</v>
      </c>
      <c r="D166">
        <v>619.5</v>
      </c>
      <c r="E166">
        <v>10.512</v>
      </c>
      <c r="F166" t="s">
        <v>280</v>
      </c>
      <c r="G166">
        <v>119</v>
      </c>
      <c r="H166" t="s">
        <v>362</v>
      </c>
      <c r="I166" t="s">
        <v>244</v>
      </c>
      <c r="J166">
        <f ca="1">B166-VLOOKUP(I166,INDIRECT("フレーム変換表!A$1:B$" &amp; フレーム変換表!$D$1),2,FALSE)*2</f>
        <v>49</v>
      </c>
      <c r="K166" t="str">
        <f ca="1">VLOOKUP(F166,INDIRECT("球種変換表!A$1:B$" &amp; 球種変換表!$D$1),2,)</f>
        <v>ナックルカーブ</v>
      </c>
      <c r="L166">
        <f t="shared" si="5"/>
        <v>8.4033613445378148E-3</v>
      </c>
      <c r="M166">
        <f t="shared" ca="1" si="7"/>
        <v>0.80312499999999998</v>
      </c>
    </row>
    <row r="167" spans="1:13" hidden="1" x14ac:dyDescent="0.55000000000000004">
      <c r="A167" t="s">
        <v>291</v>
      </c>
      <c r="B167">
        <v>75</v>
      </c>
      <c r="C167">
        <v>653</v>
      </c>
      <c r="D167">
        <v>610.5</v>
      </c>
      <c r="E167">
        <v>10.012589999999999</v>
      </c>
      <c r="F167" t="s">
        <v>280</v>
      </c>
      <c r="G167">
        <v>117</v>
      </c>
      <c r="H167" t="s">
        <v>362</v>
      </c>
      <c r="I167" t="s">
        <v>244</v>
      </c>
      <c r="J167">
        <f ca="1">B167-VLOOKUP(I167,INDIRECT("フレーム変換表!A$1:B$" &amp; フレーム変換表!$D$1),2,FALSE)*2</f>
        <v>49</v>
      </c>
      <c r="K167" t="str">
        <f ca="1">VLOOKUP(F167,INDIRECT("球種変換表!A$1:B$" &amp; 球種変換表!$D$1),2,)</f>
        <v>ナックルカーブ</v>
      </c>
      <c r="L167">
        <f t="shared" si="5"/>
        <v>8.5470085470085479E-3</v>
      </c>
      <c r="M167">
        <f t="shared" ca="1" si="7"/>
        <v>0.80937499999999996</v>
      </c>
    </row>
    <row r="168" spans="1:13" hidden="1" x14ac:dyDescent="0.55000000000000004">
      <c r="A168" t="s">
        <v>292</v>
      </c>
      <c r="B168">
        <v>65</v>
      </c>
      <c r="C168">
        <v>631.5</v>
      </c>
      <c r="D168">
        <v>630.5</v>
      </c>
      <c r="E168">
        <v>11.510960000000001</v>
      </c>
      <c r="F168" t="s">
        <v>98</v>
      </c>
      <c r="G168">
        <v>125</v>
      </c>
      <c r="H168" t="s">
        <v>362</v>
      </c>
      <c r="I168" t="s">
        <v>244</v>
      </c>
      <c r="J168">
        <f ca="1">B168-VLOOKUP(I168,INDIRECT("フレーム変換表!A$1:B$" &amp; フレーム変換表!$D$1),2,FALSE)*2</f>
        <v>39</v>
      </c>
      <c r="K168" t="str">
        <f ca="1">VLOOKUP(F168,INDIRECT("球種変換表!A$1:B$" &amp; 球種変換表!$D$1),2,)</f>
        <v>フォーク</v>
      </c>
      <c r="L168">
        <f t="shared" si="5"/>
        <v>8.0000000000000002E-3</v>
      </c>
      <c r="M168">
        <f t="shared" ca="1" si="7"/>
        <v>0.62881944444444438</v>
      </c>
    </row>
    <row r="169" spans="1:13" hidden="1" x14ac:dyDescent="0.55000000000000004">
      <c r="A169" t="s">
        <v>294</v>
      </c>
      <c r="B169">
        <v>63</v>
      </c>
      <c r="C169">
        <v>637</v>
      </c>
      <c r="D169">
        <v>605.5</v>
      </c>
      <c r="E169">
        <v>10.012589999999999</v>
      </c>
      <c r="F169" t="s">
        <v>293</v>
      </c>
      <c r="G169">
        <v>129</v>
      </c>
      <c r="H169" t="s">
        <v>362</v>
      </c>
      <c r="I169" t="s">
        <v>244</v>
      </c>
      <c r="J169">
        <f ca="1">B169-VLOOKUP(I169,INDIRECT("フレーム変換表!A$1:B$" &amp; フレーム変換表!$D$1),2,FALSE)*2</f>
        <v>37</v>
      </c>
      <c r="K169" t="str">
        <f ca="1">VLOOKUP(F169,INDIRECT("球種変換表!A$1:B$" &amp; 球種変換表!$D$1),2,)</f>
        <v>フォーク</v>
      </c>
      <c r="L169">
        <f t="shared" si="5"/>
        <v>7.7519379844961239E-3</v>
      </c>
      <c r="M169">
        <f t="shared" ca="1" si="7"/>
        <v>0.61284722222222221</v>
      </c>
    </row>
    <row r="170" spans="1:13" hidden="1" x14ac:dyDescent="0.55000000000000004">
      <c r="A170" t="s">
        <v>296</v>
      </c>
      <c r="B170">
        <v>65</v>
      </c>
      <c r="C170">
        <v>630.5</v>
      </c>
      <c r="D170">
        <v>633</v>
      </c>
      <c r="E170">
        <v>11.5435</v>
      </c>
      <c r="F170" t="s">
        <v>295</v>
      </c>
      <c r="G170">
        <v>125</v>
      </c>
      <c r="H170" t="s">
        <v>362</v>
      </c>
      <c r="I170" t="s">
        <v>244</v>
      </c>
      <c r="J170">
        <f ca="1">B170-VLOOKUP(I170,INDIRECT("フレーム変換表!A$1:B$" &amp; フレーム変換表!$D$1),2,FALSE)*2</f>
        <v>39</v>
      </c>
      <c r="K170" t="str">
        <f ca="1">VLOOKUP(F170,INDIRECT("球種変換表!A$1:B$" &amp; 球種変換表!$D$1),2,)</f>
        <v>フォーク</v>
      </c>
      <c r="L170">
        <f t="shared" si="5"/>
        <v>8.0000000000000002E-3</v>
      </c>
      <c r="M170">
        <f t="shared" ca="1" si="7"/>
        <v>0.62708333333333333</v>
      </c>
    </row>
    <row r="171" spans="1:13" hidden="1" x14ac:dyDescent="0.55000000000000004">
      <c r="A171" t="s">
        <v>297</v>
      </c>
      <c r="B171">
        <v>64</v>
      </c>
      <c r="C171">
        <v>634</v>
      </c>
      <c r="D171">
        <v>618.5</v>
      </c>
      <c r="E171">
        <v>10.012589999999999</v>
      </c>
      <c r="F171" t="s">
        <v>104</v>
      </c>
      <c r="G171">
        <v>127</v>
      </c>
      <c r="H171" t="s">
        <v>362</v>
      </c>
      <c r="I171" t="s">
        <v>244</v>
      </c>
      <c r="J171">
        <f ca="1">B171-VLOOKUP(I171,INDIRECT("フレーム変換表!A$1:B$" &amp; フレーム変換表!$D$1),2,FALSE)*2</f>
        <v>38</v>
      </c>
      <c r="K171" t="str">
        <f ca="1">VLOOKUP(F171,INDIRECT("球種変換表!A$1:B$" &amp; 球種変換表!$D$1),2,)</f>
        <v>フォーク</v>
      </c>
      <c r="L171">
        <f t="shared" si="5"/>
        <v>7.874015748031496E-3</v>
      </c>
      <c r="M171">
        <f t="shared" ca="1" si="7"/>
        <v>0.62048611111111107</v>
      </c>
    </row>
    <row r="172" spans="1:13" hidden="1" x14ac:dyDescent="0.55000000000000004">
      <c r="A172" t="s">
        <v>298</v>
      </c>
      <c r="B172">
        <v>64</v>
      </c>
      <c r="C172">
        <v>651</v>
      </c>
      <c r="D172">
        <v>623.5</v>
      </c>
      <c r="E172">
        <v>10.012589999999999</v>
      </c>
      <c r="F172" t="s">
        <v>104</v>
      </c>
      <c r="G172">
        <v>128</v>
      </c>
      <c r="H172" t="s">
        <v>362</v>
      </c>
      <c r="I172" t="s">
        <v>244</v>
      </c>
      <c r="J172">
        <f ca="1">B172-VLOOKUP(I172,INDIRECT("フレーム変換表!A$1:B$" &amp; フレーム変換表!$D$1),2,FALSE)*2</f>
        <v>38</v>
      </c>
      <c r="K172" t="str">
        <f ca="1">VLOOKUP(F172,INDIRECT("球種変換表!A$1:B$" &amp; 球種変換表!$D$1),2,)</f>
        <v>フォーク</v>
      </c>
      <c r="L172">
        <f t="shared" si="5"/>
        <v>7.8125E-3</v>
      </c>
      <c r="M172">
        <f t="shared" ca="1" si="7"/>
        <v>0.61701388888888897</v>
      </c>
    </row>
    <row r="173" spans="1:13" hidden="1" x14ac:dyDescent="0.55000000000000004">
      <c r="A173" t="s">
        <v>299</v>
      </c>
      <c r="B173">
        <v>63</v>
      </c>
      <c r="C173">
        <v>636.5</v>
      </c>
      <c r="D173">
        <v>601</v>
      </c>
      <c r="E173">
        <v>10.5001</v>
      </c>
      <c r="F173" t="s">
        <v>293</v>
      </c>
      <c r="G173">
        <v>127</v>
      </c>
      <c r="H173" t="s">
        <v>362</v>
      </c>
      <c r="I173" t="s">
        <v>244</v>
      </c>
      <c r="J173">
        <f ca="1">B173-VLOOKUP(I173,INDIRECT("フレーム変換表!A$1:B$" &amp; フレーム変換表!$D$1),2,FALSE)*2</f>
        <v>37</v>
      </c>
      <c r="K173" t="str">
        <f ca="1">VLOOKUP(F173,INDIRECT("球種変換表!A$1:B$" &amp; 球種変換表!$D$1),2,)</f>
        <v>フォーク</v>
      </c>
      <c r="L173">
        <f t="shared" si="5"/>
        <v>7.874015748031496E-3</v>
      </c>
      <c r="M173">
        <f t="shared" ca="1" si="7"/>
        <v>0.61597222222222225</v>
      </c>
    </row>
    <row r="174" spans="1:13" hidden="1" x14ac:dyDescent="0.55000000000000004">
      <c r="A174" t="s">
        <v>300</v>
      </c>
      <c r="B174">
        <v>63</v>
      </c>
      <c r="C174">
        <v>624</v>
      </c>
      <c r="D174">
        <v>606</v>
      </c>
      <c r="E174">
        <v>10.0001</v>
      </c>
      <c r="F174" t="s">
        <v>98</v>
      </c>
      <c r="G174">
        <v>129</v>
      </c>
      <c r="H174" t="s">
        <v>362</v>
      </c>
      <c r="I174" t="s">
        <v>244</v>
      </c>
      <c r="J174">
        <f ca="1">B174-VLOOKUP(I174,INDIRECT("フレーム変換表!A$1:B$" &amp; フレーム変換表!$D$1),2,FALSE)*2</f>
        <v>37</v>
      </c>
      <c r="K174" t="str">
        <f ca="1">VLOOKUP(F174,INDIRECT("球種変換表!A$1:B$" &amp; 球種変換表!$D$1),2,)</f>
        <v>フォーク</v>
      </c>
      <c r="L174">
        <f t="shared" si="5"/>
        <v>7.7519379844961239E-3</v>
      </c>
      <c r="M174">
        <f t="shared" ca="1" si="7"/>
        <v>0.61250000000000004</v>
      </c>
    </row>
    <row r="175" spans="1:13" hidden="1" x14ac:dyDescent="0.55000000000000004">
      <c r="A175" t="s">
        <v>301</v>
      </c>
      <c r="B175">
        <v>64</v>
      </c>
      <c r="C175">
        <v>648</v>
      </c>
      <c r="D175">
        <v>618</v>
      </c>
      <c r="E175">
        <v>10.0001</v>
      </c>
      <c r="F175" t="s">
        <v>98</v>
      </c>
      <c r="G175">
        <v>127</v>
      </c>
      <c r="H175" t="s">
        <v>362</v>
      </c>
      <c r="I175" t="s">
        <v>244</v>
      </c>
      <c r="J175">
        <f ca="1">B175-VLOOKUP(I175,INDIRECT("フレーム変換表!A$1:B$" &amp; フレーム変換表!$D$1),2,FALSE)*2</f>
        <v>38</v>
      </c>
      <c r="K175" t="str">
        <f ca="1">VLOOKUP(F175,INDIRECT("球種変換表!A$1:B$" &amp; 球種変換表!$D$1),2,)</f>
        <v>フォーク</v>
      </c>
      <c r="L175">
        <f t="shared" si="5"/>
        <v>7.874015748031496E-3</v>
      </c>
      <c r="M175">
        <f t="shared" ca="1" si="7"/>
        <v>0.62083333333333335</v>
      </c>
    </row>
    <row r="176" spans="1:13" hidden="1" x14ac:dyDescent="0.55000000000000004">
      <c r="A176" t="s">
        <v>303</v>
      </c>
      <c r="B176">
        <v>65</v>
      </c>
      <c r="C176">
        <v>626</v>
      </c>
      <c r="D176">
        <v>635.5</v>
      </c>
      <c r="E176">
        <v>12.01051</v>
      </c>
      <c r="F176" t="s">
        <v>302</v>
      </c>
      <c r="G176">
        <v>127</v>
      </c>
      <c r="H176" t="s">
        <v>362</v>
      </c>
      <c r="I176" t="s">
        <v>244</v>
      </c>
      <c r="J176">
        <f ca="1">B176-VLOOKUP(I176,INDIRECT("フレーム変換表!A$1:B$" &amp; フレーム変換表!$D$1),2,FALSE)*2</f>
        <v>39</v>
      </c>
      <c r="K176" t="str">
        <f ca="1">VLOOKUP(F176,INDIRECT("球種変換表!A$1:B$" &amp; 球種変換表!$D$1),2,)</f>
        <v>フォーク</v>
      </c>
      <c r="L176">
        <f t="shared" si="5"/>
        <v>7.874015748031496E-3</v>
      </c>
      <c r="M176">
        <f t="shared" ca="1" si="7"/>
        <v>0.62534722222222228</v>
      </c>
    </row>
    <row r="177" spans="1:13" hidden="1" x14ac:dyDescent="0.55000000000000004">
      <c r="A177" t="s">
        <v>304</v>
      </c>
      <c r="B177">
        <v>64</v>
      </c>
      <c r="C177">
        <v>640</v>
      </c>
      <c r="D177">
        <v>620.5</v>
      </c>
      <c r="E177">
        <v>10.012589999999999</v>
      </c>
      <c r="F177" t="s">
        <v>293</v>
      </c>
      <c r="G177">
        <v>128</v>
      </c>
      <c r="H177" t="s">
        <v>362</v>
      </c>
      <c r="I177" t="s">
        <v>244</v>
      </c>
      <c r="J177">
        <f ca="1">B177-VLOOKUP(I177,INDIRECT("フレーム変換表!A$1:B$" &amp; フレーム変換表!$D$1),2,FALSE)*2</f>
        <v>38</v>
      </c>
      <c r="K177" t="str">
        <f ca="1">VLOOKUP(F177,INDIRECT("球種変換表!A$1:B$" &amp; 球種変換表!$D$1),2,)</f>
        <v>フォーク</v>
      </c>
      <c r="L177">
        <f t="shared" si="5"/>
        <v>7.8125E-3</v>
      </c>
      <c r="M177">
        <f t="shared" ca="1" si="7"/>
        <v>0.6190972222222223</v>
      </c>
    </row>
    <row r="178" spans="1:13" hidden="1" x14ac:dyDescent="0.55000000000000004">
      <c r="A178" t="s">
        <v>305</v>
      </c>
      <c r="B178">
        <v>64</v>
      </c>
      <c r="C178">
        <v>640</v>
      </c>
      <c r="D178">
        <v>620.5</v>
      </c>
      <c r="E178">
        <v>10.012589999999999</v>
      </c>
      <c r="F178" t="s">
        <v>293</v>
      </c>
      <c r="G178">
        <v>128</v>
      </c>
      <c r="H178" t="s">
        <v>362</v>
      </c>
      <c r="I178" t="s">
        <v>244</v>
      </c>
      <c r="J178">
        <f ca="1">B178-VLOOKUP(I178,INDIRECT("フレーム変換表!A$1:B$" &amp; フレーム変換表!$D$1),2,FALSE)*2</f>
        <v>38</v>
      </c>
      <c r="K178" t="str">
        <f ca="1">VLOOKUP(F178,INDIRECT("球種変換表!A$1:B$" &amp; 球種変換表!$D$1),2,)</f>
        <v>フォーク</v>
      </c>
      <c r="L178">
        <f t="shared" si="5"/>
        <v>7.8125E-3</v>
      </c>
      <c r="M178">
        <f t="shared" ca="1" si="7"/>
        <v>0.6190972222222223</v>
      </c>
    </row>
    <row r="179" spans="1:13" x14ac:dyDescent="0.55000000000000004">
      <c r="A179" t="s">
        <v>310</v>
      </c>
      <c r="B179">
        <v>126</v>
      </c>
      <c r="C179">
        <v>636</v>
      </c>
      <c r="D179">
        <v>606.5</v>
      </c>
      <c r="E179">
        <v>10.012589999999999</v>
      </c>
      <c r="F179" t="s">
        <v>309</v>
      </c>
      <c r="G179">
        <v>11</v>
      </c>
      <c r="H179" t="s">
        <v>362</v>
      </c>
      <c r="I179" t="s">
        <v>307</v>
      </c>
      <c r="J179">
        <f ca="1">(B179-VLOOKUP(I179,INDIRECT("フレーム変換表!A$1:B$"&amp;フレーム変換表!$D$1),2,FALSE)*2)</f>
        <v>32</v>
      </c>
      <c r="K179" t="str">
        <f ca="1">VLOOKUP(F179,INDIRECT("球種変換表!A$1:B$" &amp; 球種変換表!$D$1),2,)</f>
        <v>ストレート</v>
      </c>
      <c r="L179">
        <f t="shared" ref="L179:L218" si="8">1/G179</f>
        <v>9.0909090909090912E-2</v>
      </c>
      <c r="M179">
        <f t="shared" ca="1" si="7"/>
        <v>0.52881944444444451</v>
      </c>
    </row>
    <row r="180" spans="1:13" x14ac:dyDescent="0.55000000000000004">
      <c r="A180" t="s">
        <v>311</v>
      </c>
      <c r="B180">
        <v>127</v>
      </c>
      <c r="C180">
        <v>635.47826999999995</v>
      </c>
      <c r="D180">
        <v>633</v>
      </c>
      <c r="E180">
        <v>11.52183</v>
      </c>
      <c r="F180" t="s">
        <v>309</v>
      </c>
      <c r="G180">
        <v>11</v>
      </c>
      <c r="H180" t="s">
        <v>362</v>
      </c>
      <c r="I180" t="s">
        <v>307</v>
      </c>
      <c r="J180">
        <f ca="1">(B180-VLOOKUP(I180,INDIRECT("フレーム変換表!A$1:B$"&amp;フレーム変換表!$D$1),2,FALSE)*2)</f>
        <v>33</v>
      </c>
      <c r="K180" t="str">
        <f ca="1">VLOOKUP(F180,INDIRECT("球種変換表!A$1:B$" &amp; 球種変換表!$D$1),2,)</f>
        <v>ストレート</v>
      </c>
      <c r="L180">
        <f t="shared" si="8"/>
        <v>9.0909090909090912E-2</v>
      </c>
      <c r="M180">
        <f t="shared" ca="1" si="7"/>
        <v>0.52708333333333335</v>
      </c>
    </row>
    <row r="181" spans="1:13" x14ac:dyDescent="0.55000000000000004">
      <c r="A181" t="s">
        <v>312</v>
      </c>
      <c r="B181">
        <v>127</v>
      </c>
      <c r="C181">
        <v>641.5</v>
      </c>
      <c r="D181">
        <v>630</v>
      </c>
      <c r="E181">
        <v>11.5001</v>
      </c>
      <c r="F181" t="s">
        <v>309</v>
      </c>
      <c r="G181">
        <v>11</v>
      </c>
      <c r="H181" t="s">
        <v>362</v>
      </c>
      <c r="I181" t="s">
        <v>307</v>
      </c>
      <c r="J181">
        <f ca="1">(B181-VLOOKUP(I181,INDIRECT("フレーム変換表!A$1:B$"&amp;フレーム変換表!$D$1),2,FALSE)*2)</f>
        <v>33</v>
      </c>
      <c r="K181" t="str">
        <f ca="1">VLOOKUP(F181,INDIRECT("球種変換表!A$1:B$" &amp; 球種変換表!$D$1),2,)</f>
        <v>ストレート</v>
      </c>
      <c r="L181">
        <f t="shared" si="8"/>
        <v>9.0909090909090912E-2</v>
      </c>
      <c r="M181">
        <f t="shared" ca="1" si="7"/>
        <v>0.52916666666666667</v>
      </c>
    </row>
    <row r="182" spans="1:13" x14ac:dyDescent="0.55000000000000004">
      <c r="A182" t="s">
        <v>313</v>
      </c>
      <c r="B182">
        <v>127</v>
      </c>
      <c r="C182">
        <v>642</v>
      </c>
      <c r="D182">
        <v>626.5</v>
      </c>
      <c r="E182">
        <v>10.012589999999999</v>
      </c>
      <c r="F182" t="s">
        <v>309</v>
      </c>
      <c r="G182">
        <v>11</v>
      </c>
      <c r="H182" t="s">
        <v>362</v>
      </c>
      <c r="I182" t="s">
        <v>307</v>
      </c>
      <c r="J182">
        <f ca="1">(B182-VLOOKUP(I182,INDIRECT("フレーム変換表!A$1:B$"&amp;フレーム変換表!$D$1),2,FALSE)*2)</f>
        <v>33</v>
      </c>
      <c r="K182" t="str">
        <f ca="1">VLOOKUP(F182,INDIRECT("球種変換表!A$1:B$" &amp; 球種変換表!$D$1),2,)</f>
        <v>ストレート</v>
      </c>
      <c r="L182">
        <f t="shared" si="8"/>
        <v>9.0909090909090912E-2</v>
      </c>
      <c r="M182">
        <f t="shared" ca="1" si="7"/>
        <v>0.53159722222222217</v>
      </c>
    </row>
    <row r="183" spans="1:13" x14ac:dyDescent="0.55000000000000004">
      <c r="A183" t="s">
        <v>314</v>
      </c>
      <c r="B183">
        <v>128</v>
      </c>
      <c r="C183">
        <v>639</v>
      </c>
      <c r="D183">
        <v>646</v>
      </c>
      <c r="E183">
        <v>9.2196400000000001</v>
      </c>
      <c r="F183" t="s">
        <v>309</v>
      </c>
      <c r="G183">
        <v>11</v>
      </c>
      <c r="H183" t="s">
        <v>362</v>
      </c>
      <c r="I183" t="s">
        <v>307</v>
      </c>
      <c r="J183">
        <f ca="1">(B183-VLOOKUP(I183,INDIRECT("フレーム変換表!A$1:B$"&amp;フレーム変換表!$D$1),2,FALSE)*2)</f>
        <v>34</v>
      </c>
      <c r="K183" t="str">
        <f ca="1">VLOOKUP(F183,INDIRECT("球種変換表!A$1:B$" &amp; 球種変換表!$D$1),2,)</f>
        <v>ストレート</v>
      </c>
      <c r="L183">
        <f t="shared" si="8"/>
        <v>9.0909090909090912E-2</v>
      </c>
      <c r="M183">
        <f t="shared" ca="1" si="7"/>
        <v>0.53472222222222221</v>
      </c>
    </row>
    <row r="184" spans="1:13" x14ac:dyDescent="0.55000000000000004">
      <c r="A184" t="s">
        <v>315</v>
      </c>
      <c r="B184">
        <v>127</v>
      </c>
      <c r="C184">
        <v>641.5</v>
      </c>
      <c r="D184">
        <v>622.5</v>
      </c>
      <c r="E184">
        <v>10.512</v>
      </c>
      <c r="F184" t="s">
        <v>309</v>
      </c>
      <c r="G184">
        <v>11</v>
      </c>
      <c r="H184" t="s">
        <v>362</v>
      </c>
      <c r="I184" t="s">
        <v>307</v>
      </c>
      <c r="J184">
        <f ca="1">(B184-VLOOKUP(I184,INDIRECT("フレーム変換表!A$1:B$"&amp;フレーム変換表!$D$1),2,FALSE)*2)</f>
        <v>33</v>
      </c>
      <c r="K184" t="str">
        <f ca="1">VLOOKUP(F184,INDIRECT("球種変換表!A$1:B$" &amp; 球種変換表!$D$1),2,)</f>
        <v>ストレート</v>
      </c>
      <c r="L184">
        <f t="shared" si="8"/>
        <v>9.0909090909090912E-2</v>
      </c>
      <c r="M184">
        <f t="shared" ca="1" si="7"/>
        <v>0.53437500000000004</v>
      </c>
    </row>
    <row r="185" spans="1:13" x14ac:dyDescent="0.55000000000000004">
      <c r="A185" t="s">
        <v>316</v>
      </c>
      <c r="B185">
        <v>126</v>
      </c>
      <c r="C185">
        <v>635</v>
      </c>
      <c r="D185">
        <v>606.5</v>
      </c>
      <c r="E185">
        <v>10.012589999999999</v>
      </c>
      <c r="F185" t="s">
        <v>309</v>
      </c>
      <c r="G185">
        <v>11</v>
      </c>
      <c r="H185" t="s">
        <v>362</v>
      </c>
      <c r="I185" t="s">
        <v>307</v>
      </c>
      <c r="J185">
        <f ca="1">(B185-VLOOKUP(I185,INDIRECT("フレーム変換表!A$1:B$"&amp;フレーム変換表!$D$1),2,FALSE)*2)</f>
        <v>32</v>
      </c>
      <c r="K185" t="str">
        <f ca="1">VLOOKUP(F185,INDIRECT("球種変換表!A$1:B$" &amp; 球種変換表!$D$1),2,)</f>
        <v>ストレート</v>
      </c>
      <c r="L185">
        <f t="shared" si="8"/>
        <v>9.0909090909090912E-2</v>
      </c>
      <c r="M185">
        <f t="shared" ca="1" si="7"/>
        <v>0.52881944444444451</v>
      </c>
    </row>
    <row r="186" spans="1:13" x14ac:dyDescent="0.55000000000000004">
      <c r="A186" t="s">
        <v>317</v>
      </c>
      <c r="B186">
        <v>127</v>
      </c>
      <c r="C186">
        <v>649</v>
      </c>
      <c r="D186">
        <v>623.5</v>
      </c>
      <c r="E186">
        <v>10.012589999999999</v>
      </c>
      <c r="F186" t="s">
        <v>309</v>
      </c>
      <c r="G186">
        <v>11</v>
      </c>
      <c r="H186" t="s">
        <v>362</v>
      </c>
      <c r="I186" t="s">
        <v>307</v>
      </c>
      <c r="J186">
        <f ca="1">(B186-VLOOKUP(I186,INDIRECT("フレーム変換表!A$1:B$"&amp;フレーム変換表!$D$1),2,FALSE)*2)</f>
        <v>33</v>
      </c>
      <c r="K186" t="str">
        <f ca="1">VLOOKUP(F186,INDIRECT("球種変換表!A$1:B$" &amp; 球種変換表!$D$1),2,)</f>
        <v>ストレート</v>
      </c>
      <c r="L186">
        <f t="shared" si="8"/>
        <v>9.0909090909090912E-2</v>
      </c>
      <c r="M186">
        <f t="shared" ca="1" si="7"/>
        <v>0.5336805555555556</v>
      </c>
    </row>
    <row r="187" spans="1:13" x14ac:dyDescent="0.55000000000000004">
      <c r="A187" t="s">
        <v>318</v>
      </c>
      <c r="B187">
        <v>127</v>
      </c>
      <c r="C187">
        <v>641</v>
      </c>
      <c r="D187">
        <v>617.5</v>
      </c>
      <c r="E187">
        <v>10.012589999999999</v>
      </c>
      <c r="F187" t="s">
        <v>309</v>
      </c>
      <c r="G187">
        <v>149</v>
      </c>
      <c r="H187" t="s">
        <v>362</v>
      </c>
      <c r="I187" t="s">
        <v>307</v>
      </c>
      <c r="J187">
        <f ca="1">(B187-VLOOKUP(I187,INDIRECT("フレーム変換表!A$1:B$"&amp;フレーム変換表!$D$1),2,FALSE)*2)</f>
        <v>33</v>
      </c>
      <c r="K187" t="str">
        <f ca="1">VLOOKUP(F187,INDIRECT("球種変換表!A$1:B$" &amp; 球種変換表!$D$1),2,)</f>
        <v>ストレート</v>
      </c>
      <c r="L187">
        <f t="shared" si="8"/>
        <v>6.7114093959731542E-3</v>
      </c>
      <c r="M187">
        <f t="shared" ca="1" si="7"/>
        <v>0.53784722222222225</v>
      </c>
    </row>
    <row r="188" spans="1:13" x14ac:dyDescent="0.55000000000000004">
      <c r="A188" t="s">
        <v>319</v>
      </c>
      <c r="B188">
        <v>126</v>
      </c>
      <c r="C188">
        <v>635</v>
      </c>
      <c r="D188">
        <v>609</v>
      </c>
      <c r="E188">
        <v>10.0001</v>
      </c>
      <c r="F188" t="s">
        <v>309</v>
      </c>
      <c r="G188">
        <v>11</v>
      </c>
      <c r="H188" t="s">
        <v>362</v>
      </c>
      <c r="I188" t="s">
        <v>307</v>
      </c>
      <c r="J188">
        <f ca="1">(B188-VLOOKUP(I188,INDIRECT("フレーム変換表!A$1:B$"&amp;フレーム変換表!$D$1),2,FALSE)*2)</f>
        <v>32</v>
      </c>
      <c r="K188" t="str">
        <f ca="1">VLOOKUP(F188,INDIRECT("球種変換表!A$1:B$" &amp; 球種変換表!$D$1),2,)</f>
        <v>ストレート</v>
      </c>
      <c r="L188">
        <f t="shared" si="8"/>
        <v>9.0909090909090912E-2</v>
      </c>
      <c r="M188">
        <f t="shared" ca="1" si="7"/>
        <v>0.52708333333333335</v>
      </c>
    </row>
    <row r="189" spans="1:13" hidden="1" x14ac:dyDescent="0.55000000000000004">
      <c r="A189" t="s">
        <v>321</v>
      </c>
      <c r="B189">
        <v>124</v>
      </c>
      <c r="C189">
        <v>644</v>
      </c>
      <c r="D189">
        <v>644.5</v>
      </c>
      <c r="E189">
        <v>12.01051</v>
      </c>
      <c r="F189" t="s">
        <v>320</v>
      </c>
      <c r="G189">
        <v>11</v>
      </c>
      <c r="H189" t="s">
        <v>362</v>
      </c>
      <c r="I189" t="s">
        <v>307</v>
      </c>
      <c r="J189">
        <f ca="1">B189-VLOOKUP(I189,INDIRECT("フレーム変換表!A$1:B$" &amp; フレーム変換表!$D$1),2,FALSE)*2</f>
        <v>30</v>
      </c>
      <c r="K189" t="str">
        <f ca="1">VLOOKUP(F189,INDIRECT("球種変換表!A$1:B$" &amp; 球種変換表!$D$1),2,)</f>
        <v>全力ストレート</v>
      </c>
      <c r="L189">
        <f t="shared" si="8"/>
        <v>9.0909090909090912E-2</v>
      </c>
      <c r="M189">
        <f t="shared" ref="M179:M227" ca="1" si="9">(J189-(D189-600)/24)*2/120</f>
        <v>0.46909722222222222</v>
      </c>
    </row>
    <row r="190" spans="1:13" hidden="1" x14ac:dyDescent="0.55000000000000004">
      <c r="A190" t="s">
        <v>322</v>
      </c>
      <c r="B190">
        <v>123</v>
      </c>
      <c r="C190">
        <v>639</v>
      </c>
      <c r="D190">
        <v>605.5</v>
      </c>
      <c r="E190">
        <v>10.012589999999999</v>
      </c>
      <c r="F190" t="s">
        <v>320</v>
      </c>
      <c r="G190">
        <v>11</v>
      </c>
      <c r="H190" t="s">
        <v>362</v>
      </c>
      <c r="I190" t="s">
        <v>307</v>
      </c>
      <c r="J190">
        <f ca="1">B190-VLOOKUP(I190,INDIRECT("フレーム変換表!A$1:B$" &amp; フレーム変換表!$D$1),2,FALSE)*2</f>
        <v>29</v>
      </c>
      <c r="K190" t="str">
        <f ca="1">VLOOKUP(F190,INDIRECT("球種変換表!A$1:B$" &amp; 球種変換表!$D$1),2,)</f>
        <v>全力ストレート</v>
      </c>
      <c r="L190">
        <f t="shared" si="8"/>
        <v>9.0909090909090912E-2</v>
      </c>
      <c r="M190">
        <f t="shared" ca="1" si="9"/>
        <v>0.47951388888888885</v>
      </c>
    </row>
    <row r="191" spans="1:13" hidden="1" x14ac:dyDescent="0.55000000000000004">
      <c r="A191" t="s">
        <v>323</v>
      </c>
      <c r="B191">
        <v>124</v>
      </c>
      <c r="C191">
        <v>644</v>
      </c>
      <c r="D191">
        <v>644.5</v>
      </c>
      <c r="E191">
        <v>12.01051</v>
      </c>
      <c r="F191" t="s">
        <v>320</v>
      </c>
      <c r="G191">
        <v>11</v>
      </c>
      <c r="H191" t="s">
        <v>362</v>
      </c>
      <c r="I191" t="s">
        <v>307</v>
      </c>
      <c r="J191">
        <f ca="1">B191-VLOOKUP(I191,INDIRECT("フレーム変換表!A$1:B$" &amp; フレーム変換表!$D$1),2,FALSE)*2</f>
        <v>30</v>
      </c>
      <c r="K191" t="str">
        <f ca="1">VLOOKUP(F191,INDIRECT("球種変換表!A$1:B$" &amp; 球種変換表!$D$1),2,)</f>
        <v>全力ストレート</v>
      </c>
      <c r="L191">
        <f t="shared" si="8"/>
        <v>9.0909090909090912E-2</v>
      </c>
      <c r="M191">
        <f t="shared" ca="1" si="9"/>
        <v>0.46909722222222222</v>
      </c>
    </row>
    <row r="192" spans="1:13" hidden="1" x14ac:dyDescent="0.55000000000000004">
      <c r="A192" t="s">
        <v>325</v>
      </c>
      <c r="B192">
        <v>124</v>
      </c>
      <c r="C192">
        <v>644</v>
      </c>
      <c r="D192">
        <v>643</v>
      </c>
      <c r="E192">
        <v>12.041689999999999</v>
      </c>
      <c r="F192" t="s">
        <v>324</v>
      </c>
      <c r="G192">
        <v>11</v>
      </c>
      <c r="H192" t="s">
        <v>362</v>
      </c>
      <c r="I192" t="s">
        <v>307</v>
      </c>
      <c r="J192">
        <f ca="1">B192-VLOOKUP(I192,INDIRECT("フレーム変換表!A$1:B$" &amp; フレーム変換表!$D$1),2,FALSE)*2</f>
        <v>30</v>
      </c>
      <c r="K192" t="str">
        <f ca="1">VLOOKUP(F192,INDIRECT("球種変換表!A$1:B$" &amp; 球種変換表!$D$1),2,)</f>
        <v>全力ストレート</v>
      </c>
      <c r="L192">
        <f t="shared" si="8"/>
        <v>9.0909090909090912E-2</v>
      </c>
      <c r="M192">
        <f t="shared" ca="1" si="9"/>
        <v>0.47013888888888888</v>
      </c>
    </row>
    <row r="193" spans="1:13" hidden="1" x14ac:dyDescent="0.55000000000000004">
      <c r="A193" t="s">
        <v>326</v>
      </c>
      <c r="B193">
        <v>123</v>
      </c>
      <c r="C193">
        <v>639</v>
      </c>
      <c r="D193">
        <v>604.5</v>
      </c>
      <c r="E193">
        <v>10.012589999999999</v>
      </c>
      <c r="F193" t="s">
        <v>320</v>
      </c>
      <c r="G193">
        <v>149</v>
      </c>
      <c r="H193" t="s">
        <v>362</v>
      </c>
      <c r="I193" t="s">
        <v>307</v>
      </c>
      <c r="J193">
        <f ca="1">B193-VLOOKUP(I193,INDIRECT("フレーム変換表!A$1:B$" &amp; フレーム変換表!$D$1),2,FALSE)*2</f>
        <v>29</v>
      </c>
      <c r="K193" t="str">
        <f ca="1">VLOOKUP(F193,INDIRECT("球種変換表!A$1:B$" &amp; 球種変換表!$D$1),2,)</f>
        <v>全力ストレート</v>
      </c>
      <c r="L193">
        <f t="shared" si="8"/>
        <v>6.7114093959731542E-3</v>
      </c>
      <c r="M193">
        <f t="shared" ca="1" si="9"/>
        <v>0.48020833333333335</v>
      </c>
    </row>
    <row r="194" spans="1:13" hidden="1" x14ac:dyDescent="0.55000000000000004">
      <c r="A194" t="s">
        <v>327</v>
      </c>
      <c r="B194">
        <v>123</v>
      </c>
      <c r="C194">
        <v>640.5</v>
      </c>
      <c r="D194">
        <v>610.5</v>
      </c>
      <c r="E194">
        <v>9.5132499999999993</v>
      </c>
      <c r="F194" t="s">
        <v>320</v>
      </c>
      <c r="G194">
        <v>11</v>
      </c>
      <c r="H194" t="s">
        <v>362</v>
      </c>
      <c r="I194" t="s">
        <v>307</v>
      </c>
      <c r="J194">
        <f ca="1">B194-VLOOKUP(I194,INDIRECT("フレーム変換表!A$1:B$" &amp; フレーム変換表!$D$1),2,FALSE)*2</f>
        <v>29</v>
      </c>
      <c r="K194" t="str">
        <f ca="1">VLOOKUP(F194,INDIRECT("球種変換表!A$1:B$" &amp; 球種変換表!$D$1),2,)</f>
        <v>全力ストレート</v>
      </c>
      <c r="L194">
        <f t="shared" si="8"/>
        <v>9.0909090909090912E-2</v>
      </c>
      <c r="M194">
        <f t="shared" ca="1" si="9"/>
        <v>0.47604166666666664</v>
      </c>
    </row>
    <row r="195" spans="1:13" hidden="1" x14ac:dyDescent="0.55000000000000004">
      <c r="A195" t="s">
        <v>328</v>
      </c>
      <c r="B195">
        <v>123</v>
      </c>
      <c r="C195">
        <v>639.5</v>
      </c>
      <c r="D195">
        <v>608.5</v>
      </c>
      <c r="E195">
        <v>9.5132499999999993</v>
      </c>
      <c r="F195" t="s">
        <v>320</v>
      </c>
      <c r="G195">
        <v>11</v>
      </c>
      <c r="H195" t="s">
        <v>362</v>
      </c>
      <c r="I195" t="s">
        <v>307</v>
      </c>
      <c r="J195">
        <f ca="1">B195-VLOOKUP(I195,INDIRECT("フレーム変換表!A$1:B$" &amp; フレーム変換表!$D$1),2,FALSE)*2</f>
        <v>29</v>
      </c>
      <c r="K195" t="str">
        <f ca="1">VLOOKUP(F195,INDIRECT("球種変換表!A$1:B$" &amp; 球種変換表!$D$1),2,)</f>
        <v>全力ストレート</v>
      </c>
      <c r="L195">
        <f t="shared" si="8"/>
        <v>9.0909090909090912E-2</v>
      </c>
      <c r="M195">
        <f t="shared" ca="1" si="9"/>
        <v>0.47743055555555552</v>
      </c>
    </row>
    <row r="196" spans="1:13" hidden="1" x14ac:dyDescent="0.55000000000000004">
      <c r="A196" t="s">
        <v>329</v>
      </c>
      <c r="B196">
        <v>123</v>
      </c>
      <c r="C196">
        <v>639</v>
      </c>
      <c r="D196">
        <v>605.5</v>
      </c>
      <c r="E196">
        <v>10.012589999999999</v>
      </c>
      <c r="F196" t="s">
        <v>320</v>
      </c>
      <c r="G196">
        <v>11</v>
      </c>
      <c r="H196" t="s">
        <v>362</v>
      </c>
      <c r="I196" t="s">
        <v>307</v>
      </c>
      <c r="J196">
        <f ca="1">B196-VLOOKUP(I196,INDIRECT("フレーム変換表!A$1:B$" &amp; フレーム変換表!$D$1),2,FALSE)*2</f>
        <v>29</v>
      </c>
      <c r="K196" t="str">
        <f ca="1">VLOOKUP(F196,INDIRECT("球種変換表!A$1:B$" &amp; 球種変換表!$D$1),2,)</f>
        <v>全力ストレート</v>
      </c>
      <c r="L196">
        <f t="shared" si="8"/>
        <v>9.0909090909090912E-2</v>
      </c>
      <c r="M196">
        <f t="shared" ca="1" si="9"/>
        <v>0.47951388888888885</v>
      </c>
    </row>
    <row r="197" spans="1:13" hidden="1" x14ac:dyDescent="0.55000000000000004">
      <c r="A197" t="s">
        <v>330</v>
      </c>
      <c r="B197">
        <v>123</v>
      </c>
      <c r="C197">
        <v>641</v>
      </c>
      <c r="D197">
        <v>617.5</v>
      </c>
      <c r="E197">
        <v>10.012589999999999</v>
      </c>
      <c r="F197" t="s">
        <v>320</v>
      </c>
      <c r="G197">
        <v>11</v>
      </c>
      <c r="H197" t="s">
        <v>362</v>
      </c>
      <c r="I197" t="s">
        <v>307</v>
      </c>
      <c r="J197">
        <f ca="1">B197-VLOOKUP(I197,INDIRECT("フレーム変換表!A$1:B$" &amp; フレーム変換表!$D$1),2,FALSE)*2</f>
        <v>29</v>
      </c>
      <c r="K197" t="str">
        <f ca="1">VLOOKUP(F197,INDIRECT("球種変換表!A$1:B$" &amp; 球種変換表!$D$1),2,)</f>
        <v>全力ストレート</v>
      </c>
      <c r="L197">
        <f t="shared" si="8"/>
        <v>9.0909090909090912E-2</v>
      </c>
      <c r="M197">
        <f t="shared" ca="1" si="9"/>
        <v>0.47118055555555555</v>
      </c>
    </row>
    <row r="198" spans="1:13" hidden="1" x14ac:dyDescent="0.55000000000000004">
      <c r="A198" t="s">
        <v>331</v>
      </c>
      <c r="B198">
        <v>124</v>
      </c>
      <c r="C198">
        <v>641.73681999999997</v>
      </c>
      <c r="D198">
        <v>648</v>
      </c>
      <c r="E198">
        <v>9.7369699999999995</v>
      </c>
      <c r="F198" t="s">
        <v>320</v>
      </c>
      <c r="G198">
        <v>11</v>
      </c>
      <c r="H198" t="s">
        <v>362</v>
      </c>
      <c r="I198" t="s">
        <v>307</v>
      </c>
      <c r="J198">
        <f ca="1">B198-VLOOKUP(I198,INDIRECT("フレーム変換表!A$1:B$" &amp; フレーム変換表!$D$1),2,FALSE)*2</f>
        <v>30</v>
      </c>
      <c r="K198" t="str">
        <f ca="1">VLOOKUP(F198,INDIRECT("球種変換表!A$1:B$" &amp; 球種変換表!$D$1),2,)</f>
        <v>全力ストレート</v>
      </c>
      <c r="L198">
        <f t="shared" si="8"/>
        <v>9.0909090909090912E-2</v>
      </c>
      <c r="M198">
        <f t="shared" ca="1" si="9"/>
        <v>0.46666666666666667</v>
      </c>
    </row>
    <row r="199" spans="1:13" hidden="1" x14ac:dyDescent="0.55000000000000004">
      <c r="A199" t="s">
        <v>333</v>
      </c>
      <c r="B199">
        <v>131</v>
      </c>
      <c r="C199">
        <v>647.5</v>
      </c>
      <c r="D199">
        <v>618</v>
      </c>
      <c r="E199">
        <v>10.5001</v>
      </c>
      <c r="F199" t="s">
        <v>332</v>
      </c>
      <c r="G199">
        <v>131</v>
      </c>
      <c r="H199" t="s">
        <v>362</v>
      </c>
      <c r="I199" t="s">
        <v>307</v>
      </c>
      <c r="J199">
        <f ca="1">B199-VLOOKUP(I199,INDIRECT("フレーム変換表!A$1:B$" &amp; フレーム変換表!$D$1),2,FALSE)*2</f>
        <v>37</v>
      </c>
      <c r="K199" t="str">
        <f ca="1">VLOOKUP(F199,INDIRECT("球種変換表!A$1:B$" &amp; 球種変換表!$D$1),2,)</f>
        <v>フォーク</v>
      </c>
      <c r="L199">
        <f t="shared" si="8"/>
        <v>7.6335877862595417E-3</v>
      </c>
      <c r="M199">
        <f t="shared" ca="1" si="9"/>
        <v>0.60416666666666663</v>
      </c>
    </row>
    <row r="200" spans="1:13" hidden="1" x14ac:dyDescent="0.55000000000000004">
      <c r="A200" t="s">
        <v>335</v>
      </c>
      <c r="B200">
        <v>131</v>
      </c>
      <c r="C200">
        <v>659.5</v>
      </c>
      <c r="D200">
        <v>622</v>
      </c>
      <c r="E200">
        <v>10.5001</v>
      </c>
      <c r="F200" t="s">
        <v>334</v>
      </c>
      <c r="G200">
        <v>132</v>
      </c>
      <c r="H200" t="s">
        <v>362</v>
      </c>
      <c r="I200" t="s">
        <v>307</v>
      </c>
      <c r="J200">
        <f ca="1">B200-VLOOKUP(I200,INDIRECT("フレーム変換表!A$1:B$" &amp; フレーム変換表!$D$1),2,FALSE)*2</f>
        <v>37</v>
      </c>
      <c r="K200" t="str">
        <f ca="1">VLOOKUP(F200,INDIRECT("球種変換表!A$1:B$" &amp; 球種変換表!$D$1),2,)</f>
        <v>フォーク</v>
      </c>
      <c r="L200">
        <f t="shared" si="8"/>
        <v>7.575757575757576E-3</v>
      </c>
      <c r="M200">
        <f t="shared" ca="1" si="9"/>
        <v>0.60138888888888897</v>
      </c>
    </row>
    <row r="201" spans="1:13" hidden="1" x14ac:dyDescent="0.55000000000000004">
      <c r="A201" t="s">
        <v>337</v>
      </c>
      <c r="B201">
        <v>132</v>
      </c>
      <c r="C201">
        <v>643</v>
      </c>
      <c r="D201">
        <v>638.5</v>
      </c>
      <c r="E201">
        <v>12.01051</v>
      </c>
      <c r="F201" t="s">
        <v>336</v>
      </c>
      <c r="G201">
        <v>131</v>
      </c>
      <c r="H201" t="s">
        <v>362</v>
      </c>
      <c r="I201" t="s">
        <v>307</v>
      </c>
      <c r="J201">
        <f ca="1">B201-VLOOKUP(I201,INDIRECT("フレーム変換表!A$1:B$" &amp; フレーム変換表!$D$1),2,FALSE)*2</f>
        <v>38</v>
      </c>
      <c r="K201" t="str">
        <f ca="1">VLOOKUP(F201,INDIRECT("球種変換表!A$1:B$" &amp; 球種変換表!$D$1),2,)</f>
        <v>フォーク</v>
      </c>
      <c r="L201">
        <f t="shared" si="8"/>
        <v>7.6335877862595417E-3</v>
      </c>
      <c r="M201">
        <f t="shared" ca="1" si="9"/>
        <v>0.60659722222222223</v>
      </c>
    </row>
    <row r="202" spans="1:13" hidden="1" x14ac:dyDescent="0.55000000000000004">
      <c r="A202" t="s">
        <v>338</v>
      </c>
      <c r="B202">
        <v>131</v>
      </c>
      <c r="C202">
        <v>634.5</v>
      </c>
      <c r="D202">
        <v>617</v>
      </c>
      <c r="E202">
        <v>10.5001</v>
      </c>
      <c r="F202" t="s">
        <v>332</v>
      </c>
      <c r="G202">
        <v>131</v>
      </c>
      <c r="H202" t="s">
        <v>362</v>
      </c>
      <c r="I202" t="s">
        <v>307</v>
      </c>
      <c r="J202">
        <f ca="1">B202-VLOOKUP(I202,INDIRECT("フレーム変換表!A$1:B$" &amp; フレーム変換表!$D$1),2,FALSE)*2</f>
        <v>37</v>
      </c>
      <c r="K202" t="str">
        <f ca="1">VLOOKUP(F202,INDIRECT("球種変換表!A$1:B$" &amp; 球種変換表!$D$1),2,)</f>
        <v>フォーク</v>
      </c>
      <c r="L202">
        <f t="shared" si="8"/>
        <v>7.6335877862595417E-3</v>
      </c>
      <c r="M202">
        <f t="shared" ca="1" si="9"/>
        <v>0.60486111111111107</v>
      </c>
    </row>
    <row r="203" spans="1:13" hidden="1" x14ac:dyDescent="0.55000000000000004">
      <c r="A203" t="s">
        <v>339</v>
      </c>
      <c r="B203">
        <v>131</v>
      </c>
      <c r="C203">
        <v>645.5</v>
      </c>
      <c r="D203">
        <v>618.5</v>
      </c>
      <c r="E203">
        <v>9.5132499999999993</v>
      </c>
      <c r="F203" t="s">
        <v>334</v>
      </c>
      <c r="G203">
        <v>132</v>
      </c>
      <c r="H203" t="s">
        <v>362</v>
      </c>
      <c r="I203" t="s">
        <v>307</v>
      </c>
      <c r="J203">
        <f ca="1">B203-VLOOKUP(I203,INDIRECT("フレーム変換表!A$1:B$" &amp; フレーム変換表!$D$1),2,FALSE)*2</f>
        <v>37</v>
      </c>
      <c r="K203" t="str">
        <f ca="1">VLOOKUP(F203,INDIRECT("球種変換表!A$1:B$" &amp; 球種変換表!$D$1),2,)</f>
        <v>フォーク</v>
      </c>
      <c r="L203">
        <f t="shared" si="8"/>
        <v>7.575757575757576E-3</v>
      </c>
      <c r="M203">
        <f t="shared" ca="1" si="9"/>
        <v>0.60381944444444435</v>
      </c>
    </row>
    <row r="204" spans="1:13" hidden="1" x14ac:dyDescent="0.55000000000000004">
      <c r="A204" t="s">
        <v>340</v>
      </c>
      <c r="B204">
        <v>131</v>
      </c>
      <c r="C204">
        <v>639.5</v>
      </c>
      <c r="D204">
        <v>621.5</v>
      </c>
      <c r="E204">
        <v>10.512</v>
      </c>
      <c r="F204" t="s">
        <v>332</v>
      </c>
      <c r="G204">
        <v>132</v>
      </c>
      <c r="H204" t="s">
        <v>362</v>
      </c>
      <c r="I204" t="s">
        <v>307</v>
      </c>
      <c r="J204">
        <f ca="1">B204-VLOOKUP(I204,INDIRECT("フレーム変換表!A$1:B$" &amp; フレーム変換表!$D$1),2,FALSE)*2</f>
        <v>37</v>
      </c>
      <c r="K204" t="str">
        <f ca="1">VLOOKUP(F204,INDIRECT("球種変換表!A$1:B$" &amp; 球種変換表!$D$1),2,)</f>
        <v>フォーク</v>
      </c>
      <c r="L204">
        <f t="shared" si="8"/>
        <v>7.575757575757576E-3</v>
      </c>
      <c r="M204">
        <f t="shared" ca="1" si="9"/>
        <v>0.60173611111111103</v>
      </c>
    </row>
    <row r="205" spans="1:13" hidden="1" x14ac:dyDescent="0.55000000000000004">
      <c r="A205" t="s">
        <v>341</v>
      </c>
      <c r="B205">
        <v>131</v>
      </c>
      <c r="C205">
        <v>649.5</v>
      </c>
      <c r="D205">
        <v>624.5</v>
      </c>
      <c r="E205">
        <v>9.5132499999999993</v>
      </c>
      <c r="F205" t="s">
        <v>332</v>
      </c>
      <c r="G205">
        <v>133</v>
      </c>
      <c r="H205" t="s">
        <v>362</v>
      </c>
      <c r="I205" t="s">
        <v>307</v>
      </c>
      <c r="J205">
        <f ca="1">B205-VLOOKUP(I205,INDIRECT("フレーム変換表!A$1:B$" &amp; フレーム変換表!$D$1),2,FALSE)*2</f>
        <v>37</v>
      </c>
      <c r="K205" t="str">
        <f ca="1">VLOOKUP(F205,INDIRECT("球種変換表!A$1:B$" &amp; 球種変換表!$D$1),2,)</f>
        <v>フォーク</v>
      </c>
      <c r="L205">
        <f t="shared" si="8"/>
        <v>7.5187969924812026E-3</v>
      </c>
      <c r="M205">
        <f t="shared" ca="1" si="9"/>
        <v>0.5996527777777777</v>
      </c>
    </row>
    <row r="206" spans="1:13" hidden="1" x14ac:dyDescent="0.55000000000000004">
      <c r="A206" t="s">
        <v>342</v>
      </c>
      <c r="B206">
        <v>131</v>
      </c>
      <c r="C206">
        <v>641.5</v>
      </c>
      <c r="D206">
        <v>618.5</v>
      </c>
      <c r="E206">
        <v>9.5132499999999993</v>
      </c>
      <c r="F206" t="s">
        <v>332</v>
      </c>
      <c r="G206">
        <v>132</v>
      </c>
      <c r="H206" t="s">
        <v>362</v>
      </c>
      <c r="I206" t="s">
        <v>307</v>
      </c>
      <c r="J206">
        <f ca="1">B206-VLOOKUP(I206,INDIRECT("フレーム変換表!A$1:B$" &amp; フレーム変換表!$D$1),2,FALSE)*2</f>
        <v>37</v>
      </c>
      <c r="K206" t="str">
        <f ca="1">VLOOKUP(F206,INDIRECT("球種変換表!A$1:B$" &amp; 球種変換表!$D$1),2,)</f>
        <v>フォーク</v>
      </c>
      <c r="L206">
        <f t="shared" si="8"/>
        <v>7.575757575757576E-3</v>
      </c>
      <c r="M206">
        <f t="shared" ca="1" si="9"/>
        <v>0.60381944444444435</v>
      </c>
    </row>
    <row r="207" spans="1:13" hidden="1" x14ac:dyDescent="0.55000000000000004">
      <c r="A207" t="s">
        <v>343</v>
      </c>
      <c r="B207">
        <v>130</v>
      </c>
      <c r="C207">
        <v>645</v>
      </c>
      <c r="D207">
        <v>601.5</v>
      </c>
      <c r="E207">
        <v>10.012589999999999</v>
      </c>
      <c r="F207" t="s">
        <v>332</v>
      </c>
      <c r="G207">
        <v>132</v>
      </c>
      <c r="H207" t="s">
        <v>362</v>
      </c>
      <c r="I207" t="s">
        <v>307</v>
      </c>
      <c r="J207">
        <f ca="1">B207-VLOOKUP(I207,INDIRECT("フレーム変換表!A$1:B$" &amp; フレーム変換表!$D$1),2,FALSE)*2</f>
        <v>36</v>
      </c>
      <c r="K207" t="str">
        <f ca="1">VLOOKUP(F207,INDIRECT("球種変換表!A$1:B$" &amp; 球種変換表!$D$1),2,)</f>
        <v>フォーク</v>
      </c>
      <c r="L207">
        <f t="shared" si="8"/>
        <v>7.575757575757576E-3</v>
      </c>
      <c r="M207">
        <f t="shared" ca="1" si="9"/>
        <v>0.59895833333333337</v>
      </c>
    </row>
    <row r="208" spans="1:13" hidden="1" x14ac:dyDescent="0.55000000000000004">
      <c r="A208" t="s">
        <v>344</v>
      </c>
      <c r="B208">
        <v>131</v>
      </c>
      <c r="C208">
        <v>654</v>
      </c>
      <c r="D208">
        <v>613</v>
      </c>
      <c r="E208">
        <v>10.0001</v>
      </c>
      <c r="F208" t="s">
        <v>332</v>
      </c>
      <c r="G208">
        <v>131</v>
      </c>
      <c r="H208" t="s">
        <v>362</v>
      </c>
      <c r="I208" t="s">
        <v>307</v>
      </c>
      <c r="J208">
        <f ca="1">B208-VLOOKUP(I208,INDIRECT("フレーム変換表!A$1:B$" &amp; フレーム変換表!$D$1),2,FALSE)*2</f>
        <v>37</v>
      </c>
      <c r="K208" t="str">
        <f ca="1">VLOOKUP(F208,INDIRECT("球種変換表!A$1:B$" &amp; 球種変換表!$D$1),2,)</f>
        <v>フォーク</v>
      </c>
      <c r="L208">
        <f t="shared" si="8"/>
        <v>7.6335877862595417E-3</v>
      </c>
      <c r="M208">
        <f t="shared" ca="1" si="9"/>
        <v>0.60763888888888895</v>
      </c>
    </row>
    <row r="209" spans="1:13" hidden="1" x14ac:dyDescent="0.55000000000000004">
      <c r="A209" t="s">
        <v>346</v>
      </c>
      <c r="B209">
        <v>148</v>
      </c>
      <c r="C209">
        <v>622.5</v>
      </c>
      <c r="D209">
        <v>607.5</v>
      </c>
      <c r="E209">
        <v>9.5132499999999993</v>
      </c>
      <c r="F209" t="s">
        <v>345</v>
      </c>
      <c r="G209">
        <v>113</v>
      </c>
      <c r="H209" t="s">
        <v>362</v>
      </c>
      <c r="I209" t="s">
        <v>307</v>
      </c>
      <c r="J209">
        <f ca="1">B209-VLOOKUP(I209,INDIRECT("フレーム変換表!A$1:B$" &amp; フレーム変換表!$D$1),2,FALSE)*2</f>
        <v>54</v>
      </c>
      <c r="K209" t="str">
        <f ca="1">VLOOKUP(F209,INDIRECT("球種変換表!A$1:B$" &amp; 球種変換表!$D$1),2,)</f>
        <v>スローカーブ</v>
      </c>
      <c r="L209">
        <f t="shared" si="8"/>
        <v>8.8495575221238937E-3</v>
      </c>
      <c r="M209">
        <f t="shared" ca="1" si="9"/>
        <v>0.89479166666666665</v>
      </c>
    </row>
    <row r="210" spans="1:13" hidden="1" x14ac:dyDescent="0.55000000000000004">
      <c r="A210" t="s">
        <v>347</v>
      </c>
      <c r="B210">
        <v>148</v>
      </c>
      <c r="C210">
        <v>641</v>
      </c>
      <c r="D210">
        <v>612</v>
      </c>
      <c r="E210">
        <v>10.0001</v>
      </c>
      <c r="F210" t="s">
        <v>345</v>
      </c>
      <c r="G210">
        <v>113</v>
      </c>
      <c r="H210" t="s">
        <v>362</v>
      </c>
      <c r="I210" t="s">
        <v>307</v>
      </c>
      <c r="J210">
        <f ca="1">B210-VLOOKUP(I210,INDIRECT("フレーム変換表!A$1:B$" &amp; フレーム変換表!$D$1),2,FALSE)*2</f>
        <v>54</v>
      </c>
      <c r="K210" t="str">
        <f ca="1">VLOOKUP(F210,INDIRECT("球種変換表!A$1:B$" &amp; 球種変換表!$D$1),2,)</f>
        <v>スローカーブ</v>
      </c>
      <c r="L210">
        <f t="shared" si="8"/>
        <v>8.8495575221238937E-3</v>
      </c>
      <c r="M210">
        <f t="shared" ca="1" si="9"/>
        <v>0.89166666666666672</v>
      </c>
    </row>
    <row r="211" spans="1:13" hidden="1" x14ac:dyDescent="0.55000000000000004">
      <c r="A211" t="s">
        <v>349</v>
      </c>
      <c r="B211">
        <v>149</v>
      </c>
      <c r="C211">
        <v>658</v>
      </c>
      <c r="D211">
        <v>618</v>
      </c>
      <c r="E211">
        <v>10.0001</v>
      </c>
      <c r="F211" t="s">
        <v>348</v>
      </c>
      <c r="G211">
        <v>112</v>
      </c>
      <c r="H211" t="s">
        <v>362</v>
      </c>
      <c r="I211" t="s">
        <v>307</v>
      </c>
      <c r="J211">
        <f ca="1">B211-VLOOKUP(I211,INDIRECT("フレーム変換表!A$1:B$" &amp; フレーム変換表!$D$1),2,FALSE)*2</f>
        <v>55</v>
      </c>
      <c r="K211" t="str">
        <f ca="1">VLOOKUP(F211,INDIRECT("球種変換表!A$1:B$" &amp; 球種変換表!$D$1),2,)</f>
        <v>スローカーブ</v>
      </c>
      <c r="L211">
        <f t="shared" si="8"/>
        <v>8.9285714285714281E-3</v>
      </c>
      <c r="M211">
        <f t="shared" ca="1" si="9"/>
        <v>0.90416666666666667</v>
      </c>
    </row>
    <row r="212" spans="1:13" hidden="1" x14ac:dyDescent="0.55000000000000004">
      <c r="A212" t="s">
        <v>350</v>
      </c>
      <c r="B212">
        <v>149</v>
      </c>
      <c r="C212">
        <v>629</v>
      </c>
      <c r="D212">
        <v>616.5</v>
      </c>
      <c r="E212">
        <v>10.012589999999999</v>
      </c>
      <c r="F212" t="s">
        <v>348</v>
      </c>
      <c r="G212">
        <v>112</v>
      </c>
      <c r="H212" t="s">
        <v>362</v>
      </c>
      <c r="I212" t="s">
        <v>307</v>
      </c>
      <c r="J212">
        <f ca="1">B212-VLOOKUP(I212,INDIRECT("フレーム変換表!A$1:B$" &amp; フレーム変換表!$D$1),2,FALSE)*2</f>
        <v>55</v>
      </c>
      <c r="K212" t="str">
        <f ca="1">VLOOKUP(F212,INDIRECT("球種変換表!A$1:B$" &amp; 球種変換表!$D$1),2,)</f>
        <v>スローカーブ</v>
      </c>
      <c r="L212">
        <f t="shared" si="8"/>
        <v>8.9285714285714281E-3</v>
      </c>
      <c r="M212">
        <f t="shared" ca="1" si="9"/>
        <v>0.90520833333333328</v>
      </c>
    </row>
    <row r="213" spans="1:13" hidden="1" x14ac:dyDescent="0.55000000000000004">
      <c r="A213" t="s">
        <v>351</v>
      </c>
      <c r="B213">
        <v>148</v>
      </c>
      <c r="C213">
        <v>650</v>
      </c>
      <c r="D213">
        <v>612.5</v>
      </c>
      <c r="E213">
        <v>10.012589999999999</v>
      </c>
      <c r="F213" t="s">
        <v>345</v>
      </c>
      <c r="G213">
        <v>113</v>
      </c>
      <c r="H213" t="s">
        <v>362</v>
      </c>
      <c r="I213" t="s">
        <v>307</v>
      </c>
      <c r="J213">
        <f ca="1">B213-VLOOKUP(I213,INDIRECT("フレーム変換表!A$1:B$" &amp; フレーム変換表!$D$1),2,FALSE)*2</f>
        <v>54</v>
      </c>
      <c r="K213" t="str">
        <f ca="1">VLOOKUP(F213,INDIRECT("球種変換表!A$1:B$" &amp; 球種変換表!$D$1),2,)</f>
        <v>スローカーブ</v>
      </c>
      <c r="L213">
        <f t="shared" si="8"/>
        <v>8.8495575221238937E-3</v>
      </c>
      <c r="M213">
        <f t="shared" ca="1" si="9"/>
        <v>0.89131944444444444</v>
      </c>
    </row>
    <row r="214" spans="1:13" hidden="1" x14ac:dyDescent="0.55000000000000004">
      <c r="A214" t="s">
        <v>352</v>
      </c>
      <c r="B214">
        <v>149</v>
      </c>
      <c r="C214">
        <v>638</v>
      </c>
      <c r="D214">
        <v>610.5</v>
      </c>
      <c r="E214">
        <v>10.012589999999999</v>
      </c>
      <c r="F214" t="s">
        <v>345</v>
      </c>
      <c r="G214">
        <v>111</v>
      </c>
      <c r="H214" t="s">
        <v>362</v>
      </c>
      <c r="I214" t="s">
        <v>307</v>
      </c>
      <c r="J214">
        <f ca="1">B214-VLOOKUP(I214,INDIRECT("フレーム変換表!A$1:B$" &amp; フレーム変換表!$D$1),2,FALSE)*2</f>
        <v>55</v>
      </c>
      <c r="K214" t="str">
        <f ca="1">VLOOKUP(F214,INDIRECT("球種変換表!A$1:B$" &amp; 球種変換表!$D$1),2,)</f>
        <v>スローカーブ</v>
      </c>
      <c r="L214">
        <f t="shared" si="8"/>
        <v>9.0090090090090089E-3</v>
      </c>
      <c r="M214">
        <f t="shared" ca="1" si="9"/>
        <v>0.90937500000000004</v>
      </c>
    </row>
    <row r="215" spans="1:13" hidden="1" x14ac:dyDescent="0.55000000000000004">
      <c r="A215" t="s">
        <v>353</v>
      </c>
      <c r="B215">
        <v>149</v>
      </c>
      <c r="C215">
        <v>635</v>
      </c>
      <c r="D215">
        <v>611.5</v>
      </c>
      <c r="E215">
        <v>10.012589999999999</v>
      </c>
      <c r="F215" t="s">
        <v>345</v>
      </c>
      <c r="G215">
        <v>111</v>
      </c>
      <c r="H215" t="s">
        <v>362</v>
      </c>
      <c r="I215" t="s">
        <v>307</v>
      </c>
      <c r="J215">
        <f ca="1">B215-VLOOKUP(I215,INDIRECT("フレーム変換表!A$1:B$" &amp; フレーム変換表!$D$1),2,FALSE)*2</f>
        <v>55</v>
      </c>
      <c r="K215" t="str">
        <f ca="1">VLOOKUP(F215,INDIRECT("球種変換表!A$1:B$" &amp; 球種変換表!$D$1),2,)</f>
        <v>スローカーブ</v>
      </c>
      <c r="L215">
        <f t="shared" si="8"/>
        <v>9.0090090090090089E-3</v>
      </c>
      <c r="M215">
        <f t="shared" ca="1" si="9"/>
        <v>0.9086805555555556</v>
      </c>
    </row>
    <row r="216" spans="1:13" hidden="1" x14ac:dyDescent="0.55000000000000004">
      <c r="A216" t="s">
        <v>354</v>
      </c>
      <c r="B216">
        <v>150</v>
      </c>
      <c r="C216">
        <v>651</v>
      </c>
      <c r="D216">
        <v>620.5</v>
      </c>
      <c r="E216">
        <v>10.012589999999999</v>
      </c>
      <c r="F216" t="s">
        <v>345</v>
      </c>
      <c r="G216">
        <v>111</v>
      </c>
      <c r="H216" t="s">
        <v>362</v>
      </c>
      <c r="I216" t="s">
        <v>307</v>
      </c>
      <c r="J216">
        <f ca="1">B216-VLOOKUP(I216,INDIRECT("フレーム変換表!A$1:B$" &amp; フレーム変換表!$D$1),2,FALSE)*2</f>
        <v>56</v>
      </c>
      <c r="K216" t="str">
        <f ca="1">VLOOKUP(F216,INDIRECT("球種変換表!A$1:B$" &amp; 球種変換表!$D$1),2,)</f>
        <v>スローカーブ</v>
      </c>
      <c r="L216">
        <f t="shared" si="8"/>
        <v>9.0090090090090089E-3</v>
      </c>
      <c r="M216">
        <f t="shared" ca="1" si="9"/>
        <v>0.91909722222222223</v>
      </c>
    </row>
    <row r="217" spans="1:13" hidden="1" x14ac:dyDescent="0.55000000000000004">
      <c r="A217" t="s">
        <v>356</v>
      </c>
      <c r="B217">
        <v>149</v>
      </c>
      <c r="C217">
        <v>651.5</v>
      </c>
      <c r="D217">
        <v>622</v>
      </c>
      <c r="E217">
        <v>10.5001</v>
      </c>
      <c r="F217" t="s">
        <v>355</v>
      </c>
      <c r="G217">
        <v>113</v>
      </c>
      <c r="H217" t="s">
        <v>362</v>
      </c>
      <c r="I217" t="s">
        <v>307</v>
      </c>
      <c r="J217">
        <f ca="1">B217-VLOOKUP(I217,INDIRECT("フレーム変換表!A$1:B$" &amp; フレーム変換表!$D$1),2,FALSE)*2</f>
        <v>55</v>
      </c>
      <c r="K217" t="str">
        <f ca="1">VLOOKUP(F217,INDIRECT("球種変換表!A$1:B$" &amp; 球種変換表!$D$1),2,)</f>
        <v>スローカーブ</v>
      </c>
      <c r="L217">
        <f t="shared" si="8"/>
        <v>8.8495575221238937E-3</v>
      </c>
      <c r="M217">
        <f t="shared" ca="1" si="9"/>
        <v>0.90138888888888891</v>
      </c>
    </row>
    <row r="218" spans="1:13" hidden="1" x14ac:dyDescent="0.55000000000000004">
      <c r="A218" t="s">
        <v>357</v>
      </c>
      <c r="B218">
        <v>148</v>
      </c>
      <c r="C218">
        <v>650</v>
      </c>
      <c r="D218">
        <v>609.5</v>
      </c>
      <c r="E218">
        <v>10.012589999999999</v>
      </c>
      <c r="F218" t="s">
        <v>345</v>
      </c>
      <c r="G218">
        <v>113</v>
      </c>
      <c r="H218" t="s">
        <v>362</v>
      </c>
      <c r="I218" t="s">
        <v>307</v>
      </c>
      <c r="J218">
        <f ca="1">B218-VLOOKUP(I218,INDIRECT("フレーム変換表!A$1:B$" &amp; フレーム変換表!$D$1),2,FALSE)*2</f>
        <v>54</v>
      </c>
      <c r="K218" t="str">
        <f ca="1">VLOOKUP(F218,INDIRECT("球種変換表!A$1:B$" &amp; 球種変換表!$D$1),2,)</f>
        <v>スローカーブ</v>
      </c>
      <c r="L218">
        <f t="shared" si="8"/>
        <v>8.8495575221238937E-3</v>
      </c>
      <c r="M218">
        <f t="shared" ca="1" si="9"/>
        <v>0.89340277777777777</v>
      </c>
    </row>
    <row r="219" spans="1:13" x14ac:dyDescent="0.55000000000000004">
      <c r="A219" t="s">
        <v>365</v>
      </c>
      <c r="B219">
        <v>61</v>
      </c>
      <c r="C219">
        <v>636.97919000000002</v>
      </c>
      <c r="D219">
        <v>636</v>
      </c>
      <c r="E219">
        <v>12.020910000000001</v>
      </c>
      <c r="F219" t="s">
        <v>309</v>
      </c>
      <c r="G219">
        <v>143</v>
      </c>
      <c r="H219" t="s">
        <v>363</v>
      </c>
      <c r="I219" t="s">
        <v>364</v>
      </c>
      <c r="J219">
        <f ca="1">(B219-VLOOKUP(I219,INDIRECT("フレーム変換表!A$1:B$"&amp;フレーム変換表!$D$1),2,FALSE)*2)</f>
        <v>35</v>
      </c>
      <c r="K219" t="str">
        <f ca="1">VLOOKUP(F219,INDIRECT("球種変換表!A$1:B$" &amp; 球種変換表!$D$1),2,)</f>
        <v>ストレート</v>
      </c>
      <c r="L219">
        <f t="shared" ref="L219:L267" si="10">1/G219</f>
        <v>6.993006993006993E-3</v>
      </c>
      <c r="M219">
        <f t="shared" ca="1" si="9"/>
        <v>0.55833333333333335</v>
      </c>
    </row>
    <row r="220" spans="1:13" x14ac:dyDescent="0.55000000000000004">
      <c r="A220" t="s">
        <v>366</v>
      </c>
      <c r="B220">
        <v>61</v>
      </c>
      <c r="C220">
        <v>652</v>
      </c>
      <c r="D220">
        <v>644.5</v>
      </c>
      <c r="E220">
        <v>12.01051</v>
      </c>
      <c r="F220" t="s">
        <v>309</v>
      </c>
      <c r="G220">
        <v>145</v>
      </c>
      <c r="H220" t="s">
        <v>363</v>
      </c>
      <c r="I220" t="s">
        <v>364</v>
      </c>
      <c r="J220">
        <f ca="1">(B220-VLOOKUP(I220,INDIRECT("フレーム変換表!A$1:B$"&amp;フレーム変換表!$D$1),2,FALSE)*2)</f>
        <v>35</v>
      </c>
      <c r="K220" t="str">
        <f ca="1">VLOOKUP(F220,INDIRECT("球種変換表!A$1:B$" &amp; 球種変換表!$D$1),2,)</f>
        <v>ストレート</v>
      </c>
      <c r="L220">
        <f t="shared" si="10"/>
        <v>6.8965517241379309E-3</v>
      </c>
      <c r="M220">
        <f t="shared" ca="1" si="9"/>
        <v>0.55243055555555565</v>
      </c>
    </row>
    <row r="221" spans="1:13" x14ac:dyDescent="0.55000000000000004">
      <c r="A221" t="s">
        <v>367</v>
      </c>
      <c r="B221">
        <v>61</v>
      </c>
      <c r="C221">
        <v>649.5</v>
      </c>
      <c r="D221">
        <v>626.5</v>
      </c>
      <c r="E221">
        <v>9.5132499999999993</v>
      </c>
      <c r="F221" t="s">
        <v>309</v>
      </c>
      <c r="G221">
        <v>141</v>
      </c>
      <c r="H221" t="s">
        <v>363</v>
      </c>
      <c r="I221" t="s">
        <v>364</v>
      </c>
      <c r="J221">
        <f ca="1">(B221-VLOOKUP(I221,INDIRECT("フレーム変換表!A$1:B$"&amp;フレーム変換表!$D$1),2,FALSE)*2)</f>
        <v>35</v>
      </c>
      <c r="K221" t="str">
        <f ca="1">VLOOKUP(F221,INDIRECT("球種変換表!A$1:B$" &amp; 球種変換表!$D$1),2,)</f>
        <v>ストレート</v>
      </c>
      <c r="L221">
        <f t="shared" si="10"/>
        <v>7.0921985815602835E-3</v>
      </c>
      <c r="M221">
        <f t="shared" ca="1" si="9"/>
        <v>0.5649305555555556</v>
      </c>
    </row>
    <row r="222" spans="1:13" x14ac:dyDescent="0.55000000000000004">
      <c r="A222" t="s">
        <v>368</v>
      </c>
      <c r="B222">
        <v>61</v>
      </c>
      <c r="C222">
        <v>637.5</v>
      </c>
      <c r="D222">
        <v>632</v>
      </c>
      <c r="E222">
        <v>11.5435</v>
      </c>
      <c r="F222" t="s">
        <v>309</v>
      </c>
      <c r="G222">
        <v>142</v>
      </c>
      <c r="H222" t="s">
        <v>363</v>
      </c>
      <c r="I222" t="s">
        <v>364</v>
      </c>
      <c r="J222">
        <f ca="1">(B222-VLOOKUP(I222,INDIRECT("フレーム変換表!A$1:B$"&amp;フレーム変換表!$D$1),2,FALSE)*2)</f>
        <v>35</v>
      </c>
      <c r="K222" t="str">
        <f ca="1">VLOOKUP(F222,INDIRECT("球種変換表!A$1:B$" &amp; 球種変換表!$D$1),2,)</f>
        <v>ストレート</v>
      </c>
      <c r="L222">
        <f t="shared" si="10"/>
        <v>7.0422535211267607E-3</v>
      </c>
      <c r="M222">
        <f t="shared" ca="1" si="9"/>
        <v>0.56111111111111112</v>
      </c>
    </row>
    <row r="223" spans="1:13" x14ac:dyDescent="0.55000000000000004">
      <c r="A223" t="s">
        <v>369</v>
      </c>
      <c r="B223">
        <v>61</v>
      </c>
      <c r="C223">
        <v>642</v>
      </c>
      <c r="D223">
        <v>630</v>
      </c>
      <c r="E223">
        <v>11.0001</v>
      </c>
      <c r="F223" t="s">
        <v>309</v>
      </c>
      <c r="G223">
        <v>141</v>
      </c>
      <c r="H223" t="s">
        <v>363</v>
      </c>
      <c r="I223" t="s">
        <v>364</v>
      </c>
      <c r="J223">
        <f ca="1">(B223-VLOOKUP(I223,INDIRECT("フレーム変換表!A$1:B$"&amp;フレーム変換表!$D$1),2,FALSE)*2)</f>
        <v>35</v>
      </c>
      <c r="K223" t="str">
        <f ca="1">VLOOKUP(F223,INDIRECT("球種変換表!A$1:B$" &amp; 球種変換表!$D$1),2,)</f>
        <v>ストレート</v>
      </c>
      <c r="L223">
        <f t="shared" si="10"/>
        <v>7.0921985815602835E-3</v>
      </c>
      <c r="M223">
        <f t="shared" ca="1" si="9"/>
        <v>0.5625</v>
      </c>
    </row>
    <row r="224" spans="1:13" x14ac:dyDescent="0.55000000000000004">
      <c r="A224" t="s">
        <v>370</v>
      </c>
      <c r="B224">
        <v>60</v>
      </c>
      <c r="C224">
        <v>643.5</v>
      </c>
      <c r="D224">
        <v>615.5</v>
      </c>
      <c r="E224">
        <v>9.5132499999999993</v>
      </c>
      <c r="F224" t="s">
        <v>309</v>
      </c>
      <c r="G224">
        <v>143</v>
      </c>
      <c r="H224" t="s">
        <v>363</v>
      </c>
      <c r="I224" t="s">
        <v>364</v>
      </c>
      <c r="J224">
        <f ca="1">(B224-VLOOKUP(I224,INDIRECT("フレーム変換表!A$1:B$"&amp;フレーム変換表!$D$1),2,FALSE)*2)</f>
        <v>34</v>
      </c>
      <c r="K224" t="str">
        <f ca="1">VLOOKUP(F224,INDIRECT("球種変換表!A$1:B$" &amp; 球種変換表!$D$1),2,)</f>
        <v>ストレート</v>
      </c>
      <c r="L224">
        <f t="shared" si="10"/>
        <v>6.993006993006993E-3</v>
      </c>
      <c r="M224">
        <f t="shared" ca="1" si="9"/>
        <v>0.55590277777777775</v>
      </c>
    </row>
    <row r="225" spans="1:13" x14ac:dyDescent="0.55000000000000004">
      <c r="A225" t="s">
        <v>371</v>
      </c>
      <c r="B225">
        <v>60</v>
      </c>
      <c r="C225">
        <v>644.5</v>
      </c>
      <c r="D225">
        <v>620</v>
      </c>
      <c r="E225">
        <v>10.5001</v>
      </c>
      <c r="F225" t="s">
        <v>309</v>
      </c>
      <c r="G225">
        <v>145</v>
      </c>
      <c r="H225" t="s">
        <v>363</v>
      </c>
      <c r="I225" t="s">
        <v>364</v>
      </c>
      <c r="J225">
        <f ca="1">(B225-VLOOKUP(I225,INDIRECT("フレーム変換表!A$1:B$"&amp;フレーム変換表!$D$1),2,FALSE)*2)</f>
        <v>34</v>
      </c>
      <c r="K225" t="str">
        <f ca="1">VLOOKUP(F225,INDIRECT("球種変換表!A$1:B$" &amp; 球種変換表!$D$1),2,)</f>
        <v>ストレート</v>
      </c>
      <c r="L225">
        <f t="shared" si="10"/>
        <v>6.8965517241379309E-3</v>
      </c>
      <c r="M225">
        <f t="shared" ca="1" si="9"/>
        <v>0.5527777777777777</v>
      </c>
    </row>
    <row r="226" spans="1:13" x14ac:dyDescent="0.55000000000000004">
      <c r="A226" t="s">
        <v>372</v>
      </c>
      <c r="B226">
        <v>60</v>
      </c>
      <c r="C226">
        <v>640</v>
      </c>
      <c r="D226">
        <v>612</v>
      </c>
      <c r="E226">
        <v>10.0001</v>
      </c>
      <c r="F226" t="s">
        <v>309</v>
      </c>
      <c r="G226">
        <v>142</v>
      </c>
      <c r="H226" t="s">
        <v>363</v>
      </c>
      <c r="I226" t="s">
        <v>364</v>
      </c>
      <c r="J226">
        <f ca="1">(B226-VLOOKUP(I226,INDIRECT("フレーム変換表!A$1:B$"&amp;フレーム変換表!$D$1),2,FALSE)*2)</f>
        <v>34</v>
      </c>
      <c r="K226" t="str">
        <f ca="1">VLOOKUP(F226,INDIRECT("球種変換表!A$1:B$" &amp; 球種変換表!$D$1),2,)</f>
        <v>ストレート</v>
      </c>
      <c r="L226">
        <f t="shared" si="10"/>
        <v>7.0422535211267607E-3</v>
      </c>
      <c r="M226">
        <f t="shared" ca="1" si="9"/>
        <v>0.55833333333333335</v>
      </c>
    </row>
    <row r="227" spans="1:13" x14ac:dyDescent="0.55000000000000004">
      <c r="A227" t="s">
        <v>373</v>
      </c>
      <c r="B227">
        <v>61</v>
      </c>
      <c r="C227">
        <v>635.5</v>
      </c>
      <c r="D227">
        <v>626.5</v>
      </c>
      <c r="E227">
        <v>9.5132499999999993</v>
      </c>
      <c r="F227" t="s">
        <v>309</v>
      </c>
      <c r="G227">
        <v>141</v>
      </c>
      <c r="H227" t="s">
        <v>363</v>
      </c>
      <c r="I227" t="s">
        <v>364</v>
      </c>
      <c r="J227">
        <f ca="1">(B227-VLOOKUP(I227,INDIRECT("フレーム変換表!A$1:B$"&amp;フレーム変換表!$D$1),2,FALSE)*2)</f>
        <v>35</v>
      </c>
      <c r="K227" t="str">
        <f ca="1">VLOOKUP(F227,INDIRECT("球種変換表!A$1:B$" &amp; 球種変換表!$D$1),2,)</f>
        <v>ストレート</v>
      </c>
      <c r="L227">
        <f t="shared" si="10"/>
        <v>7.0921985815602835E-3</v>
      </c>
      <c r="M227">
        <f t="shared" ca="1" si="9"/>
        <v>0.5649305555555556</v>
      </c>
    </row>
    <row r="228" spans="1:13" hidden="1" x14ac:dyDescent="0.55000000000000004">
      <c r="A228" t="s">
        <v>374</v>
      </c>
      <c r="B228">
        <v>56</v>
      </c>
      <c r="C228">
        <v>639</v>
      </c>
      <c r="D228">
        <v>604</v>
      </c>
      <c r="E228">
        <v>10.0001</v>
      </c>
      <c r="F228" t="s">
        <v>320</v>
      </c>
      <c r="G228">
        <v>141</v>
      </c>
      <c r="H228" t="s">
        <v>363</v>
      </c>
      <c r="I228" t="s">
        <v>364</v>
      </c>
      <c r="J228">
        <f ca="1">B228-VLOOKUP(I228,INDIRECT("フレーム変換表!A$1:B$" &amp; フレーム変換表!$D$1),2,FALSE)*2</f>
        <v>30</v>
      </c>
      <c r="K228" t="str">
        <f ca="1">VLOOKUP(F228,INDIRECT("球種変換表!A$1:B$" &amp; 球種変換表!$D$1),2,)</f>
        <v>全力ストレート</v>
      </c>
      <c r="L228">
        <f t="shared" si="10"/>
        <v>7.0921985815602835E-3</v>
      </c>
      <c r="M228">
        <f t="shared" ref="M219:M267" ca="1" si="11">(J228-(D228-600)/24)*2/120</f>
        <v>0.49722222222222218</v>
      </c>
    </row>
    <row r="229" spans="1:13" hidden="1" x14ac:dyDescent="0.55000000000000004">
      <c r="A229" t="s">
        <v>375</v>
      </c>
      <c r="B229">
        <v>57</v>
      </c>
      <c r="C229">
        <v>643</v>
      </c>
      <c r="D229">
        <v>635.5</v>
      </c>
      <c r="E229">
        <v>12.01051</v>
      </c>
      <c r="F229" t="s">
        <v>320</v>
      </c>
      <c r="G229">
        <v>142</v>
      </c>
      <c r="H229" t="s">
        <v>363</v>
      </c>
      <c r="I229" t="s">
        <v>364</v>
      </c>
      <c r="J229">
        <f ca="1">B229-VLOOKUP(I229,INDIRECT("フレーム変換表!A$1:B$" &amp; フレーム変換表!$D$1),2,FALSE)*2</f>
        <v>31</v>
      </c>
      <c r="K229" t="str">
        <f ca="1">VLOOKUP(F229,INDIRECT("球種変換表!A$1:B$" &amp; 球種変換表!$D$1),2,)</f>
        <v>全力ストレート</v>
      </c>
      <c r="L229">
        <f t="shared" si="10"/>
        <v>7.0422535211267607E-3</v>
      </c>
      <c r="M229">
        <f t="shared" ca="1" si="11"/>
        <v>0.49201388888888886</v>
      </c>
    </row>
    <row r="230" spans="1:13" hidden="1" x14ac:dyDescent="0.55000000000000004">
      <c r="A230" t="s">
        <v>376</v>
      </c>
      <c r="B230">
        <v>57</v>
      </c>
      <c r="C230">
        <v>643.5</v>
      </c>
      <c r="D230">
        <v>645</v>
      </c>
      <c r="E230">
        <v>11.5435</v>
      </c>
      <c r="F230" t="s">
        <v>320</v>
      </c>
      <c r="G230">
        <v>145</v>
      </c>
      <c r="H230" t="s">
        <v>363</v>
      </c>
      <c r="I230" t="s">
        <v>364</v>
      </c>
      <c r="J230">
        <f ca="1">B230-VLOOKUP(I230,INDIRECT("フレーム変換表!A$1:B$" &amp; フレーム変換表!$D$1),2,FALSE)*2</f>
        <v>31</v>
      </c>
      <c r="K230" t="str">
        <f ca="1">VLOOKUP(F230,INDIRECT("球種変換表!A$1:B$" &amp; 球種変換表!$D$1),2,)</f>
        <v>全力ストレート</v>
      </c>
      <c r="L230">
        <f t="shared" si="10"/>
        <v>6.8965517241379309E-3</v>
      </c>
      <c r="M230">
        <f t="shared" ca="1" si="11"/>
        <v>0.48541666666666666</v>
      </c>
    </row>
    <row r="231" spans="1:13" hidden="1" x14ac:dyDescent="0.55000000000000004">
      <c r="A231" t="s">
        <v>377</v>
      </c>
      <c r="B231">
        <v>57</v>
      </c>
      <c r="C231">
        <v>642.5</v>
      </c>
      <c r="D231">
        <v>633</v>
      </c>
      <c r="E231">
        <v>11.5435</v>
      </c>
      <c r="F231" t="s">
        <v>320</v>
      </c>
      <c r="G231">
        <v>141</v>
      </c>
      <c r="H231" t="s">
        <v>363</v>
      </c>
      <c r="I231" t="s">
        <v>364</v>
      </c>
      <c r="J231">
        <f ca="1">B231-VLOOKUP(I231,INDIRECT("フレーム変換表!A$1:B$" &amp; フレーム変換表!$D$1),2,FALSE)*2</f>
        <v>31</v>
      </c>
      <c r="K231" t="str">
        <f ca="1">VLOOKUP(F231,INDIRECT("球種変換表!A$1:B$" &amp; 球種変換表!$D$1),2,)</f>
        <v>全力ストレート</v>
      </c>
      <c r="L231">
        <f t="shared" si="10"/>
        <v>7.0921985815602835E-3</v>
      </c>
      <c r="M231">
        <f t="shared" ca="1" si="11"/>
        <v>0.49375000000000002</v>
      </c>
    </row>
    <row r="232" spans="1:13" hidden="1" x14ac:dyDescent="0.55000000000000004">
      <c r="A232" t="s">
        <v>378</v>
      </c>
      <c r="B232">
        <v>56</v>
      </c>
      <c r="C232">
        <v>640</v>
      </c>
      <c r="D232">
        <v>616</v>
      </c>
      <c r="E232">
        <v>10.0001</v>
      </c>
      <c r="F232" t="s">
        <v>320</v>
      </c>
      <c r="G232">
        <v>146</v>
      </c>
      <c r="H232" t="s">
        <v>363</v>
      </c>
      <c r="I232" t="s">
        <v>364</v>
      </c>
      <c r="J232">
        <f ca="1">B232-VLOOKUP(I232,INDIRECT("フレーム変換表!A$1:B$" &amp; フレーム変換表!$D$1),2,FALSE)*2</f>
        <v>30</v>
      </c>
      <c r="K232" t="str">
        <f ca="1">VLOOKUP(F232,INDIRECT("球種変換表!A$1:B$" &amp; 球種変換表!$D$1),2,)</f>
        <v>全力ストレート</v>
      </c>
      <c r="L232">
        <f t="shared" si="10"/>
        <v>6.8493150684931503E-3</v>
      </c>
      <c r="M232">
        <f t="shared" ca="1" si="11"/>
        <v>0.48888888888888887</v>
      </c>
    </row>
    <row r="233" spans="1:13" hidden="1" x14ac:dyDescent="0.55000000000000004">
      <c r="A233" t="s">
        <v>379</v>
      </c>
      <c r="B233">
        <v>57</v>
      </c>
      <c r="C233">
        <v>643</v>
      </c>
      <c r="D233">
        <v>634.5</v>
      </c>
      <c r="E233">
        <v>12.01051</v>
      </c>
      <c r="F233" t="s">
        <v>320</v>
      </c>
      <c r="G233">
        <v>142</v>
      </c>
      <c r="H233" t="s">
        <v>363</v>
      </c>
      <c r="I233" t="s">
        <v>364</v>
      </c>
      <c r="J233">
        <f ca="1">B233-VLOOKUP(I233,INDIRECT("フレーム変換表!A$1:B$" &amp; フレーム変換表!$D$1),2,FALSE)*2</f>
        <v>31</v>
      </c>
      <c r="K233" t="str">
        <f ca="1">VLOOKUP(F233,INDIRECT("球種変換表!A$1:B$" &amp; 球種変換表!$D$1),2,)</f>
        <v>全力ストレート</v>
      </c>
      <c r="L233">
        <f t="shared" si="10"/>
        <v>7.0422535211267607E-3</v>
      </c>
      <c r="M233">
        <f t="shared" ca="1" si="11"/>
        <v>0.49270833333333336</v>
      </c>
    </row>
    <row r="234" spans="1:13" hidden="1" x14ac:dyDescent="0.55000000000000004">
      <c r="A234" t="s">
        <v>380</v>
      </c>
      <c r="B234">
        <v>57</v>
      </c>
      <c r="C234">
        <v>644</v>
      </c>
      <c r="D234">
        <v>644</v>
      </c>
      <c r="E234">
        <v>12.041689999999999</v>
      </c>
      <c r="F234" t="s">
        <v>320</v>
      </c>
      <c r="G234">
        <v>141</v>
      </c>
      <c r="H234" t="s">
        <v>363</v>
      </c>
      <c r="I234" t="s">
        <v>364</v>
      </c>
      <c r="J234">
        <f ca="1">B234-VLOOKUP(I234,INDIRECT("フレーム変換表!A$1:B$" &amp; フレーム変換表!$D$1),2,FALSE)*2</f>
        <v>31</v>
      </c>
      <c r="K234" t="str">
        <f ca="1">VLOOKUP(F234,INDIRECT("球種変換表!A$1:B$" &amp; 球種変換表!$D$1),2,)</f>
        <v>全力ストレート</v>
      </c>
      <c r="L234">
        <f t="shared" si="10"/>
        <v>7.0921985815602835E-3</v>
      </c>
      <c r="M234">
        <f t="shared" ca="1" si="11"/>
        <v>0.4861111111111111</v>
      </c>
    </row>
    <row r="235" spans="1:13" hidden="1" x14ac:dyDescent="0.55000000000000004">
      <c r="A235" t="s">
        <v>381</v>
      </c>
      <c r="B235">
        <v>56</v>
      </c>
      <c r="C235">
        <v>640</v>
      </c>
      <c r="D235">
        <v>610</v>
      </c>
      <c r="E235">
        <v>10.0001</v>
      </c>
      <c r="F235" t="s">
        <v>320</v>
      </c>
      <c r="G235">
        <v>143</v>
      </c>
      <c r="H235" t="s">
        <v>363</v>
      </c>
      <c r="I235" t="s">
        <v>364</v>
      </c>
      <c r="J235">
        <f ca="1">B235-VLOOKUP(I235,INDIRECT("フレーム変換表!A$1:B$" &amp; フレーム変換表!$D$1),2,FALSE)*2</f>
        <v>30</v>
      </c>
      <c r="K235" t="str">
        <f ca="1">VLOOKUP(F235,INDIRECT("球種変換表!A$1:B$" &amp; 球種変換表!$D$1),2,)</f>
        <v>全力ストレート</v>
      </c>
      <c r="L235">
        <f t="shared" si="10"/>
        <v>6.993006993006993E-3</v>
      </c>
      <c r="M235">
        <f t="shared" ca="1" si="11"/>
        <v>0.49305555555555552</v>
      </c>
    </row>
    <row r="236" spans="1:13" hidden="1" x14ac:dyDescent="0.55000000000000004">
      <c r="A236" t="s">
        <v>382</v>
      </c>
      <c r="B236">
        <v>56</v>
      </c>
      <c r="C236">
        <v>640</v>
      </c>
      <c r="D236">
        <v>616</v>
      </c>
      <c r="E236">
        <v>10.0001</v>
      </c>
      <c r="F236" t="s">
        <v>320</v>
      </c>
      <c r="G236">
        <v>145</v>
      </c>
      <c r="H236" t="s">
        <v>363</v>
      </c>
      <c r="I236" t="s">
        <v>364</v>
      </c>
      <c r="J236">
        <f ca="1">B236-VLOOKUP(I236,INDIRECT("フレーム変換表!A$1:B$" &amp; フレーム変換表!$D$1),2,FALSE)*2</f>
        <v>30</v>
      </c>
      <c r="K236" t="str">
        <f ca="1">VLOOKUP(F236,INDIRECT("球種変換表!A$1:B$" &amp; 球種変換表!$D$1),2,)</f>
        <v>全力ストレート</v>
      </c>
      <c r="L236">
        <f t="shared" si="10"/>
        <v>6.8965517241379309E-3</v>
      </c>
      <c r="M236">
        <f t="shared" ca="1" si="11"/>
        <v>0.48888888888888887</v>
      </c>
    </row>
    <row r="237" spans="1:13" hidden="1" x14ac:dyDescent="0.55000000000000004">
      <c r="A237" t="s">
        <v>383</v>
      </c>
      <c r="B237">
        <v>57</v>
      </c>
      <c r="C237">
        <v>642.5</v>
      </c>
      <c r="D237">
        <v>632</v>
      </c>
      <c r="E237">
        <v>11.5435</v>
      </c>
      <c r="F237" t="s">
        <v>320</v>
      </c>
      <c r="G237">
        <v>141</v>
      </c>
      <c r="H237" t="s">
        <v>363</v>
      </c>
      <c r="I237" t="s">
        <v>364</v>
      </c>
      <c r="J237">
        <f ca="1">B237-VLOOKUP(I237,INDIRECT("フレーム変換表!A$1:B$" &amp; フレーム変換表!$D$1),2,FALSE)*2</f>
        <v>31</v>
      </c>
      <c r="K237" t="str">
        <f ca="1">VLOOKUP(F237,INDIRECT("球種変換表!A$1:B$" &amp; 球種変換表!$D$1),2,)</f>
        <v>全力ストレート</v>
      </c>
      <c r="L237">
        <f t="shared" si="10"/>
        <v>7.0921985815602835E-3</v>
      </c>
      <c r="M237">
        <f t="shared" ca="1" si="11"/>
        <v>0.49444444444444446</v>
      </c>
    </row>
    <row r="238" spans="1:13" hidden="1" x14ac:dyDescent="0.55000000000000004">
      <c r="A238" t="s">
        <v>385</v>
      </c>
      <c r="B238">
        <v>63</v>
      </c>
      <c r="C238">
        <v>634</v>
      </c>
      <c r="D238">
        <v>603.5</v>
      </c>
      <c r="E238">
        <v>10.012589999999999</v>
      </c>
      <c r="F238" t="s">
        <v>384</v>
      </c>
      <c r="G238">
        <v>136</v>
      </c>
      <c r="H238" t="s">
        <v>363</v>
      </c>
      <c r="I238" t="s">
        <v>364</v>
      </c>
      <c r="J238">
        <f ca="1">B238-VLOOKUP(I238,INDIRECT("フレーム変換表!A$1:B$" &amp; フレーム変換表!$D$1),2,FALSE)*2</f>
        <v>37</v>
      </c>
      <c r="K238" t="str">
        <f ca="1">VLOOKUP(F238,INDIRECT("球種変換表!A$1:B$" &amp; 球種変換表!$D$1),2,)</f>
        <v>カットボール</v>
      </c>
      <c r="L238">
        <f t="shared" si="10"/>
        <v>7.3529411764705881E-3</v>
      </c>
      <c r="M238">
        <f t="shared" ca="1" si="11"/>
        <v>0.61423611111111109</v>
      </c>
    </row>
    <row r="239" spans="1:13" hidden="1" x14ac:dyDescent="0.55000000000000004">
      <c r="A239" t="s">
        <v>386</v>
      </c>
      <c r="B239">
        <v>66</v>
      </c>
      <c r="C239">
        <v>668</v>
      </c>
      <c r="D239">
        <v>678</v>
      </c>
      <c r="E239">
        <v>12.041689999999999</v>
      </c>
      <c r="F239" t="s">
        <v>384</v>
      </c>
      <c r="G239">
        <v>137</v>
      </c>
      <c r="H239" t="s">
        <v>363</v>
      </c>
      <c r="I239" t="s">
        <v>364</v>
      </c>
      <c r="J239">
        <f ca="1">B239-VLOOKUP(I239,INDIRECT("フレーム変換表!A$1:B$" &amp; フレーム変換表!$D$1),2,FALSE)*2</f>
        <v>40</v>
      </c>
      <c r="K239" t="str">
        <f ca="1">VLOOKUP(F239,INDIRECT("球種変換表!A$1:B$" &amp; 球種変換表!$D$1),2,)</f>
        <v>カットボール</v>
      </c>
      <c r="L239">
        <f t="shared" si="10"/>
        <v>7.2992700729927005E-3</v>
      </c>
      <c r="M239">
        <f t="shared" ca="1" si="11"/>
        <v>0.61250000000000004</v>
      </c>
    </row>
    <row r="240" spans="1:13" hidden="1" x14ac:dyDescent="0.55000000000000004">
      <c r="A240" t="s">
        <v>387</v>
      </c>
      <c r="B240">
        <v>63</v>
      </c>
      <c r="C240">
        <v>633</v>
      </c>
      <c r="D240">
        <v>602</v>
      </c>
      <c r="E240">
        <v>10.0001</v>
      </c>
      <c r="F240" t="s">
        <v>384</v>
      </c>
      <c r="G240">
        <v>135</v>
      </c>
      <c r="H240" t="s">
        <v>363</v>
      </c>
      <c r="I240" t="s">
        <v>364</v>
      </c>
      <c r="J240">
        <f ca="1">B240-VLOOKUP(I240,INDIRECT("フレーム変換表!A$1:B$" &amp; フレーム変換表!$D$1),2,FALSE)*2</f>
        <v>37</v>
      </c>
      <c r="K240" t="str">
        <f ca="1">VLOOKUP(F240,INDIRECT("球種変換表!A$1:B$" &amp; 球種変換表!$D$1),2,)</f>
        <v>カットボール</v>
      </c>
      <c r="L240">
        <f t="shared" si="10"/>
        <v>7.4074074074074077E-3</v>
      </c>
      <c r="M240">
        <f t="shared" ca="1" si="11"/>
        <v>0.6152777777777777</v>
      </c>
    </row>
    <row r="241" spans="1:13" hidden="1" x14ac:dyDescent="0.55000000000000004">
      <c r="A241" t="s">
        <v>388</v>
      </c>
      <c r="B241">
        <v>63</v>
      </c>
      <c r="C241">
        <v>645</v>
      </c>
      <c r="D241">
        <v>603.5</v>
      </c>
      <c r="E241">
        <v>10.012589999999999</v>
      </c>
      <c r="F241" t="s">
        <v>384</v>
      </c>
      <c r="G241">
        <v>136</v>
      </c>
      <c r="H241" t="s">
        <v>363</v>
      </c>
      <c r="I241" t="s">
        <v>364</v>
      </c>
      <c r="J241">
        <f ca="1">B241-VLOOKUP(I241,INDIRECT("フレーム変換表!A$1:B$" &amp; フレーム変換表!$D$1),2,FALSE)*2</f>
        <v>37</v>
      </c>
      <c r="K241" t="str">
        <f ca="1">VLOOKUP(F241,INDIRECT("球種変換表!A$1:B$" &amp; 球種変換表!$D$1),2,)</f>
        <v>カットボール</v>
      </c>
      <c r="L241">
        <f t="shared" si="10"/>
        <v>7.3529411764705881E-3</v>
      </c>
      <c r="M241">
        <f t="shared" ca="1" si="11"/>
        <v>0.61423611111111109</v>
      </c>
    </row>
    <row r="242" spans="1:13" hidden="1" x14ac:dyDescent="0.55000000000000004">
      <c r="A242" t="s">
        <v>389</v>
      </c>
      <c r="B242">
        <v>64</v>
      </c>
      <c r="C242">
        <v>639.5</v>
      </c>
      <c r="D242">
        <v>631</v>
      </c>
      <c r="E242">
        <v>11.5435</v>
      </c>
      <c r="F242" t="s">
        <v>384</v>
      </c>
      <c r="G242">
        <v>137</v>
      </c>
      <c r="H242" t="s">
        <v>363</v>
      </c>
      <c r="I242" t="s">
        <v>364</v>
      </c>
      <c r="J242">
        <f ca="1">B242-VLOOKUP(I242,INDIRECT("フレーム変換表!A$1:B$" &amp; フレーム変換表!$D$1),2,FALSE)*2</f>
        <v>38</v>
      </c>
      <c r="K242" t="str">
        <f ca="1">VLOOKUP(F242,INDIRECT("球種変換表!A$1:B$" &amp; 球種変換表!$D$1),2,)</f>
        <v>カットボール</v>
      </c>
      <c r="L242">
        <f t="shared" si="10"/>
        <v>7.2992700729927005E-3</v>
      </c>
      <c r="M242">
        <f t="shared" ca="1" si="11"/>
        <v>0.6118055555555556</v>
      </c>
    </row>
    <row r="243" spans="1:13" hidden="1" x14ac:dyDescent="0.55000000000000004">
      <c r="A243" t="s">
        <v>390</v>
      </c>
      <c r="B243">
        <v>64</v>
      </c>
      <c r="C243">
        <v>662.5</v>
      </c>
      <c r="D243">
        <v>621.5</v>
      </c>
      <c r="E243">
        <v>9.5132499999999993</v>
      </c>
      <c r="F243" t="s">
        <v>384</v>
      </c>
      <c r="G243">
        <v>135</v>
      </c>
      <c r="H243" t="s">
        <v>363</v>
      </c>
      <c r="I243" t="s">
        <v>364</v>
      </c>
      <c r="J243">
        <f ca="1">B243-VLOOKUP(I243,INDIRECT("フレーム変換表!A$1:B$" &amp; フレーム変換表!$D$1),2,FALSE)*2</f>
        <v>38</v>
      </c>
      <c r="K243" t="str">
        <f ca="1">VLOOKUP(F243,INDIRECT("球種変換表!A$1:B$" &amp; 球種変換表!$D$1),2,)</f>
        <v>カットボール</v>
      </c>
      <c r="L243">
        <f t="shared" si="10"/>
        <v>7.4074074074074077E-3</v>
      </c>
      <c r="M243">
        <f t="shared" ca="1" si="11"/>
        <v>0.61840277777777775</v>
      </c>
    </row>
    <row r="244" spans="1:13" hidden="1" x14ac:dyDescent="0.55000000000000004">
      <c r="A244" t="s">
        <v>391</v>
      </c>
      <c r="B244">
        <v>63</v>
      </c>
      <c r="C244">
        <v>638</v>
      </c>
      <c r="D244">
        <v>605.5</v>
      </c>
      <c r="E244">
        <v>10.012589999999999</v>
      </c>
      <c r="F244" t="s">
        <v>384</v>
      </c>
      <c r="G244">
        <v>136</v>
      </c>
      <c r="H244" t="s">
        <v>363</v>
      </c>
      <c r="I244" t="s">
        <v>364</v>
      </c>
      <c r="J244">
        <f ca="1">B244-VLOOKUP(I244,INDIRECT("フレーム変換表!A$1:B$" &amp; フレーム変換表!$D$1),2,FALSE)*2</f>
        <v>37</v>
      </c>
      <c r="K244" t="str">
        <f ca="1">VLOOKUP(F244,INDIRECT("球種変換表!A$1:B$" &amp; 球種変換表!$D$1),2,)</f>
        <v>カットボール</v>
      </c>
      <c r="L244">
        <f t="shared" si="10"/>
        <v>7.3529411764705881E-3</v>
      </c>
      <c r="M244">
        <f t="shared" ca="1" si="11"/>
        <v>0.61284722222222221</v>
      </c>
    </row>
    <row r="245" spans="1:13" hidden="1" x14ac:dyDescent="0.55000000000000004">
      <c r="A245" t="s">
        <v>392</v>
      </c>
      <c r="B245">
        <v>63</v>
      </c>
      <c r="C245">
        <v>647</v>
      </c>
      <c r="D245">
        <v>606.5</v>
      </c>
      <c r="E245">
        <v>9.0139800000000001</v>
      </c>
      <c r="F245" t="s">
        <v>384</v>
      </c>
      <c r="G245">
        <v>137</v>
      </c>
      <c r="H245" t="s">
        <v>363</v>
      </c>
      <c r="I245" t="s">
        <v>364</v>
      </c>
      <c r="J245">
        <f ca="1">B245-VLOOKUP(I245,INDIRECT("フレーム変換表!A$1:B$" &amp; フレーム変換表!$D$1),2,FALSE)*2</f>
        <v>37</v>
      </c>
      <c r="K245" t="str">
        <f ca="1">VLOOKUP(F245,INDIRECT("球種変換表!A$1:B$" &amp; 球種変換表!$D$1),2,)</f>
        <v>カットボール</v>
      </c>
      <c r="L245">
        <f t="shared" si="10"/>
        <v>7.2992700729927005E-3</v>
      </c>
      <c r="M245">
        <f t="shared" ca="1" si="11"/>
        <v>0.61215277777777777</v>
      </c>
    </row>
    <row r="246" spans="1:13" hidden="1" x14ac:dyDescent="0.55000000000000004">
      <c r="A246" t="s">
        <v>393</v>
      </c>
      <c r="B246">
        <v>63</v>
      </c>
      <c r="C246">
        <v>651</v>
      </c>
      <c r="D246">
        <v>608</v>
      </c>
      <c r="E246">
        <v>10.0001</v>
      </c>
      <c r="F246" t="s">
        <v>384</v>
      </c>
      <c r="G246">
        <v>137</v>
      </c>
      <c r="H246" t="s">
        <v>363</v>
      </c>
      <c r="I246" t="s">
        <v>364</v>
      </c>
      <c r="J246">
        <f ca="1">B246-VLOOKUP(I246,INDIRECT("フレーム変換表!A$1:B$" &amp; フレーム変換表!$D$1),2,FALSE)*2</f>
        <v>37</v>
      </c>
      <c r="K246" t="str">
        <f ca="1">VLOOKUP(F246,INDIRECT("球種変換表!A$1:B$" &amp; 球種変換表!$D$1),2,)</f>
        <v>カットボール</v>
      </c>
      <c r="L246">
        <f t="shared" si="10"/>
        <v>7.2992700729927005E-3</v>
      </c>
      <c r="M246">
        <f t="shared" ca="1" si="11"/>
        <v>0.61111111111111105</v>
      </c>
    </row>
    <row r="247" spans="1:13" hidden="1" x14ac:dyDescent="0.55000000000000004">
      <c r="A247" t="s">
        <v>394</v>
      </c>
      <c r="B247">
        <v>64</v>
      </c>
      <c r="C247">
        <v>648.5</v>
      </c>
      <c r="D247">
        <v>625</v>
      </c>
      <c r="E247">
        <v>8.5587199999999992</v>
      </c>
      <c r="F247" t="s">
        <v>384</v>
      </c>
      <c r="G247">
        <v>136</v>
      </c>
      <c r="H247" t="s">
        <v>363</v>
      </c>
      <c r="I247" t="s">
        <v>364</v>
      </c>
      <c r="J247">
        <f ca="1">B247-VLOOKUP(I247,INDIRECT("フレーム変換表!A$1:B$" &amp; フレーム変換表!$D$1),2,FALSE)*2</f>
        <v>38</v>
      </c>
      <c r="K247" t="str">
        <f ca="1">VLOOKUP(F247,INDIRECT("球種変換表!A$1:B$" &amp; 球種変換表!$D$1),2,)</f>
        <v>カットボール</v>
      </c>
      <c r="L247">
        <f t="shared" si="10"/>
        <v>7.3529411764705881E-3</v>
      </c>
      <c r="M247">
        <f t="shared" ca="1" si="11"/>
        <v>0.61597222222222225</v>
      </c>
    </row>
    <row r="248" spans="1:13" hidden="1" x14ac:dyDescent="0.55000000000000004">
      <c r="A248" t="s">
        <v>395</v>
      </c>
      <c r="B248">
        <v>82</v>
      </c>
      <c r="C248">
        <v>630</v>
      </c>
      <c r="D248">
        <v>611.5</v>
      </c>
      <c r="E248">
        <v>10.012589999999999</v>
      </c>
      <c r="F248" t="s">
        <v>345</v>
      </c>
      <c r="G248">
        <v>107</v>
      </c>
      <c r="H248" t="s">
        <v>363</v>
      </c>
      <c r="I248" t="s">
        <v>364</v>
      </c>
      <c r="J248">
        <f ca="1">B248-VLOOKUP(I248,INDIRECT("フレーム変換表!A$1:B$" &amp; フレーム変換表!$D$1),2,FALSE)*2</f>
        <v>56</v>
      </c>
      <c r="K248" t="str">
        <f ca="1">VLOOKUP(F248,INDIRECT("球種変換表!A$1:B$" &amp; 球種変換表!$D$1),2,)</f>
        <v>スローカーブ</v>
      </c>
      <c r="L248">
        <f t="shared" si="10"/>
        <v>9.3457943925233638E-3</v>
      </c>
      <c r="M248">
        <f t="shared" ca="1" si="11"/>
        <v>0.92534722222222221</v>
      </c>
    </row>
    <row r="249" spans="1:13" hidden="1" x14ac:dyDescent="0.55000000000000004">
      <c r="A249" t="s">
        <v>396</v>
      </c>
      <c r="B249">
        <v>82</v>
      </c>
      <c r="C249">
        <v>633</v>
      </c>
      <c r="D249">
        <v>601.5</v>
      </c>
      <c r="E249">
        <v>10.012589999999999</v>
      </c>
      <c r="F249" t="s">
        <v>345</v>
      </c>
      <c r="G249">
        <v>106</v>
      </c>
      <c r="H249" t="s">
        <v>363</v>
      </c>
      <c r="I249" t="s">
        <v>364</v>
      </c>
      <c r="J249">
        <f ca="1">B249-VLOOKUP(I249,INDIRECT("フレーム変換表!A$1:B$" &amp; フレーム変換表!$D$1),2,FALSE)*2</f>
        <v>56</v>
      </c>
      <c r="K249" t="str">
        <f ca="1">VLOOKUP(F249,INDIRECT("球種変換表!A$1:B$" &amp; 球種変換表!$D$1),2,)</f>
        <v>スローカーブ</v>
      </c>
      <c r="L249">
        <f t="shared" si="10"/>
        <v>9.433962264150943E-3</v>
      </c>
      <c r="M249">
        <f t="shared" ca="1" si="11"/>
        <v>0.93229166666666663</v>
      </c>
    </row>
    <row r="250" spans="1:13" hidden="1" x14ac:dyDescent="0.55000000000000004">
      <c r="A250" t="s">
        <v>397</v>
      </c>
      <c r="B250">
        <v>84</v>
      </c>
      <c r="C250">
        <v>629</v>
      </c>
      <c r="D250">
        <v>619.5</v>
      </c>
      <c r="E250">
        <v>10.012589999999999</v>
      </c>
      <c r="F250" t="s">
        <v>345</v>
      </c>
      <c r="G250">
        <v>105</v>
      </c>
      <c r="H250" t="s">
        <v>363</v>
      </c>
      <c r="I250" t="s">
        <v>364</v>
      </c>
      <c r="J250">
        <f ca="1">B250-VLOOKUP(I250,INDIRECT("フレーム変換表!A$1:B$" &amp; フレーム変換表!$D$1),2,FALSE)*2</f>
        <v>58</v>
      </c>
      <c r="K250" t="str">
        <f ca="1">VLOOKUP(F250,INDIRECT("球種変換表!A$1:B$" &amp; 球種変換表!$D$1),2,)</f>
        <v>スローカーブ</v>
      </c>
      <c r="L250">
        <f t="shared" si="10"/>
        <v>9.5238095238095247E-3</v>
      </c>
      <c r="M250">
        <f t="shared" ca="1" si="11"/>
        <v>0.953125</v>
      </c>
    </row>
    <row r="251" spans="1:13" hidden="1" x14ac:dyDescent="0.55000000000000004">
      <c r="A251" t="s">
        <v>398</v>
      </c>
      <c r="B251">
        <v>84</v>
      </c>
      <c r="C251">
        <v>648.5</v>
      </c>
      <c r="D251">
        <v>620</v>
      </c>
      <c r="E251">
        <v>10.5001</v>
      </c>
      <c r="F251" t="s">
        <v>345</v>
      </c>
      <c r="G251">
        <v>105</v>
      </c>
      <c r="H251" t="s">
        <v>363</v>
      </c>
      <c r="I251" t="s">
        <v>364</v>
      </c>
      <c r="J251">
        <f ca="1">B251-VLOOKUP(I251,INDIRECT("フレーム変換表!A$1:B$" &amp; フレーム変換表!$D$1),2,FALSE)*2</f>
        <v>58</v>
      </c>
      <c r="K251" t="str">
        <f ca="1">VLOOKUP(F251,INDIRECT("球種変換表!A$1:B$" &amp; 球種変換表!$D$1),2,)</f>
        <v>スローカーブ</v>
      </c>
      <c r="L251">
        <f t="shared" si="10"/>
        <v>9.5238095238095247E-3</v>
      </c>
      <c r="M251">
        <f t="shared" ca="1" si="11"/>
        <v>0.95277777777777772</v>
      </c>
    </row>
    <row r="252" spans="1:13" hidden="1" x14ac:dyDescent="0.55000000000000004">
      <c r="A252" t="s">
        <v>399</v>
      </c>
      <c r="B252">
        <v>83</v>
      </c>
      <c r="C252">
        <v>623</v>
      </c>
      <c r="D252">
        <v>605</v>
      </c>
      <c r="E252">
        <v>10.0001</v>
      </c>
      <c r="F252" t="s">
        <v>345</v>
      </c>
      <c r="G252">
        <v>104</v>
      </c>
      <c r="H252" t="s">
        <v>363</v>
      </c>
      <c r="I252" t="s">
        <v>364</v>
      </c>
      <c r="J252">
        <f ca="1">B252-VLOOKUP(I252,INDIRECT("フレーム変換表!A$1:B$" &amp; フレーム変換表!$D$1),2,FALSE)*2</f>
        <v>57</v>
      </c>
      <c r="K252" t="str">
        <f ca="1">VLOOKUP(F252,INDIRECT("球種変換表!A$1:B$" &amp; 球種変換表!$D$1),2,)</f>
        <v>スローカーブ</v>
      </c>
      <c r="L252">
        <f t="shared" si="10"/>
        <v>9.6153846153846159E-3</v>
      </c>
      <c r="M252">
        <f t="shared" ca="1" si="11"/>
        <v>0.94652777777777775</v>
      </c>
    </row>
    <row r="253" spans="1:13" hidden="1" x14ac:dyDescent="0.55000000000000004">
      <c r="A253" t="s">
        <v>401</v>
      </c>
      <c r="B253">
        <v>82</v>
      </c>
      <c r="C253">
        <v>635</v>
      </c>
      <c r="D253">
        <v>602.5</v>
      </c>
      <c r="E253">
        <v>10.012589999999999</v>
      </c>
      <c r="F253" t="s">
        <v>345</v>
      </c>
      <c r="G253" t="s">
        <v>400</v>
      </c>
      <c r="H253" t="s">
        <v>363</v>
      </c>
      <c r="I253" t="s">
        <v>364</v>
      </c>
      <c r="J253">
        <f ca="1">B253-VLOOKUP(I253,INDIRECT("フレーム変換表!A$1:B$" &amp; フレーム変換表!$D$1),2,FALSE)*2</f>
        <v>56</v>
      </c>
      <c r="K253" t="str">
        <f ca="1">VLOOKUP(F253,INDIRECT("球種変換表!A$1:B$" &amp; 球種変換表!$D$1),2,)</f>
        <v>スローカーブ</v>
      </c>
      <c r="L253" t="e">
        <f t="shared" si="10"/>
        <v>#VALUE!</v>
      </c>
      <c r="M253">
        <f t="shared" ca="1" si="11"/>
        <v>0.9315972222222223</v>
      </c>
    </row>
    <row r="254" spans="1:13" hidden="1" x14ac:dyDescent="0.55000000000000004">
      <c r="A254" t="s">
        <v>402</v>
      </c>
      <c r="B254">
        <v>83</v>
      </c>
      <c r="C254">
        <v>632.5</v>
      </c>
      <c r="D254">
        <v>623.5</v>
      </c>
      <c r="E254">
        <v>10.512</v>
      </c>
      <c r="F254" t="s">
        <v>345</v>
      </c>
      <c r="G254">
        <v>107</v>
      </c>
      <c r="H254" t="s">
        <v>363</v>
      </c>
      <c r="I254" t="s">
        <v>364</v>
      </c>
      <c r="J254">
        <f ca="1">B254-VLOOKUP(I254,INDIRECT("フレーム変換表!A$1:B$" &amp; フレーム変換表!$D$1),2,FALSE)*2</f>
        <v>57</v>
      </c>
      <c r="K254" t="str">
        <f ca="1">VLOOKUP(F254,INDIRECT("球種変換表!A$1:B$" &amp; 球種変換表!$D$1),2,)</f>
        <v>スローカーブ</v>
      </c>
      <c r="L254">
        <f t="shared" si="10"/>
        <v>9.3457943925233638E-3</v>
      </c>
      <c r="M254">
        <f t="shared" ca="1" si="11"/>
        <v>0.93368055555555562</v>
      </c>
    </row>
    <row r="255" spans="1:13" hidden="1" x14ac:dyDescent="0.55000000000000004">
      <c r="A255" t="s">
        <v>403</v>
      </c>
      <c r="B255">
        <v>82</v>
      </c>
      <c r="C255">
        <v>630</v>
      </c>
      <c r="D255">
        <v>613.5</v>
      </c>
      <c r="E255">
        <v>10.012589999999999</v>
      </c>
      <c r="F255" t="s">
        <v>345</v>
      </c>
      <c r="G255">
        <v>107</v>
      </c>
      <c r="H255" t="s">
        <v>363</v>
      </c>
      <c r="I255" t="s">
        <v>364</v>
      </c>
      <c r="J255">
        <f ca="1">B255-VLOOKUP(I255,INDIRECT("フレーム変換表!A$1:B$" &amp; フレーム変換表!$D$1),2,FALSE)*2</f>
        <v>56</v>
      </c>
      <c r="K255" t="str">
        <f ca="1">VLOOKUP(F255,INDIRECT("球種変換表!A$1:B$" &amp; 球種変換表!$D$1),2,)</f>
        <v>スローカーブ</v>
      </c>
      <c r="L255">
        <f t="shared" si="10"/>
        <v>9.3457943925233638E-3</v>
      </c>
      <c r="M255">
        <f t="shared" ca="1" si="11"/>
        <v>0.92395833333333333</v>
      </c>
    </row>
    <row r="256" spans="1:13" hidden="1" x14ac:dyDescent="0.55000000000000004">
      <c r="A256" t="s">
        <v>404</v>
      </c>
      <c r="B256">
        <v>82</v>
      </c>
      <c r="C256">
        <v>621</v>
      </c>
      <c r="D256">
        <v>604.5</v>
      </c>
      <c r="E256">
        <v>10.012589999999999</v>
      </c>
      <c r="F256" t="s">
        <v>345</v>
      </c>
      <c r="G256" t="s">
        <v>400</v>
      </c>
      <c r="H256" t="s">
        <v>363</v>
      </c>
      <c r="I256" t="s">
        <v>364</v>
      </c>
      <c r="J256">
        <f ca="1">B256-VLOOKUP(I256,INDIRECT("フレーム変換表!A$1:B$" &amp; フレーム変換表!$D$1),2,FALSE)*2</f>
        <v>56</v>
      </c>
      <c r="K256" t="str">
        <f ca="1">VLOOKUP(F256,INDIRECT("球種変換表!A$1:B$" &amp; 球種変換表!$D$1),2,)</f>
        <v>スローカーブ</v>
      </c>
      <c r="L256" t="e">
        <f t="shared" si="10"/>
        <v>#VALUE!</v>
      </c>
      <c r="M256">
        <f t="shared" ca="1" si="11"/>
        <v>0.9302083333333333</v>
      </c>
    </row>
    <row r="257" spans="1:13" hidden="1" x14ac:dyDescent="0.55000000000000004">
      <c r="A257" t="s">
        <v>405</v>
      </c>
      <c r="B257">
        <v>81</v>
      </c>
      <c r="C257">
        <v>612</v>
      </c>
      <c r="D257">
        <v>601</v>
      </c>
      <c r="E257">
        <v>10.0001</v>
      </c>
      <c r="F257" t="s">
        <v>345</v>
      </c>
      <c r="G257">
        <v>107</v>
      </c>
      <c r="H257" t="s">
        <v>363</v>
      </c>
      <c r="I257" t="s">
        <v>364</v>
      </c>
      <c r="J257">
        <f ca="1">B257-VLOOKUP(I257,INDIRECT("フレーム変換表!A$1:B$" &amp; フレーム変換表!$D$1),2,FALSE)*2</f>
        <v>55</v>
      </c>
      <c r="K257" t="str">
        <f ca="1">VLOOKUP(F257,INDIRECT("球種変換表!A$1:B$" &amp; 球種変換表!$D$1),2,)</f>
        <v>スローカーブ</v>
      </c>
      <c r="L257">
        <f t="shared" si="10"/>
        <v>9.3457943925233638E-3</v>
      </c>
      <c r="M257">
        <f t="shared" ca="1" si="11"/>
        <v>0.9159722222222223</v>
      </c>
    </row>
    <row r="258" spans="1:13" hidden="1" x14ac:dyDescent="0.55000000000000004">
      <c r="A258" t="s">
        <v>407</v>
      </c>
      <c r="B258">
        <v>65</v>
      </c>
      <c r="C258">
        <v>630</v>
      </c>
      <c r="D258">
        <v>633.5</v>
      </c>
      <c r="E258">
        <v>12.01051</v>
      </c>
      <c r="F258" t="s">
        <v>406</v>
      </c>
      <c r="G258">
        <v>134</v>
      </c>
      <c r="H258" t="s">
        <v>363</v>
      </c>
      <c r="I258" t="s">
        <v>364</v>
      </c>
      <c r="J258">
        <f ca="1">B258-VLOOKUP(I258,INDIRECT("フレーム変換表!A$1:B$" &amp; フレーム変換表!$D$1),2,FALSE)*2</f>
        <v>39</v>
      </c>
      <c r="K258" t="str">
        <f ca="1">VLOOKUP(F258,INDIRECT("球種変換表!A$1:B$" &amp; 球種変換表!$D$1),2,)</f>
        <v>シュート</v>
      </c>
      <c r="L258">
        <f t="shared" si="10"/>
        <v>7.462686567164179E-3</v>
      </c>
      <c r="M258">
        <f t="shared" ca="1" si="11"/>
        <v>0.62673611111111105</v>
      </c>
    </row>
    <row r="259" spans="1:13" hidden="1" x14ac:dyDescent="0.55000000000000004">
      <c r="A259" t="s">
        <v>409</v>
      </c>
      <c r="B259">
        <v>64</v>
      </c>
      <c r="C259">
        <v>616</v>
      </c>
      <c r="D259">
        <v>605.5</v>
      </c>
      <c r="E259">
        <v>10.012589999999999</v>
      </c>
      <c r="F259" t="s">
        <v>408</v>
      </c>
      <c r="G259">
        <v>133</v>
      </c>
      <c r="H259" t="s">
        <v>363</v>
      </c>
      <c r="I259" t="s">
        <v>364</v>
      </c>
      <c r="J259">
        <f ca="1">B259-VLOOKUP(I259,INDIRECT("フレーム変換表!A$1:B$" &amp; フレーム変換表!$D$1),2,FALSE)*2</f>
        <v>38</v>
      </c>
      <c r="K259" t="str">
        <f ca="1">VLOOKUP(F259,INDIRECT("球種変換表!A$1:B$" &amp; 球種変換表!$D$1),2,)</f>
        <v>シュート</v>
      </c>
      <c r="L259">
        <f t="shared" si="10"/>
        <v>7.5187969924812026E-3</v>
      </c>
      <c r="M259">
        <f t="shared" ca="1" si="11"/>
        <v>0.62951388888888893</v>
      </c>
    </row>
    <row r="260" spans="1:13" hidden="1" x14ac:dyDescent="0.55000000000000004">
      <c r="A260" t="s">
        <v>410</v>
      </c>
      <c r="B260">
        <v>67</v>
      </c>
      <c r="C260">
        <v>625.5</v>
      </c>
      <c r="D260">
        <v>677.5</v>
      </c>
      <c r="E260">
        <v>12.5101</v>
      </c>
      <c r="F260" t="s">
        <v>408</v>
      </c>
      <c r="G260">
        <v>133</v>
      </c>
      <c r="H260" t="s">
        <v>363</v>
      </c>
      <c r="I260" t="s">
        <v>364</v>
      </c>
      <c r="J260">
        <f ca="1">B260-VLOOKUP(I260,INDIRECT("フレーム変換表!A$1:B$" &amp; フレーム変換表!$D$1),2,FALSE)*2</f>
        <v>41</v>
      </c>
      <c r="K260" t="str">
        <f ca="1">VLOOKUP(F260,INDIRECT("球種変換表!A$1:B$" &amp; 球種変換表!$D$1),2,)</f>
        <v>シュート</v>
      </c>
      <c r="L260">
        <f t="shared" si="10"/>
        <v>7.5187969924812026E-3</v>
      </c>
      <c r="M260">
        <f t="shared" ca="1" si="11"/>
        <v>0.62951388888888893</v>
      </c>
    </row>
    <row r="261" spans="1:13" hidden="1" x14ac:dyDescent="0.55000000000000004">
      <c r="A261" t="s">
        <v>411</v>
      </c>
      <c r="B261">
        <v>66</v>
      </c>
      <c r="C261">
        <v>636</v>
      </c>
      <c r="D261">
        <v>640.5</v>
      </c>
      <c r="E261">
        <v>12.01051</v>
      </c>
      <c r="F261" t="s">
        <v>408</v>
      </c>
      <c r="G261">
        <v>131</v>
      </c>
      <c r="H261" t="s">
        <v>363</v>
      </c>
      <c r="I261" t="s">
        <v>364</v>
      </c>
      <c r="J261">
        <f ca="1">B261-VLOOKUP(I261,INDIRECT("フレーム変換表!A$1:B$" &amp; フレーム変換表!$D$1),2,FALSE)*2</f>
        <v>40</v>
      </c>
      <c r="K261" t="str">
        <f ca="1">VLOOKUP(F261,INDIRECT("球種変換表!A$1:B$" &amp; 球種変換表!$D$1),2,)</f>
        <v>シュート</v>
      </c>
      <c r="L261">
        <f t="shared" si="10"/>
        <v>7.6335877862595417E-3</v>
      </c>
      <c r="M261">
        <f t="shared" ca="1" si="11"/>
        <v>0.63854166666666667</v>
      </c>
    </row>
    <row r="262" spans="1:13" hidden="1" x14ac:dyDescent="0.55000000000000004">
      <c r="A262" t="s">
        <v>412</v>
      </c>
      <c r="B262">
        <v>65</v>
      </c>
      <c r="C262">
        <v>637.5</v>
      </c>
      <c r="D262">
        <v>621.5</v>
      </c>
      <c r="E262">
        <v>10.512</v>
      </c>
      <c r="F262" t="s">
        <v>408</v>
      </c>
      <c r="G262">
        <v>132</v>
      </c>
      <c r="H262" t="s">
        <v>363</v>
      </c>
      <c r="I262" t="s">
        <v>364</v>
      </c>
      <c r="J262">
        <f ca="1">B262-VLOOKUP(I262,INDIRECT("フレーム変換表!A$1:B$" &amp; フレーム変換表!$D$1),2,FALSE)*2</f>
        <v>39</v>
      </c>
      <c r="K262" t="str">
        <f ca="1">VLOOKUP(F262,INDIRECT("球種変換表!A$1:B$" &amp; 球種変換表!$D$1),2,)</f>
        <v>シュート</v>
      </c>
      <c r="L262">
        <f t="shared" si="10"/>
        <v>7.575757575757576E-3</v>
      </c>
      <c r="M262">
        <f t="shared" ca="1" si="11"/>
        <v>0.63506944444444435</v>
      </c>
    </row>
    <row r="263" spans="1:13" hidden="1" x14ac:dyDescent="0.55000000000000004">
      <c r="A263" t="s">
        <v>413</v>
      </c>
      <c r="B263">
        <v>64</v>
      </c>
      <c r="C263">
        <v>639.5</v>
      </c>
      <c r="D263">
        <v>607.5</v>
      </c>
      <c r="E263">
        <v>9.5132499999999993</v>
      </c>
      <c r="F263" t="s">
        <v>408</v>
      </c>
      <c r="G263">
        <v>133</v>
      </c>
      <c r="H263" t="s">
        <v>363</v>
      </c>
      <c r="I263" t="s">
        <v>364</v>
      </c>
      <c r="J263">
        <f ca="1">B263-VLOOKUP(I263,INDIRECT("フレーム変換表!A$1:B$" &amp; フレーム変換表!$D$1),2,FALSE)*2</f>
        <v>38</v>
      </c>
      <c r="K263" t="str">
        <f ca="1">VLOOKUP(F263,INDIRECT("球種変換表!A$1:B$" &amp; 球種変換表!$D$1),2,)</f>
        <v>シュート</v>
      </c>
      <c r="L263">
        <f t="shared" si="10"/>
        <v>7.5187969924812026E-3</v>
      </c>
      <c r="M263">
        <f t="shared" ca="1" si="11"/>
        <v>0.62812500000000004</v>
      </c>
    </row>
    <row r="264" spans="1:13" hidden="1" x14ac:dyDescent="0.55000000000000004">
      <c r="A264" t="s">
        <v>415</v>
      </c>
      <c r="B264">
        <v>65</v>
      </c>
      <c r="C264">
        <v>629.5</v>
      </c>
      <c r="D264">
        <v>617.5</v>
      </c>
      <c r="E264">
        <v>10.512</v>
      </c>
      <c r="F264" t="s">
        <v>414</v>
      </c>
      <c r="G264">
        <v>131</v>
      </c>
      <c r="H264" t="s">
        <v>363</v>
      </c>
      <c r="I264" t="s">
        <v>364</v>
      </c>
      <c r="J264">
        <f ca="1">B264-VLOOKUP(I264,INDIRECT("フレーム変換表!A$1:B$" &amp; フレーム変換表!$D$1),2,FALSE)*2</f>
        <v>39</v>
      </c>
      <c r="K264" t="str">
        <f ca="1">VLOOKUP(F264,INDIRECT("球種変換表!A$1:B$" &amp; 球種変換表!$D$1),2,)</f>
        <v>シュート</v>
      </c>
      <c r="L264">
        <f t="shared" si="10"/>
        <v>7.6335877862595417E-3</v>
      </c>
      <c r="M264">
        <f t="shared" ca="1" si="11"/>
        <v>0.63784722222222223</v>
      </c>
    </row>
    <row r="265" spans="1:13" hidden="1" x14ac:dyDescent="0.55000000000000004">
      <c r="A265" t="s">
        <v>416</v>
      </c>
      <c r="B265">
        <v>64</v>
      </c>
      <c r="C265">
        <v>629.5</v>
      </c>
      <c r="D265">
        <v>611</v>
      </c>
      <c r="E265">
        <v>10.5001</v>
      </c>
      <c r="F265" t="s">
        <v>408</v>
      </c>
      <c r="G265">
        <v>134</v>
      </c>
      <c r="H265" t="s">
        <v>363</v>
      </c>
      <c r="I265" t="s">
        <v>364</v>
      </c>
      <c r="J265">
        <f ca="1">B265-VLOOKUP(I265,INDIRECT("フレーム変換表!A$1:B$" &amp; フレーム変換表!$D$1),2,FALSE)*2</f>
        <v>38</v>
      </c>
      <c r="K265" t="str">
        <f ca="1">VLOOKUP(F265,INDIRECT("球種変換表!A$1:B$" &amp; 球種変換表!$D$1),2,)</f>
        <v>シュート</v>
      </c>
      <c r="L265">
        <f t="shared" si="10"/>
        <v>7.462686567164179E-3</v>
      </c>
      <c r="M265">
        <f t="shared" ca="1" si="11"/>
        <v>0.62569444444444444</v>
      </c>
    </row>
    <row r="266" spans="1:13" hidden="1" x14ac:dyDescent="0.55000000000000004">
      <c r="A266" t="s">
        <v>418</v>
      </c>
      <c r="B266">
        <v>65</v>
      </c>
      <c r="C266">
        <v>624.5</v>
      </c>
      <c r="D266">
        <v>630.5</v>
      </c>
      <c r="E266">
        <v>11.510960000000001</v>
      </c>
      <c r="F266" t="s">
        <v>417</v>
      </c>
      <c r="G266">
        <v>134</v>
      </c>
      <c r="H266" t="s">
        <v>363</v>
      </c>
      <c r="I266" t="s">
        <v>364</v>
      </c>
      <c r="J266">
        <f ca="1">B266-VLOOKUP(I266,INDIRECT("フレーム変換表!A$1:B$" &amp; フレーム変換表!$D$1),2,FALSE)*2</f>
        <v>39</v>
      </c>
      <c r="K266" t="str">
        <f ca="1">VLOOKUP(F266,INDIRECT("球種変換表!A$1:B$" &amp; 球種変換表!$D$1),2,)</f>
        <v>シュート</v>
      </c>
      <c r="L266">
        <f t="shared" si="10"/>
        <v>7.462686567164179E-3</v>
      </c>
      <c r="M266">
        <f t="shared" ca="1" si="11"/>
        <v>0.62881944444444438</v>
      </c>
    </row>
    <row r="267" spans="1:13" hidden="1" x14ac:dyDescent="0.55000000000000004">
      <c r="A267" t="s">
        <v>419</v>
      </c>
      <c r="B267">
        <v>65</v>
      </c>
      <c r="C267">
        <v>637.5</v>
      </c>
      <c r="D267">
        <v>633.5</v>
      </c>
      <c r="E267">
        <v>11.510960000000001</v>
      </c>
      <c r="F267" t="s">
        <v>414</v>
      </c>
      <c r="G267">
        <v>134</v>
      </c>
      <c r="H267" t="s">
        <v>363</v>
      </c>
      <c r="I267" t="s">
        <v>364</v>
      </c>
      <c r="J267">
        <f ca="1">B267-VLOOKUP(I267,INDIRECT("フレーム変換表!A$1:B$" &amp; フレーム変換表!$D$1),2,FALSE)*2</f>
        <v>39</v>
      </c>
      <c r="K267" t="str">
        <f ca="1">VLOOKUP(F267,INDIRECT("球種変換表!A$1:B$" &amp; 球種変換表!$D$1),2,)</f>
        <v>シュート</v>
      </c>
      <c r="L267">
        <f t="shared" si="10"/>
        <v>7.462686567164179E-3</v>
      </c>
      <c r="M267">
        <f t="shared" ca="1" si="11"/>
        <v>0.62673611111111105</v>
      </c>
    </row>
    <row r="268" spans="1:13" x14ac:dyDescent="0.55000000000000004">
      <c r="A268" t="s">
        <v>422</v>
      </c>
      <c r="B268">
        <v>132</v>
      </c>
      <c r="C268">
        <v>636.5</v>
      </c>
      <c r="D268">
        <v>621</v>
      </c>
      <c r="E268">
        <v>10.5001</v>
      </c>
      <c r="F268" t="s">
        <v>1</v>
      </c>
      <c r="G268">
        <v>120</v>
      </c>
      <c r="H268" t="s">
        <v>477</v>
      </c>
      <c r="I268" t="s">
        <v>478</v>
      </c>
      <c r="J268">
        <f ca="1">B268-VLOOKUP(I268,INDIRECT("フレーム変換表!A$1:B$" &amp; フレーム変換表!$D$1),2,FALSE)*2</f>
        <v>37</v>
      </c>
      <c r="K268" t="str">
        <f ca="1">VLOOKUP(F268,INDIRECT("球種変換表!A$1:B$" &amp; 球種変換表!$D$1),2,)</f>
        <v>ストレート</v>
      </c>
      <c r="L268">
        <f t="shared" ref="L268:L316" si="12">1/G268</f>
        <v>8.3333333333333332E-3</v>
      </c>
      <c r="M268">
        <f t="shared" ref="M268:M316" ca="1" si="13">(J268-(D268-600)/24)*2/120</f>
        <v>0.6020833333333333</v>
      </c>
    </row>
    <row r="269" spans="1:13" x14ac:dyDescent="0.55000000000000004">
      <c r="A269" t="s">
        <v>423</v>
      </c>
      <c r="B269">
        <v>133</v>
      </c>
      <c r="C269">
        <v>650.5</v>
      </c>
      <c r="D269">
        <v>621</v>
      </c>
      <c r="E269">
        <v>9.5000999999999998</v>
      </c>
      <c r="F269" t="s">
        <v>1</v>
      </c>
      <c r="G269">
        <v>120</v>
      </c>
      <c r="H269" t="s">
        <v>477</v>
      </c>
      <c r="I269" t="s">
        <v>478</v>
      </c>
      <c r="J269">
        <f ca="1">B269-VLOOKUP(I269,INDIRECT("フレーム変換表!A$1:B$" &amp; フレーム変換表!$D$1),2,FALSE)*2</f>
        <v>38</v>
      </c>
      <c r="K269" t="str">
        <f ca="1">VLOOKUP(F269,INDIRECT("球種変換表!A$1:B$" &amp; 球種変換表!$D$1),2,)</f>
        <v>ストレート</v>
      </c>
      <c r="L269">
        <f t="shared" si="12"/>
        <v>8.3333333333333332E-3</v>
      </c>
      <c r="M269">
        <f t="shared" ca="1" si="13"/>
        <v>0.61875000000000002</v>
      </c>
    </row>
    <row r="270" spans="1:13" x14ac:dyDescent="0.55000000000000004">
      <c r="A270" t="s">
        <v>424</v>
      </c>
      <c r="B270">
        <v>132</v>
      </c>
      <c r="C270">
        <v>648</v>
      </c>
      <c r="D270">
        <v>609.5</v>
      </c>
      <c r="E270">
        <v>9.0139800000000001</v>
      </c>
      <c r="F270" t="s">
        <v>1</v>
      </c>
      <c r="G270">
        <v>122</v>
      </c>
      <c r="H270" t="s">
        <v>477</v>
      </c>
      <c r="I270" t="s">
        <v>478</v>
      </c>
      <c r="J270">
        <f ca="1">B270-VLOOKUP(I270,INDIRECT("フレーム変換表!A$1:B$" &amp; フレーム変換表!$D$1),2,FALSE)*2</f>
        <v>37</v>
      </c>
      <c r="K270" t="str">
        <f ca="1">VLOOKUP(F270,INDIRECT("球種変換表!A$1:B$" &amp; 球種変換表!$D$1),2,)</f>
        <v>ストレート</v>
      </c>
      <c r="L270">
        <f t="shared" si="12"/>
        <v>8.1967213114754103E-3</v>
      </c>
      <c r="M270">
        <f t="shared" ca="1" si="13"/>
        <v>0.61006944444444444</v>
      </c>
    </row>
    <row r="271" spans="1:13" x14ac:dyDescent="0.55000000000000004">
      <c r="A271" t="s">
        <v>425</v>
      </c>
      <c r="B271">
        <v>132</v>
      </c>
      <c r="C271">
        <v>644</v>
      </c>
      <c r="D271">
        <v>601.5</v>
      </c>
      <c r="E271">
        <v>10.012589999999999</v>
      </c>
      <c r="F271" t="s">
        <v>1</v>
      </c>
      <c r="G271">
        <v>126</v>
      </c>
      <c r="H271" t="s">
        <v>477</v>
      </c>
      <c r="I271" t="s">
        <v>478</v>
      </c>
      <c r="J271">
        <f ca="1">B271-VLOOKUP(I271,INDIRECT("フレーム変換表!A$1:B$" &amp; フレーム変換表!$D$1),2,FALSE)*2</f>
        <v>37</v>
      </c>
      <c r="K271" t="str">
        <f ca="1">VLOOKUP(F271,INDIRECT("球種変換表!A$1:B$" &amp; 球種変換表!$D$1),2,)</f>
        <v>ストレート</v>
      </c>
      <c r="L271">
        <f t="shared" si="12"/>
        <v>7.9365079365079361E-3</v>
      </c>
      <c r="M271">
        <f t="shared" ca="1" si="13"/>
        <v>0.61562499999999998</v>
      </c>
    </row>
    <row r="272" spans="1:13" x14ac:dyDescent="0.55000000000000004">
      <c r="A272" t="s">
        <v>426</v>
      </c>
      <c r="B272">
        <v>133</v>
      </c>
      <c r="C272">
        <v>638.5</v>
      </c>
      <c r="D272">
        <v>622</v>
      </c>
      <c r="E272">
        <v>10.5001</v>
      </c>
      <c r="F272" t="s">
        <v>1</v>
      </c>
      <c r="G272">
        <v>121</v>
      </c>
      <c r="H272" t="s">
        <v>477</v>
      </c>
      <c r="I272" t="s">
        <v>478</v>
      </c>
      <c r="J272">
        <f ca="1">B272-VLOOKUP(I272,INDIRECT("フレーム変換表!A$1:B$" &amp; フレーム変換表!$D$1),2,FALSE)*2</f>
        <v>38</v>
      </c>
      <c r="K272" t="str">
        <f ca="1">VLOOKUP(F272,INDIRECT("球種変換表!A$1:B$" &amp; 球種変換表!$D$1),2,)</f>
        <v>ストレート</v>
      </c>
      <c r="L272">
        <f t="shared" si="12"/>
        <v>8.2644628099173556E-3</v>
      </c>
      <c r="M272">
        <f t="shared" ca="1" si="13"/>
        <v>0.61805555555555558</v>
      </c>
    </row>
    <row r="273" spans="1:13" x14ac:dyDescent="0.55000000000000004">
      <c r="A273" t="s">
        <v>427</v>
      </c>
      <c r="B273">
        <v>134</v>
      </c>
      <c r="C273">
        <v>632.5</v>
      </c>
      <c r="D273">
        <v>637</v>
      </c>
      <c r="E273">
        <v>11.5435</v>
      </c>
      <c r="F273" t="s">
        <v>1</v>
      </c>
      <c r="G273">
        <v>115</v>
      </c>
      <c r="H273" t="s">
        <v>477</v>
      </c>
      <c r="I273" t="s">
        <v>478</v>
      </c>
      <c r="J273">
        <f ca="1">B273-VLOOKUP(I273,INDIRECT("フレーム変換表!A$1:B$" &amp; フレーム変換表!$D$1),2,FALSE)*2</f>
        <v>39</v>
      </c>
      <c r="K273" t="str">
        <f ca="1">VLOOKUP(F273,INDIRECT("球種変換表!A$1:B$" &amp; 球種変換表!$D$1),2,)</f>
        <v>ストレート</v>
      </c>
      <c r="L273">
        <f t="shared" si="12"/>
        <v>8.6956521739130436E-3</v>
      </c>
      <c r="M273">
        <f t="shared" ca="1" si="13"/>
        <v>0.62430555555555556</v>
      </c>
    </row>
    <row r="274" spans="1:13" x14ac:dyDescent="0.55000000000000004">
      <c r="A274" t="s">
        <v>428</v>
      </c>
      <c r="B274">
        <v>133</v>
      </c>
      <c r="C274">
        <v>635</v>
      </c>
      <c r="D274">
        <v>633.5</v>
      </c>
      <c r="E274">
        <v>12.01051</v>
      </c>
      <c r="F274" t="s">
        <v>1</v>
      </c>
      <c r="G274">
        <v>123</v>
      </c>
      <c r="H274" t="s">
        <v>477</v>
      </c>
      <c r="I274" t="s">
        <v>478</v>
      </c>
      <c r="J274">
        <f ca="1">B274-VLOOKUP(I274,INDIRECT("フレーム変換表!A$1:B$" &amp; フレーム変換表!$D$1),2,FALSE)*2</f>
        <v>38</v>
      </c>
      <c r="K274" t="str">
        <f ca="1">VLOOKUP(F274,INDIRECT("球種変換表!A$1:B$" &amp; 球種変換表!$D$1),2,)</f>
        <v>ストレート</v>
      </c>
      <c r="L274">
        <f t="shared" si="12"/>
        <v>8.130081300813009E-3</v>
      </c>
      <c r="M274">
        <f t="shared" ca="1" si="13"/>
        <v>0.61006944444444444</v>
      </c>
    </row>
    <row r="275" spans="1:13" x14ac:dyDescent="0.55000000000000004">
      <c r="A275" t="s">
        <v>429</v>
      </c>
      <c r="B275">
        <v>133</v>
      </c>
      <c r="C275">
        <v>642</v>
      </c>
      <c r="D275">
        <v>633</v>
      </c>
      <c r="E275">
        <v>12.0001</v>
      </c>
      <c r="F275" t="s">
        <v>1</v>
      </c>
      <c r="G275">
        <v>123</v>
      </c>
      <c r="H275" t="s">
        <v>477</v>
      </c>
      <c r="I275" t="s">
        <v>478</v>
      </c>
      <c r="J275">
        <f ca="1">B275-VLOOKUP(I275,INDIRECT("フレーム変換表!A$1:B$" &amp; フレーム変換表!$D$1),2,FALSE)*2</f>
        <v>38</v>
      </c>
      <c r="K275" t="str">
        <f ca="1">VLOOKUP(F275,INDIRECT("球種変換表!A$1:B$" &amp; 球種変換表!$D$1),2,)</f>
        <v>ストレート</v>
      </c>
      <c r="L275">
        <f t="shared" si="12"/>
        <v>8.130081300813009E-3</v>
      </c>
      <c r="M275">
        <f t="shared" ca="1" si="13"/>
        <v>0.61041666666666672</v>
      </c>
    </row>
    <row r="276" spans="1:13" x14ac:dyDescent="0.55000000000000004">
      <c r="A276" t="s">
        <v>430</v>
      </c>
      <c r="B276">
        <v>133</v>
      </c>
      <c r="C276">
        <v>634</v>
      </c>
      <c r="D276">
        <v>620.5</v>
      </c>
      <c r="E276">
        <v>10.012589999999999</v>
      </c>
      <c r="F276" t="s">
        <v>1</v>
      </c>
      <c r="G276">
        <v>120</v>
      </c>
      <c r="H276" t="s">
        <v>477</v>
      </c>
      <c r="I276" t="s">
        <v>478</v>
      </c>
      <c r="J276">
        <f ca="1">B276-VLOOKUP(I276,INDIRECT("フレーム変換表!A$1:B$" &amp; フレーム変換表!$D$1),2,FALSE)*2</f>
        <v>38</v>
      </c>
      <c r="K276" t="str">
        <f ca="1">VLOOKUP(F276,INDIRECT("球種変換表!A$1:B$" &amp; 球種変換表!$D$1),2,)</f>
        <v>ストレート</v>
      </c>
      <c r="L276">
        <f t="shared" si="12"/>
        <v>8.3333333333333332E-3</v>
      </c>
      <c r="M276">
        <f t="shared" ca="1" si="13"/>
        <v>0.6190972222222223</v>
      </c>
    </row>
    <row r="277" spans="1:13" x14ac:dyDescent="0.55000000000000004">
      <c r="A277" t="s">
        <v>431</v>
      </c>
      <c r="B277">
        <v>132</v>
      </c>
      <c r="C277">
        <v>635.5</v>
      </c>
      <c r="D277">
        <v>609.5</v>
      </c>
      <c r="E277">
        <v>9.5132499999999993</v>
      </c>
      <c r="F277" t="s">
        <v>1</v>
      </c>
      <c r="G277">
        <v>122</v>
      </c>
      <c r="H277" t="s">
        <v>477</v>
      </c>
      <c r="I277" t="s">
        <v>478</v>
      </c>
      <c r="J277">
        <f ca="1">B277-VLOOKUP(I277,INDIRECT("フレーム変換表!A$1:B$" &amp; フレーム変換表!$D$1),2,FALSE)*2</f>
        <v>37</v>
      </c>
      <c r="K277" t="str">
        <f ca="1">VLOOKUP(F277,INDIRECT("球種変換表!A$1:B$" &amp; 球種変換表!$D$1),2,)</f>
        <v>ストレート</v>
      </c>
      <c r="L277">
        <f t="shared" si="12"/>
        <v>8.1967213114754103E-3</v>
      </c>
      <c r="M277">
        <f t="shared" ca="1" si="13"/>
        <v>0.61006944444444444</v>
      </c>
    </row>
    <row r="278" spans="1:13" hidden="1" x14ac:dyDescent="0.55000000000000004">
      <c r="A278" t="s">
        <v>432</v>
      </c>
      <c r="B278">
        <v>128</v>
      </c>
      <c r="C278">
        <v>641.5</v>
      </c>
      <c r="D278">
        <v>637</v>
      </c>
      <c r="E278">
        <v>11.5435</v>
      </c>
      <c r="F278" t="s">
        <v>86</v>
      </c>
      <c r="G278">
        <v>122</v>
      </c>
      <c r="H278" t="s">
        <v>477</v>
      </c>
      <c r="I278" t="s">
        <v>478</v>
      </c>
      <c r="J278">
        <f ca="1">B278-VLOOKUP(I278,INDIRECT("フレーム変換表!A$1:B$" &amp; フレーム変換表!$D$1),2,FALSE)*2</f>
        <v>33</v>
      </c>
      <c r="K278" t="str">
        <f ca="1">VLOOKUP(F278,INDIRECT("球種変換表!A$1:B$" &amp; 球種変換表!$D$1),2,)</f>
        <v>全力ストレート</v>
      </c>
      <c r="L278">
        <f t="shared" si="12"/>
        <v>8.1967213114754103E-3</v>
      </c>
      <c r="M278">
        <f t="shared" ca="1" si="13"/>
        <v>0.52430555555555558</v>
      </c>
    </row>
    <row r="279" spans="1:13" hidden="1" x14ac:dyDescent="0.55000000000000004">
      <c r="A279" t="s">
        <v>433</v>
      </c>
      <c r="B279">
        <v>127</v>
      </c>
      <c r="C279">
        <v>643</v>
      </c>
      <c r="D279">
        <v>611.5</v>
      </c>
      <c r="E279">
        <v>10.012589999999999</v>
      </c>
      <c r="F279" t="s">
        <v>86</v>
      </c>
      <c r="G279">
        <v>122</v>
      </c>
      <c r="H279" t="s">
        <v>477</v>
      </c>
      <c r="I279" t="s">
        <v>478</v>
      </c>
      <c r="J279">
        <f ca="1">B279-VLOOKUP(I279,INDIRECT("フレーム変換表!A$1:B$" &amp; フレーム変換表!$D$1),2,FALSE)*2</f>
        <v>32</v>
      </c>
      <c r="K279" t="str">
        <f ca="1">VLOOKUP(F279,INDIRECT("球種変換表!A$1:B$" &amp; 球種変換表!$D$1),2,)</f>
        <v>全力ストレート</v>
      </c>
      <c r="L279">
        <f t="shared" si="12"/>
        <v>8.1967213114754103E-3</v>
      </c>
      <c r="M279">
        <f t="shared" ca="1" si="13"/>
        <v>0.52534722222222219</v>
      </c>
    </row>
    <row r="280" spans="1:13" hidden="1" x14ac:dyDescent="0.55000000000000004">
      <c r="A280" t="s">
        <v>434</v>
      </c>
      <c r="B280">
        <v>127</v>
      </c>
      <c r="C280">
        <v>643</v>
      </c>
      <c r="D280">
        <v>613.5</v>
      </c>
      <c r="E280">
        <v>10.012589999999999</v>
      </c>
      <c r="F280" t="s">
        <v>86</v>
      </c>
      <c r="G280">
        <v>122</v>
      </c>
      <c r="H280" t="s">
        <v>477</v>
      </c>
      <c r="I280" t="s">
        <v>478</v>
      </c>
      <c r="J280">
        <f ca="1">B280-VLOOKUP(I280,INDIRECT("フレーム変換表!A$1:B$" &amp; フレーム変換表!$D$1),2,FALSE)*2</f>
        <v>32</v>
      </c>
      <c r="K280" t="str">
        <f ca="1">VLOOKUP(F280,INDIRECT("球種変換表!A$1:B$" &amp; 球種変換表!$D$1),2,)</f>
        <v>全力ストレート</v>
      </c>
      <c r="L280">
        <f t="shared" si="12"/>
        <v>8.1967213114754103E-3</v>
      </c>
      <c r="M280">
        <f t="shared" ca="1" si="13"/>
        <v>0.5239583333333333</v>
      </c>
    </row>
    <row r="281" spans="1:13" hidden="1" x14ac:dyDescent="0.55000000000000004">
      <c r="A281" t="s">
        <v>435</v>
      </c>
      <c r="B281">
        <v>127</v>
      </c>
      <c r="C281">
        <v>643</v>
      </c>
      <c r="D281">
        <v>613.5</v>
      </c>
      <c r="E281">
        <v>10.012589999999999</v>
      </c>
      <c r="F281" t="s">
        <v>86</v>
      </c>
      <c r="G281">
        <v>122</v>
      </c>
      <c r="H281" t="s">
        <v>477</v>
      </c>
      <c r="I281" t="s">
        <v>478</v>
      </c>
      <c r="J281">
        <f ca="1">B281-VLOOKUP(I281,INDIRECT("フレーム変換表!A$1:B$" &amp; フレーム変換表!$D$1),2,FALSE)*2</f>
        <v>32</v>
      </c>
      <c r="K281" t="str">
        <f ca="1">VLOOKUP(F281,INDIRECT("球種変換表!A$1:B$" &amp; 球種変換表!$D$1),2,)</f>
        <v>全力ストレート</v>
      </c>
      <c r="L281">
        <f t="shared" si="12"/>
        <v>8.1967213114754103E-3</v>
      </c>
      <c r="M281">
        <f t="shared" ca="1" si="13"/>
        <v>0.5239583333333333</v>
      </c>
    </row>
    <row r="282" spans="1:13" hidden="1" x14ac:dyDescent="0.55000000000000004">
      <c r="A282" t="s">
        <v>436</v>
      </c>
      <c r="B282">
        <v>128</v>
      </c>
      <c r="C282">
        <v>641</v>
      </c>
      <c r="D282">
        <v>640.5</v>
      </c>
      <c r="E282">
        <v>12.01051</v>
      </c>
      <c r="F282" t="s">
        <v>86</v>
      </c>
      <c r="G282">
        <v>123</v>
      </c>
      <c r="H282" t="s">
        <v>477</v>
      </c>
      <c r="I282" t="s">
        <v>478</v>
      </c>
      <c r="J282">
        <f ca="1">B282-VLOOKUP(I282,INDIRECT("フレーム変換表!A$1:B$" &amp; フレーム変換表!$D$1),2,FALSE)*2</f>
        <v>33</v>
      </c>
      <c r="K282" t="str">
        <f ca="1">VLOOKUP(F282,INDIRECT("球種変換表!A$1:B$" &amp; 球種変換表!$D$1),2,)</f>
        <v>全力ストレート</v>
      </c>
      <c r="L282">
        <f t="shared" si="12"/>
        <v>8.130081300813009E-3</v>
      </c>
      <c r="M282">
        <f t="shared" ca="1" si="13"/>
        <v>0.52187499999999998</v>
      </c>
    </row>
    <row r="283" spans="1:13" hidden="1" x14ac:dyDescent="0.55000000000000004">
      <c r="A283" t="s">
        <v>437</v>
      </c>
      <c r="B283">
        <v>127</v>
      </c>
      <c r="C283">
        <v>644</v>
      </c>
      <c r="D283">
        <v>601.5</v>
      </c>
      <c r="E283">
        <v>10.012589999999999</v>
      </c>
      <c r="F283" t="s">
        <v>86</v>
      </c>
      <c r="G283">
        <v>119</v>
      </c>
      <c r="H283" t="s">
        <v>477</v>
      </c>
      <c r="I283" t="s">
        <v>478</v>
      </c>
      <c r="J283">
        <f ca="1">B283-VLOOKUP(I283,INDIRECT("フレーム変換表!A$1:B$" &amp; フレーム変換表!$D$1),2,FALSE)*2</f>
        <v>32</v>
      </c>
      <c r="K283" t="str">
        <f ca="1">VLOOKUP(F283,INDIRECT("球種変換表!A$1:B$" &amp; 球種変換表!$D$1),2,)</f>
        <v>全力ストレート</v>
      </c>
      <c r="L283">
        <f t="shared" si="12"/>
        <v>8.4033613445378148E-3</v>
      </c>
      <c r="M283">
        <f t="shared" ca="1" si="13"/>
        <v>0.53229166666666672</v>
      </c>
    </row>
    <row r="284" spans="1:13" hidden="1" x14ac:dyDescent="0.55000000000000004">
      <c r="A284" t="s">
        <v>438</v>
      </c>
      <c r="B284">
        <v>127</v>
      </c>
      <c r="C284">
        <v>643</v>
      </c>
      <c r="D284">
        <v>611</v>
      </c>
      <c r="E284">
        <v>10.0001</v>
      </c>
      <c r="F284" t="s">
        <v>86</v>
      </c>
      <c r="G284">
        <v>122</v>
      </c>
      <c r="H284" t="s">
        <v>477</v>
      </c>
      <c r="I284" t="s">
        <v>478</v>
      </c>
      <c r="J284">
        <f ca="1">B284-VLOOKUP(I284,INDIRECT("フレーム変換表!A$1:B$" &amp; フレーム変換表!$D$1),2,FALSE)*2</f>
        <v>32</v>
      </c>
      <c r="K284" t="str">
        <f ca="1">VLOOKUP(F284,INDIRECT("球種変換表!A$1:B$" &amp; 球種変換表!$D$1),2,)</f>
        <v>全力ストレート</v>
      </c>
      <c r="L284">
        <f t="shared" si="12"/>
        <v>8.1967213114754103E-3</v>
      </c>
      <c r="M284">
        <f t="shared" ca="1" si="13"/>
        <v>0.52569444444444446</v>
      </c>
    </row>
    <row r="285" spans="1:13" hidden="1" x14ac:dyDescent="0.55000000000000004">
      <c r="A285" t="s">
        <v>439</v>
      </c>
      <c r="B285">
        <v>127</v>
      </c>
      <c r="C285">
        <v>643</v>
      </c>
      <c r="D285">
        <v>614</v>
      </c>
      <c r="E285">
        <v>10.0001</v>
      </c>
      <c r="F285" t="s">
        <v>86</v>
      </c>
      <c r="G285">
        <v>123</v>
      </c>
      <c r="H285" t="s">
        <v>477</v>
      </c>
      <c r="I285" t="s">
        <v>478</v>
      </c>
      <c r="J285">
        <f ca="1">B285-VLOOKUP(I285,INDIRECT("フレーム変換表!A$1:B$" &amp; フレーム変換表!$D$1),2,FALSE)*2</f>
        <v>32</v>
      </c>
      <c r="K285" t="str">
        <f ca="1">VLOOKUP(F285,INDIRECT("球種変換表!A$1:B$" &amp; 球種変換表!$D$1),2,)</f>
        <v>全力ストレート</v>
      </c>
      <c r="L285">
        <f t="shared" si="12"/>
        <v>8.130081300813009E-3</v>
      </c>
      <c r="M285">
        <f t="shared" ca="1" si="13"/>
        <v>0.52361111111111114</v>
      </c>
    </row>
    <row r="286" spans="1:13" hidden="1" x14ac:dyDescent="0.55000000000000004">
      <c r="A286" t="s">
        <v>440</v>
      </c>
      <c r="B286">
        <v>128</v>
      </c>
      <c r="C286">
        <v>641.5</v>
      </c>
      <c r="D286">
        <v>636</v>
      </c>
      <c r="E286">
        <v>11.5435</v>
      </c>
      <c r="F286" t="s">
        <v>86</v>
      </c>
      <c r="G286">
        <v>121</v>
      </c>
      <c r="H286" t="s">
        <v>477</v>
      </c>
      <c r="I286" t="s">
        <v>478</v>
      </c>
      <c r="J286">
        <f ca="1">B286-VLOOKUP(I286,INDIRECT("フレーム変換表!A$1:B$" &amp; フレーム変換表!$D$1),2,FALSE)*2</f>
        <v>33</v>
      </c>
      <c r="K286" t="str">
        <f ca="1">VLOOKUP(F286,INDIRECT("球種変換表!A$1:B$" &amp; 球種変換表!$D$1),2,)</f>
        <v>全力ストレート</v>
      </c>
      <c r="L286">
        <f t="shared" si="12"/>
        <v>8.2644628099173556E-3</v>
      </c>
      <c r="M286">
        <f t="shared" ca="1" si="13"/>
        <v>0.52500000000000002</v>
      </c>
    </row>
    <row r="287" spans="1:13" hidden="1" x14ac:dyDescent="0.55000000000000004">
      <c r="A287" t="s">
        <v>441</v>
      </c>
      <c r="B287">
        <v>127</v>
      </c>
      <c r="C287">
        <v>643</v>
      </c>
      <c r="D287">
        <v>614</v>
      </c>
      <c r="E287">
        <v>10.0001</v>
      </c>
      <c r="F287" t="s">
        <v>92</v>
      </c>
      <c r="G287">
        <v>121</v>
      </c>
      <c r="H287" t="s">
        <v>477</v>
      </c>
      <c r="I287" t="s">
        <v>478</v>
      </c>
      <c r="J287">
        <f ca="1">B287-VLOOKUP(I287,INDIRECT("フレーム変換表!A$1:B$" &amp; フレーム変換表!$D$1),2,FALSE)*2</f>
        <v>32</v>
      </c>
      <c r="K287" t="str">
        <f ca="1">VLOOKUP(F287,INDIRECT("球種変換表!A$1:B$" &amp; 球種変換表!$D$1),2,)</f>
        <v>全力ストレート</v>
      </c>
      <c r="L287">
        <f t="shared" si="12"/>
        <v>8.2644628099173556E-3</v>
      </c>
      <c r="M287">
        <f t="shared" ca="1" si="13"/>
        <v>0.52361111111111114</v>
      </c>
    </row>
    <row r="288" spans="1:13" hidden="1" x14ac:dyDescent="0.55000000000000004">
      <c r="A288" t="s">
        <v>443</v>
      </c>
      <c r="B288">
        <v>138</v>
      </c>
      <c r="C288">
        <v>651.5</v>
      </c>
      <c r="D288">
        <v>625.5</v>
      </c>
      <c r="E288">
        <v>10.512</v>
      </c>
      <c r="F288" t="s">
        <v>442</v>
      </c>
      <c r="G288">
        <v>114</v>
      </c>
      <c r="H288" t="s">
        <v>477</v>
      </c>
      <c r="I288" t="s">
        <v>478</v>
      </c>
      <c r="J288">
        <f ca="1">B288-VLOOKUP(I288,INDIRECT("フレーム変換表!A$1:B$" &amp; フレーム変換表!$D$1),2,FALSE)*2</f>
        <v>43</v>
      </c>
      <c r="K288" t="str">
        <f ca="1">VLOOKUP(F288,INDIRECT("球種変換表!A$1:B$" &amp; 球種変換表!$D$1),2,)</f>
        <v>Hシュート</v>
      </c>
      <c r="L288">
        <f t="shared" si="12"/>
        <v>8.771929824561403E-3</v>
      </c>
      <c r="M288">
        <f t="shared" ca="1" si="13"/>
        <v>0.69895833333333335</v>
      </c>
    </row>
    <row r="289" spans="1:13" hidden="1" x14ac:dyDescent="0.55000000000000004">
      <c r="A289" t="s">
        <v>444</v>
      </c>
      <c r="B289">
        <v>138</v>
      </c>
      <c r="C289">
        <v>655.5</v>
      </c>
      <c r="D289">
        <v>631.5</v>
      </c>
      <c r="E289">
        <v>11.510960000000001</v>
      </c>
      <c r="F289">
        <v>1</v>
      </c>
      <c r="G289">
        <v>115</v>
      </c>
      <c r="H289" t="s">
        <v>477</v>
      </c>
      <c r="I289" t="s">
        <v>478</v>
      </c>
      <c r="J289">
        <f ca="1">B289-VLOOKUP(I289,INDIRECT("フレーム変換表!A$1:B$" &amp; フレーム変換表!$D$1),2,FALSE)*2</f>
        <v>43</v>
      </c>
      <c r="K289" t="str">
        <f ca="1">VLOOKUP(F289,INDIRECT("球種変換表!A$1:B$" &amp; 球種変換表!$D$1),2,)</f>
        <v>Hシュート</v>
      </c>
      <c r="L289">
        <f t="shared" si="12"/>
        <v>8.6956521739130436E-3</v>
      </c>
      <c r="M289">
        <f t="shared" ca="1" si="13"/>
        <v>0.6947916666666667</v>
      </c>
    </row>
    <row r="290" spans="1:13" hidden="1" x14ac:dyDescent="0.55000000000000004">
      <c r="A290" t="s">
        <v>446</v>
      </c>
      <c r="B290">
        <v>138</v>
      </c>
      <c r="C290">
        <v>658.5</v>
      </c>
      <c r="D290">
        <v>625.5</v>
      </c>
      <c r="E290">
        <v>10.512</v>
      </c>
      <c r="F290" t="s">
        <v>445</v>
      </c>
      <c r="G290">
        <v>114</v>
      </c>
      <c r="H290" t="s">
        <v>477</v>
      </c>
      <c r="I290" t="s">
        <v>478</v>
      </c>
      <c r="J290">
        <f ca="1">B290-VLOOKUP(I290,INDIRECT("フレーム変換表!A$1:B$" &amp; フレーム変換表!$D$1),2,FALSE)*2</f>
        <v>43</v>
      </c>
      <c r="K290" t="str">
        <f ca="1">VLOOKUP(F290,INDIRECT("球種変換表!A$1:B$" &amp; 球種変換表!$D$1),2,)</f>
        <v>Hシュート</v>
      </c>
      <c r="L290">
        <f t="shared" si="12"/>
        <v>8.771929824561403E-3</v>
      </c>
      <c r="M290">
        <f t="shared" ca="1" si="13"/>
        <v>0.69895833333333335</v>
      </c>
    </row>
    <row r="291" spans="1:13" hidden="1" x14ac:dyDescent="0.55000000000000004">
      <c r="A291" t="s">
        <v>447</v>
      </c>
      <c r="B291">
        <v>137</v>
      </c>
      <c r="C291">
        <v>665.5</v>
      </c>
      <c r="D291">
        <v>604</v>
      </c>
      <c r="E291">
        <v>9.5000999999999998</v>
      </c>
      <c r="F291">
        <v>1</v>
      </c>
      <c r="G291">
        <v>113</v>
      </c>
      <c r="H291" t="s">
        <v>477</v>
      </c>
      <c r="I291" t="s">
        <v>478</v>
      </c>
      <c r="J291">
        <f ca="1">B291-VLOOKUP(I291,INDIRECT("フレーム変換表!A$1:B$" &amp; フレーム変換表!$D$1),2,FALSE)*2</f>
        <v>42</v>
      </c>
      <c r="K291" t="str">
        <f ca="1">VLOOKUP(F291,INDIRECT("球種変換表!A$1:B$" &amp; 球種変換表!$D$1),2,)</f>
        <v>Hシュート</v>
      </c>
      <c r="L291">
        <f t="shared" si="12"/>
        <v>8.8495575221238937E-3</v>
      </c>
      <c r="M291">
        <f t="shared" ca="1" si="13"/>
        <v>0.6972222222222223</v>
      </c>
    </row>
    <row r="292" spans="1:13" hidden="1" x14ac:dyDescent="0.55000000000000004">
      <c r="A292" t="s">
        <v>449</v>
      </c>
      <c r="B292">
        <v>137</v>
      </c>
      <c r="C292">
        <v>647</v>
      </c>
      <c r="D292">
        <v>604.5</v>
      </c>
      <c r="E292">
        <v>10.012589999999999</v>
      </c>
      <c r="F292" t="s">
        <v>448</v>
      </c>
      <c r="G292">
        <v>113</v>
      </c>
      <c r="H292" t="s">
        <v>477</v>
      </c>
      <c r="I292" t="s">
        <v>478</v>
      </c>
      <c r="J292">
        <f ca="1">B292-VLOOKUP(I292,INDIRECT("フレーム変換表!A$1:B$" &amp; フレーム変換表!$D$1),2,FALSE)*2</f>
        <v>42</v>
      </c>
      <c r="K292" t="str">
        <f ca="1">VLOOKUP(F292,INDIRECT("球種変換表!A$1:B$" &amp; 球種変換表!$D$1),2,)</f>
        <v>Hシュート</v>
      </c>
      <c r="L292">
        <f t="shared" si="12"/>
        <v>8.8495575221238937E-3</v>
      </c>
      <c r="M292">
        <f t="shared" ca="1" si="13"/>
        <v>0.69687500000000002</v>
      </c>
    </row>
    <row r="293" spans="1:13" hidden="1" x14ac:dyDescent="0.55000000000000004">
      <c r="A293" t="s">
        <v>450</v>
      </c>
      <c r="B293">
        <v>137</v>
      </c>
      <c r="C293">
        <v>643</v>
      </c>
      <c r="D293">
        <v>615.5</v>
      </c>
      <c r="E293">
        <v>10.012589999999999</v>
      </c>
      <c r="F293">
        <v>1</v>
      </c>
      <c r="G293">
        <v>116</v>
      </c>
      <c r="H293" t="s">
        <v>477</v>
      </c>
      <c r="I293" t="s">
        <v>478</v>
      </c>
      <c r="J293">
        <f ca="1">B293-VLOOKUP(I293,INDIRECT("フレーム変換表!A$1:B$" &amp; フレーム変換表!$D$1),2,FALSE)*2</f>
        <v>42</v>
      </c>
      <c r="K293" t="str">
        <f ca="1">VLOOKUP(F293,INDIRECT("球種変換表!A$1:B$" &amp; 球種変換表!$D$1),2,)</f>
        <v>Hシュート</v>
      </c>
      <c r="L293">
        <f t="shared" si="12"/>
        <v>8.6206896551724137E-3</v>
      </c>
      <c r="M293">
        <f t="shared" ca="1" si="13"/>
        <v>0.68923611111111105</v>
      </c>
    </row>
    <row r="294" spans="1:13" hidden="1" x14ac:dyDescent="0.55000000000000004">
      <c r="A294" t="s">
        <v>452</v>
      </c>
      <c r="B294">
        <v>137</v>
      </c>
      <c r="C294">
        <v>649.5</v>
      </c>
      <c r="D294">
        <v>617.5</v>
      </c>
      <c r="E294">
        <v>9.5132499999999993</v>
      </c>
      <c r="F294" t="s">
        <v>451</v>
      </c>
      <c r="G294">
        <v>116</v>
      </c>
      <c r="H294" t="s">
        <v>477</v>
      </c>
      <c r="I294" t="s">
        <v>478</v>
      </c>
      <c r="J294">
        <f ca="1">B294-VLOOKUP(I294,INDIRECT("フレーム変換表!A$1:B$" &amp; フレーム変換表!$D$1),2,FALSE)*2</f>
        <v>42</v>
      </c>
      <c r="K294" t="str">
        <f ca="1">VLOOKUP(F294,INDIRECT("球種変換表!A$1:B$" &amp; 球種変換表!$D$1),2,)</f>
        <v>Hシュート</v>
      </c>
      <c r="L294">
        <f t="shared" si="12"/>
        <v>8.6206896551724137E-3</v>
      </c>
      <c r="M294">
        <f t="shared" ca="1" si="13"/>
        <v>0.68784722222222228</v>
      </c>
    </row>
    <row r="295" spans="1:13" hidden="1" x14ac:dyDescent="0.55000000000000004">
      <c r="A295" t="s">
        <v>454</v>
      </c>
      <c r="B295">
        <v>138</v>
      </c>
      <c r="C295">
        <v>651.5</v>
      </c>
      <c r="D295">
        <v>626</v>
      </c>
      <c r="E295">
        <v>10.5001</v>
      </c>
      <c r="F295" t="s">
        <v>453</v>
      </c>
      <c r="G295">
        <v>114</v>
      </c>
      <c r="H295" t="s">
        <v>477</v>
      </c>
      <c r="I295" t="s">
        <v>478</v>
      </c>
      <c r="J295">
        <f ca="1">B295-VLOOKUP(I295,INDIRECT("フレーム変換表!A$1:B$" &amp; フレーム変換表!$D$1),2,FALSE)*2</f>
        <v>43</v>
      </c>
      <c r="K295" t="str">
        <f ca="1">VLOOKUP(F295,INDIRECT("球種変換表!A$1:B$" &amp; 球種変換表!$D$1),2,)</f>
        <v>Hシュート</v>
      </c>
      <c r="L295">
        <f t="shared" si="12"/>
        <v>8.771929824561403E-3</v>
      </c>
      <c r="M295">
        <f t="shared" ca="1" si="13"/>
        <v>0.69861111111111107</v>
      </c>
    </row>
    <row r="296" spans="1:13" hidden="1" x14ac:dyDescent="0.55000000000000004">
      <c r="A296" t="s">
        <v>455</v>
      </c>
      <c r="B296">
        <v>138</v>
      </c>
      <c r="C296">
        <v>648</v>
      </c>
      <c r="D296">
        <v>631.5</v>
      </c>
      <c r="E296">
        <v>12.01051</v>
      </c>
      <c r="F296">
        <v>1</v>
      </c>
      <c r="G296">
        <v>115</v>
      </c>
      <c r="H296" t="s">
        <v>477</v>
      </c>
      <c r="I296" t="s">
        <v>478</v>
      </c>
      <c r="J296">
        <f ca="1">B296-VLOOKUP(I296,INDIRECT("フレーム変換表!A$1:B$" &amp; フレーム変換表!$D$1),2,FALSE)*2</f>
        <v>43</v>
      </c>
      <c r="K296" t="str">
        <f ca="1">VLOOKUP(F296,INDIRECT("球種変換表!A$1:B$" &amp; 球種変換表!$D$1),2,)</f>
        <v>Hシュート</v>
      </c>
      <c r="L296">
        <f t="shared" si="12"/>
        <v>8.6956521739130436E-3</v>
      </c>
      <c r="M296">
        <f t="shared" ca="1" si="13"/>
        <v>0.6947916666666667</v>
      </c>
    </row>
    <row r="297" spans="1:13" hidden="1" x14ac:dyDescent="0.55000000000000004">
      <c r="A297" t="s">
        <v>456</v>
      </c>
      <c r="B297">
        <v>137</v>
      </c>
      <c r="C297">
        <v>644</v>
      </c>
      <c r="D297">
        <v>612</v>
      </c>
      <c r="E297">
        <v>10.0001</v>
      </c>
      <c r="F297">
        <v>1</v>
      </c>
      <c r="G297">
        <v>115</v>
      </c>
      <c r="H297" t="s">
        <v>477</v>
      </c>
      <c r="I297" t="s">
        <v>478</v>
      </c>
      <c r="J297">
        <f ca="1">B297-VLOOKUP(I297,INDIRECT("フレーム変換表!A$1:B$" &amp; フレーム変換表!$D$1),2,FALSE)*2</f>
        <v>42</v>
      </c>
      <c r="K297" t="str">
        <f ca="1">VLOOKUP(F297,INDIRECT("球種変換表!A$1:B$" &amp; 球種変換表!$D$1),2,)</f>
        <v>Hシュート</v>
      </c>
      <c r="L297">
        <f t="shared" si="12"/>
        <v>8.6956521739130436E-3</v>
      </c>
      <c r="M297">
        <f t="shared" ca="1" si="13"/>
        <v>0.69166666666666665</v>
      </c>
    </row>
    <row r="298" spans="1:13" hidden="1" x14ac:dyDescent="0.55000000000000004">
      <c r="A298" t="s">
        <v>458</v>
      </c>
      <c r="B298">
        <v>143</v>
      </c>
      <c r="C298">
        <v>640</v>
      </c>
      <c r="D298">
        <v>619.5</v>
      </c>
      <c r="E298">
        <v>10.012589999999999</v>
      </c>
      <c r="F298" t="s">
        <v>457</v>
      </c>
      <c r="G298">
        <v>104</v>
      </c>
      <c r="H298" t="s">
        <v>477</v>
      </c>
      <c r="I298" t="s">
        <v>478</v>
      </c>
      <c r="J298">
        <f ca="1">B298-VLOOKUP(I298,INDIRECT("フレーム変換表!A$1:B$" &amp; フレーム変換表!$D$1),2,FALSE)*2</f>
        <v>48</v>
      </c>
      <c r="K298" t="str">
        <f ca="1">VLOOKUP(F298,INDIRECT("球種変換表!A$1:B$" &amp; 球種変換表!$D$1),2,)</f>
        <v>スクリュー</v>
      </c>
      <c r="L298">
        <f t="shared" si="12"/>
        <v>9.6153846153846159E-3</v>
      </c>
      <c r="M298">
        <f t="shared" ca="1" si="13"/>
        <v>0.78645833333333337</v>
      </c>
    </row>
    <row r="299" spans="1:13" hidden="1" x14ac:dyDescent="0.55000000000000004">
      <c r="A299" t="s">
        <v>459</v>
      </c>
      <c r="B299">
        <v>142</v>
      </c>
      <c r="C299">
        <v>661.5</v>
      </c>
      <c r="D299">
        <v>600.5</v>
      </c>
      <c r="E299">
        <v>9.5132499999999993</v>
      </c>
      <c r="F299" t="s">
        <v>457</v>
      </c>
      <c r="G299">
        <v>104</v>
      </c>
      <c r="H299" t="s">
        <v>477</v>
      </c>
      <c r="I299" t="s">
        <v>478</v>
      </c>
      <c r="J299">
        <f ca="1">B299-VLOOKUP(I299,INDIRECT("フレーム変換表!A$1:B$" &amp; フレーム変換表!$D$1),2,FALSE)*2</f>
        <v>47</v>
      </c>
      <c r="K299" t="str">
        <f ca="1">VLOOKUP(F299,INDIRECT("球種変換表!A$1:B$" &amp; 球種変換表!$D$1),2,)</f>
        <v>スクリュー</v>
      </c>
      <c r="L299">
        <f t="shared" si="12"/>
        <v>9.6153846153846159E-3</v>
      </c>
      <c r="M299">
        <f t="shared" ca="1" si="13"/>
        <v>0.78298611111111105</v>
      </c>
    </row>
    <row r="300" spans="1:13" hidden="1" x14ac:dyDescent="0.55000000000000004">
      <c r="A300" t="s">
        <v>460</v>
      </c>
      <c r="B300">
        <v>143</v>
      </c>
      <c r="C300">
        <v>646</v>
      </c>
      <c r="D300">
        <v>614.5</v>
      </c>
      <c r="E300">
        <v>10.012589999999999</v>
      </c>
      <c r="F300" t="s">
        <v>457</v>
      </c>
      <c r="G300" t="s">
        <v>308</v>
      </c>
      <c r="H300" t="s">
        <v>477</v>
      </c>
      <c r="I300" t="s">
        <v>478</v>
      </c>
      <c r="J300">
        <f ca="1">B300-VLOOKUP(I300,INDIRECT("フレーム変換表!A$1:B$" &amp; フレーム変換表!$D$1),2,FALSE)*2</f>
        <v>48</v>
      </c>
      <c r="K300" t="str">
        <f ca="1">VLOOKUP(F300,INDIRECT("球種変換表!A$1:B$" &amp; 球種変換表!$D$1),2,)</f>
        <v>スクリュー</v>
      </c>
      <c r="L300" t="e">
        <f t="shared" si="12"/>
        <v>#VALUE!</v>
      </c>
      <c r="M300">
        <f t="shared" ca="1" si="13"/>
        <v>0.78993055555555558</v>
      </c>
    </row>
    <row r="301" spans="1:13" hidden="1" x14ac:dyDescent="0.55000000000000004">
      <c r="A301" t="s">
        <v>461</v>
      </c>
      <c r="B301">
        <v>142</v>
      </c>
      <c r="C301">
        <v>639.5</v>
      </c>
      <c r="D301">
        <v>601.5</v>
      </c>
      <c r="E301">
        <v>9.5132499999999993</v>
      </c>
      <c r="F301" t="s">
        <v>457</v>
      </c>
      <c r="G301">
        <v>104</v>
      </c>
      <c r="H301" t="s">
        <v>477</v>
      </c>
      <c r="I301" t="s">
        <v>478</v>
      </c>
      <c r="J301">
        <f ca="1">B301-VLOOKUP(I301,INDIRECT("フレーム変換表!A$1:B$" &amp; フレーム変換表!$D$1),2,FALSE)*2</f>
        <v>47</v>
      </c>
      <c r="K301" t="str">
        <f ca="1">VLOOKUP(F301,INDIRECT("球種変換表!A$1:B$" &amp; 球種変換表!$D$1),2,)</f>
        <v>スクリュー</v>
      </c>
      <c r="L301">
        <f t="shared" si="12"/>
        <v>9.6153846153846159E-3</v>
      </c>
      <c r="M301">
        <f t="shared" ca="1" si="13"/>
        <v>0.78229166666666672</v>
      </c>
    </row>
    <row r="302" spans="1:13" hidden="1" x14ac:dyDescent="0.55000000000000004">
      <c r="A302" t="s">
        <v>462</v>
      </c>
      <c r="B302">
        <v>143</v>
      </c>
      <c r="C302">
        <v>640.5</v>
      </c>
      <c r="D302">
        <v>619</v>
      </c>
      <c r="E302">
        <v>10.5001</v>
      </c>
      <c r="F302" t="s">
        <v>457</v>
      </c>
      <c r="G302">
        <v>104</v>
      </c>
      <c r="H302" t="s">
        <v>477</v>
      </c>
      <c r="I302" t="s">
        <v>478</v>
      </c>
      <c r="J302">
        <f ca="1">B302-VLOOKUP(I302,INDIRECT("フレーム変換表!A$1:B$" &amp; フレーム変換表!$D$1),2,FALSE)*2</f>
        <v>48</v>
      </c>
      <c r="K302" t="str">
        <f ca="1">VLOOKUP(F302,INDIRECT("球種変換表!A$1:B$" &amp; 球種変換表!$D$1),2,)</f>
        <v>スクリュー</v>
      </c>
      <c r="L302">
        <f t="shared" si="12"/>
        <v>9.6153846153846159E-3</v>
      </c>
      <c r="M302">
        <f t="shared" ca="1" si="13"/>
        <v>0.78680555555555565</v>
      </c>
    </row>
    <row r="303" spans="1:13" hidden="1" x14ac:dyDescent="0.55000000000000004">
      <c r="A303" t="s">
        <v>463</v>
      </c>
      <c r="B303">
        <v>143</v>
      </c>
      <c r="C303">
        <v>647</v>
      </c>
      <c r="D303">
        <v>607.5</v>
      </c>
      <c r="E303">
        <v>9.0139800000000001</v>
      </c>
      <c r="F303" t="s">
        <v>457</v>
      </c>
      <c r="G303">
        <v>102</v>
      </c>
      <c r="H303" t="s">
        <v>477</v>
      </c>
      <c r="I303" t="s">
        <v>478</v>
      </c>
      <c r="J303">
        <f ca="1">B303-VLOOKUP(I303,INDIRECT("フレーム変換表!A$1:B$" &amp; フレーム変換表!$D$1),2,FALSE)*2</f>
        <v>48</v>
      </c>
      <c r="K303" t="str">
        <f ca="1">VLOOKUP(F303,INDIRECT("球種変換表!A$1:B$" &amp; 球種変換表!$D$1),2,)</f>
        <v>スクリュー</v>
      </c>
      <c r="L303">
        <f t="shared" si="12"/>
        <v>9.8039215686274508E-3</v>
      </c>
      <c r="M303">
        <f t="shared" ca="1" si="13"/>
        <v>0.79479166666666667</v>
      </c>
    </row>
    <row r="304" spans="1:13" hidden="1" x14ac:dyDescent="0.55000000000000004">
      <c r="A304" t="s">
        <v>464</v>
      </c>
      <c r="B304">
        <v>142</v>
      </c>
      <c r="C304">
        <v>635</v>
      </c>
      <c r="D304">
        <v>604</v>
      </c>
      <c r="E304">
        <v>10.0001</v>
      </c>
      <c r="F304" t="s">
        <v>457</v>
      </c>
      <c r="G304">
        <v>101</v>
      </c>
      <c r="H304" t="s">
        <v>477</v>
      </c>
      <c r="I304" t="s">
        <v>478</v>
      </c>
      <c r="J304">
        <f ca="1">B304-VLOOKUP(I304,INDIRECT("フレーム変換表!A$1:B$" &amp; フレーム変換表!$D$1),2,FALSE)*2</f>
        <v>47</v>
      </c>
      <c r="K304" t="str">
        <f ca="1">VLOOKUP(F304,INDIRECT("球種変換表!A$1:B$" &amp; 球種変換表!$D$1),2,)</f>
        <v>スクリュー</v>
      </c>
      <c r="L304">
        <f t="shared" si="12"/>
        <v>9.9009900990099011E-3</v>
      </c>
      <c r="M304">
        <f t="shared" ca="1" si="13"/>
        <v>0.78055555555555556</v>
      </c>
    </row>
    <row r="305" spans="1:13" hidden="1" x14ac:dyDescent="0.55000000000000004">
      <c r="A305" t="s">
        <v>465</v>
      </c>
      <c r="B305">
        <v>144</v>
      </c>
      <c r="C305">
        <v>650</v>
      </c>
      <c r="D305">
        <v>618</v>
      </c>
      <c r="E305">
        <v>10.0001</v>
      </c>
      <c r="F305" t="s">
        <v>457</v>
      </c>
      <c r="G305">
        <v>102</v>
      </c>
      <c r="H305" t="s">
        <v>477</v>
      </c>
      <c r="I305" t="s">
        <v>478</v>
      </c>
      <c r="J305">
        <f ca="1">B305-VLOOKUP(I305,INDIRECT("フレーム変換表!A$1:B$" &amp; フレーム変換表!$D$1),2,FALSE)*2</f>
        <v>49</v>
      </c>
      <c r="K305" t="str">
        <f ca="1">VLOOKUP(F305,INDIRECT("球種変換表!A$1:B$" &amp; 球種変換表!$D$1),2,)</f>
        <v>スクリュー</v>
      </c>
      <c r="L305">
        <f t="shared" si="12"/>
        <v>9.8039215686274508E-3</v>
      </c>
      <c r="M305">
        <f t="shared" ca="1" si="13"/>
        <v>0.8041666666666667</v>
      </c>
    </row>
    <row r="306" spans="1:13" hidden="1" x14ac:dyDescent="0.55000000000000004">
      <c r="A306" t="s">
        <v>466</v>
      </c>
      <c r="B306">
        <v>142</v>
      </c>
      <c r="C306">
        <v>657</v>
      </c>
      <c r="D306">
        <v>601.5</v>
      </c>
      <c r="E306">
        <v>10.012589999999999</v>
      </c>
      <c r="F306" t="s">
        <v>457</v>
      </c>
      <c r="G306">
        <v>104</v>
      </c>
      <c r="H306" t="s">
        <v>477</v>
      </c>
      <c r="I306" t="s">
        <v>478</v>
      </c>
      <c r="J306">
        <f ca="1">B306-VLOOKUP(I306,INDIRECT("フレーム変換表!A$1:B$" &amp; フレーム変換表!$D$1),2,FALSE)*2</f>
        <v>47</v>
      </c>
      <c r="K306" t="str">
        <f ca="1">VLOOKUP(F306,INDIRECT("球種変換表!A$1:B$" &amp; 球種変換表!$D$1),2,)</f>
        <v>スクリュー</v>
      </c>
      <c r="L306">
        <f t="shared" si="12"/>
        <v>9.6153846153846159E-3</v>
      </c>
      <c r="M306">
        <f t="shared" ca="1" si="13"/>
        <v>0.78229166666666672</v>
      </c>
    </row>
    <row r="307" spans="1:13" hidden="1" x14ac:dyDescent="0.55000000000000004">
      <c r="A307" t="s">
        <v>467</v>
      </c>
      <c r="B307">
        <v>137</v>
      </c>
      <c r="C307">
        <v>644.5</v>
      </c>
      <c r="D307">
        <v>611</v>
      </c>
      <c r="E307">
        <v>10.5001</v>
      </c>
      <c r="F307" t="s">
        <v>238</v>
      </c>
      <c r="G307">
        <v>116</v>
      </c>
      <c r="H307" t="s">
        <v>477</v>
      </c>
      <c r="I307" t="s">
        <v>478</v>
      </c>
      <c r="J307">
        <f ca="1">B307-VLOOKUP(I307,INDIRECT("フレーム変換表!A$1:B$" &amp; フレーム変換表!$D$1),2,FALSE)*2</f>
        <v>42</v>
      </c>
      <c r="K307" t="str">
        <f ca="1">VLOOKUP(F307,INDIRECT("球種変換表!A$1:B$" &amp; 球種変換表!$D$1),2,)</f>
        <v>カットボール</v>
      </c>
      <c r="L307">
        <f t="shared" si="12"/>
        <v>8.6206896551724137E-3</v>
      </c>
      <c r="M307">
        <f t="shared" ca="1" si="13"/>
        <v>0.69236111111111109</v>
      </c>
    </row>
    <row r="308" spans="1:13" hidden="1" x14ac:dyDescent="0.55000000000000004">
      <c r="A308" t="s">
        <v>468</v>
      </c>
      <c r="B308">
        <v>138</v>
      </c>
      <c r="C308">
        <v>646</v>
      </c>
      <c r="D308">
        <v>623.5</v>
      </c>
      <c r="E308">
        <v>10.012589999999999</v>
      </c>
      <c r="F308" t="s">
        <v>238</v>
      </c>
      <c r="G308">
        <v>114</v>
      </c>
      <c r="H308" t="s">
        <v>477</v>
      </c>
      <c r="I308" t="s">
        <v>478</v>
      </c>
      <c r="J308">
        <f ca="1">B308-VLOOKUP(I308,INDIRECT("フレーム変換表!A$1:B$" &amp; フレーム変換表!$D$1),2,FALSE)*2</f>
        <v>43</v>
      </c>
      <c r="K308" t="str">
        <f ca="1">VLOOKUP(F308,INDIRECT("球種変換表!A$1:B$" &amp; 球種変換表!$D$1),2,)</f>
        <v>カットボール</v>
      </c>
      <c r="L308">
        <f t="shared" si="12"/>
        <v>8.771929824561403E-3</v>
      </c>
      <c r="M308">
        <f t="shared" ca="1" si="13"/>
        <v>0.70034722222222223</v>
      </c>
    </row>
    <row r="309" spans="1:13" hidden="1" x14ac:dyDescent="0.55000000000000004">
      <c r="A309" t="s">
        <v>469</v>
      </c>
      <c r="B309">
        <v>140</v>
      </c>
      <c r="C309">
        <v>634</v>
      </c>
      <c r="D309">
        <v>671</v>
      </c>
      <c r="E309">
        <v>12.0001</v>
      </c>
      <c r="F309" t="s">
        <v>238</v>
      </c>
      <c r="G309">
        <v>114</v>
      </c>
      <c r="H309" t="s">
        <v>477</v>
      </c>
      <c r="I309" t="s">
        <v>478</v>
      </c>
      <c r="J309">
        <f ca="1">B309-VLOOKUP(I309,INDIRECT("フレーム変換表!A$1:B$" &amp; フレーム変換表!$D$1),2,FALSE)*2</f>
        <v>45</v>
      </c>
      <c r="K309" t="str">
        <f ca="1">VLOOKUP(F309,INDIRECT("球種変換表!A$1:B$" &amp; 球種変換表!$D$1),2,)</f>
        <v>カットボール</v>
      </c>
      <c r="L309">
        <f t="shared" si="12"/>
        <v>8.771929824561403E-3</v>
      </c>
      <c r="M309">
        <f t="shared" ca="1" si="13"/>
        <v>0.7006944444444444</v>
      </c>
    </row>
    <row r="310" spans="1:13" hidden="1" x14ac:dyDescent="0.55000000000000004">
      <c r="A310" t="s">
        <v>470</v>
      </c>
      <c r="B310">
        <v>137</v>
      </c>
      <c r="C310">
        <v>629</v>
      </c>
      <c r="D310">
        <v>606.5</v>
      </c>
      <c r="E310">
        <v>10.012589999999999</v>
      </c>
      <c r="F310" t="s">
        <v>238</v>
      </c>
      <c r="G310">
        <v>114</v>
      </c>
      <c r="H310" t="s">
        <v>477</v>
      </c>
      <c r="I310" t="s">
        <v>478</v>
      </c>
      <c r="J310">
        <f ca="1">B310-VLOOKUP(I310,INDIRECT("フレーム変換表!A$1:B$" &amp; フレーム変換表!$D$1),2,FALSE)*2</f>
        <v>42</v>
      </c>
      <c r="K310" t="str">
        <f ca="1">VLOOKUP(F310,INDIRECT("球種変換表!A$1:B$" &amp; 球種変換表!$D$1),2,)</f>
        <v>カットボール</v>
      </c>
      <c r="L310">
        <f t="shared" si="12"/>
        <v>8.771929824561403E-3</v>
      </c>
      <c r="M310">
        <f t="shared" ca="1" si="13"/>
        <v>0.69548611111111103</v>
      </c>
    </row>
    <row r="311" spans="1:13" hidden="1" x14ac:dyDescent="0.55000000000000004">
      <c r="A311" t="s">
        <v>471</v>
      </c>
      <c r="B311">
        <v>138</v>
      </c>
      <c r="C311">
        <v>648</v>
      </c>
      <c r="D311">
        <v>630</v>
      </c>
      <c r="E311">
        <v>10.0001</v>
      </c>
      <c r="F311" t="s">
        <v>238</v>
      </c>
      <c r="G311">
        <v>114</v>
      </c>
      <c r="H311" t="s">
        <v>477</v>
      </c>
      <c r="I311" t="s">
        <v>478</v>
      </c>
      <c r="J311">
        <f ca="1">B311-VLOOKUP(I311,INDIRECT("フレーム変換表!A$1:B$" &amp; フレーム変換表!$D$1),2,FALSE)*2</f>
        <v>43</v>
      </c>
      <c r="K311" t="str">
        <f ca="1">VLOOKUP(F311,INDIRECT("球種変換表!A$1:B$" &amp; 球種変換表!$D$1),2,)</f>
        <v>カットボール</v>
      </c>
      <c r="L311">
        <f t="shared" si="12"/>
        <v>8.771929824561403E-3</v>
      </c>
      <c r="M311">
        <f t="shared" ca="1" si="13"/>
        <v>0.6958333333333333</v>
      </c>
    </row>
    <row r="312" spans="1:13" hidden="1" x14ac:dyDescent="0.55000000000000004">
      <c r="A312" t="s">
        <v>472</v>
      </c>
      <c r="B312">
        <v>138</v>
      </c>
      <c r="C312">
        <v>633.02080999999998</v>
      </c>
      <c r="D312">
        <v>638</v>
      </c>
      <c r="E312">
        <v>12.020949999999999</v>
      </c>
      <c r="F312" t="s">
        <v>238</v>
      </c>
      <c r="G312">
        <v>116</v>
      </c>
      <c r="H312" t="s">
        <v>477</v>
      </c>
      <c r="I312" t="s">
        <v>478</v>
      </c>
      <c r="J312">
        <f ca="1">B312-VLOOKUP(I312,INDIRECT("フレーム変換表!A$1:B$" &amp; フレーム変換表!$D$1),2,FALSE)*2</f>
        <v>43</v>
      </c>
      <c r="K312" t="str">
        <f ca="1">VLOOKUP(F312,INDIRECT("球種変換表!A$1:B$" &amp; 球種変換表!$D$1),2,)</f>
        <v>カットボール</v>
      </c>
      <c r="L312">
        <f t="shared" si="12"/>
        <v>8.6206896551724137E-3</v>
      </c>
      <c r="M312">
        <f t="shared" ca="1" si="13"/>
        <v>0.69027777777777777</v>
      </c>
    </row>
    <row r="313" spans="1:13" hidden="1" x14ac:dyDescent="0.55000000000000004">
      <c r="A313" t="s">
        <v>473</v>
      </c>
      <c r="B313">
        <v>136</v>
      </c>
      <c r="C313">
        <v>641</v>
      </c>
      <c r="D313">
        <v>603.5</v>
      </c>
      <c r="E313">
        <v>10.012589999999999</v>
      </c>
      <c r="F313" t="s">
        <v>238</v>
      </c>
      <c r="G313">
        <v>117</v>
      </c>
      <c r="H313" t="s">
        <v>477</v>
      </c>
      <c r="I313" t="s">
        <v>478</v>
      </c>
      <c r="J313">
        <f ca="1">B313-VLOOKUP(I313,INDIRECT("フレーム変換表!A$1:B$" &amp; フレーム変換表!$D$1),2,FALSE)*2</f>
        <v>41</v>
      </c>
      <c r="K313" t="str">
        <f ca="1">VLOOKUP(F313,INDIRECT("球種変換表!A$1:B$" &amp; 球種変換表!$D$1),2,)</f>
        <v>カットボール</v>
      </c>
      <c r="L313">
        <f t="shared" si="12"/>
        <v>8.5470085470085479E-3</v>
      </c>
      <c r="M313">
        <f t="shared" ca="1" si="13"/>
        <v>0.68090277777777775</v>
      </c>
    </row>
    <row r="314" spans="1:13" hidden="1" x14ac:dyDescent="0.55000000000000004">
      <c r="A314" t="s">
        <v>474</v>
      </c>
      <c r="B314">
        <v>137</v>
      </c>
      <c r="C314">
        <v>639.5</v>
      </c>
      <c r="D314">
        <v>621</v>
      </c>
      <c r="E314">
        <v>10.5001</v>
      </c>
      <c r="F314" t="s">
        <v>238</v>
      </c>
      <c r="G314">
        <v>116</v>
      </c>
      <c r="H314" t="s">
        <v>477</v>
      </c>
      <c r="I314" t="s">
        <v>478</v>
      </c>
      <c r="J314">
        <f ca="1">B314-VLOOKUP(I314,INDIRECT("フレーム変換表!A$1:B$" &amp; フレーム変換表!$D$1),2,FALSE)*2</f>
        <v>42</v>
      </c>
      <c r="K314" t="str">
        <f ca="1">VLOOKUP(F314,INDIRECT("球種変換表!A$1:B$" &amp; 球種変換表!$D$1),2,)</f>
        <v>カットボール</v>
      </c>
      <c r="L314">
        <f t="shared" si="12"/>
        <v>8.6206896551724137E-3</v>
      </c>
      <c r="M314">
        <f t="shared" ca="1" si="13"/>
        <v>0.68541666666666667</v>
      </c>
    </row>
    <row r="315" spans="1:13" hidden="1" x14ac:dyDescent="0.55000000000000004">
      <c r="A315" t="s">
        <v>475</v>
      </c>
      <c r="B315">
        <v>136</v>
      </c>
      <c r="C315">
        <v>633.5</v>
      </c>
      <c r="D315">
        <v>603.5</v>
      </c>
      <c r="E315">
        <v>9.5132499999999993</v>
      </c>
      <c r="F315" t="s">
        <v>238</v>
      </c>
      <c r="G315">
        <v>117</v>
      </c>
      <c r="H315" t="s">
        <v>477</v>
      </c>
      <c r="I315" t="s">
        <v>478</v>
      </c>
      <c r="J315">
        <f ca="1">B315-VLOOKUP(I315,INDIRECT("フレーム変換表!A$1:B$" &amp; フレーム変換表!$D$1),2,FALSE)*2</f>
        <v>41</v>
      </c>
      <c r="K315" t="str">
        <f ca="1">VLOOKUP(F315,INDIRECT("球種変換表!A$1:B$" &amp; 球種変換表!$D$1),2,)</f>
        <v>カットボール</v>
      </c>
      <c r="L315">
        <f t="shared" si="12"/>
        <v>8.5470085470085479E-3</v>
      </c>
      <c r="M315">
        <f t="shared" ca="1" si="13"/>
        <v>0.68090277777777775</v>
      </c>
    </row>
    <row r="316" spans="1:13" hidden="1" x14ac:dyDescent="0.55000000000000004">
      <c r="A316" t="s">
        <v>476</v>
      </c>
      <c r="B316">
        <v>137</v>
      </c>
      <c r="C316">
        <v>641</v>
      </c>
      <c r="D316">
        <v>605.5</v>
      </c>
      <c r="E316">
        <v>10.012589999999999</v>
      </c>
      <c r="F316" t="s">
        <v>238</v>
      </c>
      <c r="G316">
        <v>114</v>
      </c>
      <c r="H316" t="s">
        <v>477</v>
      </c>
      <c r="I316" t="s">
        <v>478</v>
      </c>
      <c r="J316">
        <f ca="1">B316-VLOOKUP(I316,INDIRECT("フレーム変換表!A$1:B$" &amp; フレーム変換表!$D$1),2,FALSE)*2</f>
        <v>42</v>
      </c>
      <c r="K316" t="str">
        <f ca="1">VLOOKUP(F316,INDIRECT("球種変換表!A$1:B$" &amp; 球種変換表!$D$1),2,)</f>
        <v>カットボール</v>
      </c>
      <c r="L316">
        <f t="shared" si="12"/>
        <v>8.771929824561403E-3</v>
      </c>
      <c r="M316">
        <f t="shared" ca="1" si="13"/>
        <v>0.69618055555555558</v>
      </c>
    </row>
  </sheetData>
  <autoFilter ref="A1:Q316" xr:uid="{4AC8CA7C-B780-4447-B992-2C793647C121}">
    <filterColumn colId="10">
      <filters>
        <filter val="ストレート"/>
      </filters>
    </filterColumn>
  </autoFilter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7C79-F5F2-4A25-966E-37AF1CA7A863}">
  <sheetPr codeName="Sheet1"/>
  <dimension ref="A1:D39"/>
  <sheetViews>
    <sheetView topLeftCell="A14" workbookViewId="0">
      <selection activeCell="B39" sqref="B39"/>
    </sheetView>
  </sheetViews>
  <sheetFormatPr defaultRowHeight="18" x14ac:dyDescent="0.55000000000000004"/>
  <cols>
    <col min="1" max="1" width="17.33203125" customWidth="1"/>
    <col min="2" max="2" width="18.25" customWidth="1"/>
  </cols>
  <sheetData>
    <row r="1" spans="1:4" x14ac:dyDescent="0.55000000000000004">
      <c r="A1" t="s">
        <v>16</v>
      </c>
      <c r="B1" t="s">
        <v>13</v>
      </c>
      <c r="D1">
        <f>COUNTA(A:A)</f>
        <v>39</v>
      </c>
    </row>
    <row r="2" spans="1:4" x14ac:dyDescent="0.55000000000000004">
      <c r="A2">
        <v>4</v>
      </c>
      <c r="B2" t="s">
        <v>13</v>
      </c>
    </row>
    <row r="3" spans="1:4" x14ac:dyDescent="0.55000000000000004">
      <c r="A3" t="s">
        <v>13</v>
      </c>
      <c r="B3" t="s">
        <v>13</v>
      </c>
    </row>
    <row r="4" spans="1:4" x14ac:dyDescent="0.55000000000000004">
      <c r="A4" t="s">
        <v>238</v>
      </c>
      <c r="B4" t="s">
        <v>238</v>
      </c>
    </row>
    <row r="5" spans="1:4" x14ac:dyDescent="0.55000000000000004">
      <c r="A5" t="s">
        <v>61</v>
      </c>
      <c r="B5" t="s">
        <v>99</v>
      </c>
    </row>
    <row r="6" spans="1:4" x14ac:dyDescent="0.55000000000000004">
      <c r="A6" t="s">
        <v>99</v>
      </c>
      <c r="B6" t="s">
        <v>99</v>
      </c>
    </row>
    <row r="7" spans="1:4" x14ac:dyDescent="0.55000000000000004">
      <c r="A7" t="s">
        <v>358</v>
      </c>
      <c r="B7" t="s">
        <v>99</v>
      </c>
    </row>
    <row r="8" spans="1:4" x14ac:dyDescent="0.55000000000000004">
      <c r="A8" t="s">
        <v>359</v>
      </c>
      <c r="B8" t="s">
        <v>99</v>
      </c>
    </row>
    <row r="9" spans="1:4" x14ac:dyDescent="0.55000000000000004">
      <c r="A9" t="s">
        <v>116</v>
      </c>
      <c r="B9" t="s">
        <v>116</v>
      </c>
    </row>
    <row r="10" spans="1:4" x14ac:dyDescent="0.55000000000000004">
      <c r="A10" t="s">
        <v>0</v>
      </c>
      <c r="B10" t="s">
        <v>0</v>
      </c>
    </row>
    <row r="11" spans="1:4" x14ac:dyDescent="0.55000000000000004">
      <c r="A11" t="s">
        <v>126</v>
      </c>
      <c r="B11" t="s">
        <v>126</v>
      </c>
    </row>
    <row r="12" spans="1:4" x14ac:dyDescent="0.55000000000000004">
      <c r="A12" t="s">
        <v>176</v>
      </c>
      <c r="B12" t="s">
        <v>176</v>
      </c>
    </row>
    <row r="13" spans="1:4" x14ac:dyDescent="0.55000000000000004">
      <c r="A13" t="s">
        <v>174</v>
      </c>
      <c r="B13" t="s">
        <v>176</v>
      </c>
    </row>
    <row r="14" spans="1:4" x14ac:dyDescent="0.55000000000000004">
      <c r="A14" t="s">
        <v>173</v>
      </c>
      <c r="B14" t="s">
        <v>176</v>
      </c>
    </row>
    <row r="15" spans="1:4" x14ac:dyDescent="0.55000000000000004">
      <c r="A15" t="s">
        <v>306</v>
      </c>
      <c r="B15" t="s">
        <v>176</v>
      </c>
    </row>
    <row r="16" spans="1:4" x14ac:dyDescent="0.55000000000000004">
      <c r="A16" t="s">
        <v>2</v>
      </c>
      <c r="B16" t="s">
        <v>2</v>
      </c>
    </row>
    <row r="17" spans="1:2" x14ac:dyDescent="0.55000000000000004">
      <c r="A17" t="s">
        <v>100</v>
      </c>
      <c r="B17" t="s">
        <v>100</v>
      </c>
    </row>
    <row r="18" spans="1:2" x14ac:dyDescent="0.55000000000000004">
      <c r="A18" t="s">
        <v>72</v>
      </c>
      <c r="B18" t="s">
        <v>100</v>
      </c>
    </row>
    <row r="19" spans="1:2" x14ac:dyDescent="0.55000000000000004">
      <c r="A19" t="s">
        <v>84</v>
      </c>
      <c r="B19" t="s">
        <v>100</v>
      </c>
    </row>
    <row r="20" spans="1:2" x14ac:dyDescent="0.55000000000000004">
      <c r="A20" t="s">
        <v>239</v>
      </c>
      <c r="B20" t="s">
        <v>239</v>
      </c>
    </row>
    <row r="21" spans="1:2" x14ac:dyDescent="0.55000000000000004">
      <c r="A21" t="s">
        <v>240</v>
      </c>
      <c r="B21" t="s">
        <v>239</v>
      </c>
    </row>
    <row r="22" spans="1:2" x14ac:dyDescent="0.55000000000000004">
      <c r="A22" t="s">
        <v>28</v>
      </c>
      <c r="B22" t="s">
        <v>98</v>
      </c>
    </row>
    <row r="23" spans="1:2" x14ac:dyDescent="0.55000000000000004">
      <c r="A23" t="s">
        <v>32</v>
      </c>
      <c r="B23" t="s">
        <v>98</v>
      </c>
    </row>
    <row r="24" spans="1:2" x14ac:dyDescent="0.55000000000000004">
      <c r="A24" t="s">
        <v>35</v>
      </c>
      <c r="B24" t="s">
        <v>98</v>
      </c>
    </row>
    <row r="25" spans="1:2" x14ac:dyDescent="0.55000000000000004">
      <c r="A25" t="s">
        <v>101</v>
      </c>
      <c r="B25" t="s">
        <v>101</v>
      </c>
    </row>
    <row r="26" spans="1:2" x14ac:dyDescent="0.55000000000000004">
      <c r="A26" t="s">
        <v>241</v>
      </c>
      <c r="B26" t="s">
        <v>101</v>
      </c>
    </row>
    <row r="27" spans="1:2" x14ac:dyDescent="0.55000000000000004">
      <c r="A27" t="s">
        <v>242</v>
      </c>
      <c r="B27" t="s">
        <v>101</v>
      </c>
    </row>
    <row r="28" spans="1:2" x14ac:dyDescent="0.55000000000000004">
      <c r="A28" t="s">
        <v>243</v>
      </c>
      <c r="B28" t="s">
        <v>101</v>
      </c>
    </row>
    <row r="29" spans="1:2" x14ac:dyDescent="0.55000000000000004">
      <c r="A29" t="s">
        <v>167</v>
      </c>
      <c r="B29" t="s">
        <v>161</v>
      </c>
    </row>
    <row r="30" spans="1:2" x14ac:dyDescent="0.55000000000000004">
      <c r="A30" t="s">
        <v>161</v>
      </c>
      <c r="B30" t="s">
        <v>161</v>
      </c>
    </row>
    <row r="31" spans="1:2" x14ac:dyDescent="0.55000000000000004">
      <c r="A31" t="s">
        <v>445</v>
      </c>
      <c r="B31" t="s">
        <v>445</v>
      </c>
    </row>
    <row r="32" spans="1:2" x14ac:dyDescent="0.55000000000000004">
      <c r="A32">
        <v>1</v>
      </c>
      <c r="B32" t="s">
        <v>445</v>
      </c>
    </row>
    <row r="33" spans="1:2" x14ac:dyDescent="0.55000000000000004">
      <c r="A33" t="s">
        <v>442</v>
      </c>
      <c r="B33" t="s">
        <v>445</v>
      </c>
    </row>
    <row r="34" spans="1:2" x14ac:dyDescent="0.55000000000000004">
      <c r="A34" t="s">
        <v>448</v>
      </c>
      <c r="B34" t="s">
        <v>445</v>
      </c>
    </row>
    <row r="35" spans="1:2" x14ac:dyDescent="0.55000000000000004">
      <c r="A35" t="s">
        <v>451</v>
      </c>
      <c r="B35" t="s">
        <v>445</v>
      </c>
    </row>
    <row r="36" spans="1:2" x14ac:dyDescent="0.55000000000000004">
      <c r="A36" t="s">
        <v>453</v>
      </c>
      <c r="B36" t="s">
        <v>445</v>
      </c>
    </row>
    <row r="37" spans="1:2" x14ac:dyDescent="0.55000000000000004">
      <c r="A37" t="s">
        <v>457</v>
      </c>
      <c r="B37" t="s">
        <v>457</v>
      </c>
    </row>
    <row r="38" spans="1:2" x14ac:dyDescent="0.55000000000000004">
      <c r="A38" t="s">
        <v>113</v>
      </c>
      <c r="B38" t="s">
        <v>98</v>
      </c>
    </row>
    <row r="39" spans="1:2" x14ac:dyDescent="0.55000000000000004">
      <c r="A39" t="s">
        <v>152</v>
      </c>
      <c r="B39" t="s">
        <v>100</v>
      </c>
    </row>
  </sheetData>
  <sortState xmlns:xlrd2="http://schemas.microsoft.com/office/spreadsheetml/2017/richdata2" ref="A2:B30">
    <sortCondition ref="B2:B30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5D045-225B-4777-8470-9E5A1C1A69E4}">
  <sheetPr codeName="Sheet2"/>
  <dimension ref="A1:F6"/>
  <sheetViews>
    <sheetView workbookViewId="0">
      <selection activeCell="B7" sqref="B7"/>
    </sheetView>
  </sheetViews>
  <sheetFormatPr defaultRowHeight="18" x14ac:dyDescent="0.55000000000000004"/>
  <sheetData>
    <row r="1" spans="1:6" x14ac:dyDescent="0.55000000000000004">
      <c r="A1" t="s">
        <v>178</v>
      </c>
      <c r="B1">
        <v>29.5</v>
      </c>
      <c r="D1">
        <f>COUNTA((A:A))</f>
        <v>6</v>
      </c>
      <c r="F1" t="s">
        <v>420</v>
      </c>
    </row>
    <row r="2" spans="1:6" x14ac:dyDescent="0.55000000000000004">
      <c r="A2" t="s">
        <v>177</v>
      </c>
      <c r="B2">
        <v>47</v>
      </c>
      <c r="F2" t="s">
        <v>421</v>
      </c>
    </row>
    <row r="3" spans="1:6" x14ac:dyDescent="0.55000000000000004">
      <c r="A3" t="s">
        <v>183</v>
      </c>
      <c r="B3">
        <v>13</v>
      </c>
    </row>
    <row r="4" spans="1:6" x14ac:dyDescent="0.55000000000000004">
      <c r="A4" t="s">
        <v>245</v>
      </c>
      <c r="B4">
        <v>47</v>
      </c>
    </row>
    <row r="5" spans="1:6" x14ac:dyDescent="0.55000000000000004">
      <c r="A5" t="s">
        <v>364</v>
      </c>
      <c r="B5">
        <v>13</v>
      </c>
    </row>
    <row r="6" spans="1:6" x14ac:dyDescent="0.55000000000000004">
      <c r="A6" t="s">
        <v>478</v>
      </c>
      <c r="B6">
        <v>47.5</v>
      </c>
    </row>
  </sheetData>
  <sortState xmlns:xlrd2="http://schemas.microsoft.com/office/spreadsheetml/2017/richdata2" ref="A1:B3">
    <sortCondition ref="A1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解析データ</vt:lpstr>
      <vt:lpstr>output</vt:lpstr>
      <vt:lpstr>球種変換表</vt:lpstr>
      <vt:lpstr>フレーム変換表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lavie url</dc:creator>
  <cp:lastModifiedBy>lavie url</cp:lastModifiedBy>
  <dcterms:created xsi:type="dcterms:W3CDTF">2020-05-24T06:34:22Z</dcterms:created>
  <dcterms:modified xsi:type="dcterms:W3CDTF">2020-06-11T14:19:13Z</dcterms:modified>
</cp:coreProperties>
</file>