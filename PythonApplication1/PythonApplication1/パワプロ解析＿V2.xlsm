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rl_l\Desktop\"/>
    </mc:Choice>
  </mc:AlternateContent>
  <xr:revisionPtr revIDLastSave="0" documentId="13_ncr:1_{8D523B3F-4B16-4F0B-90EF-0F077B096753}" xr6:coauthVersionLast="45" xr6:coauthVersionMax="45" xr10:uidLastSave="{00000000-0000-0000-0000-000000000000}"/>
  <bookViews>
    <workbookView xWindow="-120" yWindow="-120" windowWidth="22800" windowHeight="14680" xr2:uid="{DC37FFB4-60E8-4900-8BC1-282FA68B8F01}"/>
  </bookViews>
  <sheets>
    <sheet name="解析データ" sheetId="3" r:id="rId1"/>
    <sheet name="Pram" sheetId="10" r:id="rId2"/>
    <sheet name="球速データ" sheetId="6" r:id="rId3"/>
    <sheet name="output" sheetId="7" r:id="rId4"/>
    <sheet name="Sheet7" sheetId="9" r:id="rId5"/>
  </sheets>
  <definedNames>
    <definedName name="_xlnm._FilterDatabase" localSheetId="0" hidden="1">解析データ!$A$1:$P$441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09" i="3" l="1"/>
  <c r="I432" i="3"/>
  <c r="J432" i="3" s="1"/>
  <c r="M432" i="3" s="1"/>
  <c r="O432" i="3" s="1"/>
  <c r="P432" i="3" s="1"/>
  <c r="K432" i="3"/>
  <c r="L432" i="3"/>
  <c r="N432" i="3" s="1"/>
  <c r="I433" i="3"/>
  <c r="J433" i="3" s="1"/>
  <c r="M433" i="3" s="1"/>
  <c r="O433" i="3" s="1"/>
  <c r="P433" i="3" s="1"/>
  <c r="K433" i="3"/>
  <c r="L433" i="3"/>
  <c r="N433" i="3" s="1"/>
  <c r="I434" i="3"/>
  <c r="J434" i="3" s="1"/>
  <c r="M434" i="3" s="1"/>
  <c r="O434" i="3" s="1"/>
  <c r="P434" i="3" s="1"/>
  <c r="K434" i="3"/>
  <c r="L434" i="3"/>
  <c r="N434" i="3" s="1"/>
  <c r="I435" i="3"/>
  <c r="J435" i="3" s="1"/>
  <c r="M435" i="3" s="1"/>
  <c r="O435" i="3" s="1"/>
  <c r="P435" i="3" s="1"/>
  <c r="K435" i="3"/>
  <c r="L435" i="3"/>
  <c r="N435" i="3" s="1"/>
  <c r="I436" i="3"/>
  <c r="J436" i="3" s="1"/>
  <c r="M436" i="3" s="1"/>
  <c r="O436" i="3" s="1"/>
  <c r="P436" i="3" s="1"/>
  <c r="K436" i="3"/>
  <c r="L436" i="3"/>
  <c r="N436" i="3" s="1"/>
  <c r="I437" i="3"/>
  <c r="J437" i="3" s="1"/>
  <c r="M437" i="3" s="1"/>
  <c r="O437" i="3" s="1"/>
  <c r="P437" i="3" s="1"/>
  <c r="K437" i="3"/>
  <c r="L437" i="3"/>
  <c r="N437" i="3" s="1"/>
  <c r="I438" i="3"/>
  <c r="J438" i="3" s="1"/>
  <c r="M438" i="3" s="1"/>
  <c r="O438" i="3" s="1"/>
  <c r="P438" i="3" s="1"/>
  <c r="K438" i="3"/>
  <c r="L438" i="3"/>
  <c r="N438" i="3" s="1"/>
  <c r="I439" i="3"/>
  <c r="J439" i="3" s="1"/>
  <c r="M439" i="3" s="1"/>
  <c r="O439" i="3" s="1"/>
  <c r="P439" i="3" s="1"/>
  <c r="K439" i="3"/>
  <c r="L439" i="3"/>
  <c r="N439" i="3" s="1"/>
  <c r="I440" i="3"/>
  <c r="J440" i="3" s="1"/>
  <c r="M440" i="3" s="1"/>
  <c r="O440" i="3" s="1"/>
  <c r="P440" i="3" s="1"/>
  <c r="K440" i="3"/>
  <c r="L440" i="3"/>
  <c r="N440" i="3" s="1"/>
  <c r="I441" i="3"/>
  <c r="J441" i="3" s="1"/>
  <c r="M441" i="3" s="1"/>
  <c r="O441" i="3" s="1"/>
  <c r="P441" i="3" s="1"/>
  <c r="K441" i="3"/>
  <c r="L441" i="3"/>
  <c r="N441" i="3" s="1"/>
  <c r="P428" i="3"/>
  <c r="I426" i="3"/>
  <c r="I427" i="3"/>
  <c r="I428" i="3"/>
  <c r="J428" i="3" s="1"/>
  <c r="M428" i="3" s="1"/>
  <c r="O428" i="3" s="1"/>
  <c r="I429" i="3"/>
  <c r="J429" i="3" s="1"/>
  <c r="M429" i="3" s="1"/>
  <c r="O429" i="3" s="1"/>
  <c r="P429" i="3" s="1"/>
  <c r="I430" i="3"/>
  <c r="J430" i="3" s="1"/>
  <c r="M430" i="3" s="1"/>
  <c r="O430" i="3" s="1"/>
  <c r="P430" i="3" s="1"/>
  <c r="I431" i="3"/>
  <c r="L425" i="3"/>
  <c r="N425" i="3"/>
  <c r="L426" i="3"/>
  <c r="N426" i="3"/>
  <c r="L427" i="3"/>
  <c r="N427" i="3" s="1"/>
  <c r="L428" i="3"/>
  <c r="N428" i="3" s="1"/>
  <c r="L429" i="3"/>
  <c r="N429" i="3"/>
  <c r="L430" i="3"/>
  <c r="N430" i="3"/>
  <c r="L431" i="3"/>
  <c r="N431" i="3" s="1"/>
  <c r="M431" i="3"/>
  <c r="O431" i="3" s="1"/>
  <c r="P431" i="3" s="1"/>
  <c r="K146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I425" i="3"/>
  <c r="J425" i="3"/>
  <c r="M425" i="3" s="1"/>
  <c r="O425" i="3" s="1"/>
  <c r="P425" i="3" s="1"/>
  <c r="J426" i="3"/>
  <c r="M426" i="3" s="1"/>
  <c r="O426" i="3" s="1"/>
  <c r="P426" i="3" s="1"/>
  <c r="J427" i="3"/>
  <c r="M427" i="3" s="1"/>
  <c r="O427" i="3" s="1"/>
  <c r="P427" i="3" s="1"/>
  <c r="J431" i="3"/>
  <c r="K171" i="3" l="1"/>
  <c r="K170" i="3"/>
  <c r="K169" i="3"/>
  <c r="K168" i="3"/>
  <c r="K167" i="3"/>
  <c r="K166" i="3"/>
  <c r="K165" i="3"/>
  <c r="K164" i="3"/>
  <c r="K163" i="3"/>
  <c r="K162" i="3"/>
  <c r="K161" i="3"/>
  <c r="K160" i="3"/>
  <c r="K159" i="3"/>
  <c r="K158" i="3"/>
  <c r="K157" i="3"/>
  <c r="K156" i="3"/>
  <c r="K155" i="3"/>
  <c r="K154" i="3"/>
  <c r="K153" i="3"/>
  <c r="K152" i="3"/>
  <c r="K151" i="3"/>
  <c r="K150" i="3"/>
  <c r="K149" i="3"/>
  <c r="K148" i="3"/>
  <c r="K147" i="3"/>
  <c r="K145" i="3"/>
  <c r="K144" i="3"/>
  <c r="K143" i="3"/>
  <c r="K142" i="3"/>
  <c r="K141" i="3"/>
  <c r="K140" i="3"/>
  <c r="K139" i="3"/>
  <c r="K138" i="3"/>
  <c r="K137" i="3"/>
  <c r="K136" i="3"/>
  <c r="K135" i="3"/>
  <c r="K134" i="3"/>
  <c r="K133" i="3"/>
  <c r="K132" i="3"/>
  <c r="K131" i="3"/>
  <c r="K130" i="3"/>
  <c r="K129" i="3"/>
  <c r="K128" i="3"/>
  <c r="K127" i="3"/>
  <c r="K126" i="3"/>
  <c r="K125" i="3"/>
  <c r="K124" i="3"/>
  <c r="K123" i="3"/>
  <c r="K122" i="3"/>
  <c r="K121" i="3"/>
  <c r="K120" i="3"/>
  <c r="K119" i="3"/>
  <c r="K118" i="3"/>
  <c r="K117" i="3"/>
  <c r="K116" i="3"/>
  <c r="K115" i="3"/>
  <c r="K114" i="3"/>
  <c r="K113" i="3"/>
  <c r="K112" i="3"/>
  <c r="K111" i="3"/>
  <c r="K110" i="3"/>
  <c r="K109" i="3"/>
  <c r="K108" i="3"/>
  <c r="K107" i="3"/>
  <c r="K106" i="3"/>
  <c r="K105" i="3"/>
  <c r="K104" i="3"/>
  <c r="K103" i="3"/>
  <c r="K102" i="3"/>
  <c r="K101" i="3"/>
  <c r="K100" i="3"/>
  <c r="K99" i="3"/>
  <c r="K98" i="3"/>
  <c r="K97" i="3"/>
  <c r="K96" i="3"/>
  <c r="K95" i="3"/>
  <c r="K94" i="3"/>
  <c r="K93" i="3"/>
  <c r="K92" i="3"/>
  <c r="K91" i="3"/>
  <c r="K90" i="3"/>
  <c r="K89" i="3"/>
  <c r="K88" i="3"/>
  <c r="K87" i="3"/>
  <c r="K86" i="3"/>
  <c r="K85" i="3"/>
  <c r="K84" i="3"/>
  <c r="K83" i="3"/>
  <c r="K82" i="3"/>
  <c r="K81" i="3"/>
  <c r="K80" i="3"/>
  <c r="K79" i="3"/>
  <c r="K78" i="3"/>
  <c r="K77" i="3"/>
  <c r="K76" i="3"/>
  <c r="K75" i="3"/>
  <c r="K74" i="3"/>
  <c r="K73" i="3"/>
  <c r="K72" i="3"/>
  <c r="K71" i="3"/>
  <c r="K70" i="3"/>
  <c r="K69" i="3"/>
  <c r="K68" i="3"/>
  <c r="K67" i="3"/>
  <c r="K66" i="3"/>
  <c r="K65" i="3"/>
  <c r="K64" i="3"/>
  <c r="K63" i="3"/>
  <c r="K62" i="3"/>
  <c r="K61" i="3"/>
  <c r="K60" i="3"/>
  <c r="K59" i="3"/>
  <c r="K58" i="3"/>
  <c r="K57" i="3"/>
  <c r="K56" i="3"/>
  <c r="K55" i="3"/>
  <c r="K54" i="3"/>
  <c r="K53" i="3"/>
  <c r="K52" i="3"/>
  <c r="K51" i="3"/>
  <c r="K50" i="3"/>
  <c r="K49" i="3"/>
  <c r="K48" i="3"/>
  <c r="K47" i="3"/>
  <c r="K46" i="3"/>
  <c r="K45" i="3"/>
  <c r="K44" i="3"/>
  <c r="K43" i="3"/>
  <c r="K42" i="3"/>
  <c r="K41" i="3"/>
  <c r="K40" i="3"/>
  <c r="K39" i="3"/>
  <c r="K38" i="3"/>
  <c r="K37" i="3"/>
  <c r="K36" i="3"/>
  <c r="K35" i="3"/>
  <c r="K34" i="3"/>
  <c r="K33" i="3"/>
  <c r="K32" i="3"/>
  <c r="K31" i="3"/>
  <c r="K30" i="3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K3" i="3"/>
  <c r="K2" i="3"/>
  <c r="I3" i="3"/>
  <c r="J3" i="3" s="1"/>
  <c r="M3" i="3" s="1"/>
  <c r="O3" i="3" s="1"/>
  <c r="P3" i="3" s="1"/>
  <c r="L3" i="3"/>
  <c r="N3" i="3" s="1"/>
  <c r="I4" i="3"/>
  <c r="J4" i="3" s="1"/>
  <c r="M4" i="3" s="1"/>
  <c r="O4" i="3" s="1"/>
  <c r="P4" i="3" s="1"/>
  <c r="L4" i="3"/>
  <c r="N4" i="3" s="1"/>
  <c r="I5" i="3"/>
  <c r="J5" i="3" s="1"/>
  <c r="M5" i="3" s="1"/>
  <c r="O5" i="3" s="1"/>
  <c r="P5" i="3" s="1"/>
  <c r="L5" i="3"/>
  <c r="N5" i="3" s="1"/>
  <c r="I6" i="3"/>
  <c r="J6" i="3" s="1"/>
  <c r="M6" i="3" s="1"/>
  <c r="O6" i="3" s="1"/>
  <c r="P6" i="3" s="1"/>
  <c r="L6" i="3"/>
  <c r="N6" i="3" s="1"/>
  <c r="I7" i="3"/>
  <c r="J7" i="3" s="1"/>
  <c r="M7" i="3" s="1"/>
  <c r="O7" i="3" s="1"/>
  <c r="P7" i="3" s="1"/>
  <c r="L7" i="3"/>
  <c r="N7" i="3" s="1"/>
  <c r="I8" i="3"/>
  <c r="J8" i="3" s="1"/>
  <c r="M8" i="3" s="1"/>
  <c r="O8" i="3" s="1"/>
  <c r="P8" i="3" s="1"/>
  <c r="L8" i="3"/>
  <c r="N8" i="3" s="1"/>
  <c r="I9" i="3"/>
  <c r="J9" i="3" s="1"/>
  <c r="M9" i="3" s="1"/>
  <c r="O9" i="3" s="1"/>
  <c r="P9" i="3" s="1"/>
  <c r="L9" i="3"/>
  <c r="N9" i="3" s="1"/>
  <c r="I10" i="3"/>
  <c r="J10" i="3" s="1"/>
  <c r="M10" i="3" s="1"/>
  <c r="O10" i="3" s="1"/>
  <c r="P10" i="3" s="1"/>
  <c r="L10" i="3"/>
  <c r="N10" i="3" s="1"/>
  <c r="I11" i="3"/>
  <c r="J11" i="3" s="1"/>
  <c r="M11" i="3" s="1"/>
  <c r="O11" i="3" s="1"/>
  <c r="P11" i="3" s="1"/>
  <c r="L11" i="3"/>
  <c r="N11" i="3" s="1"/>
  <c r="I12" i="3"/>
  <c r="J12" i="3" s="1"/>
  <c r="M12" i="3" s="1"/>
  <c r="O12" i="3" s="1"/>
  <c r="P12" i="3" s="1"/>
  <c r="L12" i="3"/>
  <c r="N12" i="3" s="1"/>
  <c r="I13" i="3"/>
  <c r="J13" i="3" s="1"/>
  <c r="M13" i="3" s="1"/>
  <c r="O13" i="3" s="1"/>
  <c r="P13" i="3" s="1"/>
  <c r="L13" i="3"/>
  <c r="N13" i="3" s="1"/>
  <c r="I14" i="3"/>
  <c r="J14" i="3" s="1"/>
  <c r="M14" i="3" s="1"/>
  <c r="O14" i="3" s="1"/>
  <c r="P14" i="3" s="1"/>
  <c r="L14" i="3"/>
  <c r="N14" i="3" s="1"/>
  <c r="I15" i="3"/>
  <c r="J15" i="3" s="1"/>
  <c r="M15" i="3" s="1"/>
  <c r="O15" i="3" s="1"/>
  <c r="P15" i="3" s="1"/>
  <c r="L15" i="3"/>
  <c r="N15" i="3" s="1"/>
  <c r="I16" i="3"/>
  <c r="J16" i="3" s="1"/>
  <c r="M16" i="3" s="1"/>
  <c r="O16" i="3" s="1"/>
  <c r="P16" i="3" s="1"/>
  <c r="L16" i="3"/>
  <c r="N16" i="3" s="1"/>
  <c r="I17" i="3"/>
  <c r="J17" i="3" s="1"/>
  <c r="M17" i="3" s="1"/>
  <c r="O17" i="3" s="1"/>
  <c r="P17" i="3" s="1"/>
  <c r="L17" i="3"/>
  <c r="N17" i="3" s="1"/>
  <c r="I18" i="3"/>
  <c r="J18" i="3" s="1"/>
  <c r="M18" i="3" s="1"/>
  <c r="O18" i="3" s="1"/>
  <c r="P18" i="3" s="1"/>
  <c r="L18" i="3"/>
  <c r="N18" i="3" s="1"/>
  <c r="I19" i="3"/>
  <c r="J19" i="3" s="1"/>
  <c r="M19" i="3" s="1"/>
  <c r="O19" i="3" s="1"/>
  <c r="P19" i="3" s="1"/>
  <c r="L19" i="3"/>
  <c r="N19" i="3" s="1"/>
  <c r="I20" i="3"/>
  <c r="J20" i="3" s="1"/>
  <c r="M20" i="3" s="1"/>
  <c r="O20" i="3" s="1"/>
  <c r="P20" i="3" s="1"/>
  <c r="L20" i="3"/>
  <c r="N20" i="3" s="1"/>
  <c r="I21" i="3"/>
  <c r="J21" i="3" s="1"/>
  <c r="M21" i="3" s="1"/>
  <c r="O21" i="3" s="1"/>
  <c r="P21" i="3" s="1"/>
  <c r="L21" i="3"/>
  <c r="N21" i="3" s="1"/>
  <c r="I22" i="3"/>
  <c r="J22" i="3" s="1"/>
  <c r="M22" i="3" s="1"/>
  <c r="O22" i="3" s="1"/>
  <c r="P22" i="3" s="1"/>
  <c r="L22" i="3"/>
  <c r="N22" i="3" s="1"/>
  <c r="I23" i="3"/>
  <c r="J23" i="3" s="1"/>
  <c r="M23" i="3" s="1"/>
  <c r="O23" i="3" s="1"/>
  <c r="P23" i="3" s="1"/>
  <c r="L23" i="3"/>
  <c r="N23" i="3" s="1"/>
  <c r="I24" i="3"/>
  <c r="J24" i="3" s="1"/>
  <c r="M24" i="3" s="1"/>
  <c r="O24" i="3" s="1"/>
  <c r="P24" i="3" s="1"/>
  <c r="L24" i="3"/>
  <c r="N24" i="3" s="1"/>
  <c r="I25" i="3"/>
  <c r="J25" i="3" s="1"/>
  <c r="M25" i="3" s="1"/>
  <c r="O25" i="3" s="1"/>
  <c r="P25" i="3" s="1"/>
  <c r="L25" i="3"/>
  <c r="N25" i="3" s="1"/>
  <c r="I26" i="3"/>
  <c r="J26" i="3" s="1"/>
  <c r="M26" i="3" s="1"/>
  <c r="O26" i="3" s="1"/>
  <c r="P26" i="3" s="1"/>
  <c r="L26" i="3"/>
  <c r="N26" i="3" s="1"/>
  <c r="I27" i="3"/>
  <c r="J27" i="3" s="1"/>
  <c r="M27" i="3" s="1"/>
  <c r="O27" i="3" s="1"/>
  <c r="P27" i="3" s="1"/>
  <c r="L27" i="3"/>
  <c r="N27" i="3" s="1"/>
  <c r="I28" i="3"/>
  <c r="J28" i="3" s="1"/>
  <c r="M28" i="3" s="1"/>
  <c r="O28" i="3" s="1"/>
  <c r="P28" i="3" s="1"/>
  <c r="L28" i="3"/>
  <c r="N28" i="3" s="1"/>
  <c r="I29" i="3"/>
  <c r="J29" i="3" s="1"/>
  <c r="M29" i="3" s="1"/>
  <c r="O29" i="3" s="1"/>
  <c r="P29" i="3" s="1"/>
  <c r="L29" i="3"/>
  <c r="N29" i="3" s="1"/>
  <c r="I30" i="3"/>
  <c r="J30" i="3" s="1"/>
  <c r="M30" i="3" s="1"/>
  <c r="O30" i="3" s="1"/>
  <c r="P30" i="3" s="1"/>
  <c r="L30" i="3"/>
  <c r="N30" i="3" s="1"/>
  <c r="I31" i="3"/>
  <c r="J31" i="3" s="1"/>
  <c r="M31" i="3" s="1"/>
  <c r="O31" i="3" s="1"/>
  <c r="P31" i="3" s="1"/>
  <c r="L31" i="3"/>
  <c r="N31" i="3" s="1"/>
  <c r="I32" i="3"/>
  <c r="J32" i="3" s="1"/>
  <c r="M32" i="3" s="1"/>
  <c r="O32" i="3" s="1"/>
  <c r="P32" i="3" s="1"/>
  <c r="L32" i="3"/>
  <c r="N32" i="3" s="1"/>
  <c r="I33" i="3"/>
  <c r="J33" i="3" s="1"/>
  <c r="M33" i="3" s="1"/>
  <c r="O33" i="3" s="1"/>
  <c r="P33" i="3" s="1"/>
  <c r="L33" i="3"/>
  <c r="N33" i="3" s="1"/>
  <c r="I34" i="3"/>
  <c r="J34" i="3" s="1"/>
  <c r="M34" i="3" s="1"/>
  <c r="O34" i="3" s="1"/>
  <c r="P34" i="3" s="1"/>
  <c r="L34" i="3"/>
  <c r="N34" i="3" s="1"/>
  <c r="I35" i="3"/>
  <c r="J35" i="3" s="1"/>
  <c r="M35" i="3" s="1"/>
  <c r="O35" i="3" s="1"/>
  <c r="P35" i="3" s="1"/>
  <c r="L35" i="3"/>
  <c r="N35" i="3" s="1"/>
  <c r="I36" i="3"/>
  <c r="J36" i="3" s="1"/>
  <c r="M36" i="3" s="1"/>
  <c r="O36" i="3" s="1"/>
  <c r="P36" i="3" s="1"/>
  <c r="L36" i="3"/>
  <c r="N36" i="3" s="1"/>
  <c r="I37" i="3"/>
  <c r="J37" i="3" s="1"/>
  <c r="M37" i="3" s="1"/>
  <c r="O37" i="3" s="1"/>
  <c r="P37" i="3" s="1"/>
  <c r="L37" i="3"/>
  <c r="N37" i="3" s="1"/>
  <c r="I38" i="3"/>
  <c r="J38" i="3" s="1"/>
  <c r="M38" i="3" s="1"/>
  <c r="O38" i="3" s="1"/>
  <c r="P38" i="3" s="1"/>
  <c r="L38" i="3"/>
  <c r="N38" i="3" s="1"/>
  <c r="I39" i="3"/>
  <c r="J39" i="3" s="1"/>
  <c r="M39" i="3" s="1"/>
  <c r="O39" i="3" s="1"/>
  <c r="P39" i="3" s="1"/>
  <c r="L39" i="3"/>
  <c r="N39" i="3" s="1"/>
  <c r="I40" i="3"/>
  <c r="J40" i="3" s="1"/>
  <c r="M40" i="3" s="1"/>
  <c r="O40" i="3" s="1"/>
  <c r="P40" i="3" s="1"/>
  <c r="L40" i="3"/>
  <c r="N40" i="3" s="1"/>
  <c r="I41" i="3"/>
  <c r="J41" i="3" s="1"/>
  <c r="M41" i="3" s="1"/>
  <c r="O41" i="3" s="1"/>
  <c r="P41" i="3" s="1"/>
  <c r="L41" i="3"/>
  <c r="N41" i="3" s="1"/>
  <c r="I42" i="3"/>
  <c r="J42" i="3" s="1"/>
  <c r="M42" i="3" s="1"/>
  <c r="O42" i="3" s="1"/>
  <c r="P42" i="3" s="1"/>
  <c r="L42" i="3"/>
  <c r="N42" i="3" s="1"/>
  <c r="I43" i="3"/>
  <c r="J43" i="3" s="1"/>
  <c r="M43" i="3" s="1"/>
  <c r="O43" i="3" s="1"/>
  <c r="P43" i="3" s="1"/>
  <c r="L43" i="3"/>
  <c r="N43" i="3" s="1"/>
  <c r="I44" i="3"/>
  <c r="J44" i="3" s="1"/>
  <c r="M44" i="3" s="1"/>
  <c r="O44" i="3" s="1"/>
  <c r="P44" i="3" s="1"/>
  <c r="L44" i="3"/>
  <c r="N44" i="3" s="1"/>
  <c r="I45" i="3"/>
  <c r="J45" i="3" s="1"/>
  <c r="M45" i="3" s="1"/>
  <c r="O45" i="3" s="1"/>
  <c r="P45" i="3" s="1"/>
  <c r="L45" i="3"/>
  <c r="N45" i="3" s="1"/>
  <c r="I46" i="3"/>
  <c r="J46" i="3" s="1"/>
  <c r="M46" i="3" s="1"/>
  <c r="O46" i="3" s="1"/>
  <c r="P46" i="3" s="1"/>
  <c r="L46" i="3"/>
  <c r="N46" i="3" s="1"/>
  <c r="I47" i="3"/>
  <c r="J47" i="3" s="1"/>
  <c r="M47" i="3" s="1"/>
  <c r="O47" i="3" s="1"/>
  <c r="P47" i="3" s="1"/>
  <c r="L47" i="3"/>
  <c r="N47" i="3" s="1"/>
  <c r="I48" i="3"/>
  <c r="J48" i="3" s="1"/>
  <c r="M48" i="3" s="1"/>
  <c r="O48" i="3" s="1"/>
  <c r="P48" i="3" s="1"/>
  <c r="L48" i="3"/>
  <c r="N48" i="3" s="1"/>
  <c r="I49" i="3"/>
  <c r="J49" i="3" s="1"/>
  <c r="M49" i="3" s="1"/>
  <c r="O49" i="3" s="1"/>
  <c r="P49" i="3" s="1"/>
  <c r="L49" i="3"/>
  <c r="N49" i="3" s="1"/>
  <c r="I50" i="3"/>
  <c r="J50" i="3" s="1"/>
  <c r="M50" i="3" s="1"/>
  <c r="O50" i="3" s="1"/>
  <c r="P50" i="3" s="1"/>
  <c r="L50" i="3"/>
  <c r="N50" i="3" s="1"/>
  <c r="I51" i="3"/>
  <c r="J51" i="3" s="1"/>
  <c r="M51" i="3" s="1"/>
  <c r="O51" i="3" s="1"/>
  <c r="P51" i="3" s="1"/>
  <c r="L51" i="3"/>
  <c r="N51" i="3" s="1"/>
  <c r="I52" i="3"/>
  <c r="J52" i="3" s="1"/>
  <c r="M52" i="3" s="1"/>
  <c r="O52" i="3" s="1"/>
  <c r="P52" i="3" s="1"/>
  <c r="L52" i="3"/>
  <c r="N52" i="3" s="1"/>
  <c r="I53" i="3"/>
  <c r="J53" i="3" s="1"/>
  <c r="M53" i="3" s="1"/>
  <c r="O53" i="3" s="1"/>
  <c r="P53" i="3" s="1"/>
  <c r="L53" i="3"/>
  <c r="N53" i="3" s="1"/>
  <c r="I54" i="3"/>
  <c r="J54" i="3" s="1"/>
  <c r="M54" i="3" s="1"/>
  <c r="O54" i="3" s="1"/>
  <c r="P54" i="3" s="1"/>
  <c r="L54" i="3"/>
  <c r="N54" i="3" s="1"/>
  <c r="I55" i="3"/>
  <c r="J55" i="3" s="1"/>
  <c r="M55" i="3" s="1"/>
  <c r="O55" i="3" s="1"/>
  <c r="P55" i="3" s="1"/>
  <c r="L55" i="3"/>
  <c r="N55" i="3" s="1"/>
  <c r="I56" i="3"/>
  <c r="J56" i="3" s="1"/>
  <c r="M56" i="3" s="1"/>
  <c r="O56" i="3" s="1"/>
  <c r="P56" i="3" s="1"/>
  <c r="L56" i="3"/>
  <c r="N56" i="3" s="1"/>
  <c r="I57" i="3"/>
  <c r="J57" i="3" s="1"/>
  <c r="M57" i="3" s="1"/>
  <c r="O57" i="3" s="1"/>
  <c r="P57" i="3" s="1"/>
  <c r="L57" i="3"/>
  <c r="N57" i="3" s="1"/>
  <c r="I58" i="3"/>
  <c r="J58" i="3" s="1"/>
  <c r="M58" i="3" s="1"/>
  <c r="O58" i="3" s="1"/>
  <c r="P58" i="3" s="1"/>
  <c r="L58" i="3"/>
  <c r="N58" i="3" s="1"/>
  <c r="I59" i="3"/>
  <c r="J59" i="3" s="1"/>
  <c r="M59" i="3" s="1"/>
  <c r="O59" i="3" s="1"/>
  <c r="P59" i="3" s="1"/>
  <c r="L59" i="3"/>
  <c r="N59" i="3" s="1"/>
  <c r="I60" i="3"/>
  <c r="J60" i="3" s="1"/>
  <c r="M60" i="3" s="1"/>
  <c r="O60" i="3" s="1"/>
  <c r="P60" i="3" s="1"/>
  <c r="L60" i="3"/>
  <c r="N60" i="3" s="1"/>
  <c r="I61" i="3"/>
  <c r="J61" i="3" s="1"/>
  <c r="M61" i="3" s="1"/>
  <c r="O61" i="3" s="1"/>
  <c r="P61" i="3" s="1"/>
  <c r="L61" i="3"/>
  <c r="N61" i="3" s="1"/>
  <c r="I62" i="3"/>
  <c r="J62" i="3" s="1"/>
  <c r="M62" i="3" s="1"/>
  <c r="O62" i="3" s="1"/>
  <c r="P62" i="3" s="1"/>
  <c r="L62" i="3"/>
  <c r="N62" i="3" s="1"/>
  <c r="I63" i="3"/>
  <c r="J63" i="3" s="1"/>
  <c r="M63" i="3" s="1"/>
  <c r="O63" i="3" s="1"/>
  <c r="P63" i="3" s="1"/>
  <c r="L63" i="3"/>
  <c r="N63" i="3" s="1"/>
  <c r="I64" i="3"/>
  <c r="J64" i="3" s="1"/>
  <c r="M64" i="3" s="1"/>
  <c r="O64" i="3" s="1"/>
  <c r="P64" i="3" s="1"/>
  <c r="L64" i="3"/>
  <c r="N64" i="3" s="1"/>
  <c r="I65" i="3"/>
  <c r="J65" i="3" s="1"/>
  <c r="M65" i="3" s="1"/>
  <c r="O65" i="3" s="1"/>
  <c r="P65" i="3" s="1"/>
  <c r="L65" i="3"/>
  <c r="N65" i="3" s="1"/>
  <c r="I66" i="3"/>
  <c r="J66" i="3" s="1"/>
  <c r="M66" i="3" s="1"/>
  <c r="O66" i="3" s="1"/>
  <c r="P66" i="3" s="1"/>
  <c r="L66" i="3"/>
  <c r="N66" i="3" s="1"/>
  <c r="I67" i="3"/>
  <c r="J67" i="3" s="1"/>
  <c r="L67" i="3"/>
  <c r="N67" i="3" s="1"/>
  <c r="M67" i="3"/>
  <c r="O67" i="3" s="1"/>
  <c r="P67" i="3" s="1"/>
  <c r="I68" i="3"/>
  <c r="J68" i="3" s="1"/>
  <c r="M68" i="3" s="1"/>
  <c r="O68" i="3" s="1"/>
  <c r="P68" i="3" s="1"/>
  <c r="L68" i="3"/>
  <c r="N68" i="3" s="1"/>
  <c r="I69" i="3"/>
  <c r="J69" i="3" s="1"/>
  <c r="M69" i="3" s="1"/>
  <c r="O69" i="3" s="1"/>
  <c r="P69" i="3" s="1"/>
  <c r="L69" i="3"/>
  <c r="N69" i="3" s="1"/>
  <c r="I70" i="3"/>
  <c r="J70" i="3" s="1"/>
  <c r="M70" i="3" s="1"/>
  <c r="O70" i="3" s="1"/>
  <c r="P70" i="3" s="1"/>
  <c r="L70" i="3"/>
  <c r="N70" i="3" s="1"/>
  <c r="I71" i="3"/>
  <c r="J71" i="3" s="1"/>
  <c r="M71" i="3" s="1"/>
  <c r="O71" i="3" s="1"/>
  <c r="P71" i="3" s="1"/>
  <c r="L71" i="3"/>
  <c r="N71" i="3" s="1"/>
  <c r="I72" i="3"/>
  <c r="J72" i="3" s="1"/>
  <c r="M72" i="3" s="1"/>
  <c r="O72" i="3" s="1"/>
  <c r="P72" i="3" s="1"/>
  <c r="L72" i="3"/>
  <c r="N72" i="3" s="1"/>
  <c r="I73" i="3"/>
  <c r="J73" i="3" s="1"/>
  <c r="M73" i="3" s="1"/>
  <c r="O73" i="3" s="1"/>
  <c r="P73" i="3" s="1"/>
  <c r="L73" i="3"/>
  <c r="N73" i="3" s="1"/>
  <c r="I74" i="3"/>
  <c r="J74" i="3" s="1"/>
  <c r="M74" i="3" s="1"/>
  <c r="O74" i="3" s="1"/>
  <c r="P74" i="3" s="1"/>
  <c r="L74" i="3"/>
  <c r="N74" i="3" s="1"/>
  <c r="I75" i="3"/>
  <c r="J75" i="3" s="1"/>
  <c r="M75" i="3" s="1"/>
  <c r="O75" i="3" s="1"/>
  <c r="P75" i="3" s="1"/>
  <c r="L75" i="3"/>
  <c r="N75" i="3" s="1"/>
  <c r="I76" i="3"/>
  <c r="J76" i="3" s="1"/>
  <c r="M76" i="3" s="1"/>
  <c r="O76" i="3" s="1"/>
  <c r="P76" i="3" s="1"/>
  <c r="L76" i="3"/>
  <c r="N76" i="3" s="1"/>
  <c r="I77" i="3"/>
  <c r="J77" i="3" s="1"/>
  <c r="M77" i="3" s="1"/>
  <c r="O77" i="3" s="1"/>
  <c r="P77" i="3" s="1"/>
  <c r="L77" i="3"/>
  <c r="N77" i="3" s="1"/>
  <c r="I78" i="3"/>
  <c r="J78" i="3" s="1"/>
  <c r="M78" i="3" s="1"/>
  <c r="O78" i="3" s="1"/>
  <c r="P78" i="3" s="1"/>
  <c r="L78" i="3"/>
  <c r="N78" i="3" s="1"/>
  <c r="I79" i="3"/>
  <c r="J79" i="3" s="1"/>
  <c r="M79" i="3" s="1"/>
  <c r="O79" i="3" s="1"/>
  <c r="P79" i="3" s="1"/>
  <c r="L79" i="3"/>
  <c r="N79" i="3" s="1"/>
  <c r="I80" i="3"/>
  <c r="J80" i="3" s="1"/>
  <c r="M80" i="3" s="1"/>
  <c r="O80" i="3" s="1"/>
  <c r="P80" i="3" s="1"/>
  <c r="L80" i="3"/>
  <c r="N80" i="3" s="1"/>
  <c r="I81" i="3"/>
  <c r="J81" i="3" s="1"/>
  <c r="M81" i="3" s="1"/>
  <c r="O81" i="3" s="1"/>
  <c r="P81" i="3" s="1"/>
  <c r="L81" i="3"/>
  <c r="N81" i="3" s="1"/>
  <c r="I82" i="3"/>
  <c r="J82" i="3" s="1"/>
  <c r="M82" i="3" s="1"/>
  <c r="O82" i="3" s="1"/>
  <c r="P82" i="3" s="1"/>
  <c r="L82" i="3"/>
  <c r="N82" i="3" s="1"/>
  <c r="I83" i="3"/>
  <c r="J83" i="3" s="1"/>
  <c r="M83" i="3" s="1"/>
  <c r="O83" i="3" s="1"/>
  <c r="P83" i="3" s="1"/>
  <c r="L83" i="3"/>
  <c r="N83" i="3" s="1"/>
  <c r="I84" i="3"/>
  <c r="J84" i="3" s="1"/>
  <c r="M84" i="3" s="1"/>
  <c r="O84" i="3" s="1"/>
  <c r="P84" i="3" s="1"/>
  <c r="L84" i="3"/>
  <c r="N84" i="3" s="1"/>
  <c r="I85" i="3"/>
  <c r="J85" i="3" s="1"/>
  <c r="M85" i="3" s="1"/>
  <c r="O85" i="3" s="1"/>
  <c r="P85" i="3" s="1"/>
  <c r="L85" i="3"/>
  <c r="N85" i="3" s="1"/>
  <c r="I86" i="3"/>
  <c r="J86" i="3" s="1"/>
  <c r="M86" i="3" s="1"/>
  <c r="O86" i="3" s="1"/>
  <c r="P86" i="3" s="1"/>
  <c r="L86" i="3"/>
  <c r="N86" i="3" s="1"/>
  <c r="I87" i="3"/>
  <c r="J87" i="3" s="1"/>
  <c r="M87" i="3" s="1"/>
  <c r="O87" i="3" s="1"/>
  <c r="P87" i="3" s="1"/>
  <c r="L87" i="3"/>
  <c r="N87" i="3" s="1"/>
  <c r="I88" i="3"/>
  <c r="J88" i="3" s="1"/>
  <c r="M88" i="3" s="1"/>
  <c r="O88" i="3" s="1"/>
  <c r="P88" i="3" s="1"/>
  <c r="L88" i="3"/>
  <c r="N88" i="3" s="1"/>
  <c r="I89" i="3"/>
  <c r="J89" i="3" s="1"/>
  <c r="M89" i="3" s="1"/>
  <c r="O89" i="3" s="1"/>
  <c r="P89" i="3" s="1"/>
  <c r="L89" i="3"/>
  <c r="N89" i="3" s="1"/>
  <c r="I90" i="3"/>
  <c r="J90" i="3" s="1"/>
  <c r="M90" i="3" s="1"/>
  <c r="O90" i="3" s="1"/>
  <c r="P90" i="3" s="1"/>
  <c r="L90" i="3"/>
  <c r="N90" i="3" s="1"/>
  <c r="I91" i="3"/>
  <c r="J91" i="3" s="1"/>
  <c r="M91" i="3" s="1"/>
  <c r="O91" i="3" s="1"/>
  <c r="P91" i="3" s="1"/>
  <c r="L91" i="3"/>
  <c r="N91" i="3" s="1"/>
  <c r="I92" i="3"/>
  <c r="J92" i="3" s="1"/>
  <c r="M92" i="3" s="1"/>
  <c r="O92" i="3" s="1"/>
  <c r="P92" i="3" s="1"/>
  <c r="L92" i="3"/>
  <c r="N92" i="3" s="1"/>
  <c r="I93" i="3"/>
  <c r="J93" i="3" s="1"/>
  <c r="M93" i="3" s="1"/>
  <c r="O93" i="3" s="1"/>
  <c r="P93" i="3" s="1"/>
  <c r="L93" i="3"/>
  <c r="N93" i="3" s="1"/>
  <c r="I94" i="3"/>
  <c r="J94" i="3" s="1"/>
  <c r="M94" i="3" s="1"/>
  <c r="O94" i="3" s="1"/>
  <c r="P94" i="3" s="1"/>
  <c r="L94" i="3"/>
  <c r="N94" i="3" s="1"/>
  <c r="I95" i="3"/>
  <c r="J95" i="3" s="1"/>
  <c r="M95" i="3" s="1"/>
  <c r="O95" i="3" s="1"/>
  <c r="P95" i="3" s="1"/>
  <c r="L95" i="3"/>
  <c r="N95" i="3" s="1"/>
  <c r="I96" i="3"/>
  <c r="J96" i="3" s="1"/>
  <c r="M96" i="3" s="1"/>
  <c r="O96" i="3" s="1"/>
  <c r="P96" i="3" s="1"/>
  <c r="L96" i="3"/>
  <c r="N96" i="3" s="1"/>
  <c r="I97" i="3"/>
  <c r="J97" i="3" s="1"/>
  <c r="M97" i="3" s="1"/>
  <c r="O97" i="3" s="1"/>
  <c r="P97" i="3" s="1"/>
  <c r="L97" i="3"/>
  <c r="N97" i="3" s="1"/>
  <c r="I98" i="3"/>
  <c r="J98" i="3" s="1"/>
  <c r="M98" i="3" s="1"/>
  <c r="O98" i="3" s="1"/>
  <c r="P98" i="3" s="1"/>
  <c r="L98" i="3"/>
  <c r="N98" i="3" s="1"/>
  <c r="I99" i="3"/>
  <c r="J99" i="3" s="1"/>
  <c r="M99" i="3" s="1"/>
  <c r="O99" i="3" s="1"/>
  <c r="P99" i="3" s="1"/>
  <c r="L99" i="3"/>
  <c r="N99" i="3" s="1"/>
  <c r="I100" i="3"/>
  <c r="J100" i="3" s="1"/>
  <c r="M100" i="3" s="1"/>
  <c r="O100" i="3" s="1"/>
  <c r="P100" i="3" s="1"/>
  <c r="L100" i="3"/>
  <c r="N100" i="3" s="1"/>
  <c r="I101" i="3"/>
  <c r="J101" i="3" s="1"/>
  <c r="M101" i="3" s="1"/>
  <c r="O101" i="3" s="1"/>
  <c r="P101" i="3" s="1"/>
  <c r="L101" i="3"/>
  <c r="N101" i="3" s="1"/>
  <c r="I102" i="3"/>
  <c r="J102" i="3" s="1"/>
  <c r="M102" i="3" s="1"/>
  <c r="O102" i="3" s="1"/>
  <c r="P102" i="3" s="1"/>
  <c r="L102" i="3"/>
  <c r="N102" i="3" s="1"/>
  <c r="I103" i="3"/>
  <c r="J103" i="3" s="1"/>
  <c r="M103" i="3" s="1"/>
  <c r="O103" i="3" s="1"/>
  <c r="P103" i="3" s="1"/>
  <c r="L103" i="3"/>
  <c r="N103" i="3" s="1"/>
  <c r="I104" i="3"/>
  <c r="J104" i="3" s="1"/>
  <c r="M104" i="3" s="1"/>
  <c r="O104" i="3" s="1"/>
  <c r="P104" i="3" s="1"/>
  <c r="L104" i="3"/>
  <c r="N104" i="3" s="1"/>
  <c r="I105" i="3"/>
  <c r="J105" i="3" s="1"/>
  <c r="M105" i="3" s="1"/>
  <c r="O105" i="3" s="1"/>
  <c r="P105" i="3" s="1"/>
  <c r="L105" i="3"/>
  <c r="N105" i="3" s="1"/>
  <c r="I106" i="3"/>
  <c r="J106" i="3" s="1"/>
  <c r="M106" i="3" s="1"/>
  <c r="O106" i="3" s="1"/>
  <c r="P106" i="3" s="1"/>
  <c r="L106" i="3"/>
  <c r="N106" i="3" s="1"/>
  <c r="I107" i="3"/>
  <c r="J107" i="3" s="1"/>
  <c r="M107" i="3" s="1"/>
  <c r="O107" i="3" s="1"/>
  <c r="P107" i="3" s="1"/>
  <c r="L107" i="3"/>
  <c r="N107" i="3" s="1"/>
  <c r="I108" i="3"/>
  <c r="J108" i="3" s="1"/>
  <c r="M108" i="3" s="1"/>
  <c r="O108" i="3" s="1"/>
  <c r="P108" i="3" s="1"/>
  <c r="L108" i="3"/>
  <c r="N108" i="3" s="1"/>
  <c r="I109" i="3"/>
  <c r="J109" i="3" s="1"/>
  <c r="M109" i="3" s="1"/>
  <c r="O109" i="3" s="1"/>
  <c r="P109" i="3" s="1"/>
  <c r="L109" i="3"/>
  <c r="N109" i="3" s="1"/>
  <c r="I110" i="3"/>
  <c r="J110" i="3" s="1"/>
  <c r="M110" i="3" s="1"/>
  <c r="O110" i="3" s="1"/>
  <c r="P110" i="3" s="1"/>
  <c r="L110" i="3"/>
  <c r="N110" i="3" s="1"/>
  <c r="I111" i="3"/>
  <c r="J111" i="3" s="1"/>
  <c r="M111" i="3" s="1"/>
  <c r="O111" i="3" s="1"/>
  <c r="P111" i="3" s="1"/>
  <c r="L111" i="3"/>
  <c r="N111" i="3" s="1"/>
  <c r="I112" i="3"/>
  <c r="J112" i="3" s="1"/>
  <c r="M112" i="3" s="1"/>
  <c r="O112" i="3" s="1"/>
  <c r="P112" i="3" s="1"/>
  <c r="L112" i="3"/>
  <c r="N112" i="3" s="1"/>
  <c r="I113" i="3"/>
  <c r="J113" i="3" s="1"/>
  <c r="M113" i="3" s="1"/>
  <c r="O113" i="3" s="1"/>
  <c r="P113" i="3" s="1"/>
  <c r="L113" i="3"/>
  <c r="N113" i="3" s="1"/>
  <c r="I114" i="3"/>
  <c r="J114" i="3" s="1"/>
  <c r="M114" i="3" s="1"/>
  <c r="O114" i="3" s="1"/>
  <c r="P114" i="3" s="1"/>
  <c r="L114" i="3"/>
  <c r="N114" i="3" s="1"/>
  <c r="I115" i="3"/>
  <c r="J115" i="3" s="1"/>
  <c r="M115" i="3" s="1"/>
  <c r="O115" i="3" s="1"/>
  <c r="P115" i="3" s="1"/>
  <c r="L115" i="3"/>
  <c r="N115" i="3" s="1"/>
  <c r="I116" i="3"/>
  <c r="J116" i="3" s="1"/>
  <c r="M116" i="3" s="1"/>
  <c r="O116" i="3" s="1"/>
  <c r="P116" i="3" s="1"/>
  <c r="L116" i="3"/>
  <c r="N116" i="3" s="1"/>
  <c r="I117" i="3"/>
  <c r="J117" i="3" s="1"/>
  <c r="M117" i="3" s="1"/>
  <c r="O117" i="3" s="1"/>
  <c r="P117" i="3" s="1"/>
  <c r="L117" i="3"/>
  <c r="N117" i="3" s="1"/>
  <c r="I118" i="3"/>
  <c r="J118" i="3" s="1"/>
  <c r="M118" i="3" s="1"/>
  <c r="O118" i="3" s="1"/>
  <c r="P118" i="3" s="1"/>
  <c r="L118" i="3"/>
  <c r="N118" i="3" s="1"/>
  <c r="I119" i="3"/>
  <c r="J119" i="3" s="1"/>
  <c r="M119" i="3" s="1"/>
  <c r="O119" i="3" s="1"/>
  <c r="P119" i="3" s="1"/>
  <c r="L119" i="3"/>
  <c r="N119" i="3" s="1"/>
  <c r="I120" i="3"/>
  <c r="J120" i="3" s="1"/>
  <c r="M120" i="3" s="1"/>
  <c r="O120" i="3" s="1"/>
  <c r="P120" i="3" s="1"/>
  <c r="L120" i="3"/>
  <c r="N120" i="3" s="1"/>
  <c r="I121" i="3"/>
  <c r="J121" i="3" s="1"/>
  <c r="M121" i="3" s="1"/>
  <c r="O121" i="3" s="1"/>
  <c r="P121" i="3" s="1"/>
  <c r="L121" i="3"/>
  <c r="N121" i="3" s="1"/>
  <c r="I122" i="3"/>
  <c r="J122" i="3" s="1"/>
  <c r="M122" i="3" s="1"/>
  <c r="O122" i="3" s="1"/>
  <c r="P122" i="3" s="1"/>
  <c r="L122" i="3"/>
  <c r="N122" i="3" s="1"/>
  <c r="I123" i="3"/>
  <c r="J123" i="3" s="1"/>
  <c r="M123" i="3" s="1"/>
  <c r="O123" i="3" s="1"/>
  <c r="P123" i="3" s="1"/>
  <c r="L123" i="3"/>
  <c r="N123" i="3" s="1"/>
  <c r="I124" i="3"/>
  <c r="J124" i="3" s="1"/>
  <c r="M124" i="3" s="1"/>
  <c r="O124" i="3" s="1"/>
  <c r="P124" i="3" s="1"/>
  <c r="L124" i="3"/>
  <c r="N124" i="3" s="1"/>
  <c r="I125" i="3"/>
  <c r="J125" i="3" s="1"/>
  <c r="M125" i="3" s="1"/>
  <c r="O125" i="3" s="1"/>
  <c r="P125" i="3" s="1"/>
  <c r="L125" i="3"/>
  <c r="N125" i="3" s="1"/>
  <c r="I126" i="3"/>
  <c r="J126" i="3" s="1"/>
  <c r="M126" i="3" s="1"/>
  <c r="O126" i="3" s="1"/>
  <c r="P126" i="3" s="1"/>
  <c r="L126" i="3"/>
  <c r="N126" i="3" s="1"/>
  <c r="I127" i="3"/>
  <c r="J127" i="3" s="1"/>
  <c r="M127" i="3" s="1"/>
  <c r="O127" i="3" s="1"/>
  <c r="P127" i="3" s="1"/>
  <c r="L127" i="3"/>
  <c r="N127" i="3" s="1"/>
  <c r="I128" i="3"/>
  <c r="J128" i="3" s="1"/>
  <c r="M128" i="3" s="1"/>
  <c r="O128" i="3" s="1"/>
  <c r="P128" i="3" s="1"/>
  <c r="L128" i="3"/>
  <c r="N128" i="3" s="1"/>
  <c r="I129" i="3"/>
  <c r="J129" i="3" s="1"/>
  <c r="M129" i="3" s="1"/>
  <c r="O129" i="3" s="1"/>
  <c r="P129" i="3" s="1"/>
  <c r="L129" i="3"/>
  <c r="N129" i="3" s="1"/>
  <c r="I130" i="3"/>
  <c r="J130" i="3" s="1"/>
  <c r="M130" i="3" s="1"/>
  <c r="O130" i="3" s="1"/>
  <c r="P130" i="3" s="1"/>
  <c r="L130" i="3"/>
  <c r="N130" i="3" s="1"/>
  <c r="I131" i="3"/>
  <c r="J131" i="3" s="1"/>
  <c r="M131" i="3" s="1"/>
  <c r="O131" i="3" s="1"/>
  <c r="P131" i="3" s="1"/>
  <c r="L131" i="3"/>
  <c r="N131" i="3" s="1"/>
  <c r="I132" i="3"/>
  <c r="J132" i="3" s="1"/>
  <c r="M132" i="3" s="1"/>
  <c r="O132" i="3" s="1"/>
  <c r="P132" i="3" s="1"/>
  <c r="L132" i="3"/>
  <c r="N132" i="3" s="1"/>
  <c r="I133" i="3"/>
  <c r="J133" i="3" s="1"/>
  <c r="M133" i="3" s="1"/>
  <c r="O133" i="3" s="1"/>
  <c r="P133" i="3" s="1"/>
  <c r="L133" i="3"/>
  <c r="N133" i="3" s="1"/>
  <c r="I134" i="3"/>
  <c r="J134" i="3" s="1"/>
  <c r="M134" i="3" s="1"/>
  <c r="O134" i="3" s="1"/>
  <c r="P134" i="3" s="1"/>
  <c r="L134" i="3"/>
  <c r="N134" i="3" s="1"/>
  <c r="I135" i="3"/>
  <c r="J135" i="3" s="1"/>
  <c r="M135" i="3" s="1"/>
  <c r="O135" i="3" s="1"/>
  <c r="P135" i="3" s="1"/>
  <c r="L135" i="3"/>
  <c r="N135" i="3" s="1"/>
  <c r="I136" i="3"/>
  <c r="J136" i="3" s="1"/>
  <c r="M136" i="3" s="1"/>
  <c r="O136" i="3" s="1"/>
  <c r="P136" i="3" s="1"/>
  <c r="L136" i="3"/>
  <c r="N136" i="3" s="1"/>
  <c r="I137" i="3"/>
  <c r="J137" i="3" s="1"/>
  <c r="M137" i="3" s="1"/>
  <c r="O137" i="3" s="1"/>
  <c r="P137" i="3" s="1"/>
  <c r="L137" i="3"/>
  <c r="N137" i="3" s="1"/>
  <c r="I138" i="3"/>
  <c r="J138" i="3" s="1"/>
  <c r="M138" i="3" s="1"/>
  <c r="O138" i="3" s="1"/>
  <c r="P138" i="3" s="1"/>
  <c r="L138" i="3"/>
  <c r="N138" i="3" s="1"/>
  <c r="I139" i="3"/>
  <c r="J139" i="3" s="1"/>
  <c r="M139" i="3" s="1"/>
  <c r="O139" i="3" s="1"/>
  <c r="P139" i="3" s="1"/>
  <c r="L139" i="3"/>
  <c r="N139" i="3" s="1"/>
  <c r="I140" i="3"/>
  <c r="J140" i="3" s="1"/>
  <c r="M140" i="3" s="1"/>
  <c r="O140" i="3" s="1"/>
  <c r="P140" i="3" s="1"/>
  <c r="L140" i="3"/>
  <c r="N140" i="3" s="1"/>
  <c r="I141" i="3"/>
  <c r="J141" i="3" s="1"/>
  <c r="M141" i="3" s="1"/>
  <c r="O141" i="3" s="1"/>
  <c r="P141" i="3" s="1"/>
  <c r="L141" i="3"/>
  <c r="N141" i="3" s="1"/>
  <c r="I142" i="3"/>
  <c r="J142" i="3" s="1"/>
  <c r="M142" i="3" s="1"/>
  <c r="O142" i="3" s="1"/>
  <c r="P142" i="3" s="1"/>
  <c r="L142" i="3"/>
  <c r="N142" i="3" s="1"/>
  <c r="I143" i="3"/>
  <c r="J143" i="3" s="1"/>
  <c r="M143" i="3" s="1"/>
  <c r="O143" i="3" s="1"/>
  <c r="P143" i="3" s="1"/>
  <c r="L143" i="3"/>
  <c r="N143" i="3" s="1"/>
  <c r="I144" i="3"/>
  <c r="J144" i="3" s="1"/>
  <c r="M144" i="3" s="1"/>
  <c r="O144" i="3" s="1"/>
  <c r="P144" i="3" s="1"/>
  <c r="L144" i="3"/>
  <c r="N144" i="3" s="1"/>
  <c r="I145" i="3"/>
  <c r="J145" i="3" s="1"/>
  <c r="M145" i="3" s="1"/>
  <c r="O145" i="3" s="1"/>
  <c r="P145" i="3" s="1"/>
  <c r="L145" i="3"/>
  <c r="N145" i="3" s="1"/>
  <c r="I146" i="3"/>
  <c r="J146" i="3" s="1"/>
  <c r="M146" i="3" s="1"/>
  <c r="L146" i="3"/>
  <c r="N146" i="3" s="1"/>
  <c r="I147" i="3"/>
  <c r="J147" i="3" s="1"/>
  <c r="M147" i="3" s="1"/>
  <c r="O147" i="3" s="1"/>
  <c r="P147" i="3" s="1"/>
  <c r="L147" i="3"/>
  <c r="N147" i="3" s="1"/>
  <c r="I148" i="3"/>
  <c r="J148" i="3" s="1"/>
  <c r="M148" i="3" s="1"/>
  <c r="O148" i="3" s="1"/>
  <c r="P148" i="3" s="1"/>
  <c r="L148" i="3"/>
  <c r="N148" i="3" s="1"/>
  <c r="I149" i="3"/>
  <c r="J149" i="3" s="1"/>
  <c r="M149" i="3" s="1"/>
  <c r="O149" i="3" s="1"/>
  <c r="P149" i="3" s="1"/>
  <c r="L149" i="3"/>
  <c r="N149" i="3" s="1"/>
  <c r="I150" i="3"/>
  <c r="J150" i="3" s="1"/>
  <c r="M150" i="3" s="1"/>
  <c r="O150" i="3" s="1"/>
  <c r="P150" i="3" s="1"/>
  <c r="L150" i="3"/>
  <c r="N150" i="3" s="1"/>
  <c r="I151" i="3"/>
  <c r="J151" i="3" s="1"/>
  <c r="M151" i="3" s="1"/>
  <c r="O151" i="3" s="1"/>
  <c r="P151" i="3" s="1"/>
  <c r="L151" i="3"/>
  <c r="N151" i="3" s="1"/>
  <c r="I152" i="3"/>
  <c r="J152" i="3" s="1"/>
  <c r="M152" i="3" s="1"/>
  <c r="O152" i="3" s="1"/>
  <c r="P152" i="3" s="1"/>
  <c r="L152" i="3"/>
  <c r="N152" i="3" s="1"/>
  <c r="I153" i="3"/>
  <c r="J153" i="3" s="1"/>
  <c r="M153" i="3" s="1"/>
  <c r="O153" i="3" s="1"/>
  <c r="P153" i="3" s="1"/>
  <c r="L153" i="3"/>
  <c r="N153" i="3" s="1"/>
  <c r="I154" i="3"/>
  <c r="J154" i="3" s="1"/>
  <c r="M154" i="3" s="1"/>
  <c r="O154" i="3" s="1"/>
  <c r="P154" i="3" s="1"/>
  <c r="L154" i="3"/>
  <c r="N154" i="3" s="1"/>
  <c r="I155" i="3"/>
  <c r="J155" i="3" s="1"/>
  <c r="M155" i="3" s="1"/>
  <c r="O155" i="3" s="1"/>
  <c r="P155" i="3" s="1"/>
  <c r="L155" i="3"/>
  <c r="N155" i="3" s="1"/>
  <c r="I156" i="3"/>
  <c r="J156" i="3" s="1"/>
  <c r="M156" i="3" s="1"/>
  <c r="O156" i="3" s="1"/>
  <c r="P156" i="3" s="1"/>
  <c r="L156" i="3"/>
  <c r="N156" i="3" s="1"/>
  <c r="I157" i="3"/>
  <c r="J157" i="3" s="1"/>
  <c r="M157" i="3" s="1"/>
  <c r="O157" i="3" s="1"/>
  <c r="P157" i="3" s="1"/>
  <c r="L157" i="3"/>
  <c r="N157" i="3" s="1"/>
  <c r="I158" i="3"/>
  <c r="J158" i="3" s="1"/>
  <c r="M158" i="3" s="1"/>
  <c r="O158" i="3" s="1"/>
  <c r="P158" i="3" s="1"/>
  <c r="L158" i="3"/>
  <c r="N158" i="3" s="1"/>
  <c r="I159" i="3"/>
  <c r="J159" i="3" s="1"/>
  <c r="M159" i="3" s="1"/>
  <c r="O159" i="3" s="1"/>
  <c r="P159" i="3" s="1"/>
  <c r="L159" i="3"/>
  <c r="N159" i="3" s="1"/>
  <c r="I160" i="3"/>
  <c r="J160" i="3" s="1"/>
  <c r="M160" i="3" s="1"/>
  <c r="O160" i="3" s="1"/>
  <c r="P160" i="3" s="1"/>
  <c r="L160" i="3"/>
  <c r="N160" i="3" s="1"/>
  <c r="I161" i="3"/>
  <c r="J161" i="3" s="1"/>
  <c r="M161" i="3" s="1"/>
  <c r="O161" i="3" s="1"/>
  <c r="P161" i="3" s="1"/>
  <c r="L161" i="3"/>
  <c r="N161" i="3" s="1"/>
  <c r="I162" i="3"/>
  <c r="J162" i="3" s="1"/>
  <c r="M162" i="3" s="1"/>
  <c r="O162" i="3" s="1"/>
  <c r="P162" i="3" s="1"/>
  <c r="L162" i="3"/>
  <c r="N162" i="3" s="1"/>
  <c r="I163" i="3"/>
  <c r="J163" i="3" s="1"/>
  <c r="M163" i="3" s="1"/>
  <c r="O163" i="3" s="1"/>
  <c r="P163" i="3" s="1"/>
  <c r="L163" i="3"/>
  <c r="N163" i="3" s="1"/>
  <c r="I164" i="3"/>
  <c r="J164" i="3" s="1"/>
  <c r="M164" i="3" s="1"/>
  <c r="O164" i="3" s="1"/>
  <c r="P164" i="3" s="1"/>
  <c r="L164" i="3"/>
  <c r="N164" i="3" s="1"/>
  <c r="I165" i="3"/>
  <c r="J165" i="3" s="1"/>
  <c r="M165" i="3" s="1"/>
  <c r="O165" i="3" s="1"/>
  <c r="P165" i="3" s="1"/>
  <c r="L165" i="3"/>
  <c r="N165" i="3" s="1"/>
  <c r="I166" i="3"/>
  <c r="J166" i="3" s="1"/>
  <c r="M166" i="3" s="1"/>
  <c r="O166" i="3" s="1"/>
  <c r="P166" i="3" s="1"/>
  <c r="L166" i="3"/>
  <c r="N166" i="3" s="1"/>
  <c r="I167" i="3"/>
  <c r="J167" i="3" s="1"/>
  <c r="M167" i="3" s="1"/>
  <c r="O167" i="3" s="1"/>
  <c r="P167" i="3" s="1"/>
  <c r="L167" i="3"/>
  <c r="N167" i="3" s="1"/>
  <c r="I168" i="3"/>
  <c r="J168" i="3" s="1"/>
  <c r="M168" i="3" s="1"/>
  <c r="O168" i="3" s="1"/>
  <c r="P168" i="3" s="1"/>
  <c r="L168" i="3"/>
  <c r="N168" i="3" s="1"/>
  <c r="I169" i="3"/>
  <c r="J169" i="3" s="1"/>
  <c r="M169" i="3" s="1"/>
  <c r="O169" i="3" s="1"/>
  <c r="P169" i="3" s="1"/>
  <c r="L169" i="3"/>
  <c r="N169" i="3" s="1"/>
  <c r="I170" i="3"/>
  <c r="J170" i="3" s="1"/>
  <c r="M170" i="3" s="1"/>
  <c r="O170" i="3" s="1"/>
  <c r="P170" i="3" s="1"/>
  <c r="L170" i="3"/>
  <c r="N170" i="3" s="1"/>
  <c r="I171" i="3"/>
  <c r="J171" i="3" s="1"/>
  <c r="M171" i="3" s="1"/>
  <c r="O171" i="3" s="1"/>
  <c r="P171" i="3" s="1"/>
  <c r="L171" i="3"/>
  <c r="N171" i="3" s="1"/>
  <c r="I172" i="3"/>
  <c r="J172" i="3" s="1"/>
  <c r="M172" i="3" s="1"/>
  <c r="O172" i="3" s="1"/>
  <c r="P172" i="3" s="1"/>
  <c r="L172" i="3"/>
  <c r="N172" i="3" s="1"/>
  <c r="I173" i="3"/>
  <c r="J173" i="3" s="1"/>
  <c r="M173" i="3" s="1"/>
  <c r="O173" i="3" s="1"/>
  <c r="P173" i="3" s="1"/>
  <c r="L173" i="3"/>
  <c r="N173" i="3" s="1"/>
  <c r="I174" i="3"/>
  <c r="J174" i="3" s="1"/>
  <c r="M174" i="3" s="1"/>
  <c r="O174" i="3" s="1"/>
  <c r="P174" i="3" s="1"/>
  <c r="L174" i="3"/>
  <c r="N174" i="3" s="1"/>
  <c r="I175" i="3"/>
  <c r="J175" i="3" s="1"/>
  <c r="M175" i="3" s="1"/>
  <c r="O175" i="3" s="1"/>
  <c r="P175" i="3" s="1"/>
  <c r="L175" i="3"/>
  <c r="N175" i="3" s="1"/>
  <c r="I176" i="3"/>
  <c r="J176" i="3" s="1"/>
  <c r="M176" i="3" s="1"/>
  <c r="O176" i="3" s="1"/>
  <c r="P176" i="3" s="1"/>
  <c r="L176" i="3"/>
  <c r="N176" i="3" s="1"/>
  <c r="I177" i="3"/>
  <c r="J177" i="3" s="1"/>
  <c r="M177" i="3" s="1"/>
  <c r="O177" i="3" s="1"/>
  <c r="P177" i="3" s="1"/>
  <c r="L177" i="3"/>
  <c r="N177" i="3" s="1"/>
  <c r="I178" i="3"/>
  <c r="J178" i="3" s="1"/>
  <c r="M178" i="3" s="1"/>
  <c r="O178" i="3" s="1"/>
  <c r="P178" i="3" s="1"/>
  <c r="L178" i="3"/>
  <c r="N178" i="3" s="1"/>
  <c r="I179" i="3"/>
  <c r="J179" i="3" s="1"/>
  <c r="M179" i="3" s="1"/>
  <c r="O179" i="3" s="1"/>
  <c r="P179" i="3" s="1"/>
  <c r="L179" i="3"/>
  <c r="N179" i="3" s="1"/>
  <c r="I180" i="3"/>
  <c r="J180" i="3" s="1"/>
  <c r="M180" i="3" s="1"/>
  <c r="O180" i="3" s="1"/>
  <c r="P180" i="3" s="1"/>
  <c r="L180" i="3"/>
  <c r="N180" i="3" s="1"/>
  <c r="I181" i="3"/>
  <c r="J181" i="3" s="1"/>
  <c r="M181" i="3" s="1"/>
  <c r="O181" i="3" s="1"/>
  <c r="P181" i="3" s="1"/>
  <c r="L181" i="3"/>
  <c r="N181" i="3" s="1"/>
  <c r="I182" i="3"/>
  <c r="J182" i="3" s="1"/>
  <c r="M182" i="3" s="1"/>
  <c r="O182" i="3" s="1"/>
  <c r="P182" i="3" s="1"/>
  <c r="L182" i="3"/>
  <c r="N182" i="3" s="1"/>
  <c r="I183" i="3"/>
  <c r="J183" i="3" s="1"/>
  <c r="M183" i="3" s="1"/>
  <c r="O183" i="3" s="1"/>
  <c r="P183" i="3" s="1"/>
  <c r="L183" i="3"/>
  <c r="N183" i="3" s="1"/>
  <c r="I184" i="3"/>
  <c r="J184" i="3" s="1"/>
  <c r="M184" i="3" s="1"/>
  <c r="O184" i="3" s="1"/>
  <c r="P184" i="3" s="1"/>
  <c r="L184" i="3"/>
  <c r="N184" i="3" s="1"/>
  <c r="I185" i="3"/>
  <c r="J185" i="3" s="1"/>
  <c r="M185" i="3" s="1"/>
  <c r="O185" i="3" s="1"/>
  <c r="P185" i="3" s="1"/>
  <c r="L185" i="3"/>
  <c r="N185" i="3" s="1"/>
  <c r="I186" i="3"/>
  <c r="J186" i="3" s="1"/>
  <c r="M186" i="3" s="1"/>
  <c r="O186" i="3" s="1"/>
  <c r="P186" i="3" s="1"/>
  <c r="L186" i="3"/>
  <c r="N186" i="3" s="1"/>
  <c r="I187" i="3"/>
  <c r="J187" i="3" s="1"/>
  <c r="M187" i="3" s="1"/>
  <c r="O187" i="3" s="1"/>
  <c r="P187" i="3" s="1"/>
  <c r="L187" i="3"/>
  <c r="N187" i="3" s="1"/>
  <c r="I188" i="3"/>
  <c r="J188" i="3" s="1"/>
  <c r="M188" i="3" s="1"/>
  <c r="O188" i="3" s="1"/>
  <c r="P188" i="3" s="1"/>
  <c r="L188" i="3"/>
  <c r="N188" i="3" s="1"/>
  <c r="I189" i="3"/>
  <c r="J189" i="3" s="1"/>
  <c r="M189" i="3" s="1"/>
  <c r="O189" i="3" s="1"/>
  <c r="P189" i="3" s="1"/>
  <c r="L189" i="3"/>
  <c r="N189" i="3" s="1"/>
  <c r="I190" i="3"/>
  <c r="J190" i="3" s="1"/>
  <c r="M190" i="3" s="1"/>
  <c r="O190" i="3" s="1"/>
  <c r="P190" i="3" s="1"/>
  <c r="L190" i="3"/>
  <c r="N190" i="3" s="1"/>
  <c r="I191" i="3"/>
  <c r="J191" i="3" s="1"/>
  <c r="M191" i="3" s="1"/>
  <c r="O191" i="3" s="1"/>
  <c r="P191" i="3" s="1"/>
  <c r="L191" i="3"/>
  <c r="N191" i="3" s="1"/>
  <c r="I192" i="3"/>
  <c r="J192" i="3" s="1"/>
  <c r="M192" i="3" s="1"/>
  <c r="O192" i="3" s="1"/>
  <c r="P192" i="3" s="1"/>
  <c r="L192" i="3"/>
  <c r="N192" i="3" s="1"/>
  <c r="I193" i="3"/>
  <c r="J193" i="3" s="1"/>
  <c r="M193" i="3" s="1"/>
  <c r="O193" i="3" s="1"/>
  <c r="P193" i="3" s="1"/>
  <c r="L193" i="3"/>
  <c r="N193" i="3" s="1"/>
  <c r="I194" i="3"/>
  <c r="J194" i="3" s="1"/>
  <c r="M194" i="3" s="1"/>
  <c r="O194" i="3" s="1"/>
  <c r="P194" i="3" s="1"/>
  <c r="L194" i="3"/>
  <c r="N194" i="3" s="1"/>
  <c r="I195" i="3"/>
  <c r="J195" i="3" s="1"/>
  <c r="M195" i="3" s="1"/>
  <c r="O195" i="3" s="1"/>
  <c r="P195" i="3" s="1"/>
  <c r="L195" i="3"/>
  <c r="N195" i="3" s="1"/>
  <c r="I196" i="3"/>
  <c r="J196" i="3" s="1"/>
  <c r="M196" i="3" s="1"/>
  <c r="O196" i="3" s="1"/>
  <c r="P196" i="3" s="1"/>
  <c r="L196" i="3"/>
  <c r="N196" i="3" s="1"/>
  <c r="I197" i="3"/>
  <c r="J197" i="3" s="1"/>
  <c r="M197" i="3" s="1"/>
  <c r="O197" i="3" s="1"/>
  <c r="P197" i="3" s="1"/>
  <c r="L197" i="3"/>
  <c r="N197" i="3" s="1"/>
  <c r="I198" i="3"/>
  <c r="J198" i="3" s="1"/>
  <c r="M198" i="3" s="1"/>
  <c r="O198" i="3" s="1"/>
  <c r="P198" i="3" s="1"/>
  <c r="L198" i="3"/>
  <c r="N198" i="3" s="1"/>
  <c r="I199" i="3"/>
  <c r="J199" i="3" s="1"/>
  <c r="M199" i="3" s="1"/>
  <c r="O199" i="3" s="1"/>
  <c r="P199" i="3" s="1"/>
  <c r="L199" i="3"/>
  <c r="N199" i="3" s="1"/>
  <c r="I200" i="3"/>
  <c r="J200" i="3" s="1"/>
  <c r="M200" i="3" s="1"/>
  <c r="O200" i="3" s="1"/>
  <c r="P200" i="3" s="1"/>
  <c r="L200" i="3"/>
  <c r="N200" i="3" s="1"/>
  <c r="I201" i="3"/>
  <c r="J201" i="3" s="1"/>
  <c r="M201" i="3" s="1"/>
  <c r="O201" i="3" s="1"/>
  <c r="P201" i="3" s="1"/>
  <c r="L201" i="3"/>
  <c r="N201" i="3" s="1"/>
  <c r="I202" i="3"/>
  <c r="J202" i="3" s="1"/>
  <c r="M202" i="3" s="1"/>
  <c r="O202" i="3" s="1"/>
  <c r="P202" i="3" s="1"/>
  <c r="L202" i="3"/>
  <c r="N202" i="3" s="1"/>
  <c r="I203" i="3"/>
  <c r="J203" i="3" s="1"/>
  <c r="M203" i="3" s="1"/>
  <c r="O203" i="3" s="1"/>
  <c r="P203" i="3" s="1"/>
  <c r="L203" i="3"/>
  <c r="N203" i="3" s="1"/>
  <c r="I204" i="3"/>
  <c r="J204" i="3" s="1"/>
  <c r="M204" i="3" s="1"/>
  <c r="O204" i="3" s="1"/>
  <c r="P204" i="3" s="1"/>
  <c r="L204" i="3"/>
  <c r="N204" i="3" s="1"/>
  <c r="I205" i="3"/>
  <c r="J205" i="3" s="1"/>
  <c r="M205" i="3" s="1"/>
  <c r="O205" i="3" s="1"/>
  <c r="P205" i="3" s="1"/>
  <c r="L205" i="3"/>
  <c r="N205" i="3" s="1"/>
  <c r="I206" i="3"/>
  <c r="J206" i="3" s="1"/>
  <c r="M206" i="3" s="1"/>
  <c r="O206" i="3" s="1"/>
  <c r="P206" i="3" s="1"/>
  <c r="L206" i="3"/>
  <c r="N206" i="3" s="1"/>
  <c r="I207" i="3"/>
  <c r="J207" i="3" s="1"/>
  <c r="M207" i="3" s="1"/>
  <c r="O207" i="3" s="1"/>
  <c r="P207" i="3" s="1"/>
  <c r="L207" i="3"/>
  <c r="N207" i="3" s="1"/>
  <c r="I208" i="3"/>
  <c r="J208" i="3" s="1"/>
  <c r="M208" i="3" s="1"/>
  <c r="O208" i="3" s="1"/>
  <c r="P208" i="3" s="1"/>
  <c r="L208" i="3"/>
  <c r="N208" i="3" s="1"/>
  <c r="I209" i="3"/>
  <c r="M209" i="3" s="1"/>
  <c r="O209" i="3" s="1"/>
  <c r="P209" i="3" s="1"/>
  <c r="L209" i="3"/>
  <c r="N209" i="3" s="1"/>
  <c r="I210" i="3"/>
  <c r="J210" i="3" s="1"/>
  <c r="M210" i="3" s="1"/>
  <c r="O210" i="3" s="1"/>
  <c r="P210" i="3" s="1"/>
  <c r="L210" i="3"/>
  <c r="N210" i="3" s="1"/>
  <c r="I211" i="3"/>
  <c r="J211" i="3" s="1"/>
  <c r="M211" i="3" s="1"/>
  <c r="O211" i="3" s="1"/>
  <c r="P211" i="3" s="1"/>
  <c r="L211" i="3"/>
  <c r="N211" i="3" s="1"/>
  <c r="I212" i="3"/>
  <c r="J212" i="3" s="1"/>
  <c r="M212" i="3" s="1"/>
  <c r="O212" i="3" s="1"/>
  <c r="P212" i="3" s="1"/>
  <c r="L212" i="3"/>
  <c r="N212" i="3" s="1"/>
  <c r="I213" i="3"/>
  <c r="J213" i="3" s="1"/>
  <c r="M213" i="3" s="1"/>
  <c r="O213" i="3" s="1"/>
  <c r="P213" i="3" s="1"/>
  <c r="L213" i="3"/>
  <c r="N213" i="3" s="1"/>
  <c r="I214" i="3"/>
  <c r="J214" i="3" s="1"/>
  <c r="M214" i="3" s="1"/>
  <c r="O214" i="3" s="1"/>
  <c r="P214" i="3" s="1"/>
  <c r="L214" i="3"/>
  <c r="N214" i="3" s="1"/>
  <c r="I215" i="3"/>
  <c r="J215" i="3" s="1"/>
  <c r="M215" i="3" s="1"/>
  <c r="O215" i="3" s="1"/>
  <c r="P215" i="3" s="1"/>
  <c r="L215" i="3"/>
  <c r="N215" i="3" s="1"/>
  <c r="I216" i="3"/>
  <c r="J216" i="3" s="1"/>
  <c r="M216" i="3" s="1"/>
  <c r="O216" i="3" s="1"/>
  <c r="P216" i="3" s="1"/>
  <c r="L216" i="3"/>
  <c r="N216" i="3" s="1"/>
  <c r="I217" i="3"/>
  <c r="J217" i="3" s="1"/>
  <c r="M217" i="3" s="1"/>
  <c r="O217" i="3" s="1"/>
  <c r="P217" i="3" s="1"/>
  <c r="L217" i="3"/>
  <c r="N217" i="3" s="1"/>
  <c r="I218" i="3"/>
  <c r="J218" i="3" s="1"/>
  <c r="M218" i="3" s="1"/>
  <c r="O218" i="3" s="1"/>
  <c r="P218" i="3" s="1"/>
  <c r="L218" i="3"/>
  <c r="N218" i="3" s="1"/>
  <c r="I219" i="3"/>
  <c r="J219" i="3" s="1"/>
  <c r="M219" i="3" s="1"/>
  <c r="O219" i="3" s="1"/>
  <c r="P219" i="3" s="1"/>
  <c r="L219" i="3"/>
  <c r="N219" i="3" s="1"/>
  <c r="I220" i="3"/>
  <c r="J220" i="3" s="1"/>
  <c r="M220" i="3" s="1"/>
  <c r="O220" i="3" s="1"/>
  <c r="P220" i="3" s="1"/>
  <c r="L220" i="3"/>
  <c r="N220" i="3" s="1"/>
  <c r="I221" i="3"/>
  <c r="J221" i="3" s="1"/>
  <c r="M221" i="3" s="1"/>
  <c r="O221" i="3" s="1"/>
  <c r="P221" i="3" s="1"/>
  <c r="L221" i="3"/>
  <c r="N221" i="3" s="1"/>
  <c r="I222" i="3"/>
  <c r="J222" i="3" s="1"/>
  <c r="M222" i="3" s="1"/>
  <c r="O222" i="3" s="1"/>
  <c r="P222" i="3" s="1"/>
  <c r="L222" i="3"/>
  <c r="N222" i="3" s="1"/>
  <c r="I223" i="3"/>
  <c r="J223" i="3" s="1"/>
  <c r="M223" i="3" s="1"/>
  <c r="O223" i="3" s="1"/>
  <c r="P223" i="3" s="1"/>
  <c r="L223" i="3"/>
  <c r="N223" i="3" s="1"/>
  <c r="I224" i="3"/>
  <c r="J224" i="3" s="1"/>
  <c r="M224" i="3" s="1"/>
  <c r="O224" i="3" s="1"/>
  <c r="P224" i="3" s="1"/>
  <c r="L224" i="3"/>
  <c r="N224" i="3" s="1"/>
  <c r="I225" i="3"/>
  <c r="J225" i="3" s="1"/>
  <c r="M225" i="3" s="1"/>
  <c r="O225" i="3" s="1"/>
  <c r="P225" i="3" s="1"/>
  <c r="L225" i="3"/>
  <c r="N225" i="3" s="1"/>
  <c r="I226" i="3"/>
  <c r="J226" i="3" s="1"/>
  <c r="M226" i="3" s="1"/>
  <c r="O226" i="3" s="1"/>
  <c r="P226" i="3" s="1"/>
  <c r="L226" i="3"/>
  <c r="N226" i="3" s="1"/>
  <c r="I227" i="3"/>
  <c r="J227" i="3" s="1"/>
  <c r="M227" i="3" s="1"/>
  <c r="O227" i="3" s="1"/>
  <c r="P227" i="3" s="1"/>
  <c r="L227" i="3"/>
  <c r="N227" i="3" s="1"/>
  <c r="I228" i="3"/>
  <c r="J228" i="3" s="1"/>
  <c r="M228" i="3" s="1"/>
  <c r="O228" i="3" s="1"/>
  <c r="P228" i="3" s="1"/>
  <c r="L228" i="3"/>
  <c r="N228" i="3" s="1"/>
  <c r="I229" i="3"/>
  <c r="J229" i="3" s="1"/>
  <c r="M229" i="3" s="1"/>
  <c r="O229" i="3" s="1"/>
  <c r="P229" i="3" s="1"/>
  <c r="L229" i="3"/>
  <c r="N229" i="3" s="1"/>
  <c r="I230" i="3"/>
  <c r="J230" i="3" s="1"/>
  <c r="M230" i="3" s="1"/>
  <c r="O230" i="3" s="1"/>
  <c r="P230" i="3" s="1"/>
  <c r="L230" i="3"/>
  <c r="N230" i="3" s="1"/>
  <c r="I231" i="3"/>
  <c r="J231" i="3" s="1"/>
  <c r="M231" i="3" s="1"/>
  <c r="O231" i="3" s="1"/>
  <c r="P231" i="3" s="1"/>
  <c r="L231" i="3"/>
  <c r="N231" i="3" s="1"/>
  <c r="I232" i="3"/>
  <c r="J232" i="3" s="1"/>
  <c r="M232" i="3" s="1"/>
  <c r="O232" i="3" s="1"/>
  <c r="P232" i="3" s="1"/>
  <c r="L232" i="3"/>
  <c r="N232" i="3" s="1"/>
  <c r="I233" i="3"/>
  <c r="J233" i="3" s="1"/>
  <c r="M233" i="3" s="1"/>
  <c r="O233" i="3" s="1"/>
  <c r="P233" i="3" s="1"/>
  <c r="L233" i="3"/>
  <c r="N233" i="3" s="1"/>
  <c r="I234" i="3"/>
  <c r="J234" i="3" s="1"/>
  <c r="M234" i="3" s="1"/>
  <c r="O234" i="3" s="1"/>
  <c r="P234" i="3" s="1"/>
  <c r="L234" i="3"/>
  <c r="N234" i="3" s="1"/>
  <c r="I235" i="3"/>
  <c r="J235" i="3" s="1"/>
  <c r="M235" i="3" s="1"/>
  <c r="O235" i="3" s="1"/>
  <c r="P235" i="3" s="1"/>
  <c r="L235" i="3"/>
  <c r="N235" i="3" s="1"/>
  <c r="I236" i="3"/>
  <c r="J236" i="3" s="1"/>
  <c r="M236" i="3" s="1"/>
  <c r="O236" i="3" s="1"/>
  <c r="P236" i="3" s="1"/>
  <c r="L236" i="3"/>
  <c r="N236" i="3" s="1"/>
  <c r="I237" i="3"/>
  <c r="J237" i="3" s="1"/>
  <c r="M237" i="3" s="1"/>
  <c r="O237" i="3" s="1"/>
  <c r="P237" i="3" s="1"/>
  <c r="L237" i="3"/>
  <c r="N237" i="3" s="1"/>
  <c r="I238" i="3"/>
  <c r="J238" i="3" s="1"/>
  <c r="M238" i="3" s="1"/>
  <c r="O238" i="3" s="1"/>
  <c r="P238" i="3" s="1"/>
  <c r="L238" i="3"/>
  <c r="N238" i="3" s="1"/>
  <c r="I239" i="3"/>
  <c r="J239" i="3" s="1"/>
  <c r="M239" i="3" s="1"/>
  <c r="O239" i="3" s="1"/>
  <c r="P239" i="3" s="1"/>
  <c r="L239" i="3"/>
  <c r="N239" i="3" s="1"/>
  <c r="I240" i="3"/>
  <c r="J240" i="3" s="1"/>
  <c r="M240" i="3" s="1"/>
  <c r="O240" i="3" s="1"/>
  <c r="P240" i="3" s="1"/>
  <c r="L240" i="3"/>
  <c r="N240" i="3" s="1"/>
  <c r="I241" i="3"/>
  <c r="J241" i="3" s="1"/>
  <c r="M241" i="3" s="1"/>
  <c r="O241" i="3" s="1"/>
  <c r="P241" i="3" s="1"/>
  <c r="L241" i="3"/>
  <c r="N241" i="3" s="1"/>
  <c r="I242" i="3"/>
  <c r="J242" i="3" s="1"/>
  <c r="M242" i="3" s="1"/>
  <c r="O242" i="3" s="1"/>
  <c r="P242" i="3" s="1"/>
  <c r="L242" i="3"/>
  <c r="N242" i="3" s="1"/>
  <c r="I243" i="3"/>
  <c r="J243" i="3" s="1"/>
  <c r="M243" i="3" s="1"/>
  <c r="O243" i="3" s="1"/>
  <c r="P243" i="3" s="1"/>
  <c r="L243" i="3"/>
  <c r="N243" i="3" s="1"/>
  <c r="I244" i="3"/>
  <c r="J244" i="3" s="1"/>
  <c r="M244" i="3" s="1"/>
  <c r="O244" i="3" s="1"/>
  <c r="P244" i="3" s="1"/>
  <c r="L244" i="3"/>
  <c r="N244" i="3" s="1"/>
  <c r="I245" i="3"/>
  <c r="J245" i="3" s="1"/>
  <c r="M245" i="3" s="1"/>
  <c r="O245" i="3" s="1"/>
  <c r="P245" i="3" s="1"/>
  <c r="L245" i="3"/>
  <c r="N245" i="3" s="1"/>
  <c r="I246" i="3"/>
  <c r="J246" i="3" s="1"/>
  <c r="M246" i="3" s="1"/>
  <c r="O246" i="3" s="1"/>
  <c r="P246" i="3" s="1"/>
  <c r="L246" i="3"/>
  <c r="N246" i="3" s="1"/>
  <c r="I247" i="3"/>
  <c r="J247" i="3" s="1"/>
  <c r="M247" i="3" s="1"/>
  <c r="O247" i="3" s="1"/>
  <c r="P247" i="3" s="1"/>
  <c r="L247" i="3"/>
  <c r="N247" i="3" s="1"/>
  <c r="I248" i="3"/>
  <c r="J248" i="3" s="1"/>
  <c r="M248" i="3" s="1"/>
  <c r="O248" i="3" s="1"/>
  <c r="P248" i="3" s="1"/>
  <c r="L248" i="3"/>
  <c r="N248" i="3" s="1"/>
  <c r="I249" i="3"/>
  <c r="J249" i="3" s="1"/>
  <c r="M249" i="3" s="1"/>
  <c r="O249" i="3" s="1"/>
  <c r="P249" i="3" s="1"/>
  <c r="L249" i="3"/>
  <c r="N249" i="3" s="1"/>
  <c r="I250" i="3"/>
  <c r="J250" i="3" s="1"/>
  <c r="M250" i="3" s="1"/>
  <c r="O250" i="3" s="1"/>
  <c r="P250" i="3" s="1"/>
  <c r="L250" i="3"/>
  <c r="N250" i="3" s="1"/>
  <c r="I251" i="3"/>
  <c r="J251" i="3" s="1"/>
  <c r="M251" i="3" s="1"/>
  <c r="O251" i="3" s="1"/>
  <c r="P251" i="3" s="1"/>
  <c r="L251" i="3"/>
  <c r="N251" i="3" s="1"/>
  <c r="I252" i="3"/>
  <c r="J252" i="3" s="1"/>
  <c r="M252" i="3" s="1"/>
  <c r="O252" i="3" s="1"/>
  <c r="P252" i="3" s="1"/>
  <c r="L252" i="3"/>
  <c r="N252" i="3" s="1"/>
  <c r="I253" i="3"/>
  <c r="J253" i="3" s="1"/>
  <c r="M253" i="3" s="1"/>
  <c r="O253" i="3" s="1"/>
  <c r="P253" i="3" s="1"/>
  <c r="L253" i="3"/>
  <c r="N253" i="3" s="1"/>
  <c r="I254" i="3"/>
  <c r="J254" i="3" s="1"/>
  <c r="M254" i="3" s="1"/>
  <c r="O254" i="3" s="1"/>
  <c r="P254" i="3" s="1"/>
  <c r="L254" i="3"/>
  <c r="N254" i="3" s="1"/>
  <c r="I255" i="3"/>
  <c r="J255" i="3" s="1"/>
  <c r="M255" i="3" s="1"/>
  <c r="O255" i="3" s="1"/>
  <c r="P255" i="3" s="1"/>
  <c r="L255" i="3"/>
  <c r="N255" i="3" s="1"/>
  <c r="I256" i="3"/>
  <c r="J256" i="3" s="1"/>
  <c r="M256" i="3" s="1"/>
  <c r="O256" i="3" s="1"/>
  <c r="P256" i="3" s="1"/>
  <c r="L256" i="3"/>
  <c r="N256" i="3" s="1"/>
  <c r="I257" i="3"/>
  <c r="J257" i="3" s="1"/>
  <c r="M257" i="3" s="1"/>
  <c r="O257" i="3" s="1"/>
  <c r="P257" i="3" s="1"/>
  <c r="L257" i="3"/>
  <c r="N257" i="3" s="1"/>
  <c r="I258" i="3"/>
  <c r="J258" i="3" s="1"/>
  <c r="M258" i="3" s="1"/>
  <c r="O258" i="3" s="1"/>
  <c r="P258" i="3" s="1"/>
  <c r="L258" i="3"/>
  <c r="N258" i="3" s="1"/>
  <c r="I259" i="3"/>
  <c r="J259" i="3" s="1"/>
  <c r="M259" i="3" s="1"/>
  <c r="O259" i="3" s="1"/>
  <c r="P259" i="3" s="1"/>
  <c r="L259" i="3"/>
  <c r="N259" i="3" s="1"/>
  <c r="I260" i="3"/>
  <c r="J260" i="3" s="1"/>
  <c r="M260" i="3" s="1"/>
  <c r="O260" i="3" s="1"/>
  <c r="P260" i="3" s="1"/>
  <c r="L260" i="3"/>
  <c r="N260" i="3" s="1"/>
  <c r="I261" i="3"/>
  <c r="J261" i="3" s="1"/>
  <c r="M261" i="3" s="1"/>
  <c r="O261" i="3" s="1"/>
  <c r="P261" i="3" s="1"/>
  <c r="L261" i="3"/>
  <c r="N261" i="3" s="1"/>
  <c r="I262" i="3"/>
  <c r="J262" i="3" s="1"/>
  <c r="M262" i="3" s="1"/>
  <c r="O262" i="3" s="1"/>
  <c r="P262" i="3" s="1"/>
  <c r="L262" i="3"/>
  <c r="N262" i="3" s="1"/>
  <c r="I263" i="3"/>
  <c r="J263" i="3" s="1"/>
  <c r="M263" i="3" s="1"/>
  <c r="O263" i="3" s="1"/>
  <c r="P263" i="3" s="1"/>
  <c r="L263" i="3"/>
  <c r="N263" i="3" s="1"/>
  <c r="I264" i="3"/>
  <c r="J264" i="3" s="1"/>
  <c r="M264" i="3" s="1"/>
  <c r="O264" i="3" s="1"/>
  <c r="P264" i="3" s="1"/>
  <c r="L264" i="3"/>
  <c r="N264" i="3" s="1"/>
  <c r="I265" i="3"/>
  <c r="J265" i="3" s="1"/>
  <c r="M265" i="3" s="1"/>
  <c r="O265" i="3" s="1"/>
  <c r="P265" i="3" s="1"/>
  <c r="L265" i="3"/>
  <c r="N265" i="3" s="1"/>
  <c r="I266" i="3"/>
  <c r="J266" i="3" s="1"/>
  <c r="M266" i="3" s="1"/>
  <c r="O266" i="3" s="1"/>
  <c r="P266" i="3" s="1"/>
  <c r="L266" i="3"/>
  <c r="N266" i="3" s="1"/>
  <c r="I267" i="3"/>
  <c r="J267" i="3" s="1"/>
  <c r="M267" i="3" s="1"/>
  <c r="O267" i="3" s="1"/>
  <c r="P267" i="3" s="1"/>
  <c r="L267" i="3"/>
  <c r="N267" i="3" s="1"/>
  <c r="I268" i="3"/>
  <c r="J268" i="3" s="1"/>
  <c r="M268" i="3" s="1"/>
  <c r="O268" i="3" s="1"/>
  <c r="P268" i="3" s="1"/>
  <c r="L268" i="3"/>
  <c r="N268" i="3" s="1"/>
  <c r="I269" i="3"/>
  <c r="J269" i="3" s="1"/>
  <c r="M269" i="3" s="1"/>
  <c r="O269" i="3" s="1"/>
  <c r="P269" i="3" s="1"/>
  <c r="L269" i="3"/>
  <c r="N269" i="3" s="1"/>
  <c r="I270" i="3"/>
  <c r="J270" i="3" s="1"/>
  <c r="M270" i="3" s="1"/>
  <c r="O270" i="3" s="1"/>
  <c r="P270" i="3" s="1"/>
  <c r="L270" i="3"/>
  <c r="N270" i="3" s="1"/>
  <c r="I271" i="3"/>
  <c r="J271" i="3" s="1"/>
  <c r="M271" i="3" s="1"/>
  <c r="O271" i="3" s="1"/>
  <c r="P271" i="3" s="1"/>
  <c r="L271" i="3"/>
  <c r="N271" i="3" s="1"/>
  <c r="I272" i="3"/>
  <c r="J272" i="3" s="1"/>
  <c r="M272" i="3" s="1"/>
  <c r="O272" i="3" s="1"/>
  <c r="P272" i="3" s="1"/>
  <c r="L272" i="3"/>
  <c r="N272" i="3" s="1"/>
  <c r="I273" i="3"/>
  <c r="J273" i="3" s="1"/>
  <c r="M273" i="3" s="1"/>
  <c r="O273" i="3" s="1"/>
  <c r="P273" i="3" s="1"/>
  <c r="L273" i="3"/>
  <c r="N273" i="3" s="1"/>
  <c r="I274" i="3"/>
  <c r="J274" i="3" s="1"/>
  <c r="M274" i="3" s="1"/>
  <c r="O274" i="3" s="1"/>
  <c r="P274" i="3" s="1"/>
  <c r="L274" i="3"/>
  <c r="N274" i="3" s="1"/>
  <c r="I275" i="3"/>
  <c r="J275" i="3" s="1"/>
  <c r="M275" i="3" s="1"/>
  <c r="O275" i="3" s="1"/>
  <c r="P275" i="3" s="1"/>
  <c r="L275" i="3"/>
  <c r="N275" i="3" s="1"/>
  <c r="I276" i="3"/>
  <c r="J276" i="3" s="1"/>
  <c r="M276" i="3" s="1"/>
  <c r="O276" i="3" s="1"/>
  <c r="P276" i="3" s="1"/>
  <c r="L276" i="3"/>
  <c r="N276" i="3" s="1"/>
  <c r="I277" i="3"/>
  <c r="J277" i="3" s="1"/>
  <c r="M277" i="3" s="1"/>
  <c r="O277" i="3" s="1"/>
  <c r="P277" i="3" s="1"/>
  <c r="L277" i="3"/>
  <c r="N277" i="3" s="1"/>
  <c r="I278" i="3"/>
  <c r="J278" i="3" s="1"/>
  <c r="M278" i="3" s="1"/>
  <c r="O278" i="3" s="1"/>
  <c r="P278" i="3" s="1"/>
  <c r="L278" i="3"/>
  <c r="N278" i="3" s="1"/>
  <c r="I279" i="3"/>
  <c r="J279" i="3" s="1"/>
  <c r="M279" i="3" s="1"/>
  <c r="O279" i="3" s="1"/>
  <c r="P279" i="3" s="1"/>
  <c r="L279" i="3"/>
  <c r="N279" i="3" s="1"/>
  <c r="I280" i="3"/>
  <c r="J280" i="3" s="1"/>
  <c r="M280" i="3" s="1"/>
  <c r="O280" i="3" s="1"/>
  <c r="P280" i="3" s="1"/>
  <c r="L280" i="3"/>
  <c r="N280" i="3" s="1"/>
  <c r="I281" i="3"/>
  <c r="J281" i="3" s="1"/>
  <c r="M281" i="3" s="1"/>
  <c r="O281" i="3" s="1"/>
  <c r="P281" i="3" s="1"/>
  <c r="L281" i="3"/>
  <c r="N281" i="3" s="1"/>
  <c r="I282" i="3"/>
  <c r="J282" i="3" s="1"/>
  <c r="M282" i="3" s="1"/>
  <c r="O282" i="3" s="1"/>
  <c r="P282" i="3" s="1"/>
  <c r="L282" i="3"/>
  <c r="N282" i="3" s="1"/>
  <c r="I283" i="3"/>
  <c r="J283" i="3" s="1"/>
  <c r="M283" i="3" s="1"/>
  <c r="O283" i="3" s="1"/>
  <c r="P283" i="3" s="1"/>
  <c r="L283" i="3"/>
  <c r="N283" i="3" s="1"/>
  <c r="I284" i="3"/>
  <c r="J284" i="3" s="1"/>
  <c r="M284" i="3" s="1"/>
  <c r="O284" i="3" s="1"/>
  <c r="P284" i="3" s="1"/>
  <c r="L284" i="3"/>
  <c r="N284" i="3" s="1"/>
  <c r="I285" i="3"/>
  <c r="J285" i="3" s="1"/>
  <c r="M285" i="3" s="1"/>
  <c r="O285" i="3" s="1"/>
  <c r="P285" i="3" s="1"/>
  <c r="L285" i="3"/>
  <c r="N285" i="3" s="1"/>
  <c r="I286" i="3"/>
  <c r="J286" i="3" s="1"/>
  <c r="M286" i="3" s="1"/>
  <c r="O286" i="3" s="1"/>
  <c r="P286" i="3" s="1"/>
  <c r="L286" i="3"/>
  <c r="N286" i="3" s="1"/>
  <c r="I287" i="3"/>
  <c r="J287" i="3" s="1"/>
  <c r="M287" i="3" s="1"/>
  <c r="O287" i="3" s="1"/>
  <c r="P287" i="3" s="1"/>
  <c r="L287" i="3"/>
  <c r="N287" i="3" s="1"/>
  <c r="I288" i="3"/>
  <c r="J288" i="3" s="1"/>
  <c r="M288" i="3" s="1"/>
  <c r="O288" i="3" s="1"/>
  <c r="P288" i="3" s="1"/>
  <c r="L288" i="3"/>
  <c r="N288" i="3" s="1"/>
  <c r="I289" i="3"/>
  <c r="J289" i="3" s="1"/>
  <c r="M289" i="3" s="1"/>
  <c r="O289" i="3" s="1"/>
  <c r="P289" i="3" s="1"/>
  <c r="L289" i="3"/>
  <c r="N289" i="3" s="1"/>
  <c r="I290" i="3"/>
  <c r="J290" i="3" s="1"/>
  <c r="M290" i="3" s="1"/>
  <c r="O290" i="3" s="1"/>
  <c r="P290" i="3" s="1"/>
  <c r="L290" i="3"/>
  <c r="N290" i="3" s="1"/>
  <c r="I291" i="3"/>
  <c r="J291" i="3" s="1"/>
  <c r="M291" i="3" s="1"/>
  <c r="O291" i="3" s="1"/>
  <c r="P291" i="3" s="1"/>
  <c r="L291" i="3"/>
  <c r="N291" i="3" s="1"/>
  <c r="I292" i="3"/>
  <c r="J292" i="3" s="1"/>
  <c r="M292" i="3" s="1"/>
  <c r="O292" i="3" s="1"/>
  <c r="P292" i="3" s="1"/>
  <c r="L292" i="3"/>
  <c r="N292" i="3" s="1"/>
  <c r="I293" i="3"/>
  <c r="J293" i="3" s="1"/>
  <c r="M293" i="3" s="1"/>
  <c r="O293" i="3" s="1"/>
  <c r="P293" i="3" s="1"/>
  <c r="L293" i="3"/>
  <c r="N293" i="3" s="1"/>
  <c r="I294" i="3"/>
  <c r="J294" i="3" s="1"/>
  <c r="M294" i="3" s="1"/>
  <c r="O294" i="3" s="1"/>
  <c r="P294" i="3" s="1"/>
  <c r="L294" i="3"/>
  <c r="N294" i="3" s="1"/>
  <c r="I295" i="3"/>
  <c r="J295" i="3" s="1"/>
  <c r="M295" i="3" s="1"/>
  <c r="O295" i="3" s="1"/>
  <c r="P295" i="3" s="1"/>
  <c r="L295" i="3"/>
  <c r="N295" i="3" s="1"/>
  <c r="I296" i="3"/>
  <c r="J296" i="3" s="1"/>
  <c r="M296" i="3" s="1"/>
  <c r="O296" i="3" s="1"/>
  <c r="P296" i="3" s="1"/>
  <c r="L296" i="3"/>
  <c r="N296" i="3" s="1"/>
  <c r="I297" i="3"/>
  <c r="J297" i="3" s="1"/>
  <c r="M297" i="3" s="1"/>
  <c r="O297" i="3" s="1"/>
  <c r="P297" i="3" s="1"/>
  <c r="L297" i="3"/>
  <c r="N297" i="3" s="1"/>
  <c r="I298" i="3"/>
  <c r="J298" i="3" s="1"/>
  <c r="M298" i="3" s="1"/>
  <c r="O298" i="3" s="1"/>
  <c r="P298" i="3" s="1"/>
  <c r="L298" i="3"/>
  <c r="N298" i="3" s="1"/>
  <c r="I299" i="3"/>
  <c r="J299" i="3" s="1"/>
  <c r="M299" i="3" s="1"/>
  <c r="O299" i="3" s="1"/>
  <c r="P299" i="3" s="1"/>
  <c r="L299" i="3"/>
  <c r="N299" i="3" s="1"/>
  <c r="I300" i="3"/>
  <c r="J300" i="3" s="1"/>
  <c r="M300" i="3" s="1"/>
  <c r="O300" i="3" s="1"/>
  <c r="P300" i="3" s="1"/>
  <c r="L300" i="3"/>
  <c r="N300" i="3" s="1"/>
  <c r="I301" i="3"/>
  <c r="J301" i="3" s="1"/>
  <c r="M301" i="3" s="1"/>
  <c r="O301" i="3" s="1"/>
  <c r="P301" i="3" s="1"/>
  <c r="L301" i="3"/>
  <c r="N301" i="3" s="1"/>
  <c r="I302" i="3"/>
  <c r="J302" i="3" s="1"/>
  <c r="M302" i="3" s="1"/>
  <c r="O302" i="3" s="1"/>
  <c r="P302" i="3" s="1"/>
  <c r="L302" i="3"/>
  <c r="N302" i="3" s="1"/>
  <c r="I303" i="3"/>
  <c r="J303" i="3" s="1"/>
  <c r="M303" i="3" s="1"/>
  <c r="O303" i="3" s="1"/>
  <c r="P303" i="3" s="1"/>
  <c r="L303" i="3"/>
  <c r="N303" i="3" s="1"/>
  <c r="I304" i="3"/>
  <c r="J304" i="3" s="1"/>
  <c r="M304" i="3" s="1"/>
  <c r="O304" i="3" s="1"/>
  <c r="P304" i="3" s="1"/>
  <c r="L304" i="3"/>
  <c r="N304" i="3" s="1"/>
  <c r="I305" i="3"/>
  <c r="J305" i="3" s="1"/>
  <c r="M305" i="3" s="1"/>
  <c r="O305" i="3" s="1"/>
  <c r="P305" i="3" s="1"/>
  <c r="L305" i="3"/>
  <c r="N305" i="3" s="1"/>
  <c r="I306" i="3"/>
  <c r="J306" i="3" s="1"/>
  <c r="M306" i="3" s="1"/>
  <c r="O306" i="3" s="1"/>
  <c r="P306" i="3" s="1"/>
  <c r="L306" i="3"/>
  <c r="N306" i="3" s="1"/>
  <c r="I307" i="3"/>
  <c r="J307" i="3" s="1"/>
  <c r="M307" i="3" s="1"/>
  <c r="O307" i="3" s="1"/>
  <c r="P307" i="3" s="1"/>
  <c r="L307" i="3"/>
  <c r="N307" i="3" s="1"/>
  <c r="I308" i="3"/>
  <c r="J308" i="3" s="1"/>
  <c r="M308" i="3" s="1"/>
  <c r="O308" i="3" s="1"/>
  <c r="P308" i="3" s="1"/>
  <c r="L308" i="3"/>
  <c r="N308" i="3" s="1"/>
  <c r="I309" i="3"/>
  <c r="J309" i="3" s="1"/>
  <c r="M309" i="3" s="1"/>
  <c r="O309" i="3" s="1"/>
  <c r="P309" i="3" s="1"/>
  <c r="L309" i="3"/>
  <c r="N309" i="3" s="1"/>
  <c r="I310" i="3"/>
  <c r="J310" i="3" s="1"/>
  <c r="M310" i="3" s="1"/>
  <c r="O310" i="3" s="1"/>
  <c r="P310" i="3" s="1"/>
  <c r="L310" i="3"/>
  <c r="N310" i="3" s="1"/>
  <c r="I311" i="3"/>
  <c r="J311" i="3" s="1"/>
  <c r="M311" i="3" s="1"/>
  <c r="O311" i="3" s="1"/>
  <c r="P311" i="3" s="1"/>
  <c r="L311" i="3"/>
  <c r="N311" i="3" s="1"/>
  <c r="I312" i="3"/>
  <c r="J312" i="3" s="1"/>
  <c r="M312" i="3" s="1"/>
  <c r="O312" i="3" s="1"/>
  <c r="P312" i="3" s="1"/>
  <c r="L312" i="3"/>
  <c r="N312" i="3" s="1"/>
  <c r="I313" i="3"/>
  <c r="J313" i="3" s="1"/>
  <c r="M313" i="3" s="1"/>
  <c r="O313" i="3" s="1"/>
  <c r="P313" i="3" s="1"/>
  <c r="L313" i="3"/>
  <c r="N313" i="3" s="1"/>
  <c r="I314" i="3"/>
  <c r="J314" i="3" s="1"/>
  <c r="M314" i="3" s="1"/>
  <c r="O314" i="3" s="1"/>
  <c r="P314" i="3" s="1"/>
  <c r="L314" i="3"/>
  <c r="N314" i="3" s="1"/>
  <c r="I315" i="3"/>
  <c r="J315" i="3" s="1"/>
  <c r="M315" i="3" s="1"/>
  <c r="O315" i="3" s="1"/>
  <c r="P315" i="3" s="1"/>
  <c r="L315" i="3"/>
  <c r="N315" i="3" s="1"/>
  <c r="I316" i="3"/>
  <c r="J316" i="3" s="1"/>
  <c r="M316" i="3" s="1"/>
  <c r="O316" i="3" s="1"/>
  <c r="P316" i="3" s="1"/>
  <c r="L316" i="3"/>
  <c r="N316" i="3" s="1"/>
  <c r="I317" i="3"/>
  <c r="J317" i="3" s="1"/>
  <c r="M317" i="3" s="1"/>
  <c r="O317" i="3" s="1"/>
  <c r="P317" i="3" s="1"/>
  <c r="L317" i="3"/>
  <c r="N317" i="3" s="1"/>
  <c r="I318" i="3"/>
  <c r="J318" i="3" s="1"/>
  <c r="M318" i="3" s="1"/>
  <c r="O318" i="3" s="1"/>
  <c r="P318" i="3" s="1"/>
  <c r="L318" i="3"/>
  <c r="N318" i="3" s="1"/>
  <c r="I319" i="3"/>
  <c r="J319" i="3" s="1"/>
  <c r="M319" i="3" s="1"/>
  <c r="O319" i="3" s="1"/>
  <c r="P319" i="3" s="1"/>
  <c r="L319" i="3"/>
  <c r="N319" i="3" s="1"/>
  <c r="I320" i="3"/>
  <c r="J320" i="3" s="1"/>
  <c r="M320" i="3" s="1"/>
  <c r="O320" i="3" s="1"/>
  <c r="P320" i="3" s="1"/>
  <c r="L320" i="3"/>
  <c r="N320" i="3" s="1"/>
  <c r="I321" i="3"/>
  <c r="J321" i="3" s="1"/>
  <c r="M321" i="3" s="1"/>
  <c r="O321" i="3" s="1"/>
  <c r="P321" i="3" s="1"/>
  <c r="L321" i="3"/>
  <c r="N321" i="3" s="1"/>
  <c r="I322" i="3"/>
  <c r="J322" i="3" s="1"/>
  <c r="M322" i="3" s="1"/>
  <c r="O322" i="3" s="1"/>
  <c r="P322" i="3" s="1"/>
  <c r="L322" i="3"/>
  <c r="N322" i="3" s="1"/>
  <c r="I323" i="3"/>
  <c r="J323" i="3" s="1"/>
  <c r="M323" i="3" s="1"/>
  <c r="O323" i="3" s="1"/>
  <c r="P323" i="3" s="1"/>
  <c r="L323" i="3"/>
  <c r="N323" i="3" s="1"/>
  <c r="I324" i="3"/>
  <c r="J324" i="3" s="1"/>
  <c r="M324" i="3" s="1"/>
  <c r="O324" i="3" s="1"/>
  <c r="P324" i="3" s="1"/>
  <c r="L324" i="3"/>
  <c r="N324" i="3" s="1"/>
  <c r="I325" i="3"/>
  <c r="J325" i="3" s="1"/>
  <c r="M325" i="3" s="1"/>
  <c r="O325" i="3" s="1"/>
  <c r="P325" i="3" s="1"/>
  <c r="L325" i="3"/>
  <c r="N325" i="3" s="1"/>
  <c r="I326" i="3"/>
  <c r="J326" i="3" s="1"/>
  <c r="M326" i="3" s="1"/>
  <c r="O326" i="3" s="1"/>
  <c r="P326" i="3" s="1"/>
  <c r="L326" i="3"/>
  <c r="N326" i="3" s="1"/>
  <c r="I327" i="3"/>
  <c r="J327" i="3" s="1"/>
  <c r="M327" i="3" s="1"/>
  <c r="O327" i="3" s="1"/>
  <c r="P327" i="3" s="1"/>
  <c r="L327" i="3"/>
  <c r="N327" i="3" s="1"/>
  <c r="I328" i="3"/>
  <c r="J328" i="3" s="1"/>
  <c r="M328" i="3" s="1"/>
  <c r="O328" i="3" s="1"/>
  <c r="P328" i="3" s="1"/>
  <c r="L328" i="3"/>
  <c r="N328" i="3" s="1"/>
  <c r="I329" i="3"/>
  <c r="J329" i="3" s="1"/>
  <c r="M329" i="3" s="1"/>
  <c r="O329" i="3" s="1"/>
  <c r="P329" i="3" s="1"/>
  <c r="L329" i="3"/>
  <c r="N329" i="3" s="1"/>
  <c r="I330" i="3"/>
  <c r="J330" i="3" s="1"/>
  <c r="M330" i="3" s="1"/>
  <c r="O330" i="3" s="1"/>
  <c r="P330" i="3" s="1"/>
  <c r="L330" i="3"/>
  <c r="N330" i="3" s="1"/>
  <c r="I331" i="3"/>
  <c r="J331" i="3" s="1"/>
  <c r="M331" i="3" s="1"/>
  <c r="O331" i="3" s="1"/>
  <c r="P331" i="3" s="1"/>
  <c r="L331" i="3"/>
  <c r="N331" i="3" s="1"/>
  <c r="I332" i="3"/>
  <c r="J332" i="3" s="1"/>
  <c r="M332" i="3" s="1"/>
  <c r="O332" i="3" s="1"/>
  <c r="P332" i="3" s="1"/>
  <c r="L332" i="3"/>
  <c r="N332" i="3" s="1"/>
  <c r="I333" i="3"/>
  <c r="J333" i="3" s="1"/>
  <c r="M333" i="3" s="1"/>
  <c r="O333" i="3" s="1"/>
  <c r="P333" i="3" s="1"/>
  <c r="L333" i="3"/>
  <c r="N333" i="3" s="1"/>
  <c r="I334" i="3"/>
  <c r="J334" i="3" s="1"/>
  <c r="M334" i="3" s="1"/>
  <c r="O334" i="3" s="1"/>
  <c r="P334" i="3" s="1"/>
  <c r="L334" i="3"/>
  <c r="N334" i="3" s="1"/>
  <c r="I335" i="3"/>
  <c r="J335" i="3" s="1"/>
  <c r="M335" i="3" s="1"/>
  <c r="O335" i="3" s="1"/>
  <c r="P335" i="3" s="1"/>
  <c r="L335" i="3"/>
  <c r="N335" i="3" s="1"/>
  <c r="I336" i="3"/>
  <c r="J336" i="3" s="1"/>
  <c r="M336" i="3" s="1"/>
  <c r="O336" i="3" s="1"/>
  <c r="P336" i="3" s="1"/>
  <c r="L336" i="3"/>
  <c r="N336" i="3" s="1"/>
  <c r="I337" i="3"/>
  <c r="J337" i="3" s="1"/>
  <c r="M337" i="3" s="1"/>
  <c r="O337" i="3" s="1"/>
  <c r="P337" i="3" s="1"/>
  <c r="L337" i="3"/>
  <c r="N337" i="3" s="1"/>
  <c r="I338" i="3"/>
  <c r="J338" i="3" s="1"/>
  <c r="M338" i="3" s="1"/>
  <c r="O338" i="3" s="1"/>
  <c r="P338" i="3" s="1"/>
  <c r="L338" i="3"/>
  <c r="N338" i="3" s="1"/>
  <c r="I339" i="3"/>
  <c r="J339" i="3" s="1"/>
  <c r="M339" i="3" s="1"/>
  <c r="O339" i="3" s="1"/>
  <c r="P339" i="3" s="1"/>
  <c r="L339" i="3"/>
  <c r="N339" i="3" s="1"/>
  <c r="I340" i="3"/>
  <c r="J340" i="3" s="1"/>
  <c r="M340" i="3" s="1"/>
  <c r="O340" i="3" s="1"/>
  <c r="P340" i="3" s="1"/>
  <c r="L340" i="3"/>
  <c r="N340" i="3" s="1"/>
  <c r="I341" i="3"/>
  <c r="J341" i="3" s="1"/>
  <c r="M341" i="3" s="1"/>
  <c r="O341" i="3" s="1"/>
  <c r="P341" i="3" s="1"/>
  <c r="L341" i="3"/>
  <c r="N341" i="3" s="1"/>
  <c r="I342" i="3"/>
  <c r="J342" i="3" s="1"/>
  <c r="M342" i="3" s="1"/>
  <c r="O342" i="3" s="1"/>
  <c r="P342" i="3" s="1"/>
  <c r="L342" i="3"/>
  <c r="N342" i="3" s="1"/>
  <c r="I343" i="3"/>
  <c r="J343" i="3" s="1"/>
  <c r="M343" i="3" s="1"/>
  <c r="O343" i="3" s="1"/>
  <c r="P343" i="3" s="1"/>
  <c r="L343" i="3"/>
  <c r="N343" i="3" s="1"/>
  <c r="I344" i="3"/>
  <c r="J344" i="3" s="1"/>
  <c r="M344" i="3" s="1"/>
  <c r="O344" i="3" s="1"/>
  <c r="P344" i="3" s="1"/>
  <c r="L344" i="3"/>
  <c r="N344" i="3" s="1"/>
  <c r="I345" i="3"/>
  <c r="J345" i="3" s="1"/>
  <c r="M345" i="3" s="1"/>
  <c r="O345" i="3" s="1"/>
  <c r="P345" i="3" s="1"/>
  <c r="L345" i="3"/>
  <c r="N345" i="3" s="1"/>
  <c r="I346" i="3"/>
  <c r="J346" i="3" s="1"/>
  <c r="M346" i="3" s="1"/>
  <c r="O346" i="3" s="1"/>
  <c r="P346" i="3" s="1"/>
  <c r="L346" i="3"/>
  <c r="N346" i="3" s="1"/>
  <c r="I347" i="3"/>
  <c r="J347" i="3" s="1"/>
  <c r="M347" i="3" s="1"/>
  <c r="O347" i="3" s="1"/>
  <c r="P347" i="3" s="1"/>
  <c r="L347" i="3"/>
  <c r="N347" i="3" s="1"/>
  <c r="I348" i="3"/>
  <c r="J348" i="3" s="1"/>
  <c r="M348" i="3" s="1"/>
  <c r="O348" i="3" s="1"/>
  <c r="P348" i="3" s="1"/>
  <c r="L348" i="3"/>
  <c r="N348" i="3" s="1"/>
  <c r="I349" i="3"/>
  <c r="J349" i="3" s="1"/>
  <c r="M349" i="3" s="1"/>
  <c r="O349" i="3" s="1"/>
  <c r="P349" i="3" s="1"/>
  <c r="L349" i="3"/>
  <c r="N349" i="3" s="1"/>
  <c r="I350" i="3"/>
  <c r="J350" i="3" s="1"/>
  <c r="M350" i="3" s="1"/>
  <c r="O350" i="3" s="1"/>
  <c r="P350" i="3" s="1"/>
  <c r="L350" i="3"/>
  <c r="N350" i="3" s="1"/>
  <c r="I351" i="3"/>
  <c r="J351" i="3" s="1"/>
  <c r="M351" i="3" s="1"/>
  <c r="O351" i="3" s="1"/>
  <c r="P351" i="3" s="1"/>
  <c r="L351" i="3"/>
  <c r="N351" i="3" s="1"/>
  <c r="I352" i="3"/>
  <c r="J352" i="3" s="1"/>
  <c r="M352" i="3" s="1"/>
  <c r="O352" i="3" s="1"/>
  <c r="P352" i="3" s="1"/>
  <c r="L352" i="3"/>
  <c r="N352" i="3" s="1"/>
  <c r="I353" i="3"/>
  <c r="J353" i="3" s="1"/>
  <c r="M353" i="3" s="1"/>
  <c r="O353" i="3" s="1"/>
  <c r="P353" i="3" s="1"/>
  <c r="L353" i="3"/>
  <c r="N353" i="3" s="1"/>
  <c r="I354" i="3"/>
  <c r="J354" i="3" s="1"/>
  <c r="M354" i="3" s="1"/>
  <c r="O354" i="3" s="1"/>
  <c r="P354" i="3" s="1"/>
  <c r="L354" i="3"/>
  <c r="N354" i="3" s="1"/>
  <c r="I355" i="3"/>
  <c r="J355" i="3" s="1"/>
  <c r="M355" i="3" s="1"/>
  <c r="O355" i="3" s="1"/>
  <c r="P355" i="3" s="1"/>
  <c r="L355" i="3"/>
  <c r="N355" i="3" s="1"/>
  <c r="I356" i="3"/>
  <c r="J356" i="3" s="1"/>
  <c r="M356" i="3" s="1"/>
  <c r="O356" i="3" s="1"/>
  <c r="P356" i="3" s="1"/>
  <c r="L356" i="3"/>
  <c r="N356" i="3" s="1"/>
  <c r="I357" i="3"/>
  <c r="J357" i="3" s="1"/>
  <c r="M357" i="3" s="1"/>
  <c r="O357" i="3" s="1"/>
  <c r="P357" i="3" s="1"/>
  <c r="L357" i="3"/>
  <c r="N357" i="3" s="1"/>
  <c r="I358" i="3"/>
  <c r="J358" i="3" s="1"/>
  <c r="M358" i="3" s="1"/>
  <c r="O358" i="3" s="1"/>
  <c r="P358" i="3" s="1"/>
  <c r="L358" i="3"/>
  <c r="N358" i="3" s="1"/>
  <c r="I359" i="3"/>
  <c r="J359" i="3" s="1"/>
  <c r="M359" i="3" s="1"/>
  <c r="O359" i="3" s="1"/>
  <c r="P359" i="3" s="1"/>
  <c r="L359" i="3"/>
  <c r="N359" i="3" s="1"/>
  <c r="I360" i="3"/>
  <c r="J360" i="3" s="1"/>
  <c r="M360" i="3" s="1"/>
  <c r="O360" i="3" s="1"/>
  <c r="P360" i="3" s="1"/>
  <c r="L360" i="3"/>
  <c r="N360" i="3" s="1"/>
  <c r="I361" i="3"/>
  <c r="J361" i="3" s="1"/>
  <c r="M361" i="3" s="1"/>
  <c r="O361" i="3" s="1"/>
  <c r="P361" i="3" s="1"/>
  <c r="L361" i="3"/>
  <c r="N361" i="3" s="1"/>
  <c r="I362" i="3"/>
  <c r="J362" i="3" s="1"/>
  <c r="M362" i="3" s="1"/>
  <c r="O362" i="3" s="1"/>
  <c r="P362" i="3" s="1"/>
  <c r="L362" i="3"/>
  <c r="N362" i="3" s="1"/>
  <c r="I363" i="3"/>
  <c r="J363" i="3" s="1"/>
  <c r="M363" i="3" s="1"/>
  <c r="O363" i="3" s="1"/>
  <c r="P363" i="3" s="1"/>
  <c r="L363" i="3"/>
  <c r="N363" i="3" s="1"/>
  <c r="I364" i="3"/>
  <c r="J364" i="3" s="1"/>
  <c r="M364" i="3" s="1"/>
  <c r="O364" i="3" s="1"/>
  <c r="P364" i="3" s="1"/>
  <c r="L364" i="3"/>
  <c r="N364" i="3" s="1"/>
  <c r="I365" i="3"/>
  <c r="J365" i="3" s="1"/>
  <c r="M365" i="3" s="1"/>
  <c r="O365" i="3" s="1"/>
  <c r="P365" i="3" s="1"/>
  <c r="L365" i="3"/>
  <c r="N365" i="3" s="1"/>
  <c r="I366" i="3"/>
  <c r="J366" i="3" s="1"/>
  <c r="M366" i="3" s="1"/>
  <c r="O366" i="3" s="1"/>
  <c r="P366" i="3" s="1"/>
  <c r="L366" i="3"/>
  <c r="N366" i="3" s="1"/>
  <c r="I367" i="3"/>
  <c r="J367" i="3" s="1"/>
  <c r="M367" i="3" s="1"/>
  <c r="O367" i="3" s="1"/>
  <c r="P367" i="3" s="1"/>
  <c r="L367" i="3"/>
  <c r="N367" i="3" s="1"/>
  <c r="I368" i="3"/>
  <c r="J368" i="3" s="1"/>
  <c r="M368" i="3" s="1"/>
  <c r="O368" i="3" s="1"/>
  <c r="P368" i="3" s="1"/>
  <c r="L368" i="3"/>
  <c r="N368" i="3" s="1"/>
  <c r="I369" i="3"/>
  <c r="J369" i="3" s="1"/>
  <c r="M369" i="3" s="1"/>
  <c r="O369" i="3" s="1"/>
  <c r="P369" i="3" s="1"/>
  <c r="L369" i="3"/>
  <c r="N369" i="3" s="1"/>
  <c r="I370" i="3"/>
  <c r="J370" i="3" s="1"/>
  <c r="M370" i="3" s="1"/>
  <c r="O370" i="3" s="1"/>
  <c r="P370" i="3" s="1"/>
  <c r="L370" i="3"/>
  <c r="N370" i="3" s="1"/>
  <c r="I371" i="3"/>
  <c r="J371" i="3" s="1"/>
  <c r="M371" i="3" s="1"/>
  <c r="O371" i="3" s="1"/>
  <c r="P371" i="3" s="1"/>
  <c r="L371" i="3"/>
  <c r="N371" i="3" s="1"/>
  <c r="I372" i="3"/>
  <c r="J372" i="3" s="1"/>
  <c r="M372" i="3" s="1"/>
  <c r="O372" i="3" s="1"/>
  <c r="P372" i="3" s="1"/>
  <c r="L372" i="3"/>
  <c r="N372" i="3" s="1"/>
  <c r="I373" i="3"/>
  <c r="J373" i="3" s="1"/>
  <c r="M373" i="3" s="1"/>
  <c r="O373" i="3" s="1"/>
  <c r="P373" i="3" s="1"/>
  <c r="L373" i="3"/>
  <c r="N373" i="3" s="1"/>
  <c r="I374" i="3"/>
  <c r="J374" i="3" s="1"/>
  <c r="M374" i="3" s="1"/>
  <c r="O374" i="3" s="1"/>
  <c r="P374" i="3" s="1"/>
  <c r="L374" i="3"/>
  <c r="N374" i="3" s="1"/>
  <c r="I375" i="3"/>
  <c r="J375" i="3" s="1"/>
  <c r="M375" i="3" s="1"/>
  <c r="O375" i="3" s="1"/>
  <c r="P375" i="3" s="1"/>
  <c r="L375" i="3"/>
  <c r="N375" i="3" s="1"/>
  <c r="I376" i="3"/>
  <c r="J376" i="3" s="1"/>
  <c r="M376" i="3" s="1"/>
  <c r="O376" i="3" s="1"/>
  <c r="P376" i="3" s="1"/>
  <c r="L376" i="3"/>
  <c r="N376" i="3" s="1"/>
  <c r="I377" i="3"/>
  <c r="J377" i="3" s="1"/>
  <c r="M377" i="3" s="1"/>
  <c r="O377" i="3" s="1"/>
  <c r="P377" i="3" s="1"/>
  <c r="L377" i="3"/>
  <c r="N377" i="3" s="1"/>
  <c r="I378" i="3"/>
  <c r="J378" i="3" s="1"/>
  <c r="M378" i="3" s="1"/>
  <c r="O378" i="3" s="1"/>
  <c r="P378" i="3" s="1"/>
  <c r="L378" i="3"/>
  <c r="N378" i="3" s="1"/>
  <c r="I379" i="3"/>
  <c r="J379" i="3" s="1"/>
  <c r="M379" i="3" s="1"/>
  <c r="O379" i="3" s="1"/>
  <c r="P379" i="3" s="1"/>
  <c r="L379" i="3"/>
  <c r="N379" i="3" s="1"/>
  <c r="I380" i="3"/>
  <c r="J380" i="3" s="1"/>
  <c r="M380" i="3" s="1"/>
  <c r="O380" i="3" s="1"/>
  <c r="P380" i="3" s="1"/>
  <c r="L380" i="3"/>
  <c r="N380" i="3" s="1"/>
  <c r="I381" i="3"/>
  <c r="J381" i="3" s="1"/>
  <c r="M381" i="3" s="1"/>
  <c r="O381" i="3" s="1"/>
  <c r="P381" i="3" s="1"/>
  <c r="L381" i="3"/>
  <c r="N381" i="3" s="1"/>
  <c r="I382" i="3"/>
  <c r="J382" i="3" s="1"/>
  <c r="M382" i="3" s="1"/>
  <c r="O382" i="3" s="1"/>
  <c r="P382" i="3" s="1"/>
  <c r="L382" i="3"/>
  <c r="N382" i="3" s="1"/>
  <c r="I383" i="3"/>
  <c r="J383" i="3" s="1"/>
  <c r="M383" i="3" s="1"/>
  <c r="O383" i="3" s="1"/>
  <c r="P383" i="3" s="1"/>
  <c r="L383" i="3"/>
  <c r="N383" i="3" s="1"/>
  <c r="I384" i="3"/>
  <c r="J384" i="3" s="1"/>
  <c r="M384" i="3" s="1"/>
  <c r="O384" i="3" s="1"/>
  <c r="P384" i="3" s="1"/>
  <c r="L384" i="3"/>
  <c r="N384" i="3" s="1"/>
  <c r="I385" i="3"/>
  <c r="J385" i="3" s="1"/>
  <c r="M385" i="3" s="1"/>
  <c r="O385" i="3" s="1"/>
  <c r="P385" i="3" s="1"/>
  <c r="L385" i="3"/>
  <c r="N385" i="3" s="1"/>
  <c r="I386" i="3"/>
  <c r="J386" i="3" s="1"/>
  <c r="M386" i="3" s="1"/>
  <c r="O386" i="3" s="1"/>
  <c r="P386" i="3" s="1"/>
  <c r="L386" i="3"/>
  <c r="N386" i="3" s="1"/>
  <c r="I387" i="3"/>
  <c r="J387" i="3" s="1"/>
  <c r="M387" i="3" s="1"/>
  <c r="O387" i="3" s="1"/>
  <c r="P387" i="3" s="1"/>
  <c r="L387" i="3"/>
  <c r="N387" i="3" s="1"/>
  <c r="I388" i="3"/>
  <c r="J388" i="3" s="1"/>
  <c r="M388" i="3" s="1"/>
  <c r="O388" i="3" s="1"/>
  <c r="P388" i="3" s="1"/>
  <c r="L388" i="3"/>
  <c r="N388" i="3" s="1"/>
  <c r="I389" i="3"/>
  <c r="J389" i="3" s="1"/>
  <c r="M389" i="3" s="1"/>
  <c r="O389" i="3" s="1"/>
  <c r="P389" i="3" s="1"/>
  <c r="L389" i="3"/>
  <c r="N389" i="3" s="1"/>
  <c r="I390" i="3"/>
  <c r="J390" i="3" s="1"/>
  <c r="M390" i="3" s="1"/>
  <c r="O390" i="3" s="1"/>
  <c r="P390" i="3" s="1"/>
  <c r="L390" i="3"/>
  <c r="N390" i="3" s="1"/>
  <c r="I391" i="3"/>
  <c r="J391" i="3" s="1"/>
  <c r="M391" i="3" s="1"/>
  <c r="O391" i="3" s="1"/>
  <c r="P391" i="3" s="1"/>
  <c r="L391" i="3"/>
  <c r="N391" i="3" s="1"/>
  <c r="I392" i="3"/>
  <c r="J392" i="3" s="1"/>
  <c r="M392" i="3" s="1"/>
  <c r="O392" i="3" s="1"/>
  <c r="P392" i="3" s="1"/>
  <c r="L392" i="3"/>
  <c r="N392" i="3" s="1"/>
  <c r="I393" i="3"/>
  <c r="J393" i="3" s="1"/>
  <c r="M393" i="3" s="1"/>
  <c r="O393" i="3" s="1"/>
  <c r="P393" i="3" s="1"/>
  <c r="L393" i="3"/>
  <c r="N393" i="3" s="1"/>
  <c r="I394" i="3"/>
  <c r="J394" i="3" s="1"/>
  <c r="M394" i="3" s="1"/>
  <c r="O394" i="3" s="1"/>
  <c r="P394" i="3" s="1"/>
  <c r="L394" i="3"/>
  <c r="N394" i="3" s="1"/>
  <c r="I395" i="3"/>
  <c r="J395" i="3" s="1"/>
  <c r="M395" i="3" s="1"/>
  <c r="O395" i="3" s="1"/>
  <c r="P395" i="3" s="1"/>
  <c r="L395" i="3"/>
  <c r="N395" i="3" s="1"/>
  <c r="I396" i="3"/>
  <c r="J396" i="3" s="1"/>
  <c r="M396" i="3" s="1"/>
  <c r="O396" i="3" s="1"/>
  <c r="P396" i="3" s="1"/>
  <c r="L396" i="3"/>
  <c r="N396" i="3" s="1"/>
  <c r="I397" i="3"/>
  <c r="J397" i="3" s="1"/>
  <c r="M397" i="3" s="1"/>
  <c r="O397" i="3" s="1"/>
  <c r="P397" i="3" s="1"/>
  <c r="L397" i="3"/>
  <c r="N397" i="3" s="1"/>
  <c r="I398" i="3"/>
  <c r="J398" i="3" s="1"/>
  <c r="M398" i="3" s="1"/>
  <c r="O398" i="3" s="1"/>
  <c r="P398" i="3" s="1"/>
  <c r="L398" i="3"/>
  <c r="N398" i="3" s="1"/>
  <c r="I399" i="3"/>
  <c r="J399" i="3" s="1"/>
  <c r="M399" i="3" s="1"/>
  <c r="O399" i="3" s="1"/>
  <c r="P399" i="3" s="1"/>
  <c r="L399" i="3"/>
  <c r="N399" i="3" s="1"/>
  <c r="I400" i="3"/>
  <c r="J400" i="3" s="1"/>
  <c r="M400" i="3" s="1"/>
  <c r="O400" i="3" s="1"/>
  <c r="P400" i="3" s="1"/>
  <c r="L400" i="3"/>
  <c r="N400" i="3" s="1"/>
  <c r="I401" i="3"/>
  <c r="J401" i="3" s="1"/>
  <c r="M401" i="3" s="1"/>
  <c r="O401" i="3" s="1"/>
  <c r="P401" i="3" s="1"/>
  <c r="L401" i="3"/>
  <c r="N401" i="3" s="1"/>
  <c r="I402" i="3"/>
  <c r="J402" i="3" s="1"/>
  <c r="M402" i="3" s="1"/>
  <c r="O402" i="3" s="1"/>
  <c r="P402" i="3" s="1"/>
  <c r="L402" i="3"/>
  <c r="N402" i="3" s="1"/>
  <c r="I403" i="3"/>
  <c r="J403" i="3" s="1"/>
  <c r="M403" i="3" s="1"/>
  <c r="O403" i="3" s="1"/>
  <c r="P403" i="3" s="1"/>
  <c r="L403" i="3"/>
  <c r="N403" i="3" s="1"/>
  <c r="I404" i="3"/>
  <c r="J404" i="3" s="1"/>
  <c r="M404" i="3" s="1"/>
  <c r="O404" i="3" s="1"/>
  <c r="P404" i="3" s="1"/>
  <c r="L404" i="3"/>
  <c r="N404" i="3" s="1"/>
  <c r="I405" i="3"/>
  <c r="J405" i="3" s="1"/>
  <c r="M405" i="3" s="1"/>
  <c r="O405" i="3" s="1"/>
  <c r="P405" i="3" s="1"/>
  <c r="L405" i="3"/>
  <c r="N405" i="3" s="1"/>
  <c r="I406" i="3"/>
  <c r="J406" i="3" s="1"/>
  <c r="M406" i="3" s="1"/>
  <c r="O406" i="3" s="1"/>
  <c r="P406" i="3" s="1"/>
  <c r="L406" i="3"/>
  <c r="N406" i="3" s="1"/>
  <c r="I407" i="3"/>
  <c r="J407" i="3" s="1"/>
  <c r="M407" i="3" s="1"/>
  <c r="O407" i="3" s="1"/>
  <c r="P407" i="3" s="1"/>
  <c r="L407" i="3"/>
  <c r="N407" i="3" s="1"/>
  <c r="I408" i="3"/>
  <c r="J408" i="3" s="1"/>
  <c r="M408" i="3" s="1"/>
  <c r="O408" i="3" s="1"/>
  <c r="P408" i="3" s="1"/>
  <c r="L408" i="3"/>
  <c r="N408" i="3" s="1"/>
  <c r="I409" i="3"/>
  <c r="J409" i="3" s="1"/>
  <c r="M409" i="3" s="1"/>
  <c r="O409" i="3" s="1"/>
  <c r="P409" i="3" s="1"/>
  <c r="L409" i="3"/>
  <c r="N409" i="3" s="1"/>
  <c r="I410" i="3"/>
  <c r="J410" i="3" s="1"/>
  <c r="M410" i="3" s="1"/>
  <c r="O410" i="3" s="1"/>
  <c r="P410" i="3" s="1"/>
  <c r="L410" i="3"/>
  <c r="N410" i="3" s="1"/>
  <c r="I411" i="3"/>
  <c r="J411" i="3" s="1"/>
  <c r="M411" i="3" s="1"/>
  <c r="O411" i="3" s="1"/>
  <c r="P411" i="3" s="1"/>
  <c r="L411" i="3"/>
  <c r="N411" i="3" s="1"/>
  <c r="I412" i="3"/>
  <c r="J412" i="3" s="1"/>
  <c r="M412" i="3" s="1"/>
  <c r="O412" i="3" s="1"/>
  <c r="P412" i="3" s="1"/>
  <c r="L412" i="3"/>
  <c r="N412" i="3" s="1"/>
  <c r="I413" i="3"/>
  <c r="J413" i="3" s="1"/>
  <c r="M413" i="3" s="1"/>
  <c r="O413" i="3" s="1"/>
  <c r="P413" i="3" s="1"/>
  <c r="L413" i="3"/>
  <c r="N413" i="3" s="1"/>
  <c r="I414" i="3"/>
  <c r="J414" i="3" s="1"/>
  <c r="M414" i="3" s="1"/>
  <c r="O414" i="3" s="1"/>
  <c r="P414" i="3" s="1"/>
  <c r="L414" i="3"/>
  <c r="N414" i="3" s="1"/>
  <c r="I415" i="3"/>
  <c r="J415" i="3" s="1"/>
  <c r="M415" i="3" s="1"/>
  <c r="O415" i="3" s="1"/>
  <c r="P415" i="3" s="1"/>
  <c r="L415" i="3"/>
  <c r="N415" i="3" s="1"/>
  <c r="I416" i="3"/>
  <c r="J416" i="3" s="1"/>
  <c r="M416" i="3" s="1"/>
  <c r="O416" i="3" s="1"/>
  <c r="P416" i="3" s="1"/>
  <c r="L416" i="3"/>
  <c r="N416" i="3" s="1"/>
  <c r="I417" i="3"/>
  <c r="J417" i="3" s="1"/>
  <c r="M417" i="3" s="1"/>
  <c r="O417" i="3" s="1"/>
  <c r="P417" i="3" s="1"/>
  <c r="L417" i="3"/>
  <c r="N417" i="3" s="1"/>
  <c r="I418" i="3"/>
  <c r="J418" i="3" s="1"/>
  <c r="M418" i="3" s="1"/>
  <c r="O418" i="3" s="1"/>
  <c r="P418" i="3" s="1"/>
  <c r="L418" i="3"/>
  <c r="N418" i="3" s="1"/>
  <c r="I419" i="3"/>
  <c r="J419" i="3" s="1"/>
  <c r="M419" i="3" s="1"/>
  <c r="O419" i="3" s="1"/>
  <c r="P419" i="3" s="1"/>
  <c r="L419" i="3"/>
  <c r="N419" i="3" s="1"/>
  <c r="I420" i="3"/>
  <c r="J420" i="3" s="1"/>
  <c r="M420" i="3" s="1"/>
  <c r="O420" i="3" s="1"/>
  <c r="P420" i="3" s="1"/>
  <c r="L420" i="3"/>
  <c r="N420" i="3" s="1"/>
  <c r="I421" i="3"/>
  <c r="J421" i="3" s="1"/>
  <c r="M421" i="3" s="1"/>
  <c r="O421" i="3" s="1"/>
  <c r="P421" i="3" s="1"/>
  <c r="L421" i="3"/>
  <c r="N421" i="3" s="1"/>
  <c r="I422" i="3"/>
  <c r="J422" i="3" s="1"/>
  <c r="M422" i="3" s="1"/>
  <c r="O422" i="3" s="1"/>
  <c r="P422" i="3" s="1"/>
  <c r="L422" i="3"/>
  <c r="N422" i="3" s="1"/>
  <c r="I423" i="3"/>
  <c r="J423" i="3" s="1"/>
  <c r="M423" i="3" s="1"/>
  <c r="O423" i="3" s="1"/>
  <c r="P423" i="3" s="1"/>
  <c r="L423" i="3"/>
  <c r="N423" i="3" s="1"/>
  <c r="I424" i="3"/>
  <c r="J424" i="3" s="1"/>
  <c r="M424" i="3" s="1"/>
  <c r="O424" i="3" s="1"/>
  <c r="P424" i="3" s="1"/>
  <c r="L424" i="3"/>
  <c r="N424" i="3" s="1"/>
  <c r="I2" i="3" l="1"/>
  <c r="J2" i="3" s="1"/>
  <c r="M2" i="3" s="1"/>
  <c r="O2" i="3" s="1"/>
  <c r="P2" i="3" s="1"/>
  <c r="L2" i="3"/>
  <c r="N2" i="3" s="1"/>
</calcChain>
</file>

<file path=xl/sharedStrings.xml><?xml version="1.0" encoding="utf-8"?>
<sst xmlns="http://schemas.openxmlformats.org/spreadsheetml/2006/main" count="1810" uniqueCount="819">
  <si>
    <t>実況パワフルプロ野球２０１８_20200523160635_shade.txt</t>
    <phoneticPr fontId="1"/>
  </si>
  <si>
    <t>実況パワフルプロ野球２０１８_20200524161252_shade.txt</t>
    <phoneticPr fontId="1"/>
  </si>
  <si>
    <t>実況パワフルプロ野球２０１８_20200524161305_shade.txt</t>
    <phoneticPr fontId="1"/>
  </si>
  <si>
    <t>実況パワフルプロ野球２０１８_20200524161344_shade.txt</t>
    <phoneticPr fontId="1"/>
  </si>
  <si>
    <t>実況パワフルプロ野球２０１８_20200524161359_shade.txt</t>
    <phoneticPr fontId="1"/>
  </si>
  <si>
    <t>実況パワフルプロ野球２０１８_20200524161414_shade.txt</t>
    <phoneticPr fontId="1"/>
  </si>
  <si>
    <t>filename</t>
    <phoneticPr fontId="1"/>
  </si>
  <si>
    <t>frame</t>
    <phoneticPr fontId="1"/>
  </si>
  <si>
    <t>実況パワフルプロ野球２０１８_20200524161426_shade.txt</t>
    <phoneticPr fontId="1"/>
  </si>
  <si>
    <t>実況パワフルプロ野球２０１８_20200526205918_shade.txt</t>
    <phoneticPr fontId="1"/>
  </si>
  <si>
    <t>実況パワフルプロ野球２０１８_20200526205926_shade.txt</t>
    <phoneticPr fontId="1"/>
  </si>
  <si>
    <t>実況パワフルプロ野球２０１８_20200526205936_shade.txt</t>
    <phoneticPr fontId="1"/>
  </si>
  <si>
    <t>実況パワフルプロ野球２０１８_20200526205945_shade.txt</t>
    <phoneticPr fontId="1"/>
  </si>
  <si>
    <t>実況パワフルプロ野球２０１８_20200526205956_shade.txt</t>
    <phoneticPr fontId="1"/>
  </si>
  <si>
    <t>実況パワフルプロ野球２０１８_20200526210005_shade.txt</t>
    <phoneticPr fontId="1"/>
  </si>
  <si>
    <t>実況パワフルプロ野球２０１８_20200526210015_shade.txt</t>
    <phoneticPr fontId="1"/>
  </si>
  <si>
    <t>実況パワフルプロ野球２０１８_20200526210028_shade.txt</t>
    <phoneticPr fontId="1"/>
  </si>
  <si>
    <t>実況パワフルプロ野球２０１８_20200526210037_shade.txt</t>
    <phoneticPr fontId="1"/>
  </si>
  <si>
    <t>実況パワフルプロ野球２０１８_20200526210046_shade.txt</t>
    <phoneticPr fontId="1"/>
  </si>
  <si>
    <t>実況パワフルプロ野球２０１８_20200526210055_shade.txt</t>
    <phoneticPr fontId="1"/>
  </si>
  <si>
    <t>実況パワフルプロ野球２０１８_20200526210105_shade.txt</t>
    <phoneticPr fontId="1"/>
  </si>
  <si>
    <t>実況パワフルプロ野球２０１８_20200526210113_shade.txt</t>
    <phoneticPr fontId="1"/>
  </si>
  <si>
    <t>実況パワフルプロ野球２０１８_20200526210122_shade.txt</t>
    <phoneticPr fontId="1"/>
  </si>
  <si>
    <t>実況パワフルプロ野球２０１８_20200526210130_shade.txt</t>
    <phoneticPr fontId="1"/>
  </si>
  <si>
    <t>実況パワフルプロ野球２０１８_20200526210139_shade.txt</t>
    <phoneticPr fontId="1"/>
  </si>
  <si>
    <t>実況パワフルプロ野球２０１８_20200526210147_shade.txt</t>
    <phoneticPr fontId="1"/>
  </si>
  <si>
    <t>実況パワフルプロ野球２０１８_20200526210156_shade.txt</t>
    <phoneticPr fontId="1"/>
  </si>
  <si>
    <t>実況パワフルプロ野球２０１８_20200526210204_shade.txt</t>
    <phoneticPr fontId="1"/>
  </si>
  <si>
    <t>実況パワフルプロ野球２０１８_20200526210212_shade.txt</t>
    <phoneticPr fontId="1"/>
  </si>
  <si>
    <t>実況パワフルプロ野球２０１８_20200526210220_shade.txt</t>
    <phoneticPr fontId="1"/>
  </si>
  <si>
    <t>実況パワフルプロ野球２０１８_20200526210229_shade.txt</t>
    <phoneticPr fontId="1"/>
  </si>
  <si>
    <t>実況パワフルプロ野球２０１８_20200526210237_shade.txt</t>
    <phoneticPr fontId="1"/>
  </si>
  <si>
    <t>実況パワフルプロ野球２０１８_20200526210247_shade.txt</t>
    <phoneticPr fontId="1"/>
  </si>
  <si>
    <t>実況パワフルプロ野球２０１８_20200526210255_shade.txt</t>
    <phoneticPr fontId="1"/>
  </si>
  <si>
    <t>実況パワフルプロ野球２０１８_20200526210105_shade.txt</t>
    <phoneticPr fontId="1"/>
  </si>
  <si>
    <t>実況パワフルプロ野球２０１８_20200527212712_shade.txt</t>
    <phoneticPr fontId="1"/>
  </si>
  <si>
    <t>実況パワフルプロ野球２０１８_20200527212721_shade.txt</t>
    <phoneticPr fontId="1"/>
  </si>
  <si>
    <t>実況パワフルプロ野球２０１８_20200527212728_shade.txt</t>
    <phoneticPr fontId="1"/>
  </si>
  <si>
    <t>-</t>
  </si>
  <si>
    <t>実況パワフルプロ野球２０１８_20200527213231_shade.txt</t>
    <phoneticPr fontId="1"/>
  </si>
  <si>
    <t>実況パワフルプロ野球２０１８_20200527213758_shade.txt</t>
    <phoneticPr fontId="1"/>
  </si>
  <si>
    <t>実況パワフルプロ野球２０１８_20200527213952_shade.txt</t>
  </si>
  <si>
    <t>実況パワフルプロ野球２０１８_20200527214000_shade.txt</t>
  </si>
  <si>
    <t>実況パワフルプロ野球２０１８_20200527214008_shade.txt</t>
  </si>
  <si>
    <t>実況パワフルプロ野球２０１８_20200527212736_shade.txt</t>
    <phoneticPr fontId="1"/>
  </si>
  <si>
    <t>実況パワフルプロ野球２０１８_20200527212744_shade.txt</t>
    <phoneticPr fontId="1"/>
  </si>
  <si>
    <t>実況パワフルプロ野球２０１８_20200527212758_shade.txt</t>
    <phoneticPr fontId="1"/>
  </si>
  <si>
    <t>実況パワフルプロ野球２０１８_20200527212807_shade.txt</t>
    <phoneticPr fontId="1"/>
  </si>
  <si>
    <t>実況パワフルプロ野球２０１８_20200527212819_shade.txt</t>
    <phoneticPr fontId="1"/>
  </si>
  <si>
    <t>実況パワフルプロ野球２０１８_20200527212829_shade.txt</t>
    <phoneticPr fontId="1"/>
  </si>
  <si>
    <t>実況パワフルプロ野球２０１８_20200527212838_shade.txt</t>
    <phoneticPr fontId="1"/>
  </si>
  <si>
    <t>実況パワフルプロ野球２０１８_20200527212847_shade.txt</t>
    <phoneticPr fontId="1"/>
  </si>
  <si>
    <t>実況パワフルプロ野球２０１８_20200527212912_shade.txt</t>
    <phoneticPr fontId="1"/>
  </si>
  <si>
    <t>実況パワフルプロ野球２０１８_20200527212921_shade.txt</t>
    <phoneticPr fontId="1"/>
  </si>
  <si>
    <t>実況パワフルプロ野球２０１８_20200527213021_shade.txt</t>
    <phoneticPr fontId="1"/>
  </si>
  <si>
    <t>実況パワフルプロ野球２０１８_20200527213030_shade.txt</t>
    <phoneticPr fontId="1"/>
  </si>
  <si>
    <t>実況パワフルプロ野球２０１８_20200527213039_shade.txt</t>
    <phoneticPr fontId="1"/>
  </si>
  <si>
    <t>実況パワフルプロ野球２０１８_20200527213048_shade.txt</t>
    <phoneticPr fontId="1"/>
  </si>
  <si>
    <t>実況パワフルプロ野球２０１８_20200527213056_shade.txt</t>
    <phoneticPr fontId="1"/>
  </si>
  <si>
    <t>実況パワフルプロ野球２０１８_20200527213150_shade.txt</t>
    <phoneticPr fontId="1"/>
  </si>
  <si>
    <t>実況パワフルプロ野球２０１８_20200527213159_shade.txt</t>
    <phoneticPr fontId="1"/>
  </si>
  <si>
    <t>実況パワフルプロ野球２０１８_20200527213208_shade.txt</t>
    <phoneticPr fontId="1"/>
  </si>
  <si>
    <t>実況パワフルプロ野球２０１８_20200527213215_shade.txt</t>
    <phoneticPr fontId="1"/>
  </si>
  <si>
    <t>実況パワフルプロ野球２０１８_20200527213223_shade.txt</t>
    <phoneticPr fontId="1"/>
  </si>
  <si>
    <t>実況パワフルプロ野球２０１８_20200527213314_shade.txt</t>
    <phoneticPr fontId="1"/>
  </si>
  <si>
    <t>実況パワフルプロ野球２０１８_20200527213322_shade.txt</t>
    <phoneticPr fontId="1"/>
  </si>
  <si>
    <t>実況パワフルプロ野球２０１８_20200527213344_shade.txt</t>
    <phoneticPr fontId="1"/>
  </si>
  <si>
    <t>実況パワフルプロ野球２０１８_20200527213352_shade.txt</t>
    <phoneticPr fontId="1"/>
  </si>
  <si>
    <t>実況パワフルプロ野球２０１８_20200527213400_shade.txt</t>
    <phoneticPr fontId="1"/>
  </si>
  <si>
    <t>実況パワフルプロ野球２０１８_20200527213409_shade.txt</t>
    <phoneticPr fontId="1"/>
  </si>
  <si>
    <t>実況パワフルプロ野球２０１８_20200527213418_shade.txt</t>
    <phoneticPr fontId="1"/>
  </si>
  <si>
    <t>実況パワフルプロ野球２０１８_20200527213426_shade.txt</t>
    <phoneticPr fontId="1"/>
  </si>
  <si>
    <t>実況パワフルプロ野球２０１８_20200527213434_shade.txt</t>
    <phoneticPr fontId="1"/>
  </si>
  <si>
    <t>実況パワフルプロ野球２０１８_20200527213443_shade.txt</t>
    <phoneticPr fontId="1"/>
  </si>
  <si>
    <t>実況パワフルプロ野球２０１８_20200527213451_shade.txt</t>
    <phoneticPr fontId="1"/>
  </si>
  <si>
    <t>実況パワフルプロ野球２０１８_20200527213459_shade.txt</t>
    <phoneticPr fontId="1"/>
  </si>
  <si>
    <t>実況パワフルプロ野球２０１８_20200527213507_shade.txt</t>
    <phoneticPr fontId="1"/>
  </si>
  <si>
    <t>実況パワフルプロ野球２０１８_20200527213515_shade.txt</t>
    <phoneticPr fontId="1"/>
  </si>
  <si>
    <t>実況パワフルプロ野球２０１８_20200527213522_shade.txt</t>
    <phoneticPr fontId="1"/>
  </si>
  <si>
    <t>実況パワフルプロ野球２０１８_20200527213530_shade.txt</t>
    <phoneticPr fontId="1"/>
  </si>
  <si>
    <t>実況パワフルプロ野球２０１８_20200527213537_shade.txt</t>
    <phoneticPr fontId="1"/>
  </si>
  <si>
    <t>実況パワフルプロ野球２０１８_20200527213544_shade.txt</t>
    <phoneticPr fontId="1"/>
  </si>
  <si>
    <t>実況パワフルプロ野球２０１８_20200527213552_shade.txt</t>
    <phoneticPr fontId="1"/>
  </si>
  <si>
    <t>実況パワフルプロ野球２０１８_20200527213617_shade.txt</t>
    <phoneticPr fontId="1"/>
  </si>
  <si>
    <t>実況パワフルプロ野球２０１８_20200527213624_shade.txt</t>
    <phoneticPr fontId="1"/>
  </si>
  <si>
    <t>実況パワフルプロ野球２０１８_20200527213632_shade.txt</t>
    <phoneticPr fontId="1"/>
  </si>
  <si>
    <t>実況パワフルプロ野球２０１８_20200527213640_shade.txt</t>
    <phoneticPr fontId="1"/>
  </si>
  <si>
    <t>実況パワフルプロ野球２０１８_20200527213647_shade.txt</t>
    <phoneticPr fontId="1"/>
  </si>
  <si>
    <t>実況パワフルプロ野球２０１８_20200527213656_shade.txt</t>
    <phoneticPr fontId="1"/>
  </si>
  <si>
    <t>実況パワフルプロ野球２０１８_20200527213704_shade.txt</t>
    <phoneticPr fontId="1"/>
  </si>
  <si>
    <t>実況パワフルプロ野球２０１８_20200527213712_shade.txt</t>
    <phoneticPr fontId="1"/>
  </si>
  <si>
    <t>実況パワフルプロ野球２０１８_20200527213720_shade.txt</t>
    <phoneticPr fontId="1"/>
  </si>
  <si>
    <t>実況パワフルプロ野球２０１８_20200527213727_shade.txt</t>
    <phoneticPr fontId="1"/>
  </si>
  <si>
    <t>実況パワフルプロ野球２０１８_20200527213734_shade.txt</t>
    <phoneticPr fontId="1"/>
  </si>
  <si>
    <t>実況パワフルプロ野球２０１８_20200527213742_shade.txt</t>
    <phoneticPr fontId="1"/>
  </si>
  <si>
    <t>実況パワフルプロ野球２０１８_20200527213749_shade.txt</t>
    <phoneticPr fontId="1"/>
  </si>
  <si>
    <t>実況パワフルプロ野球２０１８_20200527213822_shade.txt</t>
    <phoneticPr fontId="1"/>
  </si>
  <si>
    <t>実況パワフルプロ野球２０１８_20200527213830_shade.txt</t>
    <phoneticPr fontId="1"/>
  </si>
  <si>
    <t>実況パワフルプロ野球２０１８_20200527213839_shade.txt</t>
    <phoneticPr fontId="1"/>
  </si>
  <si>
    <t>実況パワフルプロ野球２０１８_20200527213847_shade.txt</t>
    <phoneticPr fontId="1"/>
  </si>
  <si>
    <t>実況パワフルプロ野球２０１８_20200527213855_shade.txt</t>
    <phoneticPr fontId="1"/>
  </si>
  <si>
    <t>実況パワフルプロ野球２０１８_20200527213903_shade.txt</t>
    <phoneticPr fontId="1"/>
  </si>
  <si>
    <t>実況パワフルプロ野球２０１８_20200527213911_shade.txt</t>
    <phoneticPr fontId="1"/>
  </si>
  <si>
    <t>実況パワフルプロ野球２０１８_20200527213919_shade.txt</t>
    <phoneticPr fontId="1"/>
  </si>
  <si>
    <t>実況パワフルプロ野球２０１８_20200527213927_shade.txt</t>
    <phoneticPr fontId="1"/>
  </si>
  <si>
    <t>実況パワフルプロ野球２０１８_20200527213935_shade.txt</t>
    <phoneticPr fontId="1"/>
  </si>
  <si>
    <t>実況パワフルプロ野球２０１８_20200527213944_shade.txt</t>
    <phoneticPr fontId="1"/>
  </si>
  <si>
    <t>実況パワフルプロ野球２０１８_20200527213952_shade.txt</t>
    <phoneticPr fontId="1"/>
  </si>
  <si>
    <t>実況パワフルプロ野球２０１８_20200527214008_shade.txt</t>
    <phoneticPr fontId="1"/>
  </si>
  <si>
    <t>time</t>
    <phoneticPr fontId="1"/>
  </si>
  <si>
    <t>実況パワフルプロ野球２０１８_20200526210255_shade.txt</t>
    <phoneticPr fontId="1"/>
  </si>
  <si>
    <t>実況パワフルプロ野球２０１８_20200526205945_shade.txt</t>
    <phoneticPr fontId="1"/>
  </si>
  <si>
    <t>実況パワフルプロ野球２０１８_20200526210130_shade.txt</t>
    <phoneticPr fontId="1"/>
  </si>
  <si>
    <t>実況パワフルプロ野球２０１８_20200526210229_shade.txt</t>
    <phoneticPr fontId="1"/>
  </si>
  <si>
    <t>実況パワフルプロ野球２０１８_20200526210247_shade.txt</t>
    <phoneticPr fontId="1"/>
  </si>
  <si>
    <t>実況パワフルプロ野球２０１８_20200527212712_shade.txt</t>
    <phoneticPr fontId="1"/>
  </si>
  <si>
    <t>実況パワフルプロ野球２０１８_20200527213927_shade.txt</t>
    <phoneticPr fontId="1"/>
  </si>
  <si>
    <t>実況パワフルプロ野球２０１８_20200527214000_shade.txt</t>
    <phoneticPr fontId="1"/>
  </si>
  <si>
    <t>球速</t>
    <rPh sb="0" eb="2">
      <t>キュウソク</t>
    </rPh>
    <phoneticPr fontId="1"/>
  </si>
  <si>
    <t>ノビ</t>
    <phoneticPr fontId="1"/>
  </si>
  <si>
    <t>実況パワフルプロ野球２０１８_20200530112152_shade.txt</t>
  </si>
  <si>
    <t>実況パワフルプロ野球２０１８_20200530112202_shade.txt</t>
  </si>
  <si>
    <t>実況パワフルプロ野球２０１８_20200530112210_shade.txt</t>
  </si>
  <si>
    <t>実況パワフルプロ野球２０１８_20200530112219_shade.txt</t>
  </si>
  <si>
    <t>実況パワフルプロ野球２０１８_20200530112228_shade.txt</t>
  </si>
  <si>
    <t>実況パワフルプロ野球２０１８_20200530112237_shade.txt</t>
  </si>
  <si>
    <t>実況パワフルプロ野球２０１８_20200530112245_shade.txt</t>
  </si>
  <si>
    <t>実況パワフルプロ野球２０１８_20200530112253_shade.txt</t>
  </si>
  <si>
    <t>実況パワフルプロ野球２０１８_20200530112301_shade.txt</t>
  </si>
  <si>
    <t>実況パワフルプロ野球２０１８_20200530112952_shade.txt</t>
  </si>
  <si>
    <t>実況パワフルプロ野球２０１８_20200530113000_shade.txt</t>
  </si>
  <si>
    <t>実況パワフルプロ野球２０１８_20200530113010_shade.txt</t>
  </si>
  <si>
    <t>実況パワフルプロ野球２０１８_20200530113147_shade.txt</t>
  </si>
  <si>
    <t>実況パワフルプロ野球２０１８_20200530113156_shade.txt</t>
  </si>
  <si>
    <t>実況パワフルプロ野球２０１８_20200530113205_shade.txt</t>
  </si>
  <si>
    <t>実況パワフルプロ野球２０１８_20200530113213_shade.txt</t>
  </si>
  <si>
    <t>実況パワフルプロ野球２０１８_20200530113223_shade.txt</t>
  </si>
  <si>
    <t>実況パワフルプロ野球２０１８_20200530113231_shade.txt</t>
  </si>
  <si>
    <t>実況パワフルプロ野球２０１８_20200530113239_shade.txt</t>
  </si>
  <si>
    <t>実況パワフルプロ野球２０１８_20200530113255_shade.txt</t>
  </si>
  <si>
    <t>実況パワフルプロ野球２０１８_20200530113323_shade.txt</t>
  </si>
  <si>
    <t>実況パワフルプロ野球２０１８_20200530113331_shade.txt</t>
  </si>
  <si>
    <t>実況パワフルプロ野球２０１８_20200530113339_shade.txt</t>
  </si>
  <si>
    <t>実況パワフルプロ野球２０１８_20200530113347_shade.txt</t>
  </si>
  <si>
    <t>実況パワフルプロ野球２０１８_20200530113355_shade.txt</t>
  </si>
  <si>
    <t>実況パワフルプロ野球２０１８_20200530113403_shade.txt</t>
  </si>
  <si>
    <t>実況パワフルプロ野球２０１８_20200530113411_shade.txt</t>
  </si>
  <si>
    <t>実況パワフルプロ野球２０１８_20200530113419_shade.txt</t>
  </si>
  <si>
    <t>実況パワフルプロ野球２０１８_20200530113428_shade.txt</t>
  </si>
  <si>
    <t>実況パワフルプロ野球２０１８_20200530113436_shade.txt</t>
  </si>
  <si>
    <t>実況パワフルプロ野球２０１８_20200530113500_shade.txt</t>
  </si>
  <si>
    <t>実況パワフルプロ野球２０１８_20200530113508_shade.txt</t>
  </si>
  <si>
    <t>実況パワフルプロ野球２０１８_20200530113516_shade.txt</t>
  </si>
  <si>
    <t>実況パワフルプロ野球２０１８_20200530113525_shade.txt</t>
  </si>
  <si>
    <t>実況パワフルプロ野球２０１８_20200530113535_shade.txt</t>
  </si>
  <si>
    <t>実況パワフルプロ野球２０１８_20200530113545_shade.txt</t>
  </si>
  <si>
    <t>実況パワフルプロ野球２０１８_20200530113553_shade.txt</t>
  </si>
  <si>
    <t>実況パワフルプロ野球２０１８_20200530113602_shade.txt</t>
  </si>
  <si>
    <t>実況パワフルプロ野球２０１８_20200530113616_shade.txt</t>
  </si>
  <si>
    <t>実況パワフルプロ野球２０１８_20200530113625_shade.txt</t>
  </si>
  <si>
    <t>実況パワフルプロ野球２０１８_20200530113634_shade.txt</t>
  </si>
  <si>
    <t>実況パワフルプロ野球２０１８_20200530113647_shade.txt</t>
  </si>
  <si>
    <t>実況パワフルプロ野球２０１８_20200530113723_shade.txt</t>
  </si>
  <si>
    <t>実況パワフルプロ野球２０１８_20200530113732_shade.txt</t>
  </si>
  <si>
    <t>実況パワフルプロ野球２０１８_20200530113741_shade.txt</t>
  </si>
  <si>
    <t>実況パワフルプロ野球２０１８_20200530113749_shade.txt</t>
  </si>
  <si>
    <t>実況パワフルプロ野球２０１８_20200530113757_shade.txt</t>
  </si>
  <si>
    <t>実況パワフルプロ野球２０１８_20200530113805_shade.txt</t>
  </si>
  <si>
    <t>実況パワフルプロ野球２０１８_20200530113813_shade.txt</t>
  </si>
  <si>
    <t>実況パワフルプロ野球２０１８_20200530113822_shade.txt</t>
  </si>
  <si>
    <t>実況パワフルプロ野球２０１８_20200530113830_shade.txt</t>
  </si>
  <si>
    <t>実況パワフルプロ野球２０１８_20200530113838_shade.txt</t>
  </si>
  <si>
    <t>実況パワフルプロ野球２０１８_20200530113846_shade.txt</t>
  </si>
  <si>
    <t>実況パワフルプロ野球２０１８_20200530113855_shade.txt</t>
  </si>
  <si>
    <t>実況パワフルプロ野球２０１８_20200530113921_shade.txt</t>
  </si>
  <si>
    <t>実況パワフルプロ野球２０１８_20200530113929_shade.txt</t>
  </si>
  <si>
    <t>実況パワフルプロ野球２０１８_20200530113938_shade.txt</t>
  </si>
  <si>
    <t>実況パワフルプロ野球２０１８_20200530113946_shade.txt</t>
  </si>
  <si>
    <t>実況パワフルプロ野球２０１８_20200530113954_shade.txt</t>
  </si>
  <si>
    <t>実況パワフルプロ野球２０１８_20200530114003_shade.txt</t>
  </si>
  <si>
    <t>実況パワフルプロ野球２０１８_20200530114011_shade.txt</t>
  </si>
  <si>
    <t>実況パワフルプロ野球２０１８_20200530114019_shade.txt</t>
  </si>
  <si>
    <t>実況パワフルプロ野球２０１８_20200530114027_shade.txt</t>
  </si>
  <si>
    <t>実況パワフルプロ野球２０１８_20200530114035_shade.txt</t>
  </si>
  <si>
    <t>実況パワフルプロ野球２０１８_20200530114042_shade.txt</t>
  </si>
  <si>
    <t>実況パワフルプロ野球２０１８_20200530114050_shade.txt</t>
  </si>
  <si>
    <t>実況パワフルプロ野球２０１８_20200530114058_shade.txt</t>
  </si>
  <si>
    <t>-</t>
    <phoneticPr fontId="1"/>
  </si>
  <si>
    <t>xpicel</t>
    <phoneticPr fontId="1"/>
  </si>
  <si>
    <t>ypicel</t>
    <phoneticPr fontId="1"/>
  </si>
  <si>
    <t>R</t>
    <phoneticPr fontId="1"/>
  </si>
  <si>
    <t>表示球速</t>
    <rPh sb="0" eb="2">
      <t>ヒョウジ</t>
    </rPh>
    <rPh sb="2" eb="4">
      <t>キュウソク</t>
    </rPh>
    <phoneticPr fontId="1"/>
  </si>
  <si>
    <t>ノビ</t>
    <phoneticPr fontId="1"/>
  </si>
  <si>
    <t>実況パワフルプロ野球２０１８_20200530122001_shade.txt</t>
  </si>
  <si>
    <t>実況パワフルプロ野球２０１８_20200530122010_shade.txt</t>
  </si>
  <si>
    <t>実況パワフルプロ野球２０１８_20200530122018_shade.txt</t>
  </si>
  <si>
    <t>実況パワフルプロ野球２０１８_20200530122026_shade.txt</t>
  </si>
  <si>
    <t>実況パワフルプロ野球２０１８_20200530122034_shade.txt</t>
  </si>
  <si>
    <t>実況パワフルプロ野球２０１８_20200530122042_shade.txt</t>
  </si>
  <si>
    <t>実況パワフルプロ野球２０１８_20200530122050_shade.txt</t>
  </si>
  <si>
    <t>実況パワフルプロ野球２０１８_20200530122058_shade.txt</t>
  </si>
  <si>
    <t>実況パワフルプロ野球２０１８_20200530122105_shade.txt</t>
  </si>
  <si>
    <t>実況パワフルプロ野球２０１８_20200530122113_shade.txt</t>
  </si>
  <si>
    <t>実況パワフルプロ野球２０１８_20200530122137_shade.txt</t>
  </si>
  <si>
    <t>実況パワフルプロ野球２０１８_20200530122144_shade.txt</t>
  </si>
  <si>
    <t>実況パワフルプロ野球２０１８_20200530122151_shade.txt</t>
  </si>
  <si>
    <t>実況パワフルプロ野球２０１８_20200530122159_shade.txt</t>
  </si>
  <si>
    <t>実況パワフルプロ野球２０１８_20200530122206_shade.txt</t>
  </si>
  <si>
    <t>実況パワフルプロ野球２０１８_20200530122213_shade.txt</t>
  </si>
  <si>
    <t>実況パワフルプロ野球２０１８_20200530122228_shade.txt</t>
  </si>
  <si>
    <t>実況パワフルプロ野球２０１８_20200530122235_shade.txt</t>
  </si>
  <si>
    <t>実況パワフルプロ野球２０１８_20200530122242_shade.txt</t>
  </si>
  <si>
    <t>実況パワフルプロ野球２０１８_20200530122250_shade.txt</t>
  </si>
  <si>
    <t>実況パワフルプロ野球２０１８_20200530122257_shade.txt</t>
  </si>
  <si>
    <t>実況パワフルプロ野球２０１８_20200530122318_shade.txt</t>
  </si>
  <si>
    <t>実況パワフルプロ野球２０１８_20200530122325_shade.txt</t>
  </si>
  <si>
    <t>実況パワフルプロ野球２０１８_20200530122332_shade.txt</t>
  </si>
  <si>
    <t>実況パワフルプロ野球２０１８_20200530122340_shade.txt</t>
  </si>
  <si>
    <t>実況パワフルプロ野球２０１８_20200530122347_shade.txt</t>
  </si>
  <si>
    <t>実況パワフルプロ野球２０１８_20200530122354_shade.txt</t>
  </si>
  <si>
    <t>実況パワフルプロ野球２０１８_20200530122401_shade.txt</t>
  </si>
  <si>
    <t>実況パワフルプロ野球２０１８_20200530122408_shade.txt</t>
  </si>
  <si>
    <t>実況パワフルプロ野球２０１８_20200530122415_shade.txt</t>
  </si>
  <si>
    <t>実況パワフルプロ野球２０１８_20200530122422_shade.txt</t>
  </si>
  <si>
    <t>実況パワフルプロ野球２０１８_20200530122429_shade.txt</t>
  </si>
  <si>
    <t>実況パワフルプロ野球２０１８_20200530122452_shade.txt</t>
  </si>
  <si>
    <t>実況パワフルプロ野球２０１８_20200530122500_shade.txt</t>
  </si>
  <si>
    <t>実況パワフルプロ野球２０１８_20200530122507_shade.txt</t>
  </si>
  <si>
    <t>実況パワフルプロ野球２０１８_20200530122515_shade.txt</t>
  </si>
  <si>
    <t>実況パワフルプロ野球２０１８_20200530122522_shade.txt</t>
  </si>
  <si>
    <t>実況パワフルプロ野球２０１８_20200530122529_shade.txt</t>
  </si>
  <si>
    <t>実況パワフルプロ野球２０１８_20200530122536_shade.txt</t>
  </si>
  <si>
    <t>実況パワフルプロ野球２０１８_20200530122543_shade.txt</t>
  </si>
  <si>
    <t>実況パワフルプロ野球２０１８_20200530122550_shade.txt</t>
  </si>
  <si>
    <t>実況パワフルプロ野球２０１８_20200530122558_shade.txt</t>
  </si>
  <si>
    <t>実況パワフルプロ野球２０１８_20200530122605_shade.txt</t>
  </si>
  <si>
    <t>実況パワフルプロ野球２０１８_20200530122612_shade.txt</t>
  </si>
  <si>
    <t>実況パワフルプロ野球２０１８_20200530122619_shade.txt</t>
  </si>
  <si>
    <t>実況パワフルプロ野球２０１８_20200530122626_shade.txt</t>
  </si>
  <si>
    <t>実況パワフルプロ野球２０１８_20200530122646_shade.txt</t>
  </si>
  <si>
    <t>実況パワフルプロ野球２０１８_20200530122654_shade.txt</t>
  </si>
  <si>
    <t>実況パワフルプロ野球２０１８_20200530122701_shade.txt</t>
  </si>
  <si>
    <t>実況パワフルプロ野球２０１８_20200530122708_shade.txt</t>
  </si>
  <si>
    <t>実況パワフルプロ野球２０１８_20200530122716_shade.txt</t>
  </si>
  <si>
    <t>実況パワフルプロ野球２０１８_20200530122723_shade.txt</t>
  </si>
  <si>
    <t>実況パワフルプロ野球２０１８_20200530122730_shade.txt</t>
  </si>
  <si>
    <t>実況パワフルプロ野球２０１８_20200530122737_shade.txt</t>
  </si>
  <si>
    <t>実況パワフルプロ野球２０１８_20200530122745_shade.txt</t>
  </si>
  <si>
    <t>実況パワフルプロ野球２０１８_20200530122752_shade.txt</t>
  </si>
  <si>
    <t>実況パワフルプロ野球２０１８_20200530122758_shade.txt</t>
  </si>
  <si>
    <t>実況パワフルプロ野球２０１８_20200530122818_shade.txt</t>
  </si>
  <si>
    <t>実況パワフルプロ野球２０１８_20200530122825_shade.txt</t>
  </si>
  <si>
    <t>実況パワフルプロ野球２０１８_20200530122832_shade.txt</t>
  </si>
  <si>
    <t>実況パワフルプロ野球２０１８_20200530122839_shade.txt</t>
  </si>
  <si>
    <t>実況パワフルプロ野球２０１８_20200530122846_shade.txt</t>
  </si>
  <si>
    <t>実況パワフルプロ野球２０１８_20200530122854_shade.txt</t>
  </si>
  <si>
    <t>実況パワフルプロ野球２０１８_20200530122901_shade.txt</t>
  </si>
  <si>
    <t>実況パワフルプロ野球２０１８_20200530122908_shade.txt</t>
  </si>
  <si>
    <t>実況パワフルプロ野球２０１８_20200530122915_shade.txt</t>
  </si>
  <si>
    <t>実況パワフルプロ野球２０１８_20200530122923_shade.txt</t>
  </si>
  <si>
    <t>実況パワフルプロ野球２０１８_20200530122931_shade.txt</t>
  </si>
  <si>
    <t>実況パワフルプロ野球２０１８_20200530122938_shade.txt</t>
  </si>
  <si>
    <t>実況パワフルプロ野球２０１８_20200530122945_shade.txt</t>
  </si>
  <si>
    <t>実況パワフルプロ野球２０１８_20200530123004_shade.txt</t>
  </si>
  <si>
    <t>実況パワフルプロ野球２０１８_20200530123011_shade.txt</t>
  </si>
  <si>
    <t>実況パワフルプロ野球２０１８_20200530123019_shade.txt</t>
  </si>
  <si>
    <t>実況パワフルプロ野球２０１８_20200530123026_shade.txt</t>
  </si>
  <si>
    <t>実況パワフルプロ野球２０１８_20200530123033_shade.txt</t>
  </si>
  <si>
    <t>実況パワフルプロ野球２０１８_20200530123040_shade.txt</t>
  </si>
  <si>
    <t>実況パワフルプロ野球２０１８_20200530123047_shade.txt</t>
  </si>
  <si>
    <t>実況パワフルプロ野球２０１８_20200530123054_shade.txt</t>
  </si>
  <si>
    <t>実況パワフルプロ野球２０１８_20200530123101_shade.txt</t>
  </si>
  <si>
    <t>実況パワフルプロ野球２０１８_20200530123108_shade.txt</t>
  </si>
  <si>
    <t>実況パワフルプロ野球２０１８_20200530123115_shade.txt</t>
  </si>
  <si>
    <t>実況パワフルプロ野球２０１８_20200530123122_shade.txt</t>
  </si>
  <si>
    <t>実況パワフルプロ野球２０１８_20200530123129_shade.txt</t>
  </si>
  <si>
    <t>実況パワフルプロ野球２０１８_20200530123147_shade.txt</t>
  </si>
  <si>
    <t>実況パワフルプロ野球２０１８_20200530123155_shade.txt</t>
  </si>
  <si>
    <t>実況パワフルプロ野球２０１８_20200530123201_shade.txt</t>
  </si>
  <si>
    <t>実況パワフルプロ野球２０１８_20200530123209_shade.txt</t>
  </si>
  <si>
    <t>実況パワフルプロ野球２０１８_20200530123215_shade.txt</t>
  </si>
  <si>
    <t>実況パワフルプロ野球２０１８_20200530123224_shade.txt</t>
  </si>
  <si>
    <t>実況パワフルプロ野球２０１８_20200530123231_shade.txt</t>
  </si>
  <si>
    <t>実況パワフルプロ野球２０１８_20200530123238_shade.txt</t>
  </si>
  <si>
    <t>実況パワフルプロ野球２０１８_20200530123245_shade.txt</t>
  </si>
  <si>
    <t>実況パワフルプロ野球２０１８_20200530123251_shade.txt</t>
  </si>
  <si>
    <t>実況パワフルプロ野球２０１８_20200530123258_shade.txt</t>
  </si>
  <si>
    <t>実況パワフルプロ野球２０１８_20200530123838_shade.txt</t>
  </si>
  <si>
    <t>実況パワフルプロ野球２０１８_20200530123845_shade.txt</t>
  </si>
  <si>
    <t>実況パワフルプロ野球２０１８_20200530123852_shade.txt</t>
  </si>
  <si>
    <t>実況パワフルプロ野球２０１８_20200530123901_shade.txt</t>
  </si>
  <si>
    <t>実況パワフルプロ野球２０１８_20200530123909_shade.txt</t>
  </si>
  <si>
    <t>実況パワフルプロ野球２０１８_20200530123916_shade.txt</t>
  </si>
  <si>
    <t>実況パワフルプロ野球２０１８_20200530123923_shade.txt</t>
  </si>
  <si>
    <t>実況パワフルプロ野球２０１８_20200530123932_shade.txt</t>
  </si>
  <si>
    <t>実況パワフルプロ野球２０１８_20200530123939_shade.txt</t>
  </si>
  <si>
    <t>実況パワフルプロ野球２０１８_20200530123947_shade.txt</t>
  </si>
  <si>
    <t>実況パワフルプロ野球２０１８_20200530123954_shade.txt</t>
  </si>
  <si>
    <t>球種</t>
    <rPh sb="0" eb="2">
      <t>キュウシュ</t>
    </rPh>
    <phoneticPr fontId="1"/>
  </si>
  <si>
    <t>ストレート</t>
    <phoneticPr fontId="1"/>
  </si>
  <si>
    <t>チェンジアップ</t>
    <phoneticPr fontId="1"/>
  </si>
  <si>
    <t>実況パワフルプロ野球２０１８_20200530165028_shade.txt</t>
  </si>
  <si>
    <t>実況パワフルプロ野球２０１８_20200530165036_shade.txt</t>
  </si>
  <si>
    <t>実況パワフルプロ野球２０１８_20200530165043_shade.txt</t>
  </si>
  <si>
    <t>実況パワフルプロ野球２０１８_20200530165050_shade.txt</t>
  </si>
  <si>
    <t>実況パワフルプロ野球２０１８_20200530165109_shade.txt</t>
  </si>
  <si>
    <t>実況パワフルプロ野球２０１８_20200530165140_shade.txt</t>
  </si>
  <si>
    <t>実況パワフルプロ野球２０１８_20200530165147_shade.txt</t>
  </si>
  <si>
    <t>実況パワフルプロ野球２０１８_20200530165258_shade.txt</t>
  </si>
  <si>
    <t>実況パワフルプロ野球２０１８_20200530165306_shade.txt</t>
  </si>
  <si>
    <t>実況パワフルプロ野球２０１８_20200530165314_shade.txt</t>
  </si>
  <si>
    <t>実況パワフルプロ野球２０１８_20200530165332_shade.txt</t>
  </si>
  <si>
    <t>実況パワフルプロ野球２０１８_20200530165422_shade.txt</t>
  </si>
  <si>
    <t>実況パワフルプロ野球２０１８_20200530165428_shade.txt</t>
  </si>
  <si>
    <t>実況パワフルプロ野球２０１８_20200530165451_shade.txt</t>
  </si>
  <si>
    <t>実況パワフルプロ野球２０１８_20200530165514_shade.txt</t>
  </si>
  <si>
    <t>実況パワフルプロ野球２０１８_20200530165521_shade.txt</t>
  </si>
  <si>
    <t>実況パワフルプロ野球２０１８_20200530165530_shade.txt</t>
  </si>
  <si>
    <t>実況パワフルプロ野球２０１８_20200530165536_shade.txt</t>
  </si>
  <si>
    <t>実況パワフルプロ野球２０１８_20200530165546_shade.txt</t>
  </si>
  <si>
    <t>実況パワフルプロ野球２０１８_20200530165552_shade.txt</t>
  </si>
  <si>
    <t>実況パワフルプロ野球２０１８_20200530165609_shade.txt</t>
  </si>
  <si>
    <t>実況パワフルプロ野球２０１８_20200530165615_shade.txt</t>
  </si>
  <si>
    <t>実況パワフルプロ野球２０１８_20200530165621_shade.txt</t>
  </si>
  <si>
    <t>実況パワフルプロ野球２０１８_20200530165639_shade.txt</t>
  </si>
  <si>
    <t>実況パワフルプロ野球２０１８_20200530165646_shade.txt</t>
  </si>
  <si>
    <t>実況パワフルプロ野球２０１８_20200530165653_shade.txt</t>
  </si>
  <si>
    <t>実況パワフルプロ野球２０１８_20200530165921_shade.txt</t>
  </si>
  <si>
    <t>実況パワフルプロ野球２０１８_20200530165927_shade.txt</t>
  </si>
  <si>
    <t>実況パワフルプロ野球２０１８_20200530165933_shade.txt</t>
  </si>
  <si>
    <t>実況パワフルプロ野球２０１８_20200530165946_shade.txt</t>
  </si>
  <si>
    <t>実況パワフルプロ野球２０１８_20200530165952_shade.txt</t>
  </si>
  <si>
    <t>実況パワフルプロ野球２０１８_20200530170106_shade.txt</t>
  </si>
  <si>
    <t>実況パワフルプロ野球２０１８_20200530170112_shade.txt</t>
  </si>
  <si>
    <t>実況パワフルプロ野球２０１８_20200530170119_shade.txt</t>
  </si>
  <si>
    <t>実況パワフルプロ野球２０１８_20200530170125_shade.txt</t>
  </si>
  <si>
    <t>実況パワフルプロ野球２０１８_20200530170132_shade.txt</t>
  </si>
  <si>
    <t>実況パワフルプロ野球２０１８_20200530170138_shade.txt</t>
  </si>
  <si>
    <t>ブレーキ</t>
    <phoneticPr fontId="1"/>
  </si>
  <si>
    <t>実況パワフルプロ野球２０１８_20200530112152_shade.txt</t>
    <phoneticPr fontId="1"/>
  </si>
  <si>
    <t>実況パワフルプロ野球２０１８_20200530112202_shade.txt</t>
    <phoneticPr fontId="1"/>
  </si>
  <si>
    <t>実況パワフルプロ野球２０１８_20200530112210_shade.txt</t>
    <phoneticPr fontId="1"/>
  </si>
  <si>
    <t>実況パワフルプロ野球２０１８_20200530112219_shade.txt</t>
    <phoneticPr fontId="1"/>
  </si>
  <si>
    <t>実況パワフルプロ野球２０１８_20200530112228_shade.txt</t>
    <phoneticPr fontId="1"/>
  </si>
  <si>
    <t>実況パワフルプロ野球２０１８_20200530112237_shade.txt</t>
    <phoneticPr fontId="1"/>
  </si>
  <si>
    <t>実況パワフルプロ野球２０１８_20200530112245_shade.txt</t>
    <phoneticPr fontId="1"/>
  </si>
  <si>
    <t>実況パワフルプロ野球２０１８_20200530112253_shade.txt</t>
    <phoneticPr fontId="1"/>
  </si>
  <si>
    <t>実況パワフルプロ野球２０１８_20200530112301_shade.txt</t>
    <phoneticPr fontId="1"/>
  </si>
  <si>
    <t>実況パワフルプロ野球２０１８_20200530112952_shade.txt</t>
    <phoneticPr fontId="1"/>
  </si>
  <si>
    <t>実況パワフルプロ野球２０１８_20200530113000_shade.txt</t>
    <phoneticPr fontId="1"/>
  </si>
  <si>
    <t>実況パワフルプロ野球２０１８_20200530113010_shade.txt</t>
    <phoneticPr fontId="1"/>
  </si>
  <si>
    <t>実況パワフルプロ野球２０１８_20200530113147_shade.txt</t>
    <phoneticPr fontId="1"/>
  </si>
  <si>
    <t>実況パワフルプロ野球２０１８_20200530113156_shade.txt</t>
    <phoneticPr fontId="1"/>
  </si>
  <si>
    <t>実況パワフルプロ野球２０１８_20200530113205_shade.txt</t>
    <phoneticPr fontId="1"/>
  </si>
  <si>
    <t>実況パワフルプロ野球２０１８_20200530113213_shade.txt</t>
    <phoneticPr fontId="1"/>
  </si>
  <si>
    <t>実況パワフルプロ野球２０１８_20200530113223_shade.txt</t>
    <phoneticPr fontId="1"/>
  </si>
  <si>
    <t>実況パワフルプロ野球２０１８_20200530113231_shade.txt</t>
    <phoneticPr fontId="1"/>
  </si>
  <si>
    <t>実況パワフルプロ野球２０１８_20200530113239_shade.txt</t>
    <phoneticPr fontId="1"/>
  </si>
  <si>
    <t>実況パワフルプロ野球２０１８_20200530113255_shade.txt</t>
    <phoneticPr fontId="1"/>
  </si>
  <si>
    <t>実況パワフルプロ野球２０１８_20200530113323_shade.txt</t>
    <phoneticPr fontId="1"/>
  </si>
  <si>
    <t>実況パワフルプロ野球２０１８_20200530113331_shade.txt</t>
    <phoneticPr fontId="1"/>
  </si>
  <si>
    <t>実況パワフルプロ野球２０１８_20200530113339_shade.txt</t>
    <phoneticPr fontId="1"/>
  </si>
  <si>
    <t>実況パワフルプロ野球２０１８_20200530113347_shade.txt</t>
    <phoneticPr fontId="1"/>
  </si>
  <si>
    <t>実況パワフルプロ野球２０１８_20200530113355_shade.txt</t>
    <phoneticPr fontId="1"/>
  </si>
  <si>
    <t>実況パワフルプロ野球２０１８_20200530113403_shade.txt</t>
    <phoneticPr fontId="1"/>
  </si>
  <si>
    <t>実況パワフルプロ野球２０１８_20200530113411_shade.txt</t>
    <phoneticPr fontId="1"/>
  </si>
  <si>
    <t>実況パワフルプロ野球２０１８_20200530113419_shade.txt</t>
    <phoneticPr fontId="1"/>
  </si>
  <si>
    <t>実況パワフルプロ野球２０１８_20200530113428_shade.txt</t>
    <phoneticPr fontId="1"/>
  </si>
  <si>
    <t>実況パワフルプロ野球２０１８_20200530113436_shade.txt</t>
    <phoneticPr fontId="1"/>
  </si>
  <si>
    <t>実況パワフルプロ野球２０１８_20200530113500_shade.txt</t>
    <phoneticPr fontId="1"/>
  </si>
  <si>
    <t>実況パワフルプロ野球２０１８_20200530113508_shade.txt</t>
    <phoneticPr fontId="1"/>
  </si>
  <si>
    <t>実況パワフルプロ野球２０１８_20200530113516_shade.txt</t>
    <phoneticPr fontId="1"/>
  </si>
  <si>
    <t>実況パワフルプロ野球２０１８_20200530113525_shade.txt</t>
    <phoneticPr fontId="1"/>
  </si>
  <si>
    <t>実況パワフルプロ野球２０１８_20200530113535_shade.txt</t>
    <phoneticPr fontId="1"/>
  </si>
  <si>
    <t>実況パワフルプロ野球２０１８_20200530113545_shade.txt</t>
    <phoneticPr fontId="1"/>
  </si>
  <si>
    <t>実況パワフルプロ野球２０１８_20200530113553_shade.txt</t>
    <phoneticPr fontId="1"/>
  </si>
  <si>
    <t>実況パワフルプロ野球２０１８_20200530113602_shade.txt</t>
    <phoneticPr fontId="1"/>
  </si>
  <si>
    <t>実況パワフルプロ野球２０１８_20200530113616_shade.txt</t>
    <phoneticPr fontId="1"/>
  </si>
  <si>
    <t>実況パワフルプロ野球２０１８_20200530113625_shade.txt</t>
    <phoneticPr fontId="1"/>
  </si>
  <si>
    <t>実況パワフルプロ野球２０１８_20200530113634_shade.txt</t>
    <phoneticPr fontId="1"/>
  </si>
  <si>
    <t>実況パワフルプロ野球２０１８_20200530113647_shade.txt</t>
    <phoneticPr fontId="1"/>
  </si>
  <si>
    <t>実況パワフルプロ野球２０１８_20200530113723_shade.txt</t>
    <phoneticPr fontId="1"/>
  </si>
  <si>
    <t>実況パワフルプロ野球２０１８_20200530113732_shade.txt</t>
    <phoneticPr fontId="1"/>
  </si>
  <si>
    <t>実況パワフルプロ野球２０１８_20200530113741_shade.txt</t>
    <phoneticPr fontId="1"/>
  </si>
  <si>
    <t>実況パワフルプロ野球２０１８_20200530113749_shade.txt</t>
    <phoneticPr fontId="1"/>
  </si>
  <si>
    <t>実況パワフルプロ野球２０１８_20200530113757_shade.txt</t>
    <phoneticPr fontId="1"/>
  </si>
  <si>
    <t>実況パワフルプロ野球２０１８_20200530113805_shade.txt</t>
    <phoneticPr fontId="1"/>
  </si>
  <si>
    <t>実況パワフルプロ野球２０１８_20200530113813_shade.txt</t>
    <phoneticPr fontId="1"/>
  </si>
  <si>
    <t>実況パワフルプロ野球２０１８_20200530113822_shade.txt</t>
    <phoneticPr fontId="1"/>
  </si>
  <si>
    <t>実況パワフルプロ野球２０１８_20200530113830_shade.txt</t>
    <phoneticPr fontId="1"/>
  </si>
  <si>
    <t>実況パワフルプロ野球２０１８_20200530113838_shade.txt</t>
    <phoneticPr fontId="1"/>
  </si>
  <si>
    <t>実況パワフルプロ野球２０１８_20200530113846_shade.txt</t>
    <phoneticPr fontId="1"/>
  </si>
  <si>
    <t>実況パワフルプロ野球２０１８_20200530113855_shade.txt</t>
    <phoneticPr fontId="1"/>
  </si>
  <si>
    <t>実況パワフルプロ野球２０１８_20200530113921_shade.txt</t>
    <phoneticPr fontId="1"/>
  </si>
  <si>
    <t>実況パワフルプロ野球２０１８_20200530113929_shade.txt</t>
    <phoneticPr fontId="1"/>
  </si>
  <si>
    <t>実況パワフルプロ野球２０１８_20200530113938_shade.txt</t>
    <phoneticPr fontId="1"/>
  </si>
  <si>
    <t>実況パワフルプロ野球２０１８_20200530113946_shade.txt</t>
    <phoneticPr fontId="1"/>
  </si>
  <si>
    <t>実況パワフルプロ野球２０１８_20200530113954_shade.txt</t>
    <phoneticPr fontId="1"/>
  </si>
  <si>
    <t>実況パワフルプロ野球２０１８_20200530114003_shade.txt</t>
    <phoneticPr fontId="1"/>
  </si>
  <si>
    <t>実況パワフルプロ野球２０１８_20200530114011_shade.txt</t>
    <phoneticPr fontId="1"/>
  </si>
  <si>
    <t>実況パワフルプロ野球２０１８_20200530114019_shade.txt</t>
    <phoneticPr fontId="1"/>
  </si>
  <si>
    <t>実況パワフルプロ野球２０１８_20200530114027_shade.txt</t>
    <phoneticPr fontId="1"/>
  </si>
  <si>
    <t>実況パワフルプロ野球２０１８_20200530114035_shade.txt</t>
    <phoneticPr fontId="1"/>
  </si>
  <si>
    <t>実況パワフルプロ野球２０１８_20200530114042_shade.txt</t>
    <phoneticPr fontId="1"/>
  </si>
  <si>
    <t>実況パワフルプロ野球２０１８_20200530114050_shade.txt</t>
    <phoneticPr fontId="1"/>
  </si>
  <si>
    <t>実況パワフルプロ野球２０１８_20200530114058_shade.txt</t>
    <phoneticPr fontId="1"/>
  </si>
  <si>
    <t>実況パワフルプロ野球２０１８_20200530122001_shade.txt</t>
    <phoneticPr fontId="1"/>
  </si>
  <si>
    <t>実況パワフルプロ野球２０１８_20200530122010_shade.txt</t>
    <phoneticPr fontId="1"/>
  </si>
  <si>
    <t>実況パワフルプロ野球２０１８_20200530122018_shade.txt</t>
    <phoneticPr fontId="1"/>
  </si>
  <si>
    <t>実況パワフルプロ野球２０１８_20200530122026_shade.txt</t>
    <phoneticPr fontId="1"/>
  </si>
  <si>
    <t>実況パワフルプロ野球２０１８_20200530122034_shade.txt</t>
    <phoneticPr fontId="1"/>
  </si>
  <si>
    <t>実況パワフルプロ野球２０１８_20200530122042_shade.txt</t>
    <phoneticPr fontId="1"/>
  </si>
  <si>
    <t>実況パワフルプロ野球２０１８_20200530122050_shade.txt</t>
    <phoneticPr fontId="1"/>
  </si>
  <si>
    <t>実況パワフルプロ野球２０１８_20200530122058_shade.txt</t>
    <phoneticPr fontId="1"/>
  </si>
  <si>
    <t>実況パワフルプロ野球２０１８_20200530122105_shade.txt</t>
    <phoneticPr fontId="1"/>
  </si>
  <si>
    <t>実況パワフルプロ野球２０１８_20200530122113_shade.txt</t>
    <phoneticPr fontId="1"/>
  </si>
  <si>
    <t>実況パワフルプロ野球２０１８_20200530122137_shade.txt</t>
    <phoneticPr fontId="1"/>
  </si>
  <si>
    <t>実況パワフルプロ野球２０１８_20200530122144_shade.txt</t>
    <phoneticPr fontId="1"/>
  </si>
  <si>
    <t>実況パワフルプロ野球２０１８_20200530122151_shade.txt</t>
    <phoneticPr fontId="1"/>
  </si>
  <si>
    <t>実況パワフルプロ野球２０１８_20200530122159_shade.txt</t>
    <phoneticPr fontId="1"/>
  </si>
  <si>
    <t>実況パワフルプロ野球２０１８_20200530122206_shade.txt</t>
    <phoneticPr fontId="1"/>
  </si>
  <si>
    <t>実況パワフルプロ野球２０１８_20200530122213_shade.txt</t>
    <phoneticPr fontId="1"/>
  </si>
  <si>
    <t>実況パワフルプロ野球２０１８_20200530122228_shade.txt</t>
    <phoneticPr fontId="1"/>
  </si>
  <si>
    <t>実況パワフルプロ野球２０１８_20200530122235_shade.txt</t>
    <phoneticPr fontId="1"/>
  </si>
  <si>
    <t>実況パワフルプロ野球２０１８_20200530122242_shade.txt</t>
    <phoneticPr fontId="1"/>
  </si>
  <si>
    <t>実況パワフルプロ野球２０１８_20200530122250_shade.txt</t>
    <phoneticPr fontId="1"/>
  </si>
  <si>
    <t>実況パワフルプロ野球２０１８_20200530122257_shade.txt</t>
    <phoneticPr fontId="1"/>
  </si>
  <si>
    <t>実況パワフルプロ野球２０１８_20200530122318_shade.txt</t>
    <phoneticPr fontId="1"/>
  </si>
  <si>
    <t>実況パワフルプロ野球２０１８_20200530122325_shade.txt</t>
    <phoneticPr fontId="1"/>
  </si>
  <si>
    <t>実況パワフルプロ野球２０１８_20200530122332_shade.txt</t>
    <phoneticPr fontId="1"/>
  </si>
  <si>
    <t>実況パワフルプロ野球２０１８_20200530122340_shade.txt</t>
    <phoneticPr fontId="1"/>
  </si>
  <si>
    <t>実況パワフルプロ野球２０１８_20200530122347_shade.txt</t>
    <phoneticPr fontId="1"/>
  </si>
  <si>
    <t>実況パワフルプロ野球２０１８_20200530122354_shade.txt</t>
    <phoneticPr fontId="1"/>
  </si>
  <si>
    <t>実況パワフルプロ野球２０１８_20200530122401_shade.txt</t>
    <phoneticPr fontId="1"/>
  </si>
  <si>
    <t>実況パワフルプロ野球２０１８_20200530122408_shade.txt</t>
    <phoneticPr fontId="1"/>
  </si>
  <si>
    <t>実況パワフルプロ野球２０１８_20200530122415_shade.txt</t>
    <phoneticPr fontId="1"/>
  </si>
  <si>
    <t>実況パワフルプロ野球２０１８_20200530122422_shade.txt</t>
    <phoneticPr fontId="1"/>
  </si>
  <si>
    <t>実況パワフルプロ野球２０１８_20200530122429_shade.txt</t>
    <phoneticPr fontId="1"/>
  </si>
  <si>
    <t>実況パワフルプロ野球２０１８_20200530122452_shade.txt</t>
    <phoneticPr fontId="1"/>
  </si>
  <si>
    <t>実況パワフルプロ野球２０１８_20200530122500_shade.txt</t>
    <phoneticPr fontId="1"/>
  </si>
  <si>
    <t>実況パワフルプロ野球２０１８_20200530122507_shade.txt</t>
    <phoneticPr fontId="1"/>
  </si>
  <si>
    <t>実況パワフルプロ野球２０１８_20200530122515_shade.txt</t>
    <phoneticPr fontId="1"/>
  </si>
  <si>
    <t>実況パワフルプロ野球２０１８_20200530122522_shade.txt</t>
    <phoneticPr fontId="1"/>
  </si>
  <si>
    <t>実況パワフルプロ野球２０１８_20200530122529_shade.txt</t>
    <phoneticPr fontId="1"/>
  </si>
  <si>
    <t>実況パワフルプロ野球２０１８_20200530122536_shade.txt</t>
    <phoneticPr fontId="1"/>
  </si>
  <si>
    <t>実況パワフルプロ野球２０１８_20200530122543_shade.txt</t>
    <phoneticPr fontId="1"/>
  </si>
  <si>
    <t>実況パワフルプロ野球２０１８_20200530122550_shade.txt</t>
    <phoneticPr fontId="1"/>
  </si>
  <si>
    <t>実況パワフルプロ野球２０１８_20200530122558_shade.txt</t>
    <phoneticPr fontId="1"/>
  </si>
  <si>
    <t>実況パワフルプロ野球２０１８_20200530122605_shade.txt</t>
    <phoneticPr fontId="1"/>
  </si>
  <si>
    <t>実況パワフルプロ野球２０１８_20200530122612_shade.txt</t>
    <phoneticPr fontId="1"/>
  </si>
  <si>
    <t>実況パワフルプロ野球２０１８_20200530122619_shade.txt</t>
    <phoneticPr fontId="1"/>
  </si>
  <si>
    <t>実況パワフルプロ野球２０１８_20200530122626_shade.txt</t>
    <phoneticPr fontId="1"/>
  </si>
  <si>
    <t>実況パワフルプロ野球２０１８_20200530122646_shade.txt</t>
    <phoneticPr fontId="1"/>
  </si>
  <si>
    <t>実況パワフルプロ野球２０１８_20200530122654_shade.txt</t>
    <phoneticPr fontId="1"/>
  </si>
  <si>
    <t>実況パワフルプロ野球２０１８_20200530122701_shade.txt</t>
    <phoneticPr fontId="1"/>
  </si>
  <si>
    <t>実況パワフルプロ野球２０１８_20200530122708_shade.txt</t>
    <phoneticPr fontId="1"/>
  </si>
  <si>
    <t>実況パワフルプロ野球２０１８_20200530122716_shade.txt</t>
    <phoneticPr fontId="1"/>
  </si>
  <si>
    <t>実況パワフルプロ野球２０１８_20200530122723_shade.txt</t>
    <phoneticPr fontId="1"/>
  </si>
  <si>
    <t>実況パワフルプロ野球２０１８_20200530122730_shade.txt</t>
    <phoneticPr fontId="1"/>
  </si>
  <si>
    <t>実況パワフルプロ野球２０１８_20200530122737_shade.txt</t>
    <phoneticPr fontId="1"/>
  </si>
  <si>
    <t>実況パワフルプロ野球２０１８_20200530122745_shade.txt</t>
    <phoneticPr fontId="1"/>
  </si>
  <si>
    <t>実況パワフルプロ野球２０１８_20200530122752_shade.txt</t>
    <phoneticPr fontId="1"/>
  </si>
  <si>
    <t>実況パワフルプロ野球２０１８_20200530122758_shade.txt</t>
    <phoneticPr fontId="1"/>
  </si>
  <si>
    <t>実況パワフルプロ野球２０１８_20200530122818_shade.txt</t>
    <phoneticPr fontId="1"/>
  </si>
  <si>
    <t>実況パワフルプロ野球２０１８_20200530122825_shade.txt</t>
    <phoneticPr fontId="1"/>
  </si>
  <si>
    <t>実況パワフルプロ野球２０１８_20200530122832_shade.txt</t>
    <phoneticPr fontId="1"/>
  </si>
  <si>
    <t>実況パワフルプロ野球２０１８_20200530122839_shade.txt</t>
    <phoneticPr fontId="1"/>
  </si>
  <si>
    <t>実況パワフルプロ野球２０１８_20200530122846_shade.txt</t>
    <phoneticPr fontId="1"/>
  </si>
  <si>
    <t>実況パワフルプロ野球２０１８_20200530122854_shade.txt</t>
    <phoneticPr fontId="1"/>
  </si>
  <si>
    <t>実況パワフルプロ野球２０１８_20200530122901_shade.txt</t>
    <phoneticPr fontId="1"/>
  </si>
  <si>
    <t>実況パワフルプロ野球２０１８_20200530122908_shade.txt</t>
    <phoneticPr fontId="1"/>
  </si>
  <si>
    <t>実況パワフルプロ野球２０１８_20200530122915_shade.txt</t>
    <phoneticPr fontId="1"/>
  </si>
  <si>
    <t>実況パワフルプロ野球２０１８_20200530122923_shade.txt</t>
    <phoneticPr fontId="1"/>
  </si>
  <si>
    <t>実況パワフルプロ野球２０１８_20200530122931_shade.txt</t>
    <phoneticPr fontId="1"/>
  </si>
  <si>
    <t>実況パワフルプロ野球２０１８_20200530122938_shade.txt</t>
    <phoneticPr fontId="1"/>
  </si>
  <si>
    <t>実況パワフルプロ野球２０１８_20200530122945_shade.txt</t>
    <phoneticPr fontId="1"/>
  </si>
  <si>
    <t>実況パワフルプロ野球２０１８_20200530123004_shade.txt</t>
    <phoneticPr fontId="1"/>
  </si>
  <si>
    <t>実況パワフルプロ野球２０１８_20200530123011_shade.txt</t>
    <phoneticPr fontId="1"/>
  </si>
  <si>
    <t>実況パワフルプロ野球２０１８_20200530123019_shade.txt</t>
    <phoneticPr fontId="1"/>
  </si>
  <si>
    <t>実況パワフルプロ野球２０１８_20200530123026_shade.txt</t>
    <phoneticPr fontId="1"/>
  </si>
  <si>
    <t>実況パワフルプロ野球２０１８_20200530123033_shade.txt</t>
    <phoneticPr fontId="1"/>
  </si>
  <si>
    <t>実況パワフルプロ野球２０１８_20200530123040_shade.txt</t>
    <phoneticPr fontId="1"/>
  </si>
  <si>
    <t>実況パワフルプロ野球２０１８_20200530123047_shade.txt</t>
    <phoneticPr fontId="1"/>
  </si>
  <si>
    <t>実況パワフルプロ野球２０１８_20200530123054_shade.txt</t>
    <phoneticPr fontId="1"/>
  </si>
  <si>
    <t>実況パワフルプロ野球２０１８_20200530123101_shade.txt</t>
    <phoneticPr fontId="1"/>
  </si>
  <si>
    <t>実況パワフルプロ野球２０１８_20200530123108_shade.txt</t>
    <phoneticPr fontId="1"/>
  </si>
  <si>
    <t>実況パワフルプロ野球２０１８_20200530123115_shade.txt</t>
    <phoneticPr fontId="1"/>
  </si>
  <si>
    <t>実況パワフルプロ野球２０１８_20200530123122_shade.txt</t>
    <phoneticPr fontId="1"/>
  </si>
  <si>
    <t>実況パワフルプロ野球２０１８_20200530123129_shade.txt</t>
    <phoneticPr fontId="1"/>
  </si>
  <si>
    <t>実況パワフルプロ野球２０１８_20200530123147_shade.txt</t>
    <phoneticPr fontId="1"/>
  </si>
  <si>
    <t>実況パワフルプロ野球２０１８_20200530123155_shade.txt</t>
    <phoneticPr fontId="1"/>
  </si>
  <si>
    <t>実況パワフルプロ野球２０１８_20200530123201_shade.txt</t>
    <phoneticPr fontId="1"/>
  </si>
  <si>
    <t>実況パワフルプロ野球２０１８_20200530123209_shade.txt</t>
    <phoneticPr fontId="1"/>
  </si>
  <si>
    <t>実況パワフルプロ野球２０１８_20200530123215_shade.txt</t>
    <phoneticPr fontId="1"/>
  </si>
  <si>
    <t>実況パワフルプロ野球２０１８_20200530123224_shade.txt</t>
    <phoneticPr fontId="1"/>
  </si>
  <si>
    <t>実況パワフルプロ野球２０１８_20200530123231_shade.txt</t>
    <phoneticPr fontId="1"/>
  </si>
  <si>
    <t>実況パワフルプロ野球２０１８_20200530123238_shade.txt</t>
    <phoneticPr fontId="1"/>
  </si>
  <si>
    <t>実況パワフルプロ野球２０１８_20200530123245_shade.txt</t>
    <phoneticPr fontId="1"/>
  </si>
  <si>
    <t>実況パワフルプロ野球２０１８_20200530123251_shade.txt</t>
    <phoneticPr fontId="1"/>
  </si>
  <si>
    <t>実況パワフルプロ野球２０１８_20200530123258_shade.txt</t>
    <phoneticPr fontId="1"/>
  </si>
  <si>
    <t>実況パワフルプロ野球２０１８_20200530123838_shade.txt</t>
    <phoneticPr fontId="1"/>
  </si>
  <si>
    <t>実況パワフルプロ野球２０１８_20200530123845_shade.txt</t>
    <phoneticPr fontId="1"/>
  </si>
  <si>
    <t>実況パワフルプロ野球２０１８_20200530123852_shade.txt</t>
    <phoneticPr fontId="1"/>
  </si>
  <si>
    <t>実況パワフルプロ野球２０１８_20200530123901_shade.txt</t>
    <phoneticPr fontId="1"/>
  </si>
  <si>
    <t>実況パワフルプロ野球２０１８_20200530123909_shade.txt</t>
    <phoneticPr fontId="1"/>
  </si>
  <si>
    <t>実況パワフルプロ野球２０１８_20200530123916_shade.txt</t>
    <phoneticPr fontId="1"/>
  </si>
  <si>
    <t>実況パワフルプロ野球２０１８_20200530123923_shade.txt</t>
    <phoneticPr fontId="1"/>
  </si>
  <si>
    <t>実況パワフルプロ野球２０１８_20200530123932_shade.txt</t>
    <phoneticPr fontId="1"/>
  </si>
  <si>
    <t>実況パワフルプロ野球２０１８_20200530123939_shade.txt</t>
    <phoneticPr fontId="1"/>
  </si>
  <si>
    <t>実況パワフルプロ野球２０１８_20200530123947_shade.txt</t>
    <phoneticPr fontId="1"/>
  </si>
  <si>
    <t>実況パワフルプロ野球２０１８_20200530123954_shade.txt</t>
    <phoneticPr fontId="1"/>
  </si>
  <si>
    <t>実況パワフルプロ野球２０１８_20200530165028_shade.txt</t>
    <phoneticPr fontId="1"/>
  </si>
  <si>
    <t>実況パワフルプロ野球２０１８_20200530165036_shade.txt</t>
    <phoneticPr fontId="1"/>
  </si>
  <si>
    <t>実況パワフルプロ野球２０１８_20200530165043_shade.txt</t>
    <phoneticPr fontId="1"/>
  </si>
  <si>
    <t>実況パワフルプロ野球２０１８_20200530165050_shade.txt</t>
    <phoneticPr fontId="1"/>
  </si>
  <si>
    <t>実況パワフルプロ野球２０１８_20200530165109_shade.txt</t>
    <phoneticPr fontId="1"/>
  </si>
  <si>
    <t>実況パワフルプロ野球２０１８_20200530165140_shade.txt</t>
    <phoneticPr fontId="1"/>
  </si>
  <si>
    <t>実況パワフルプロ野球２０１８_20200530165147_shade.txt</t>
    <phoneticPr fontId="1"/>
  </si>
  <si>
    <t>実況パワフルプロ野球２０１８_20200530165258_shade.txt</t>
    <phoneticPr fontId="1"/>
  </si>
  <si>
    <t>実況パワフルプロ野球２０１８_20200530165306_shade.txt</t>
    <phoneticPr fontId="1"/>
  </si>
  <si>
    <t>実況パワフルプロ野球２０１８_20200530165314_shade.txt</t>
    <phoneticPr fontId="1"/>
  </si>
  <si>
    <t>実況パワフルプロ野球２０１８_20200530165332_shade.txt</t>
    <phoneticPr fontId="1"/>
  </si>
  <si>
    <t>実況パワフルプロ野球２０１８_20200530165422_shade.txt</t>
    <phoneticPr fontId="1"/>
  </si>
  <si>
    <t>実況パワフルプロ野球２０１８_20200530165428_shade.txt</t>
    <phoneticPr fontId="1"/>
  </si>
  <si>
    <t>実況パワフルプロ野球２０１８_20200530165451_shade.txt</t>
    <phoneticPr fontId="1"/>
  </si>
  <si>
    <t>実況パワフルプロ野球２０１８_20200530165514_shade.txt</t>
    <phoneticPr fontId="1"/>
  </si>
  <si>
    <t>実況パワフルプロ野球２０１８_20200530165521_shade.txt</t>
    <phoneticPr fontId="1"/>
  </si>
  <si>
    <t>実況パワフルプロ野球２０１８_20200530165530_shade.txt</t>
    <phoneticPr fontId="1"/>
  </si>
  <si>
    <t>実況パワフルプロ野球２０１８_20200530165536_shade.txt</t>
    <phoneticPr fontId="1"/>
  </si>
  <si>
    <t>実況パワフルプロ野球２０１８_20200530165546_shade.txt</t>
    <phoneticPr fontId="1"/>
  </si>
  <si>
    <t>実況パワフルプロ野球２０１８_20200530165552_shade.txt</t>
    <phoneticPr fontId="1"/>
  </si>
  <si>
    <t>実況パワフルプロ野球２０１８_20200530165609_shade.txt</t>
    <phoneticPr fontId="1"/>
  </si>
  <si>
    <t>実況パワフルプロ野球２０１８_20200530165615_shade.txt</t>
    <phoneticPr fontId="1"/>
  </si>
  <si>
    <t>実況パワフルプロ野球２０１８_20200530165621_shade.txt</t>
    <phoneticPr fontId="1"/>
  </si>
  <si>
    <t>実況パワフルプロ野球２０１８_20200530165639_shade.txt</t>
    <phoneticPr fontId="1"/>
  </si>
  <si>
    <t>実況パワフルプロ野球２０１８_20200530165646_shade.txt</t>
    <phoneticPr fontId="1"/>
  </si>
  <si>
    <t>実況パワフルプロ野球２０１８_20200530165653_shade.txt</t>
    <phoneticPr fontId="1"/>
  </si>
  <si>
    <t>実況パワフルプロ野球２０１８_20200530165921_shade.txt</t>
    <phoneticPr fontId="1"/>
  </si>
  <si>
    <t>実況パワフルプロ野球２０１８_20200530165927_shade.txt</t>
    <phoneticPr fontId="1"/>
  </si>
  <si>
    <t>実況パワフルプロ野球２０１８_20200530165933_shade.txt</t>
    <phoneticPr fontId="1"/>
  </si>
  <si>
    <t>実況パワフルプロ野球２０１８_20200530165946_shade.txt</t>
    <phoneticPr fontId="1"/>
  </si>
  <si>
    <t>実況パワフルプロ野球２０１８_20200530165952_shade.txt</t>
    <phoneticPr fontId="1"/>
  </si>
  <si>
    <t>実況パワフルプロ野球２０１８_20200530170106_shade.txt</t>
    <phoneticPr fontId="1"/>
  </si>
  <si>
    <t>実況パワフルプロ野球２０１８_20200530170112_shade.txt</t>
    <phoneticPr fontId="1"/>
  </si>
  <si>
    <t>実況パワフルプロ野球２０１８_20200530170119_shade.txt</t>
    <phoneticPr fontId="1"/>
  </si>
  <si>
    <t>実況パワフルプロ野球２０１８_20200530170125_shade.txt</t>
    <phoneticPr fontId="1"/>
  </si>
  <si>
    <t>実況パワフルプロ野球２０１８_20200530170132_shade.txt</t>
    <phoneticPr fontId="1"/>
  </si>
  <si>
    <t>実況パワフルプロ野球２０１８_20200530170138_shade.txt</t>
    <phoneticPr fontId="1"/>
  </si>
  <si>
    <t>実況パワフルプロ野球２０１８_20200530172047_shade.txt</t>
  </si>
  <si>
    <t>実況パワフルプロ野球２０１８_20200530172054_shade.txt</t>
  </si>
  <si>
    <t>実況パワフルプロ野球２０１８_20200530172101_shade.txt</t>
  </si>
  <si>
    <t>実況パワフルプロ野球２０１８_20200530172108_shade.txt</t>
  </si>
  <si>
    <t>実況パワフルプロ野球２０１８_20200530172116_shade.txt</t>
  </si>
  <si>
    <t>実況パワフルプロ野球２０１８_20200530172136_shade.txt</t>
  </si>
  <si>
    <t>実況パワフルプロ野球２０１８_20200530172144_shade.txt</t>
  </si>
  <si>
    <t>実況パワフルプロ野球２０１８_20200530172152_shade.txt</t>
  </si>
  <si>
    <t>実況パワフルプロ野球２０１８_20200530172159_shade.txt</t>
  </si>
  <si>
    <t>実況パワフルプロ野球２０１８_20200530172206_shade.txt</t>
  </si>
  <si>
    <t>実況パワフルプロ野球２０１８_20200530172213_shade.txt</t>
  </si>
  <si>
    <t>実況パワフルプロ野球２０１８_20200530172220_shade.txt</t>
  </si>
  <si>
    <t>実況パワフルプロ野球２０１８_20200530172240_shade.txt</t>
  </si>
  <si>
    <t>実況パワフルプロ野球２０１８_20200530172248_shade.txt</t>
  </si>
  <si>
    <t>実況パワフルプロ野球２０１８_20200530172255_shade.txt</t>
  </si>
  <si>
    <t>実況パワフルプロ野球２０１８_20200530172303_shade.txt</t>
  </si>
  <si>
    <t>実況パワフルプロ野球２０１８_20200530172310_shade.txt</t>
  </si>
  <si>
    <t>実況パワフルプロ野球２０１８_20200530172327_shade.txt</t>
  </si>
  <si>
    <t>実況パワフルプロ野球２０１８_20200530172334_shade.txt</t>
  </si>
  <si>
    <t>実況パワフルプロ野球２０１８_20200530172341_shade.txt</t>
  </si>
  <si>
    <t>実況パワフルプロ野球２０１８_20200530172404_shade.txt</t>
  </si>
  <si>
    <t>実況パワフルプロ野球２０１８_20200530172412_shade.txt</t>
  </si>
  <si>
    <t>実況パワフルプロ野球２０１８_20200530172421_shade.txt</t>
  </si>
  <si>
    <t>実況パワフルプロ野球２０１８_20200530172429_shade.txt</t>
  </si>
  <si>
    <t>実況パワフルプロ野球２０１８_20200530172437_shade.txt</t>
  </si>
  <si>
    <t>実況パワフルプロ野球２０１８_20200530172445_shade.txt</t>
  </si>
  <si>
    <t>実況パワフルプロ野球２０１８_20200530172452_shade.txt</t>
  </si>
  <si>
    <t>実況パワフルプロ野球２０１８_20200530172538_shade.txt</t>
  </si>
  <si>
    <t>実況パワフルプロ野球２０１８_20200530172551_shade.txt</t>
  </si>
  <si>
    <t>実況パワフルプロ野球２０１８_20200530172558_shade.txt</t>
  </si>
  <si>
    <t>実況パワフルプロ野球２０１８_20200530172606_shade.txt</t>
  </si>
  <si>
    <t>実況パワフルプロ野球２０１８_20200530172615_shade.txt</t>
  </si>
  <si>
    <t>実況パワフルプロ野球２０１８_20200530172635_shade.txt</t>
  </si>
  <si>
    <t>実況パワフルプロ野球２０１８_20200530172643_shade.txt</t>
  </si>
  <si>
    <t>実況パワフルプロ野球２０１８_20200530172650_shade.txt</t>
  </si>
  <si>
    <t>実況パワフルプロ野球２０１８_20200530172658_shade.txt</t>
  </si>
  <si>
    <t>実況パワフルプロ野球２０１８_20200530172705_shade.txt</t>
  </si>
  <si>
    <t>実況パワフルプロ野球２０１８_20200530172713_shade.txt</t>
  </si>
  <si>
    <t>実況パワフルプロ野球２０１８_20200530172720_shade.txt</t>
  </si>
  <si>
    <t>実況パワフルプロ野球２０１８_20200530172727_shade.txt</t>
  </si>
  <si>
    <t>実況パワフルプロ野球２０１８_20200530172735_shade.txt</t>
  </si>
  <si>
    <t>実況パワフルプロ野球２０１８_20200530172742_shade.txt</t>
  </si>
  <si>
    <t>実況パワフルプロ野球２０１８_20200530172750_shade.txt</t>
  </si>
  <si>
    <t>実況パワフルプロ野球２０１８_20200530172756_shade.txt</t>
  </si>
  <si>
    <t>実況パワフルプロ野球２０１８_20200530172804_shade.txt</t>
  </si>
  <si>
    <t>実況パワフルプロ野球２０１８_20200530172815_shade.txt</t>
  </si>
  <si>
    <t>実況パワフルプロ野球２０１８_20200530172822_shade.txt</t>
  </si>
  <si>
    <t>実況パワフルプロ野球２０１８_20200530172851_shade.txt</t>
  </si>
  <si>
    <t>実況パワフルプロ野球２０１８_20200530172901_shade.txt</t>
  </si>
  <si>
    <t>実況パワフルプロ野球２０１８_20200530172909_shade.txt</t>
  </si>
  <si>
    <t>実況パワフルプロ野球２０１８_20200530172917_shade.txt</t>
  </si>
  <si>
    <t>実況パワフルプロ野球２０１８_20200530172925_shade.txt</t>
  </si>
  <si>
    <t>実況パワフルプロ野球２０１８_20200530172933_shade.txt</t>
  </si>
  <si>
    <t>実況パワフルプロ野球２０１８_20200530172941_shade.txt</t>
  </si>
  <si>
    <t>実況パワフルプロ野球２０１８_20200530172948_shade.txt</t>
  </si>
  <si>
    <t>実況パワフルプロ野球２０１８_20200530173006_shade.txt</t>
  </si>
  <si>
    <t>実況パワフルプロ野球２０１８_20200530173014_shade.txt</t>
  </si>
  <si>
    <t>実況パワフルプロ野球２０１８_20200530173021_shade.txt</t>
  </si>
  <si>
    <t>実況パワフルプロ野球２０１８_20200530173028_shade.txt</t>
  </si>
  <si>
    <t>実況パワフルプロ野球２０１８_20200530173035_shade.txt</t>
  </si>
  <si>
    <t>実況パワフルプロ野球２０１８_20200530173101_shade.txt</t>
  </si>
  <si>
    <t>実況パワフルプロ野球２０１８_20200530173109_shade.txt</t>
  </si>
  <si>
    <t>実況パワフルプロ野球２０１８_20200530173117_shade.txt</t>
  </si>
  <si>
    <t>実況パワフルプロ野球２０１８_20200530173124_shade.txt</t>
  </si>
  <si>
    <t>実況パワフルプロ野球２０１８_20200530173132_shade.txt</t>
  </si>
  <si>
    <t>実況パワフルプロ野球２０１８_20200530173140_shade.txt</t>
  </si>
  <si>
    <t>実況パワフルプロ野球２０１８_20200530173148_shade.txt</t>
  </si>
  <si>
    <t>実況パワフルプロ野球２０１８_20200530173155_shade.txt</t>
  </si>
  <si>
    <t>実況パワフルプロ野球２０１８_20200530173203_shade.txt</t>
  </si>
  <si>
    <t>実況パワフルプロ野球２０１８_20200530173211_shade.txt</t>
  </si>
  <si>
    <t>実況パワフルプロ野球２０１８_20200530173230_shade.txt</t>
  </si>
  <si>
    <t>実況パワフルプロ野球２０１８_20200530173238_shade.txt</t>
  </si>
  <si>
    <t>実況パワフルプロ野球２０１８_20200530173247_shade.txt</t>
  </si>
  <si>
    <t>実況パワフルプロ野球２０１８_20200530173255_shade.txt</t>
  </si>
  <si>
    <t>実況パワフルプロ野球２０１８_20200530173303_shade.txt</t>
  </si>
  <si>
    <t>実況パワフルプロ野球２０１８_20200530173319_shade.txt</t>
  </si>
  <si>
    <t>実況パワフルプロ野球２０１８_20200530173437_shade.txt</t>
  </si>
  <si>
    <t>実況パワフルプロ野球２０１８_20200530173445_shade.txt</t>
  </si>
  <si>
    <t>実況パワフルプロ野球２０１８_20200530173452_shade.txt</t>
  </si>
  <si>
    <t>実況パワフルプロ野球２０１８_20200530173500_shade.txt</t>
  </si>
  <si>
    <t>実況パワフルプロ野球２０１８_20200530173508_shade.txt</t>
  </si>
  <si>
    <t>実況パワフルプロ野球２０１８_20200530173515_shade.txt</t>
  </si>
  <si>
    <t>実況パワフルプロ野球２０１８_20200530173524_shade.txt</t>
  </si>
  <si>
    <t>実況パワフルプロ野球２０１８_20200530173532_shade.txt</t>
  </si>
  <si>
    <t>実況パワフルプロ野球２０１８_20200530173544_shade.txt</t>
  </si>
  <si>
    <t>実況パワフルプロ野球２０１８_20200530173552_shade.txt</t>
  </si>
  <si>
    <t>実況パワフルプロ野球２０１８_20200530173559_shade.txt</t>
  </si>
  <si>
    <t>実況パワフルプロ野球２０１８_20200530173625_shade.txt</t>
  </si>
  <si>
    <t>実況パワフルプロ野球２０１８_20200530173633_shade.txt</t>
  </si>
  <si>
    <t>実況パワフルプロ野球２０１８_20200530173640_shade.txt</t>
  </si>
  <si>
    <t>実況パワフルプロ野球２０１８_20200530173648_shade.txt</t>
  </si>
  <si>
    <t>実況パワフルプロ野球２０１８_20200530173706_shade.txt</t>
  </si>
  <si>
    <t>実況パワフルプロ野球２０１８_20200530173717_shade.txt</t>
  </si>
  <si>
    <t>実況パワフルプロ野球２０１８_20200530173724_shade.txt</t>
  </si>
  <si>
    <t>実況パワフルプロ野球２０１８_20200530173901_shade.txt</t>
  </si>
  <si>
    <t>実況パワフルプロ野球２０１８_20200530173909_shade.txt</t>
  </si>
  <si>
    <t>実況パワフルプロ野球２０１８_20200530174033_shade.txt</t>
  </si>
  <si>
    <t>実況パワフルプロ野球２０１８_20200530174043_shade.txt</t>
  </si>
  <si>
    <t>実況パワフルプロ野球２０１８_20200530174050_shade.txt</t>
  </si>
  <si>
    <t>実況パワフルプロ野球２０１８_20200530174115_shade.txt</t>
  </si>
  <si>
    <t>実況パワフルプロ野球２０１８_20200530174137_shade.txt</t>
  </si>
  <si>
    <t>実況パワフルプロ野球２０１８_20200530174145_shade.txt</t>
  </si>
  <si>
    <t>実況パワフルプロ野球２０１８_20200530174152_shade.txt</t>
  </si>
  <si>
    <t>実況パワフルプロ野球２０１８_20200530174200_shade.txt</t>
  </si>
  <si>
    <t>実況パワフルプロ野球２０１８_20200530174208_shade.txt</t>
  </si>
  <si>
    <t>実況パワフルプロ野球２０１８_20200530174216_shade.txt</t>
  </si>
  <si>
    <t>実況パワフルプロ野球２０１８_20200530174224_shade.txt</t>
  </si>
  <si>
    <t>実況パワフルプロ野球２０１８_20200530174231_shade.txt</t>
  </si>
  <si>
    <t>実況パワフルプロ野球２０１８_20200530174239_shade.txt</t>
  </si>
  <si>
    <t>実況パワフルプロ野球２０１８_20200530174246_shade.txt</t>
  </si>
  <si>
    <t>実況パワフルプロ野球２０１８_20200530174254_shade.txt</t>
  </si>
  <si>
    <t>ストレート換算式</t>
    <rPh sb="5" eb="7">
      <t>カンサン</t>
    </rPh>
    <rPh sb="7" eb="8">
      <t>シキ</t>
    </rPh>
    <phoneticPr fontId="1"/>
  </si>
  <si>
    <t>変化球換算式</t>
    <rPh sb="0" eb="3">
      <t>ヘンカキュウ</t>
    </rPh>
    <rPh sb="3" eb="5">
      <t>カンサン</t>
    </rPh>
    <rPh sb="5" eb="6">
      <t>シキ</t>
    </rPh>
    <phoneticPr fontId="1"/>
  </si>
  <si>
    <t>S1</t>
    <phoneticPr fontId="1"/>
  </si>
  <si>
    <t>H1</t>
    <phoneticPr fontId="1"/>
  </si>
  <si>
    <t>H2</t>
    <phoneticPr fontId="1"/>
  </si>
  <si>
    <t>１/((表示球速)＋(ノビ)+S1)</t>
    <rPh sb="4" eb="6">
      <t>ヒョウジ</t>
    </rPh>
    <rPh sb="6" eb="8">
      <t>キュウソク</t>
    </rPh>
    <phoneticPr fontId="1"/>
  </si>
  <si>
    <t>H3</t>
    <phoneticPr fontId="1"/>
  </si>
  <si>
    <t>Aｘ＋C</t>
    <phoneticPr fontId="1"/>
  </si>
  <si>
    <t>A</t>
    <phoneticPr fontId="1"/>
  </si>
  <si>
    <t>C</t>
    <phoneticPr fontId="1"/>
  </si>
  <si>
    <t>1/((表示球速)-(ブレーキ)*H1+H2)-H3</t>
    <rPh sb="4" eb="6">
      <t>ヒョウジ</t>
    </rPh>
    <rPh sb="6" eb="8">
      <t>キュウソク</t>
    </rPh>
    <phoneticPr fontId="1"/>
  </si>
  <si>
    <t>basePicel</t>
    <phoneticPr fontId="1"/>
  </si>
  <si>
    <t>frame/pic</t>
    <phoneticPr fontId="1"/>
  </si>
  <si>
    <t>投球フレームまで</t>
    <rPh sb="0" eb="2">
      <t>トウキュウ</t>
    </rPh>
    <phoneticPr fontId="1"/>
  </si>
  <si>
    <t>ブレーキ</t>
    <phoneticPr fontId="1"/>
  </si>
  <si>
    <t>新換算式</t>
    <rPh sb="0" eb="1">
      <t>シン</t>
    </rPh>
    <rPh sb="1" eb="3">
      <t>カンサン</t>
    </rPh>
    <rPh sb="3" eb="4">
      <t>シキ</t>
    </rPh>
    <phoneticPr fontId="1"/>
  </si>
  <si>
    <t>旧換算式</t>
    <rPh sb="0" eb="1">
      <t>キュウ</t>
    </rPh>
    <rPh sb="1" eb="3">
      <t>カンサン</t>
    </rPh>
    <rPh sb="3" eb="4">
      <t>シキ</t>
    </rPh>
    <phoneticPr fontId="1"/>
  </si>
  <si>
    <t>Ax+C</t>
    <phoneticPr fontId="1"/>
  </si>
  <si>
    <t>A</t>
    <phoneticPr fontId="1"/>
  </si>
  <si>
    <t>C</t>
    <phoneticPr fontId="1"/>
  </si>
  <si>
    <t>新換算式</t>
    <rPh sb="0" eb="1">
      <t>シン</t>
    </rPh>
    <rPh sb="1" eb="3">
      <t>カンサン</t>
    </rPh>
    <rPh sb="3" eb="4">
      <t>シキ</t>
    </rPh>
    <phoneticPr fontId="1"/>
  </si>
  <si>
    <t>新ｘ</t>
    <rPh sb="0" eb="1">
      <t>シン</t>
    </rPh>
    <phoneticPr fontId="1"/>
  </si>
  <si>
    <t>旧ｘ</t>
    <rPh sb="0" eb="1">
      <t>キュウ</t>
    </rPh>
    <phoneticPr fontId="1"/>
  </si>
  <si>
    <t>実況パワフルプロ野球２０１８_20200530172047_shade.txt</t>
    <phoneticPr fontId="1"/>
  </si>
  <si>
    <t>実況パワフルプロ野球２０１８_20200530172054_shade.txt</t>
    <phoneticPr fontId="1"/>
  </si>
  <si>
    <t>実況パワフルプロ野球２０１８_20200530172101_shade.txt</t>
    <phoneticPr fontId="1"/>
  </si>
  <si>
    <t>実況パワフルプロ野球２０１８_20200530172108_shade.txt</t>
    <phoneticPr fontId="1"/>
  </si>
  <si>
    <t>実況パワフルプロ野球２０１８_20200530172116_shade.txt</t>
    <phoneticPr fontId="1"/>
  </si>
  <si>
    <t>実況パワフルプロ野球２０１８_20200530172136_shade.txt</t>
    <phoneticPr fontId="1"/>
  </si>
  <si>
    <t>実況パワフルプロ野球２０１８_20200530172144_shade.txt</t>
    <phoneticPr fontId="1"/>
  </si>
  <si>
    <t>実況パワフルプロ野球２０１８_20200530172152_shade.txt</t>
    <phoneticPr fontId="1"/>
  </si>
  <si>
    <t>実況パワフルプロ野球２０１８_20200530172159_shade.txt</t>
    <phoneticPr fontId="1"/>
  </si>
  <si>
    <t>実況パワフルプロ野球２０１８_20200530172206_shade.txt</t>
    <phoneticPr fontId="1"/>
  </si>
  <si>
    <t>実況パワフルプロ野球２０１８_20200530172213_shade.txt</t>
    <phoneticPr fontId="1"/>
  </si>
  <si>
    <t>実況パワフルプロ野球２０１８_20200530172220_shade.txt</t>
    <phoneticPr fontId="1"/>
  </si>
  <si>
    <t>実況パワフルプロ野球２０１８_20200530172240_shade.txt</t>
    <phoneticPr fontId="1"/>
  </si>
  <si>
    <t>実況パワフルプロ野球２０１８_20200530172248_shade.txt</t>
    <phoneticPr fontId="1"/>
  </si>
  <si>
    <t>実況パワフルプロ野球２０１８_20200530172255_shade.txt</t>
    <phoneticPr fontId="1"/>
  </si>
  <si>
    <t>実況パワフルプロ野球２０１８_20200530172303_shade.txt</t>
    <phoneticPr fontId="1"/>
  </si>
  <si>
    <t>実況パワフルプロ野球２０１８_20200530172310_shade.txt</t>
    <phoneticPr fontId="1"/>
  </si>
  <si>
    <t>実況パワフルプロ野球２０１８_20200530172327_shade.txt</t>
    <phoneticPr fontId="1"/>
  </si>
  <si>
    <t>実況パワフルプロ野球２０１８_20200530172334_shade.txt</t>
    <phoneticPr fontId="1"/>
  </si>
  <si>
    <t>実況パワフルプロ野球２０１８_20200530172341_shade.txt</t>
    <phoneticPr fontId="1"/>
  </si>
  <si>
    <t>実況パワフルプロ野球２０１８_20200530172404_shade.txt</t>
    <phoneticPr fontId="1"/>
  </si>
  <si>
    <t>実況パワフルプロ野球２０１８_20200530172412_shade.txt</t>
    <phoneticPr fontId="1"/>
  </si>
  <si>
    <t>実況パワフルプロ野球２０１８_20200530172421_shade.txt</t>
    <phoneticPr fontId="1"/>
  </si>
  <si>
    <t>実況パワフルプロ野球２０１８_20200530172429_shade.txt</t>
    <phoneticPr fontId="1"/>
  </si>
  <si>
    <t>実況パワフルプロ野球２０１８_20200530172437_shade.txt</t>
    <phoneticPr fontId="1"/>
  </si>
  <si>
    <t>実況パワフルプロ野球２０１８_20200530172445_shade.txt</t>
    <phoneticPr fontId="1"/>
  </si>
  <si>
    <t>実況パワフルプロ野球２０１８_20200530172452_shade.txt</t>
    <phoneticPr fontId="1"/>
  </si>
  <si>
    <t>実況パワフルプロ野球２０１８_20200530172538_shade.txt</t>
    <phoneticPr fontId="1"/>
  </si>
  <si>
    <t>実況パワフルプロ野球２０１８_20200530172551_shade.txt</t>
    <phoneticPr fontId="1"/>
  </si>
  <si>
    <t>実況パワフルプロ野球２０１８_20200530172558_shade.txt</t>
    <phoneticPr fontId="1"/>
  </si>
  <si>
    <t>実況パワフルプロ野球２０１８_20200530172606_shade.txt</t>
    <phoneticPr fontId="1"/>
  </si>
  <si>
    <t>実況パワフルプロ野球２０１８_20200530172615_shade.txt</t>
    <phoneticPr fontId="1"/>
  </si>
  <si>
    <t>実況パワフルプロ野球２０１８_20200530172635_shade.txt</t>
    <phoneticPr fontId="1"/>
  </si>
  <si>
    <t>実況パワフルプロ野球２０１８_20200530172643_shade.txt</t>
    <phoneticPr fontId="1"/>
  </si>
  <si>
    <t>実況パワフルプロ野球２０１８_20200530172650_shade.txt</t>
    <phoneticPr fontId="1"/>
  </si>
  <si>
    <t>実況パワフルプロ野球２０１８_20200530172658_shade.txt</t>
    <phoneticPr fontId="1"/>
  </si>
  <si>
    <t>実況パワフルプロ野球２０１８_20200530172705_shade.txt</t>
    <phoneticPr fontId="1"/>
  </si>
  <si>
    <t>実況パワフルプロ野球２０１８_20200530172713_shade.txt</t>
    <phoneticPr fontId="1"/>
  </si>
  <si>
    <t>実況パワフルプロ野球２０１８_20200530172720_shade.txt</t>
    <phoneticPr fontId="1"/>
  </si>
  <si>
    <t>実況パワフルプロ野球２０１８_20200530172727_shade.txt</t>
    <phoneticPr fontId="1"/>
  </si>
  <si>
    <t>実況パワフルプロ野球２０１８_20200530172735_shade.txt</t>
    <phoneticPr fontId="1"/>
  </si>
  <si>
    <t>実況パワフルプロ野球２０１８_20200530172742_shade.txt</t>
    <phoneticPr fontId="1"/>
  </si>
  <si>
    <t>実況パワフルプロ野球２０１８_20200530172750_shade.txt</t>
    <phoneticPr fontId="1"/>
  </si>
  <si>
    <t>実況パワフルプロ野球２０１８_20200530172756_shade.txt</t>
    <phoneticPr fontId="1"/>
  </si>
  <si>
    <t>実況パワフルプロ野球２０１８_20200530172804_shade.txt</t>
    <phoneticPr fontId="1"/>
  </si>
  <si>
    <t>実況パワフルプロ野球２０１８_20200530172815_shade.txt</t>
    <phoneticPr fontId="1"/>
  </si>
  <si>
    <t>実況パワフルプロ野球２０１８_20200530172822_shade.txt</t>
    <phoneticPr fontId="1"/>
  </si>
  <si>
    <t>実況パワフルプロ野球２０１８_20200530172851_shade.txt</t>
    <phoneticPr fontId="1"/>
  </si>
  <si>
    <t>実況パワフルプロ野球２０１８_20200530172901_shade.txt</t>
    <phoneticPr fontId="1"/>
  </si>
  <si>
    <t>実況パワフルプロ野球２０１８_20200530172909_shade.txt</t>
    <phoneticPr fontId="1"/>
  </si>
  <si>
    <t>実況パワフルプロ野球２０１８_20200530172917_shade.txt</t>
    <phoneticPr fontId="1"/>
  </si>
  <si>
    <t>実況パワフルプロ野球２０１８_20200530172925_shade.txt</t>
    <phoneticPr fontId="1"/>
  </si>
  <si>
    <t>実況パワフルプロ野球２０１８_20200530172933_shade.txt</t>
    <phoneticPr fontId="1"/>
  </si>
  <si>
    <t>実況パワフルプロ野球２０１８_20200530172941_shade.txt</t>
    <phoneticPr fontId="1"/>
  </si>
  <si>
    <t>実況パワフルプロ野球２０１８_20200530172948_shade.txt</t>
    <phoneticPr fontId="1"/>
  </si>
  <si>
    <t>実況パワフルプロ野球２０１８_20200530173006_shade.txt</t>
    <phoneticPr fontId="1"/>
  </si>
  <si>
    <t>実況パワフルプロ野球２０１８_20200530173014_shade.txt</t>
    <phoneticPr fontId="1"/>
  </si>
  <si>
    <t>実況パワフルプロ野球２０１８_20200530173021_shade.txt</t>
    <phoneticPr fontId="1"/>
  </si>
  <si>
    <t>実況パワフルプロ野球２０１８_20200530173028_shade.txt</t>
    <phoneticPr fontId="1"/>
  </si>
  <si>
    <t>実況パワフルプロ野球２０１８_20200530173035_shade.txt</t>
    <phoneticPr fontId="1"/>
  </si>
  <si>
    <t>実況パワフルプロ野球２０１８_20200530173101_shade.txt</t>
    <phoneticPr fontId="1"/>
  </si>
  <si>
    <t>実況パワフルプロ野球２０１８_20200530173109_shade.txt</t>
    <phoneticPr fontId="1"/>
  </si>
  <si>
    <t>実況パワフルプロ野球２０１８_20200530173117_shade.txt</t>
    <phoneticPr fontId="1"/>
  </si>
  <si>
    <t>実況パワフルプロ野球２０１８_20200530173124_shade.txt</t>
    <phoneticPr fontId="1"/>
  </si>
  <si>
    <t>実況パワフルプロ野球２０１８_20200530173132_shade.txt</t>
    <phoneticPr fontId="1"/>
  </si>
  <si>
    <t>実況パワフルプロ野球２０１８_20200530173140_shade.txt</t>
    <phoneticPr fontId="1"/>
  </si>
  <si>
    <t>実況パワフルプロ野球２０１８_20200530173148_shade.txt</t>
    <phoneticPr fontId="1"/>
  </si>
  <si>
    <t>実況パワフルプロ野球２０１８_20200530173155_shade.txt</t>
    <phoneticPr fontId="1"/>
  </si>
  <si>
    <t>実況パワフルプロ野球２０１８_20200530173203_shade.txt</t>
    <phoneticPr fontId="1"/>
  </si>
  <si>
    <t>実況パワフルプロ野球２０１８_20200530173211_shade.txt</t>
    <phoneticPr fontId="1"/>
  </si>
  <si>
    <t>実況パワフルプロ野球２０１８_20200530173230_shade.txt</t>
    <phoneticPr fontId="1"/>
  </si>
  <si>
    <t>実況パワフルプロ野球２０１８_20200530173238_shade.txt</t>
    <phoneticPr fontId="1"/>
  </si>
  <si>
    <t>実況パワフルプロ野球２０１８_20200530173247_shade.txt</t>
    <phoneticPr fontId="1"/>
  </si>
  <si>
    <t>実況パワフルプロ野球２０１８_20200530173255_shade.txt</t>
    <phoneticPr fontId="1"/>
  </si>
  <si>
    <t>実況パワフルプロ野球２０１８_20200530173303_shade.txt</t>
    <phoneticPr fontId="1"/>
  </si>
  <si>
    <t>実況パワフルプロ野球２０１８_20200530173319_shade.txt</t>
    <phoneticPr fontId="1"/>
  </si>
  <si>
    <t>実況パワフルプロ野球２０１８_20200530173437_shade.txt</t>
    <phoneticPr fontId="1"/>
  </si>
  <si>
    <t>実況パワフルプロ野球２０１８_20200530173445_shade.txt</t>
    <phoneticPr fontId="1"/>
  </si>
  <si>
    <t>実況パワフルプロ野球２０１８_20200530173452_shade.txt</t>
    <phoneticPr fontId="1"/>
  </si>
  <si>
    <t>実況パワフルプロ野球２０１８_20200530173500_shade.txt</t>
    <phoneticPr fontId="1"/>
  </si>
  <si>
    <t>実況パワフルプロ野球２０１８_20200530173508_shade.txt</t>
    <phoneticPr fontId="1"/>
  </si>
  <si>
    <t>実況パワフルプロ野球２０１８_20200530173515_shade.txt</t>
    <phoneticPr fontId="1"/>
  </si>
  <si>
    <t>実況パワフルプロ野球２０１８_20200530173524_shade.txt</t>
    <phoneticPr fontId="1"/>
  </si>
  <si>
    <t>実況パワフルプロ野球２０１８_20200530173532_shade.txt</t>
    <phoneticPr fontId="1"/>
  </si>
  <si>
    <t>実況パワフルプロ野球２０１８_20200530173544_shade.txt</t>
    <phoneticPr fontId="1"/>
  </si>
  <si>
    <t>実況パワフルプロ野球２０１８_20200530173552_shade.txt</t>
    <phoneticPr fontId="1"/>
  </si>
  <si>
    <t>実況パワフルプロ野球２０１８_20200530173559_shade.txt</t>
    <phoneticPr fontId="1"/>
  </si>
  <si>
    <t>実況パワフルプロ野球２０１８_20200530173625_shade.txt</t>
    <phoneticPr fontId="1"/>
  </si>
  <si>
    <t>実況パワフルプロ野球２０１８_20200530173633_shade.txt</t>
    <phoneticPr fontId="1"/>
  </si>
  <si>
    <t>実況パワフルプロ野球２０１８_20200530173640_shade.txt</t>
    <phoneticPr fontId="1"/>
  </si>
  <si>
    <t>実況パワフルプロ野球２０１８_20200530173648_shade.txt</t>
    <phoneticPr fontId="1"/>
  </si>
  <si>
    <t>実況パワフルプロ野球２０１８_20200530173706_shade.txt</t>
    <phoneticPr fontId="1"/>
  </si>
  <si>
    <t>実況パワフルプロ野球２０１８_20200530173717_shade.txt</t>
    <phoneticPr fontId="1"/>
  </si>
  <si>
    <t>実況パワフルプロ野球２０１８_20200530173724_shade.txt</t>
    <phoneticPr fontId="1"/>
  </si>
  <si>
    <t>実況パワフルプロ野球２０１８_20200530173901_shade.txt</t>
    <phoneticPr fontId="1"/>
  </si>
  <si>
    <t>実況パワフルプロ野球２０１８_20200530173909_shade.txt</t>
    <phoneticPr fontId="1"/>
  </si>
  <si>
    <t>実況パワフルプロ野球２０１８_20200530174033_shade.txt</t>
    <phoneticPr fontId="1"/>
  </si>
  <si>
    <t>実況パワフルプロ野球２０１８_20200530174043_shade.txt</t>
    <phoneticPr fontId="1"/>
  </si>
  <si>
    <t>実況パワフルプロ野球２０１８_20200530174050_shade.txt</t>
    <phoneticPr fontId="1"/>
  </si>
  <si>
    <t>実況パワフルプロ野球２０１８_20200530174115_shade.txt</t>
    <phoneticPr fontId="1"/>
  </si>
  <si>
    <t>実況パワフルプロ野球２０１８_20200530174137_shade.txt</t>
    <phoneticPr fontId="1"/>
  </si>
  <si>
    <t>実況パワフルプロ野球２０１８_20200530174145_shade.txt</t>
    <phoneticPr fontId="1"/>
  </si>
  <si>
    <t>実況パワフルプロ野球２０１８_20200530174152_shade.txt</t>
    <phoneticPr fontId="1"/>
  </si>
  <si>
    <t>実況パワフルプロ野球２０１８_20200530174200_shade.txt</t>
    <phoneticPr fontId="1"/>
  </si>
  <si>
    <t>実況パワフルプロ野球２０１８_20200530174208_shade.txt</t>
    <phoneticPr fontId="1"/>
  </si>
  <si>
    <t>実況パワフルプロ野球２０１８_20200530174216_shade.txt</t>
    <phoneticPr fontId="1"/>
  </si>
  <si>
    <t>実況パワフルプロ野球２０１８_20200530174224_shade.txt</t>
    <phoneticPr fontId="1"/>
  </si>
  <si>
    <t>実況パワフルプロ野球２０１８_20200530174231_shade.txt</t>
    <phoneticPr fontId="1"/>
  </si>
  <si>
    <t>実況パワフルプロ野球２０１８_20200530174239_shade.txt</t>
    <phoneticPr fontId="1"/>
  </si>
  <si>
    <t>実況パワフルプロ野球２０１８_20200530174246_shade.txt</t>
    <phoneticPr fontId="1"/>
  </si>
  <si>
    <t>実況パワフルプロ野球２０１８_20200530174254_shade.txt</t>
    <phoneticPr fontId="1"/>
  </si>
  <si>
    <t>実況パワフルプロ野球２０１８_20200530205443_shade.txt</t>
  </si>
  <si>
    <t>実況パワフルプロ野球２０１８_20200530205450_shade.txt</t>
  </si>
  <si>
    <t>実況パワフルプロ野球２０１８_20200530205457_shade.txt</t>
  </si>
  <si>
    <t>実況パワフルプロ野球２０１８_20200530205504_shade.txt</t>
  </si>
  <si>
    <t>実況パワフルプロ野球２０１８_20200530205512_shade.txt</t>
  </si>
  <si>
    <t>実況パワフルプロ野球２０１８_20200530205527_shade.txt</t>
  </si>
  <si>
    <t>実況パワフルプロ野球２０１８_20200530205535_shade.txt</t>
  </si>
  <si>
    <t>変化量</t>
    <rPh sb="0" eb="2">
      <t>ヘンカ</t>
    </rPh>
    <rPh sb="2" eb="3">
      <t>リョウ</t>
    </rPh>
    <phoneticPr fontId="1"/>
  </si>
  <si>
    <t>実況パワフルプロ野球２０１８_20200530205443_shade.txt</t>
    <phoneticPr fontId="1"/>
  </si>
  <si>
    <t>実況パワフルプロ野球２０１８_20200530205450_shade.txt</t>
    <phoneticPr fontId="1"/>
  </si>
  <si>
    <t>実況パワフルプロ野球２０１８_20200530205457_shade.txt</t>
    <phoneticPr fontId="1"/>
  </si>
  <si>
    <t>実況パワフルプロ野球２０１８_20200530205504_shade.txt</t>
    <phoneticPr fontId="1"/>
  </si>
  <si>
    <t>実況パワフルプロ野球２０１８_20200530205512_shade.txt</t>
    <phoneticPr fontId="1"/>
  </si>
  <si>
    <t>実況パワフルプロ野球２０１８_20200530205527_shade.txt</t>
    <phoneticPr fontId="1"/>
  </si>
  <si>
    <t>実況パワフルプロ野球２０１８_20200530205535_shade.txt</t>
    <phoneticPr fontId="1"/>
  </si>
  <si>
    <t>実況パワフルプロ野球２０１８_20200530210621_shade.txt</t>
  </si>
  <si>
    <t>実況パワフルプロ野球２０１８_20200530210629_shade.txt</t>
  </si>
  <si>
    <t>実況パワフルプロ野球２０１８_20200530210636_shade.txt</t>
  </si>
  <si>
    <t>実況パワフルプロ野球２０１８_20200530210643_shade.txt</t>
  </si>
  <si>
    <t>実況パワフルプロ野球２０１８_20200530210650_shade.txt</t>
  </si>
  <si>
    <t>実況パワフルプロ野球２０１８_20200530210657_shade.txt</t>
  </si>
  <si>
    <t>実況パワフルプロ野球２０１８_20200530210704_shade.txt</t>
  </si>
  <si>
    <t>実況パワフルプロ野球２０１８_20200530210711_shade.txt</t>
  </si>
  <si>
    <t>実況パワフルプロ野球２０１８_20200530210719_shade.txt</t>
  </si>
  <si>
    <t>実況パワフルプロ野球２０１８_20200530210726_shade.txt</t>
  </si>
  <si>
    <t>キレ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</si>
</sst>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7B8EA-A9AE-43B4-8BFA-4E30BC2DBCB4}">
  <sheetPr codeName="Sheet3" filterMode="1"/>
  <dimension ref="A1:P441"/>
  <sheetViews>
    <sheetView tabSelected="1" topLeftCell="B1" workbookViewId="0">
      <selection activeCell="I217" sqref="I217"/>
    </sheetView>
  </sheetViews>
  <sheetFormatPr defaultRowHeight="18" x14ac:dyDescent="0.55000000000000004"/>
  <cols>
    <col min="1" max="1" width="56.5" customWidth="1"/>
    <col min="6" max="8" width="9.6640625" customWidth="1"/>
    <col min="14" max="14" width="10" customWidth="1"/>
  </cols>
  <sheetData>
    <row r="1" spans="1:16" x14ac:dyDescent="0.55000000000000004">
      <c r="A1" t="s">
        <v>6</v>
      </c>
      <c r="B1" t="s">
        <v>7</v>
      </c>
      <c r="C1" t="s">
        <v>188</v>
      </c>
      <c r="D1" t="s">
        <v>189</v>
      </c>
      <c r="E1" t="s">
        <v>190</v>
      </c>
      <c r="F1" t="s">
        <v>191</v>
      </c>
      <c r="G1" t="s">
        <v>192</v>
      </c>
      <c r="H1" t="s">
        <v>673</v>
      </c>
      <c r="K1" t="s">
        <v>681</v>
      </c>
      <c r="L1" t="s">
        <v>680</v>
      </c>
      <c r="M1" t="s">
        <v>109</v>
      </c>
      <c r="N1" t="s">
        <v>674</v>
      </c>
      <c r="O1" t="s">
        <v>675</v>
      </c>
      <c r="P1" t="s">
        <v>675</v>
      </c>
    </row>
    <row r="2" spans="1:16" hidden="1" x14ac:dyDescent="0.55000000000000004">
      <c r="A2" t="s">
        <v>0</v>
      </c>
      <c r="B2">
        <v>48</v>
      </c>
      <c r="C2">
        <v>637</v>
      </c>
      <c r="D2">
        <v>647</v>
      </c>
      <c r="E2">
        <v>10.04998</v>
      </c>
      <c r="F2">
        <v>140</v>
      </c>
      <c r="G2">
        <v>1</v>
      </c>
      <c r="H2">
        <v>0</v>
      </c>
      <c r="I2">
        <f>D2-Pram!$G$2</f>
        <v>17</v>
      </c>
      <c r="J2">
        <f>I2/Pram!$H$2</f>
        <v>1.4166666666666667</v>
      </c>
      <c r="K2">
        <f>1/(F2+G2)</f>
        <v>7.0921985815602835E-3</v>
      </c>
      <c r="L2">
        <f>IF(G2=0,1/(F2 - H2*Pram!$B$5 +Pram!$B$6)+Pram!$B$7,1/(F2+G2+Pram!$B$2))</f>
        <v>7.8616352201257862E-3</v>
      </c>
      <c r="M2">
        <f>(B2-J2-Pram!$I$2) * 2/120</f>
        <v>0.57638888888888895</v>
      </c>
      <c r="N2">
        <f>(1-L2-L2*Pram!$B$2)/L2</f>
        <v>140</v>
      </c>
      <c r="O2">
        <f>(M2-Pram!$B$17)/Pram!$B$16</f>
        <v>7.1088052850100088E-3</v>
      </c>
      <c r="P2">
        <f>(1-O2)/O2</f>
        <v>139.67061340231828</v>
      </c>
    </row>
    <row r="3" spans="1:16" hidden="1" x14ac:dyDescent="0.55000000000000004">
      <c r="A3" t="s">
        <v>1</v>
      </c>
      <c r="B3">
        <v>52</v>
      </c>
      <c r="C3">
        <v>640.5</v>
      </c>
      <c r="D3">
        <v>640</v>
      </c>
      <c r="E3">
        <v>14.53454</v>
      </c>
      <c r="F3">
        <v>119</v>
      </c>
      <c r="G3">
        <v>1</v>
      </c>
      <c r="H3">
        <v>0</v>
      </c>
      <c r="I3">
        <f>D3-Pram!$G$2</f>
        <v>10</v>
      </c>
      <c r="J3">
        <f>I3/Pram!$H$2</f>
        <v>0.83333333333333337</v>
      </c>
      <c r="K3">
        <f t="shared" ref="K3:K66" si="0">1/(F3+G3)</f>
        <v>8.3333333333333332E-3</v>
      </c>
      <c r="L3">
        <f>IF(G3=0,1/(F3 - H3*Pram!$B$5 +Pram!$B$6)+Pram!$B$7,1/(F3+G3+Pram!$B$2))</f>
        <v>9.4161958568738224E-3</v>
      </c>
      <c r="M3">
        <f>(B3-J3-Pram!$I$2) * 2/120</f>
        <v>0.65277777777777779</v>
      </c>
      <c r="N3">
        <f>(1-L3-L3*Pram!$B$2)/L3</f>
        <v>119</v>
      </c>
      <c r="O3">
        <f>(M3-Pram!$B$17)/Pram!$B$16</f>
        <v>8.3244919755837057E-3</v>
      </c>
      <c r="P3">
        <f t="shared" ref="P3:P66" si="1">(1-O3)/O3</f>
        <v>119.12745077213927</v>
      </c>
    </row>
    <row r="4" spans="1:16" hidden="1" x14ac:dyDescent="0.55000000000000004">
      <c r="A4" t="s">
        <v>2</v>
      </c>
      <c r="B4">
        <v>52</v>
      </c>
      <c r="C4">
        <v>637.5</v>
      </c>
      <c r="D4">
        <v>638</v>
      </c>
      <c r="E4">
        <v>10.688879999999999</v>
      </c>
      <c r="F4">
        <v>118</v>
      </c>
      <c r="G4">
        <v>1</v>
      </c>
      <c r="H4">
        <v>0</v>
      </c>
      <c r="I4">
        <f>D4-Pram!$G$2</f>
        <v>8</v>
      </c>
      <c r="J4">
        <f>I4/Pram!$H$2</f>
        <v>0.66666666666666663</v>
      </c>
      <c r="K4">
        <f t="shared" si="0"/>
        <v>8.4033613445378148E-3</v>
      </c>
      <c r="L4">
        <f>IF(G4=0,1/(F4 - H4*Pram!$B$5 +Pram!$B$6)+Pram!$B$7,1/(F4+G4+Pram!$B$2))</f>
        <v>9.5057034220532317E-3</v>
      </c>
      <c r="M4">
        <f>(B4-J4-Pram!$I$2) * 2/120</f>
        <v>0.65555555555555556</v>
      </c>
      <c r="N4">
        <f>(1-L4-L4*Pram!$B$2)/L4</f>
        <v>118</v>
      </c>
      <c r="O4">
        <f>(M4-Pram!$B$17)/Pram!$B$16</f>
        <v>8.3686987643318399E-3</v>
      </c>
      <c r="P4">
        <f t="shared" si="1"/>
        <v>118.49288989371819</v>
      </c>
    </row>
    <row r="5" spans="1:16" hidden="1" x14ac:dyDescent="0.55000000000000004">
      <c r="A5" t="s">
        <v>3</v>
      </c>
      <c r="B5">
        <v>48</v>
      </c>
      <c r="C5">
        <v>651.5</v>
      </c>
      <c r="D5">
        <v>650.5</v>
      </c>
      <c r="E5">
        <v>2.9155799999999998</v>
      </c>
      <c r="F5">
        <v>142</v>
      </c>
      <c r="G5">
        <v>1</v>
      </c>
      <c r="H5">
        <v>0</v>
      </c>
      <c r="I5">
        <f>D5-Pram!$G$2</f>
        <v>20.5</v>
      </c>
      <c r="J5">
        <f>I5/Pram!$H$2</f>
        <v>1.7083333333333333</v>
      </c>
      <c r="K5">
        <f t="shared" si="0"/>
        <v>6.993006993006993E-3</v>
      </c>
      <c r="L5">
        <f>IF(G5=0,1/(F5 - H5*Pram!$B$5 +Pram!$B$6)+Pram!$B$7,1/(F5+G5+Pram!$B$2))</f>
        <v>7.7399380804953569E-3</v>
      </c>
      <c r="M5">
        <f>(B5-J5-Pram!$I$2) * 2/120</f>
        <v>0.57152777777777775</v>
      </c>
      <c r="N5">
        <f>(1-L5-L5*Pram!$B$2)/L5</f>
        <v>142</v>
      </c>
      <c r="O5">
        <f>(M5-Pram!$B$17)/Pram!$B$16</f>
        <v>7.0314434047007721E-3</v>
      </c>
      <c r="P5">
        <f t="shared" si="1"/>
        <v>141.21831030190248</v>
      </c>
    </row>
    <row r="6" spans="1:16" hidden="1" x14ac:dyDescent="0.55000000000000004">
      <c r="A6" t="s">
        <v>4</v>
      </c>
      <c r="B6">
        <v>47</v>
      </c>
      <c r="C6">
        <v>638.5</v>
      </c>
      <c r="D6">
        <v>632</v>
      </c>
      <c r="E6">
        <v>14.53454</v>
      </c>
      <c r="F6">
        <v>139</v>
      </c>
      <c r="G6">
        <v>1</v>
      </c>
      <c r="H6">
        <v>0</v>
      </c>
      <c r="I6">
        <f>D6-Pram!$G$2</f>
        <v>2</v>
      </c>
      <c r="J6">
        <f>I6/Pram!$H$2</f>
        <v>0.16666666666666666</v>
      </c>
      <c r="K6">
        <f t="shared" si="0"/>
        <v>7.1428571428571426E-3</v>
      </c>
      <c r="L6">
        <f>IF(G6=0,1/(F6 - H6*Pram!$B$5 +Pram!$B$6)+Pram!$B$7,1/(F6+G6+Pram!$B$2))</f>
        <v>7.9239302694136295E-3</v>
      </c>
      <c r="M6">
        <f>(B6-J6-Pram!$I$2) * 2/120</f>
        <v>0.5805555555555556</v>
      </c>
      <c r="N6">
        <f>(1-L6-L6*Pram!$B$2)/L6</f>
        <v>139</v>
      </c>
      <c r="O6">
        <f>(M6-Pram!$B$17)/Pram!$B$16</f>
        <v>7.1751154681322102E-3</v>
      </c>
      <c r="P6">
        <f t="shared" si="1"/>
        <v>138.37057939226656</v>
      </c>
    </row>
    <row r="7" spans="1:16" hidden="1" x14ac:dyDescent="0.55000000000000004">
      <c r="A7" t="s">
        <v>5</v>
      </c>
      <c r="B7">
        <v>47</v>
      </c>
      <c r="C7">
        <v>629.5</v>
      </c>
      <c r="D7">
        <v>635.5</v>
      </c>
      <c r="E7">
        <v>14.57748</v>
      </c>
      <c r="F7">
        <v>141</v>
      </c>
      <c r="G7">
        <v>1</v>
      </c>
      <c r="H7">
        <v>0</v>
      </c>
      <c r="I7">
        <f>D7-Pram!$G$2</f>
        <v>5.5</v>
      </c>
      <c r="J7">
        <f>I7/Pram!$H$2</f>
        <v>0.45833333333333331</v>
      </c>
      <c r="K7">
        <f t="shared" si="0"/>
        <v>7.0422535211267607E-3</v>
      </c>
      <c r="L7">
        <f>IF(G7=0,1/(F7 - H7*Pram!$B$5 +Pram!$B$6)+Pram!$B$7,1/(F7+G7+Pram!$B$2))</f>
        <v>7.8003120124804995E-3</v>
      </c>
      <c r="M7">
        <f>(B7-J7-Pram!$I$2) * 2/120</f>
        <v>0.5756944444444444</v>
      </c>
      <c r="N7">
        <f>(1-L7-L7*Pram!$B$2)/L7</f>
        <v>141</v>
      </c>
      <c r="O7">
        <f>(M7-Pram!$B$17)/Pram!$B$16</f>
        <v>7.0977535878229735E-3</v>
      </c>
      <c r="P7">
        <f t="shared" si="1"/>
        <v>139.88964735484998</v>
      </c>
    </row>
    <row r="8" spans="1:16" hidden="1" x14ac:dyDescent="0.55000000000000004">
      <c r="A8" t="s">
        <v>8</v>
      </c>
      <c r="B8">
        <v>47</v>
      </c>
      <c r="C8">
        <v>656.5</v>
      </c>
      <c r="D8">
        <v>635</v>
      </c>
      <c r="E8">
        <v>14.53454</v>
      </c>
      <c r="F8">
        <v>140</v>
      </c>
      <c r="G8">
        <v>1</v>
      </c>
      <c r="H8">
        <v>0</v>
      </c>
      <c r="I8">
        <f>D8-Pram!$G$2</f>
        <v>5</v>
      </c>
      <c r="J8">
        <f>I8/Pram!$H$2</f>
        <v>0.41666666666666669</v>
      </c>
      <c r="K8">
        <f t="shared" si="0"/>
        <v>7.0921985815602835E-3</v>
      </c>
      <c r="L8">
        <f>IF(G8=0,1/(F8 - H8*Pram!$B$5 +Pram!$B$6)+Pram!$B$7,1/(F8+G8+Pram!$B$2))</f>
        <v>7.8616352201257862E-3</v>
      </c>
      <c r="M8">
        <f>(B8-J8-Pram!$I$2) * 2/120</f>
        <v>0.57638888888888895</v>
      </c>
      <c r="N8">
        <f>(1-L8-L8*Pram!$B$2)/L8</f>
        <v>140</v>
      </c>
      <c r="O8">
        <f>(M8-Pram!$B$17)/Pram!$B$16</f>
        <v>7.1088052850100088E-3</v>
      </c>
      <c r="P8">
        <f t="shared" si="1"/>
        <v>139.67061340231828</v>
      </c>
    </row>
    <row r="9" spans="1:16" hidden="1" x14ac:dyDescent="0.55000000000000004">
      <c r="A9" t="s">
        <v>9</v>
      </c>
      <c r="B9">
        <v>48</v>
      </c>
      <c r="C9">
        <v>619.5</v>
      </c>
      <c r="D9">
        <v>651</v>
      </c>
      <c r="E9">
        <v>8.7322199999999999</v>
      </c>
      <c r="F9">
        <v>142</v>
      </c>
      <c r="G9">
        <v>1</v>
      </c>
      <c r="H9">
        <v>0</v>
      </c>
      <c r="I9">
        <f>D9-Pram!$G$2</f>
        <v>21</v>
      </c>
      <c r="J9">
        <f>I9/Pram!$H$2</f>
        <v>1.75</v>
      </c>
      <c r="K9">
        <f t="shared" si="0"/>
        <v>6.993006993006993E-3</v>
      </c>
      <c r="L9">
        <f>IF(G9=0,1/(F9 - H9*Pram!$B$5 +Pram!$B$6)+Pram!$B$7,1/(F9+G9+Pram!$B$2))</f>
        <v>7.7399380804953569E-3</v>
      </c>
      <c r="M9">
        <f>(B9-J9-Pram!$I$2) * 2/120</f>
        <v>0.5708333333333333</v>
      </c>
      <c r="N9">
        <f>(1-L9-L9*Pram!$B$2)/L9</f>
        <v>142</v>
      </c>
      <c r="O9">
        <f>(M9-Pram!$B$17)/Pram!$B$16</f>
        <v>7.0203917075137385E-3</v>
      </c>
      <c r="P9">
        <f t="shared" si="1"/>
        <v>141.44219434789181</v>
      </c>
    </row>
    <row r="10" spans="1:16" hidden="1" x14ac:dyDescent="0.55000000000000004">
      <c r="A10" t="s">
        <v>10</v>
      </c>
      <c r="B10">
        <v>47</v>
      </c>
      <c r="C10">
        <v>643.5</v>
      </c>
      <c r="D10">
        <v>632</v>
      </c>
      <c r="E10">
        <v>14.53454</v>
      </c>
      <c r="F10">
        <v>139</v>
      </c>
      <c r="G10">
        <v>1</v>
      </c>
      <c r="H10">
        <v>0</v>
      </c>
      <c r="I10">
        <f>D10-Pram!$G$2</f>
        <v>2</v>
      </c>
      <c r="J10">
        <f>I10/Pram!$H$2</f>
        <v>0.16666666666666666</v>
      </c>
      <c r="K10">
        <f t="shared" si="0"/>
        <v>7.1428571428571426E-3</v>
      </c>
      <c r="L10">
        <f>IF(G10=0,1/(F10 - H10*Pram!$B$5 +Pram!$B$6)+Pram!$B$7,1/(F10+G10+Pram!$B$2))</f>
        <v>7.9239302694136295E-3</v>
      </c>
      <c r="M10">
        <f>(B10-J10-Pram!$I$2) * 2/120</f>
        <v>0.5805555555555556</v>
      </c>
      <c r="N10">
        <f>(1-L10-L10*Pram!$B$2)/L10</f>
        <v>139</v>
      </c>
      <c r="O10">
        <f>(M10-Pram!$B$17)/Pram!$B$16</f>
        <v>7.1751154681322102E-3</v>
      </c>
      <c r="P10">
        <f t="shared" si="1"/>
        <v>138.37057939226656</v>
      </c>
    </row>
    <row r="11" spans="1:16" hidden="1" x14ac:dyDescent="0.55000000000000004">
      <c r="A11" t="s">
        <v>11</v>
      </c>
      <c r="B11">
        <v>47</v>
      </c>
      <c r="C11">
        <v>628.5</v>
      </c>
      <c r="D11">
        <v>635</v>
      </c>
      <c r="E11">
        <v>14.53454</v>
      </c>
      <c r="F11">
        <v>140</v>
      </c>
      <c r="G11">
        <v>1</v>
      </c>
      <c r="H11">
        <v>0</v>
      </c>
      <c r="I11">
        <f>D11-Pram!$G$2</f>
        <v>5</v>
      </c>
      <c r="J11">
        <f>I11/Pram!$H$2</f>
        <v>0.41666666666666669</v>
      </c>
      <c r="K11">
        <f t="shared" si="0"/>
        <v>7.0921985815602835E-3</v>
      </c>
      <c r="L11">
        <f>IF(G11=0,1/(F11 - H11*Pram!$B$5 +Pram!$B$6)+Pram!$B$7,1/(F11+G11+Pram!$B$2))</f>
        <v>7.8616352201257862E-3</v>
      </c>
      <c r="M11">
        <f>(B11-J11-Pram!$I$2) * 2/120</f>
        <v>0.57638888888888895</v>
      </c>
      <c r="N11">
        <f>(1-L11-L11*Pram!$B$2)/L11</f>
        <v>140</v>
      </c>
      <c r="O11">
        <f>(M11-Pram!$B$17)/Pram!$B$16</f>
        <v>7.1088052850100088E-3</v>
      </c>
      <c r="P11">
        <f t="shared" si="1"/>
        <v>139.67061340231828</v>
      </c>
    </row>
    <row r="12" spans="1:16" hidden="1" x14ac:dyDescent="0.55000000000000004">
      <c r="A12" t="s">
        <v>111</v>
      </c>
      <c r="B12">
        <v>48</v>
      </c>
      <c r="C12">
        <v>648.5</v>
      </c>
      <c r="D12">
        <v>644.5</v>
      </c>
      <c r="E12">
        <v>13.58318</v>
      </c>
      <c r="F12">
        <v>139</v>
      </c>
      <c r="G12">
        <v>1</v>
      </c>
      <c r="H12">
        <v>0</v>
      </c>
      <c r="I12">
        <f>D12-Pram!$G$2</f>
        <v>14.5</v>
      </c>
      <c r="J12">
        <f>I12/Pram!$H$2</f>
        <v>1.2083333333333333</v>
      </c>
      <c r="K12">
        <f t="shared" si="0"/>
        <v>7.1428571428571426E-3</v>
      </c>
      <c r="L12">
        <f>IF(G12=0,1/(F12 - H12*Pram!$B$5 +Pram!$B$6)+Pram!$B$7,1/(F12+G12+Pram!$B$2))</f>
        <v>7.9239302694136295E-3</v>
      </c>
      <c r="M12">
        <f>(B12-J12-Pram!$I$2) * 2/120</f>
        <v>0.57986111111111105</v>
      </c>
      <c r="N12">
        <f>(1-L12-L12*Pram!$B$2)/L12</f>
        <v>139</v>
      </c>
      <c r="O12">
        <f>(M12-Pram!$B$17)/Pram!$B$16</f>
        <v>7.1640637709451749E-3</v>
      </c>
      <c r="P12">
        <f t="shared" si="1"/>
        <v>138.58558047118936</v>
      </c>
    </row>
    <row r="13" spans="1:16" hidden="1" x14ac:dyDescent="0.55000000000000004">
      <c r="A13" t="s">
        <v>13</v>
      </c>
      <c r="B13">
        <v>50</v>
      </c>
      <c r="C13">
        <v>598</v>
      </c>
      <c r="D13">
        <v>674.5</v>
      </c>
      <c r="E13">
        <v>16.070260000000001</v>
      </c>
      <c r="F13">
        <v>141</v>
      </c>
      <c r="G13">
        <v>1</v>
      </c>
      <c r="H13">
        <v>0</v>
      </c>
      <c r="I13">
        <f>D13-Pram!$G$2</f>
        <v>44.5</v>
      </c>
      <c r="J13">
        <f>I13/Pram!$H$2</f>
        <v>3.7083333333333335</v>
      </c>
      <c r="K13">
        <f t="shared" si="0"/>
        <v>7.0422535211267607E-3</v>
      </c>
      <c r="L13">
        <f>IF(G13=0,1/(F13 - H13*Pram!$B$5 +Pram!$B$6)+Pram!$B$7,1/(F13+G13+Pram!$B$2))</f>
        <v>7.8003120124804995E-3</v>
      </c>
      <c r="M13">
        <f>(B13-J13-Pram!$I$2) * 2/120</f>
        <v>0.57152777777777775</v>
      </c>
      <c r="N13">
        <f>(1-L13-L13*Pram!$B$2)/L13</f>
        <v>141</v>
      </c>
      <c r="O13">
        <f>(M13-Pram!$B$17)/Pram!$B$16</f>
        <v>7.0314434047007721E-3</v>
      </c>
      <c r="P13">
        <f t="shared" si="1"/>
        <v>141.21831030190248</v>
      </c>
    </row>
    <row r="14" spans="1:16" hidden="1" x14ac:dyDescent="0.55000000000000004">
      <c r="A14" t="s">
        <v>14</v>
      </c>
      <c r="B14">
        <v>50</v>
      </c>
      <c r="C14">
        <v>640</v>
      </c>
      <c r="D14">
        <v>674.5</v>
      </c>
      <c r="E14">
        <v>16.070260000000001</v>
      </c>
      <c r="F14">
        <v>141</v>
      </c>
      <c r="G14">
        <v>1</v>
      </c>
      <c r="H14">
        <v>0</v>
      </c>
      <c r="I14">
        <f>D14-Pram!$G$2</f>
        <v>44.5</v>
      </c>
      <c r="J14">
        <f>I14/Pram!$H$2</f>
        <v>3.7083333333333335</v>
      </c>
      <c r="K14">
        <f t="shared" si="0"/>
        <v>7.0422535211267607E-3</v>
      </c>
      <c r="L14">
        <f>IF(G14=0,1/(F14 - H14*Pram!$B$5 +Pram!$B$6)+Pram!$B$7,1/(F14+G14+Pram!$B$2))</f>
        <v>7.8003120124804995E-3</v>
      </c>
      <c r="M14">
        <f>(B14-J14-Pram!$I$2) * 2/120</f>
        <v>0.57152777777777775</v>
      </c>
      <c r="N14">
        <f>(1-L14-L14*Pram!$B$2)/L14</f>
        <v>141</v>
      </c>
      <c r="O14">
        <f>(M14-Pram!$B$17)/Pram!$B$16</f>
        <v>7.0314434047007721E-3</v>
      </c>
      <c r="P14">
        <f t="shared" si="1"/>
        <v>141.21831030190248</v>
      </c>
    </row>
    <row r="15" spans="1:16" hidden="1" x14ac:dyDescent="0.55000000000000004">
      <c r="A15" t="s">
        <v>15</v>
      </c>
      <c r="B15">
        <v>48</v>
      </c>
      <c r="C15">
        <v>624</v>
      </c>
      <c r="D15">
        <v>648.5</v>
      </c>
      <c r="E15">
        <v>2.5001000000000002</v>
      </c>
      <c r="F15">
        <v>141</v>
      </c>
      <c r="G15">
        <v>1</v>
      </c>
      <c r="H15">
        <v>0</v>
      </c>
      <c r="I15">
        <f>D15-Pram!$G$2</f>
        <v>18.5</v>
      </c>
      <c r="J15">
        <f>I15/Pram!$H$2</f>
        <v>1.5416666666666667</v>
      </c>
      <c r="K15">
        <f t="shared" si="0"/>
        <v>7.0422535211267607E-3</v>
      </c>
      <c r="L15">
        <f>IF(G15=0,1/(F15 - H15*Pram!$B$5 +Pram!$B$6)+Pram!$B$7,1/(F15+G15+Pram!$B$2))</f>
        <v>7.8003120124804995E-3</v>
      </c>
      <c r="M15">
        <f>(B15-J15-Pram!$I$2) * 2/120</f>
        <v>0.57430555555555562</v>
      </c>
      <c r="N15">
        <f>(1-L15-L15*Pram!$B$2)/L15</f>
        <v>141</v>
      </c>
      <c r="O15">
        <f>(M15-Pram!$B$17)/Pram!$B$16</f>
        <v>7.0756501934489081E-3</v>
      </c>
      <c r="P15">
        <f t="shared" si="1"/>
        <v>140.3297679591148</v>
      </c>
    </row>
    <row r="16" spans="1:16" hidden="1" x14ac:dyDescent="0.55000000000000004">
      <c r="A16" t="s">
        <v>16</v>
      </c>
      <c r="B16">
        <v>47</v>
      </c>
      <c r="C16">
        <v>639.5</v>
      </c>
      <c r="D16">
        <v>635</v>
      </c>
      <c r="E16">
        <v>14.53454</v>
      </c>
      <c r="F16">
        <v>140</v>
      </c>
      <c r="G16">
        <v>1</v>
      </c>
      <c r="H16">
        <v>0</v>
      </c>
      <c r="I16">
        <f>D16-Pram!$G$2</f>
        <v>5</v>
      </c>
      <c r="J16">
        <f>I16/Pram!$H$2</f>
        <v>0.41666666666666669</v>
      </c>
      <c r="K16">
        <f t="shared" si="0"/>
        <v>7.0921985815602835E-3</v>
      </c>
      <c r="L16">
        <f>IF(G16=0,1/(F16 - H16*Pram!$B$5 +Pram!$B$6)+Pram!$B$7,1/(F16+G16+Pram!$B$2))</f>
        <v>7.8616352201257862E-3</v>
      </c>
      <c r="M16">
        <f>(B16-J16-Pram!$I$2) * 2/120</f>
        <v>0.57638888888888895</v>
      </c>
      <c r="N16">
        <f>(1-L16-L16*Pram!$B$2)/L16</f>
        <v>140</v>
      </c>
      <c r="O16">
        <f>(M16-Pram!$B$17)/Pram!$B$16</f>
        <v>7.1088052850100088E-3</v>
      </c>
      <c r="P16">
        <f t="shared" si="1"/>
        <v>139.67061340231828</v>
      </c>
    </row>
    <row r="17" spans="1:16" hidden="1" x14ac:dyDescent="0.55000000000000004">
      <c r="A17" t="s">
        <v>17</v>
      </c>
      <c r="B17">
        <v>47</v>
      </c>
      <c r="C17">
        <v>645.5</v>
      </c>
      <c r="D17">
        <v>633</v>
      </c>
      <c r="E17">
        <v>14.53454</v>
      </c>
      <c r="F17">
        <v>139</v>
      </c>
      <c r="G17">
        <v>1</v>
      </c>
      <c r="H17">
        <v>0</v>
      </c>
      <c r="I17">
        <f>D17-Pram!$G$2</f>
        <v>3</v>
      </c>
      <c r="J17">
        <f>I17/Pram!$H$2</f>
        <v>0.25</v>
      </c>
      <c r="K17">
        <f t="shared" si="0"/>
        <v>7.1428571428571426E-3</v>
      </c>
      <c r="L17">
        <f>IF(G17=0,1/(F17 - H17*Pram!$B$5 +Pram!$B$6)+Pram!$B$7,1/(F17+G17+Pram!$B$2))</f>
        <v>7.9239302694136295E-3</v>
      </c>
      <c r="M17">
        <f>(B17-J17-Pram!$I$2) * 2/120</f>
        <v>0.57916666666666672</v>
      </c>
      <c r="N17">
        <f>(1-L17-L17*Pram!$B$2)/L17</f>
        <v>139</v>
      </c>
      <c r="O17">
        <f>(M17-Pram!$B$17)/Pram!$B$16</f>
        <v>7.1530120737581431E-3</v>
      </c>
      <c r="P17">
        <f t="shared" si="1"/>
        <v>138.80124592109166</v>
      </c>
    </row>
    <row r="18" spans="1:16" hidden="1" x14ac:dyDescent="0.55000000000000004">
      <c r="A18" t="s">
        <v>18</v>
      </c>
      <c r="B18">
        <v>47</v>
      </c>
      <c r="C18">
        <v>641</v>
      </c>
      <c r="D18">
        <v>636</v>
      </c>
      <c r="E18">
        <v>15.0334</v>
      </c>
      <c r="F18">
        <v>141</v>
      </c>
      <c r="G18">
        <v>1</v>
      </c>
      <c r="H18">
        <v>0</v>
      </c>
      <c r="I18">
        <f>D18-Pram!$G$2</f>
        <v>6</v>
      </c>
      <c r="J18">
        <f>I18/Pram!$H$2</f>
        <v>0.5</v>
      </c>
      <c r="K18">
        <f t="shared" si="0"/>
        <v>7.0422535211267607E-3</v>
      </c>
      <c r="L18">
        <f>IF(G18=0,1/(F18 - H18*Pram!$B$5 +Pram!$B$6)+Pram!$B$7,1/(F18+G18+Pram!$B$2))</f>
        <v>7.8003120124804995E-3</v>
      </c>
      <c r="M18">
        <f>(B18-J18-Pram!$I$2) * 2/120</f>
        <v>0.57499999999999996</v>
      </c>
      <c r="N18">
        <f>(1-L18-L18*Pram!$B$2)/L18</f>
        <v>141</v>
      </c>
      <c r="O18">
        <f>(M18-Pram!$B$17)/Pram!$B$16</f>
        <v>7.0867018906359399E-3</v>
      </c>
      <c r="P18">
        <f t="shared" si="1"/>
        <v>140.10936447338875</v>
      </c>
    </row>
    <row r="19" spans="1:16" hidden="1" x14ac:dyDescent="0.55000000000000004">
      <c r="A19" t="s">
        <v>19</v>
      </c>
      <c r="B19">
        <v>50</v>
      </c>
      <c r="C19">
        <v>608.5</v>
      </c>
      <c r="D19">
        <v>678</v>
      </c>
      <c r="E19">
        <v>11.67272</v>
      </c>
      <c r="F19">
        <v>142</v>
      </c>
      <c r="G19">
        <v>1</v>
      </c>
      <c r="H19">
        <v>0</v>
      </c>
      <c r="I19">
        <f>D19-Pram!$G$2</f>
        <v>48</v>
      </c>
      <c r="J19">
        <f>I19/Pram!$H$2</f>
        <v>4</v>
      </c>
      <c r="K19">
        <f t="shared" si="0"/>
        <v>6.993006993006993E-3</v>
      </c>
      <c r="L19">
        <f>IF(G19=0,1/(F19 - H19*Pram!$B$5 +Pram!$B$6)+Pram!$B$7,1/(F19+G19+Pram!$B$2))</f>
        <v>7.7399380804953569E-3</v>
      </c>
      <c r="M19">
        <f>(B19-J19-Pram!$I$2) * 2/120</f>
        <v>0.56666666666666665</v>
      </c>
      <c r="N19">
        <f>(1-L19-L19*Pram!$B$2)/L19</f>
        <v>142</v>
      </c>
      <c r="O19">
        <f>(M19-Pram!$B$17)/Pram!$B$16</f>
        <v>6.9540815243915371E-3</v>
      </c>
      <c r="P19">
        <f t="shared" si="1"/>
        <v>142.80044244412235</v>
      </c>
    </row>
    <row r="20" spans="1:16" hidden="1" x14ac:dyDescent="0.55000000000000004">
      <c r="A20" t="s">
        <v>20</v>
      </c>
      <c r="B20">
        <v>47</v>
      </c>
      <c r="C20">
        <v>628</v>
      </c>
      <c r="D20">
        <v>636.5</v>
      </c>
      <c r="E20">
        <v>6.1847599999999998</v>
      </c>
      <c r="F20">
        <v>141</v>
      </c>
      <c r="G20">
        <v>1</v>
      </c>
      <c r="H20">
        <v>0</v>
      </c>
      <c r="I20">
        <f>D20-Pram!$G$2</f>
        <v>6.5</v>
      </c>
      <c r="J20">
        <f>I20/Pram!$H$2</f>
        <v>0.54166666666666663</v>
      </c>
      <c r="K20">
        <f t="shared" si="0"/>
        <v>7.0422535211267607E-3</v>
      </c>
      <c r="L20">
        <f>IF(G20=0,1/(F20 - H20*Pram!$B$5 +Pram!$B$6)+Pram!$B$7,1/(F20+G20+Pram!$B$2))</f>
        <v>7.8003120124804995E-3</v>
      </c>
      <c r="M20">
        <f>(B20-J20-Pram!$I$2) * 2/120</f>
        <v>0.57430555555555562</v>
      </c>
      <c r="N20">
        <f>(1-L20-L20*Pram!$B$2)/L20</f>
        <v>141</v>
      </c>
      <c r="O20">
        <f>(M20-Pram!$B$17)/Pram!$B$16</f>
        <v>7.0756501934489081E-3</v>
      </c>
      <c r="P20">
        <f t="shared" si="1"/>
        <v>140.3297679591148</v>
      </c>
    </row>
    <row r="21" spans="1:16" hidden="1" x14ac:dyDescent="0.55000000000000004">
      <c r="A21" t="s">
        <v>21</v>
      </c>
      <c r="B21">
        <v>49</v>
      </c>
      <c r="C21">
        <v>620.5</v>
      </c>
      <c r="D21">
        <v>678</v>
      </c>
      <c r="E21">
        <v>16.530370000000001</v>
      </c>
      <c r="F21">
        <v>142</v>
      </c>
      <c r="G21">
        <v>1</v>
      </c>
      <c r="H21">
        <v>0</v>
      </c>
      <c r="I21">
        <f>D21-Pram!$G$2</f>
        <v>48</v>
      </c>
      <c r="J21">
        <f>I21/Pram!$H$2</f>
        <v>4</v>
      </c>
      <c r="K21">
        <f t="shared" si="0"/>
        <v>6.993006993006993E-3</v>
      </c>
      <c r="L21">
        <f>IF(G21=0,1/(F21 - H21*Pram!$B$5 +Pram!$B$6)+Pram!$B$7,1/(F21+G21+Pram!$B$2))</f>
        <v>7.7399380804953569E-3</v>
      </c>
      <c r="M21">
        <f>(B21-J21-Pram!$I$2) * 2/120</f>
        <v>0.55000000000000004</v>
      </c>
      <c r="N21">
        <f>(1-L21-L21*Pram!$B$2)/L21</f>
        <v>142</v>
      </c>
      <c r="O21">
        <f>(M21-Pram!$B$17)/Pram!$B$16</f>
        <v>6.6888407919027315E-3</v>
      </c>
      <c r="P21">
        <f t="shared" si="1"/>
        <v>148.50273614085177</v>
      </c>
    </row>
    <row r="22" spans="1:16" hidden="1" x14ac:dyDescent="0.55000000000000004">
      <c r="A22" t="s">
        <v>22</v>
      </c>
      <c r="B22">
        <v>47</v>
      </c>
      <c r="C22">
        <v>665.5</v>
      </c>
      <c r="D22">
        <v>634.5</v>
      </c>
      <c r="E22">
        <v>14.57748</v>
      </c>
      <c r="F22">
        <v>140</v>
      </c>
      <c r="G22">
        <v>1</v>
      </c>
      <c r="H22">
        <v>0</v>
      </c>
      <c r="I22">
        <f>D22-Pram!$G$2</f>
        <v>4.5</v>
      </c>
      <c r="J22">
        <f>I22/Pram!$H$2</f>
        <v>0.375</v>
      </c>
      <c r="K22">
        <f t="shared" si="0"/>
        <v>7.0921985815602835E-3</v>
      </c>
      <c r="L22">
        <f>IF(G22=0,1/(F22 - H22*Pram!$B$5 +Pram!$B$6)+Pram!$B$7,1/(F22+G22+Pram!$B$2))</f>
        <v>7.8616352201257862E-3</v>
      </c>
      <c r="M22">
        <f>(B22-J22-Pram!$I$2) * 2/120</f>
        <v>0.57708333333333328</v>
      </c>
      <c r="N22">
        <f>(1-L22-L22*Pram!$B$2)/L22</f>
        <v>140</v>
      </c>
      <c r="O22">
        <f>(M22-Pram!$B$17)/Pram!$B$16</f>
        <v>7.1198569821970406E-3</v>
      </c>
      <c r="P22">
        <f t="shared" si="1"/>
        <v>139.45225943448946</v>
      </c>
    </row>
    <row r="23" spans="1:16" hidden="1" x14ac:dyDescent="0.55000000000000004">
      <c r="A23" t="s">
        <v>112</v>
      </c>
      <c r="B23">
        <v>47</v>
      </c>
      <c r="C23">
        <v>642</v>
      </c>
      <c r="D23">
        <v>636</v>
      </c>
      <c r="E23">
        <v>15.0334</v>
      </c>
      <c r="F23">
        <v>141</v>
      </c>
      <c r="G23">
        <v>1</v>
      </c>
      <c r="H23">
        <v>0</v>
      </c>
      <c r="I23">
        <f>D23-Pram!$G$2</f>
        <v>6</v>
      </c>
      <c r="J23">
        <f>I23/Pram!$H$2</f>
        <v>0.5</v>
      </c>
      <c r="K23">
        <f t="shared" si="0"/>
        <v>7.0422535211267607E-3</v>
      </c>
      <c r="L23">
        <f>IF(G23=0,1/(F23 - H23*Pram!$B$5 +Pram!$B$6)+Pram!$B$7,1/(F23+G23+Pram!$B$2))</f>
        <v>7.8003120124804995E-3</v>
      </c>
      <c r="M23">
        <f>(B23-J23-Pram!$I$2) * 2/120</f>
        <v>0.57499999999999996</v>
      </c>
      <c r="N23">
        <f>(1-L23-L23*Pram!$B$2)/L23</f>
        <v>141</v>
      </c>
      <c r="O23">
        <f>(M23-Pram!$B$17)/Pram!$B$16</f>
        <v>7.0867018906359399E-3</v>
      </c>
      <c r="P23">
        <f t="shared" si="1"/>
        <v>140.10936447338875</v>
      </c>
    </row>
    <row r="24" spans="1:16" hidden="1" x14ac:dyDescent="0.55000000000000004">
      <c r="A24" t="s">
        <v>24</v>
      </c>
      <c r="B24">
        <v>47</v>
      </c>
      <c r="C24">
        <v>635.5</v>
      </c>
      <c r="D24">
        <v>634</v>
      </c>
      <c r="E24">
        <v>10.688879999999999</v>
      </c>
      <c r="F24">
        <v>139</v>
      </c>
      <c r="G24">
        <v>1</v>
      </c>
      <c r="H24">
        <v>0</v>
      </c>
      <c r="I24">
        <f>D24-Pram!$G$2</f>
        <v>4</v>
      </c>
      <c r="J24">
        <f>I24/Pram!$H$2</f>
        <v>0.33333333333333331</v>
      </c>
      <c r="K24">
        <f t="shared" si="0"/>
        <v>7.1428571428571426E-3</v>
      </c>
      <c r="L24">
        <f>IF(G24=0,1/(F24 - H24*Pram!$B$5 +Pram!$B$6)+Pram!$B$7,1/(F24+G24+Pram!$B$2))</f>
        <v>7.9239302694136295E-3</v>
      </c>
      <c r="M24">
        <f>(B24-J24-Pram!$I$2) * 2/120</f>
        <v>0.57777777777777772</v>
      </c>
      <c r="N24">
        <f>(1-L24-L24*Pram!$B$2)/L24</f>
        <v>139</v>
      </c>
      <c r="O24">
        <f>(M24-Pram!$B$17)/Pram!$B$16</f>
        <v>7.1309086793840742E-3</v>
      </c>
      <c r="P24">
        <f t="shared" si="1"/>
        <v>139.23458228978106</v>
      </c>
    </row>
    <row r="25" spans="1:16" hidden="1" x14ac:dyDescent="0.55000000000000004">
      <c r="A25" t="s">
        <v>25</v>
      </c>
      <c r="B25">
        <v>49</v>
      </c>
      <c r="C25">
        <v>643</v>
      </c>
      <c r="D25">
        <v>654.5</v>
      </c>
      <c r="E25">
        <v>3.3542000000000001</v>
      </c>
      <c r="F25">
        <v>138</v>
      </c>
      <c r="G25">
        <v>1</v>
      </c>
      <c r="H25">
        <v>0</v>
      </c>
      <c r="I25">
        <f>D25-Pram!$G$2</f>
        <v>24.5</v>
      </c>
      <c r="J25">
        <f>I25/Pram!$H$2</f>
        <v>2.0416666666666665</v>
      </c>
      <c r="K25">
        <f t="shared" si="0"/>
        <v>7.1942446043165471E-3</v>
      </c>
      <c r="L25">
        <f>IF(G25=0,1/(F25 - H25*Pram!$B$5 +Pram!$B$6)+Pram!$B$7,1/(F25+G25+Pram!$B$2))</f>
        <v>7.9872204472843447E-3</v>
      </c>
      <c r="M25">
        <f>(B25-J25-Pram!$I$2) * 2/120</f>
        <v>0.58263888888888893</v>
      </c>
      <c r="N25">
        <f>(1-L25-L25*Pram!$B$2)/L25</f>
        <v>138</v>
      </c>
      <c r="O25">
        <f>(M25-Pram!$B$17)/Pram!$B$16</f>
        <v>7.2082705596933109E-3</v>
      </c>
      <c r="P25">
        <f t="shared" si="1"/>
        <v>137.72953182303229</v>
      </c>
    </row>
    <row r="26" spans="1:16" hidden="1" x14ac:dyDescent="0.55000000000000004">
      <c r="A26" t="s">
        <v>26</v>
      </c>
      <c r="B26">
        <v>47</v>
      </c>
      <c r="C26">
        <v>648</v>
      </c>
      <c r="D26">
        <v>636.5</v>
      </c>
      <c r="E26">
        <v>14.08023</v>
      </c>
      <c r="F26">
        <v>141</v>
      </c>
      <c r="G26">
        <v>1</v>
      </c>
      <c r="H26">
        <v>0</v>
      </c>
      <c r="I26">
        <f>D26-Pram!$G$2</f>
        <v>6.5</v>
      </c>
      <c r="J26">
        <f>I26/Pram!$H$2</f>
        <v>0.54166666666666663</v>
      </c>
      <c r="K26">
        <f t="shared" si="0"/>
        <v>7.0422535211267607E-3</v>
      </c>
      <c r="L26">
        <f>IF(G26=0,1/(F26 - H26*Pram!$B$5 +Pram!$B$6)+Pram!$B$7,1/(F26+G26+Pram!$B$2))</f>
        <v>7.8003120124804995E-3</v>
      </c>
      <c r="M26">
        <f>(B26-J26-Pram!$I$2) * 2/120</f>
        <v>0.57430555555555562</v>
      </c>
      <c r="N26">
        <f>(1-L26-L26*Pram!$B$2)/L26</f>
        <v>141</v>
      </c>
      <c r="O26">
        <f>(M26-Pram!$B$17)/Pram!$B$16</f>
        <v>7.0756501934489081E-3</v>
      </c>
      <c r="P26">
        <f t="shared" si="1"/>
        <v>140.3297679591148</v>
      </c>
    </row>
    <row r="27" spans="1:16" hidden="1" x14ac:dyDescent="0.55000000000000004">
      <c r="A27" t="s">
        <v>27</v>
      </c>
      <c r="B27">
        <v>50</v>
      </c>
      <c r="C27">
        <v>622</v>
      </c>
      <c r="D27">
        <v>672</v>
      </c>
      <c r="E27">
        <v>16.031320000000001</v>
      </c>
      <c r="F27">
        <v>140</v>
      </c>
      <c r="G27">
        <v>1</v>
      </c>
      <c r="H27">
        <v>0</v>
      </c>
      <c r="I27">
        <f>D27-Pram!$G$2</f>
        <v>42</v>
      </c>
      <c r="J27">
        <f>I27/Pram!$H$2</f>
        <v>3.5</v>
      </c>
      <c r="K27">
        <f t="shared" si="0"/>
        <v>7.0921985815602835E-3</v>
      </c>
      <c r="L27">
        <f>IF(G27=0,1/(F27 - H27*Pram!$B$5 +Pram!$B$6)+Pram!$B$7,1/(F27+G27+Pram!$B$2))</f>
        <v>7.8616352201257862E-3</v>
      </c>
      <c r="M27">
        <f>(B27-J27-Pram!$I$2) * 2/120</f>
        <v>0.57499999999999996</v>
      </c>
      <c r="N27">
        <f>(1-L27-L27*Pram!$B$2)/L27</f>
        <v>140</v>
      </c>
      <c r="O27">
        <f>(M27-Pram!$B$17)/Pram!$B$16</f>
        <v>7.0867018906359399E-3</v>
      </c>
      <c r="P27">
        <f t="shared" si="1"/>
        <v>140.10936447338875</v>
      </c>
    </row>
    <row r="28" spans="1:16" hidden="1" x14ac:dyDescent="0.55000000000000004">
      <c r="A28" t="s">
        <v>28</v>
      </c>
      <c r="B28">
        <v>48</v>
      </c>
      <c r="C28">
        <v>661.5</v>
      </c>
      <c r="D28">
        <v>645</v>
      </c>
      <c r="E28">
        <v>6.5765700000000002</v>
      </c>
      <c r="F28">
        <v>140</v>
      </c>
      <c r="G28">
        <v>1</v>
      </c>
      <c r="H28">
        <v>0</v>
      </c>
      <c r="I28">
        <f>D28-Pram!$G$2</f>
        <v>15</v>
      </c>
      <c r="J28">
        <f>I28/Pram!$H$2</f>
        <v>1.25</v>
      </c>
      <c r="K28">
        <f t="shared" si="0"/>
        <v>7.0921985815602835E-3</v>
      </c>
      <c r="L28">
        <f>IF(G28=0,1/(F28 - H28*Pram!$B$5 +Pram!$B$6)+Pram!$B$7,1/(F28+G28+Pram!$B$2))</f>
        <v>7.8616352201257862E-3</v>
      </c>
      <c r="M28">
        <f>(B28-J28-Pram!$I$2) * 2/120</f>
        <v>0.57916666666666672</v>
      </c>
      <c r="N28">
        <f>(1-L28-L28*Pram!$B$2)/L28</f>
        <v>140</v>
      </c>
      <c r="O28">
        <f>(M28-Pram!$B$17)/Pram!$B$16</f>
        <v>7.1530120737581431E-3</v>
      </c>
      <c r="P28">
        <f t="shared" si="1"/>
        <v>138.80124592109166</v>
      </c>
    </row>
    <row r="29" spans="1:16" hidden="1" x14ac:dyDescent="0.55000000000000004">
      <c r="A29" t="s">
        <v>29</v>
      </c>
      <c r="B29">
        <v>48</v>
      </c>
      <c r="C29">
        <v>663.5</v>
      </c>
      <c r="D29">
        <v>643.5</v>
      </c>
      <c r="E29">
        <v>6.6709300000000002</v>
      </c>
      <c r="F29">
        <v>139</v>
      </c>
      <c r="G29">
        <v>1</v>
      </c>
      <c r="H29">
        <v>0</v>
      </c>
      <c r="I29">
        <f>D29-Pram!$G$2</f>
        <v>13.5</v>
      </c>
      <c r="J29">
        <f>I29/Pram!$H$2</f>
        <v>1.125</v>
      </c>
      <c r="K29">
        <f t="shared" si="0"/>
        <v>7.1428571428571426E-3</v>
      </c>
      <c r="L29">
        <f>IF(G29=0,1/(F29 - H29*Pram!$B$5 +Pram!$B$6)+Pram!$B$7,1/(F29+G29+Pram!$B$2))</f>
        <v>7.9239302694136295E-3</v>
      </c>
      <c r="M29">
        <f>(B29-J29-Pram!$I$2) * 2/120</f>
        <v>0.58125000000000004</v>
      </c>
      <c r="N29">
        <f>(1-L29-L29*Pram!$B$2)/L29</f>
        <v>139</v>
      </c>
      <c r="O29">
        <f>(M29-Pram!$B$17)/Pram!$B$16</f>
        <v>7.1861671653192438E-3</v>
      </c>
      <c r="P29">
        <f t="shared" si="1"/>
        <v>138.1562396190898</v>
      </c>
    </row>
    <row r="30" spans="1:16" hidden="1" x14ac:dyDescent="0.55000000000000004">
      <c r="A30" t="s">
        <v>113</v>
      </c>
      <c r="B30">
        <v>48</v>
      </c>
      <c r="C30">
        <v>648.5</v>
      </c>
      <c r="D30">
        <v>643.5</v>
      </c>
      <c r="E30">
        <v>4.7435200000000002</v>
      </c>
      <c r="F30">
        <v>139</v>
      </c>
      <c r="G30">
        <v>1</v>
      </c>
      <c r="H30">
        <v>0</v>
      </c>
      <c r="I30">
        <f>D30-Pram!$G$2</f>
        <v>13.5</v>
      </c>
      <c r="J30">
        <f>I30/Pram!$H$2</f>
        <v>1.125</v>
      </c>
      <c r="K30">
        <f t="shared" si="0"/>
        <v>7.1428571428571426E-3</v>
      </c>
      <c r="L30">
        <f>IF(G30=0,1/(F30 - H30*Pram!$B$5 +Pram!$B$6)+Pram!$B$7,1/(F30+G30+Pram!$B$2))</f>
        <v>7.9239302694136295E-3</v>
      </c>
      <c r="M30">
        <f>(B30-J30-Pram!$I$2) * 2/120</f>
        <v>0.58125000000000004</v>
      </c>
      <c r="N30">
        <f>(1-L30-L30*Pram!$B$2)/L30</f>
        <v>139</v>
      </c>
      <c r="O30">
        <f>(M30-Pram!$B$17)/Pram!$B$16</f>
        <v>7.1861671653192438E-3</v>
      </c>
      <c r="P30">
        <f t="shared" si="1"/>
        <v>138.1562396190898</v>
      </c>
    </row>
    <row r="31" spans="1:16" hidden="1" x14ac:dyDescent="0.55000000000000004">
      <c r="A31" t="s">
        <v>31</v>
      </c>
      <c r="B31">
        <v>47</v>
      </c>
      <c r="C31">
        <v>637</v>
      </c>
      <c r="D31">
        <v>638</v>
      </c>
      <c r="E31">
        <v>11.180440000000001</v>
      </c>
      <c r="F31">
        <v>142</v>
      </c>
      <c r="G31">
        <v>1</v>
      </c>
      <c r="H31">
        <v>0</v>
      </c>
      <c r="I31">
        <f>D31-Pram!$G$2</f>
        <v>8</v>
      </c>
      <c r="J31">
        <f>I31/Pram!$H$2</f>
        <v>0.66666666666666663</v>
      </c>
      <c r="K31">
        <f t="shared" si="0"/>
        <v>6.993006993006993E-3</v>
      </c>
      <c r="L31">
        <f>IF(G31=0,1/(F31 - H31*Pram!$B$5 +Pram!$B$6)+Pram!$B$7,1/(F31+G31+Pram!$B$2))</f>
        <v>7.7399380804953569E-3</v>
      </c>
      <c r="M31">
        <f>(B31-J31-Pram!$I$2) * 2/120</f>
        <v>0.5722222222222223</v>
      </c>
      <c r="N31">
        <f>(1-L31-L31*Pram!$B$2)/L31</f>
        <v>142</v>
      </c>
      <c r="O31">
        <f>(M31-Pram!$B$17)/Pram!$B$16</f>
        <v>7.0424951018878074E-3</v>
      </c>
      <c r="P31">
        <f t="shared" si="1"/>
        <v>140.99512893263363</v>
      </c>
    </row>
    <row r="32" spans="1:16" hidden="1" x14ac:dyDescent="0.55000000000000004">
      <c r="A32" t="s">
        <v>114</v>
      </c>
      <c r="B32">
        <v>50</v>
      </c>
      <c r="C32">
        <v>645.5</v>
      </c>
      <c r="D32">
        <v>678.5</v>
      </c>
      <c r="E32">
        <v>16.56814</v>
      </c>
      <c r="F32">
        <v>143</v>
      </c>
      <c r="G32">
        <v>1</v>
      </c>
      <c r="H32">
        <v>0</v>
      </c>
      <c r="I32">
        <f>D32-Pram!$G$2</f>
        <v>48.5</v>
      </c>
      <c r="J32">
        <f>I32/Pram!$H$2</f>
        <v>4.041666666666667</v>
      </c>
      <c r="K32">
        <f t="shared" si="0"/>
        <v>6.9444444444444441E-3</v>
      </c>
      <c r="L32">
        <f>IF(G32=0,1/(F32 - H32*Pram!$B$5 +Pram!$B$6)+Pram!$B$7,1/(F32+G32+Pram!$B$2))</f>
        <v>7.6804915514592943E-3</v>
      </c>
      <c r="M32">
        <f>(B32-J32-Pram!$I$2) * 2/120</f>
        <v>0.56597222222222221</v>
      </c>
      <c r="N32">
        <f>(1-L32-L32*Pram!$B$2)/L32</f>
        <v>142.99999999999997</v>
      </c>
      <c r="O32">
        <f>(M32-Pram!$B$17)/Pram!$B$16</f>
        <v>6.9430298272045035E-3</v>
      </c>
      <c r="P32">
        <f t="shared" si="1"/>
        <v>143.02933947968268</v>
      </c>
    </row>
    <row r="33" spans="1:16" hidden="1" x14ac:dyDescent="0.55000000000000004">
      <c r="A33" t="s">
        <v>110</v>
      </c>
      <c r="B33">
        <v>50</v>
      </c>
      <c r="C33">
        <v>624</v>
      </c>
      <c r="D33">
        <v>672</v>
      </c>
      <c r="E33">
        <v>16.031320000000001</v>
      </c>
      <c r="F33">
        <v>140</v>
      </c>
      <c r="G33">
        <v>1</v>
      </c>
      <c r="H33">
        <v>0</v>
      </c>
      <c r="I33">
        <f>D33-Pram!$G$2</f>
        <v>42</v>
      </c>
      <c r="J33">
        <f>I33/Pram!$H$2</f>
        <v>3.5</v>
      </c>
      <c r="K33">
        <f t="shared" si="0"/>
        <v>7.0921985815602835E-3</v>
      </c>
      <c r="L33">
        <f>IF(G33=0,1/(F33 - H33*Pram!$B$5 +Pram!$B$6)+Pram!$B$7,1/(F33+G33+Pram!$B$2))</f>
        <v>7.8616352201257862E-3</v>
      </c>
      <c r="M33">
        <f>(B33-J33-Pram!$I$2) * 2/120</f>
        <v>0.57499999999999996</v>
      </c>
      <c r="N33">
        <f>(1-L33-L33*Pram!$B$2)/L33</f>
        <v>140</v>
      </c>
      <c r="O33">
        <f>(M33-Pram!$B$17)/Pram!$B$16</f>
        <v>7.0867018906359399E-3</v>
      </c>
      <c r="P33">
        <f t="shared" si="1"/>
        <v>140.10936447338875</v>
      </c>
    </row>
    <row r="34" spans="1:16" hidden="1" x14ac:dyDescent="0.55000000000000004">
      <c r="A34" t="s">
        <v>115</v>
      </c>
      <c r="B34">
        <v>49</v>
      </c>
      <c r="C34">
        <v>635.5</v>
      </c>
      <c r="D34">
        <v>647</v>
      </c>
      <c r="E34">
        <v>8.5587199999999992</v>
      </c>
      <c r="F34">
        <v>136</v>
      </c>
      <c r="G34">
        <v>1</v>
      </c>
      <c r="H34">
        <v>0</v>
      </c>
      <c r="I34">
        <f>D34-Pram!$G$2</f>
        <v>17</v>
      </c>
      <c r="J34">
        <f>I34/Pram!$H$2</f>
        <v>1.4166666666666667</v>
      </c>
      <c r="K34">
        <f t="shared" si="0"/>
        <v>7.2992700729927005E-3</v>
      </c>
      <c r="L34">
        <f>IF(G34=0,1/(F34 - H34*Pram!$B$5 +Pram!$B$6)+Pram!$B$7,1/(F34+G34+Pram!$B$2))</f>
        <v>8.1168831168831161E-3</v>
      </c>
      <c r="M34">
        <f>(B34-J34-Pram!$I$2) * 2/120</f>
        <v>0.59305555555555556</v>
      </c>
      <c r="N34">
        <f>(1-L34-L34*Pram!$B$2)/L34</f>
        <v>136.00000000000003</v>
      </c>
      <c r="O34">
        <f>(M34-Pram!$B$17)/Pram!$B$16</f>
        <v>7.3740460174988144E-3</v>
      </c>
      <c r="P34">
        <f t="shared" si="1"/>
        <v>134.61076207376146</v>
      </c>
    </row>
    <row r="35" spans="1:16" hidden="1" x14ac:dyDescent="0.55000000000000004">
      <c r="A35" t="s">
        <v>36</v>
      </c>
      <c r="B35">
        <v>47</v>
      </c>
      <c r="C35">
        <v>655.5</v>
      </c>
      <c r="D35">
        <v>632</v>
      </c>
      <c r="E35">
        <v>14.53454</v>
      </c>
      <c r="F35">
        <v>139</v>
      </c>
      <c r="G35">
        <v>1</v>
      </c>
      <c r="H35">
        <v>0</v>
      </c>
      <c r="I35">
        <f>D35-Pram!$G$2</f>
        <v>2</v>
      </c>
      <c r="J35">
        <f>I35/Pram!$H$2</f>
        <v>0.16666666666666666</v>
      </c>
      <c r="K35">
        <f t="shared" si="0"/>
        <v>7.1428571428571426E-3</v>
      </c>
      <c r="L35">
        <f>IF(G35=0,1/(F35 - H35*Pram!$B$5 +Pram!$B$6)+Pram!$B$7,1/(F35+G35+Pram!$B$2))</f>
        <v>7.9239302694136295E-3</v>
      </c>
      <c r="M35">
        <f>(B35-J35-Pram!$I$2) * 2/120</f>
        <v>0.5805555555555556</v>
      </c>
      <c r="N35">
        <f>(1-L35-L35*Pram!$B$2)/L35</f>
        <v>139</v>
      </c>
      <c r="O35">
        <f>(M35-Pram!$B$17)/Pram!$B$16</f>
        <v>7.1751154681322102E-3</v>
      </c>
      <c r="P35">
        <f t="shared" si="1"/>
        <v>138.37057939226656</v>
      </c>
    </row>
    <row r="36" spans="1:16" hidden="1" x14ac:dyDescent="0.55000000000000004">
      <c r="A36" t="s">
        <v>37</v>
      </c>
      <c r="B36">
        <v>48</v>
      </c>
      <c r="C36">
        <v>650</v>
      </c>
      <c r="D36">
        <v>640.5</v>
      </c>
      <c r="E36">
        <v>14.08023</v>
      </c>
      <c r="F36">
        <v>137</v>
      </c>
      <c r="G36">
        <v>1</v>
      </c>
      <c r="H36">
        <v>0</v>
      </c>
      <c r="I36">
        <f>D36-Pram!$G$2</f>
        <v>10.5</v>
      </c>
      <c r="J36">
        <f>I36/Pram!$H$2</f>
        <v>0.875</v>
      </c>
      <c r="K36">
        <f t="shared" si="0"/>
        <v>7.246376811594203E-3</v>
      </c>
      <c r="L36">
        <f>IF(G36=0,1/(F36 - H36*Pram!$B$5 +Pram!$B$6)+Pram!$B$7,1/(F36+G36+Pram!$B$2))</f>
        <v>8.0515297906602248E-3</v>
      </c>
      <c r="M36">
        <f>(B36-J36-Pram!$I$2) * 2/120</f>
        <v>0.5854166666666667</v>
      </c>
      <c r="N36">
        <f>(1-L36-L36*Pram!$B$2)/L36</f>
        <v>137</v>
      </c>
      <c r="O36">
        <f>(M36-Pram!$B$17)/Pram!$B$16</f>
        <v>7.2524773484414452E-3</v>
      </c>
      <c r="P36">
        <f t="shared" si="1"/>
        <v>136.88391910178109</v>
      </c>
    </row>
    <row r="37" spans="1:16" hidden="1" x14ac:dyDescent="0.55000000000000004">
      <c r="A37" t="s">
        <v>44</v>
      </c>
      <c r="B37">
        <v>49</v>
      </c>
      <c r="C37">
        <v>636</v>
      </c>
      <c r="D37">
        <v>646</v>
      </c>
      <c r="E37">
        <v>14.035769999999999</v>
      </c>
      <c r="F37">
        <v>135</v>
      </c>
      <c r="G37">
        <v>1</v>
      </c>
      <c r="H37">
        <v>0</v>
      </c>
      <c r="I37">
        <f>D37-Pram!$G$2</f>
        <v>16</v>
      </c>
      <c r="J37">
        <f>I37/Pram!$H$2</f>
        <v>1.3333333333333333</v>
      </c>
      <c r="K37">
        <f t="shared" si="0"/>
        <v>7.3529411764705881E-3</v>
      </c>
      <c r="L37">
        <f>IF(G37=0,1/(F37 - H37*Pram!$B$5 +Pram!$B$6)+Pram!$B$7,1/(F37+G37+Pram!$B$2))</f>
        <v>8.1833060556464818E-3</v>
      </c>
      <c r="M37">
        <f>(B37-J37-Pram!$I$2) * 2/120</f>
        <v>0.59444444444444444</v>
      </c>
      <c r="N37">
        <f>(1-L37-L37*Pram!$B$2)/L37</f>
        <v>134.99999999999997</v>
      </c>
      <c r="O37">
        <f>(M37-Pram!$B$17)/Pram!$B$16</f>
        <v>7.3961494118728825E-3</v>
      </c>
      <c r="P37">
        <f t="shared" si="1"/>
        <v>134.20548927726111</v>
      </c>
    </row>
    <row r="38" spans="1:16" hidden="1" x14ac:dyDescent="0.55000000000000004">
      <c r="A38" t="s">
        <v>45</v>
      </c>
      <c r="B38">
        <v>48</v>
      </c>
      <c r="C38">
        <v>639.5</v>
      </c>
      <c r="D38">
        <v>638</v>
      </c>
      <c r="E38">
        <v>14.53454</v>
      </c>
      <c r="F38">
        <v>136</v>
      </c>
      <c r="G38">
        <v>1</v>
      </c>
      <c r="H38">
        <v>0</v>
      </c>
      <c r="I38">
        <f>D38-Pram!$G$2</f>
        <v>8</v>
      </c>
      <c r="J38">
        <f>I38/Pram!$H$2</f>
        <v>0.66666666666666663</v>
      </c>
      <c r="K38">
        <f t="shared" si="0"/>
        <v>7.2992700729927005E-3</v>
      </c>
      <c r="L38">
        <f>IF(G38=0,1/(F38 - H38*Pram!$B$5 +Pram!$B$6)+Pram!$B$7,1/(F38+G38+Pram!$B$2))</f>
        <v>8.1168831168831161E-3</v>
      </c>
      <c r="M38">
        <f>(B38-J38-Pram!$I$2) * 2/120</f>
        <v>0.58888888888888891</v>
      </c>
      <c r="N38">
        <f>(1-L38-L38*Pram!$B$2)/L38</f>
        <v>136.00000000000003</v>
      </c>
      <c r="O38">
        <f>(M38-Pram!$B$17)/Pram!$B$16</f>
        <v>7.307735834376613E-3</v>
      </c>
      <c r="P38">
        <f t="shared" si="1"/>
        <v>135.84129019769159</v>
      </c>
    </row>
    <row r="39" spans="1:16" hidden="1" x14ac:dyDescent="0.55000000000000004">
      <c r="A39" t="s">
        <v>46</v>
      </c>
      <c r="B39">
        <v>51</v>
      </c>
      <c r="C39">
        <v>616</v>
      </c>
      <c r="D39">
        <v>673.5</v>
      </c>
      <c r="E39">
        <v>16.070260000000001</v>
      </c>
      <c r="F39">
        <v>136</v>
      </c>
      <c r="G39">
        <v>1</v>
      </c>
      <c r="H39">
        <v>0</v>
      </c>
      <c r="I39">
        <f>D39-Pram!$G$2</f>
        <v>43.5</v>
      </c>
      <c r="J39">
        <f>I39/Pram!$H$2</f>
        <v>3.625</v>
      </c>
      <c r="K39">
        <f t="shared" si="0"/>
        <v>7.2992700729927005E-3</v>
      </c>
      <c r="L39">
        <f>IF(G39=0,1/(F39 - H39*Pram!$B$5 +Pram!$B$6)+Pram!$B$7,1/(F39+G39+Pram!$B$2))</f>
        <v>8.1168831168831161E-3</v>
      </c>
      <c r="M39">
        <f>(B39-J39-Pram!$I$2) * 2/120</f>
        <v>0.58958333333333335</v>
      </c>
      <c r="N39">
        <f>(1-L39-L39*Pram!$B$2)/L39</f>
        <v>136.00000000000003</v>
      </c>
      <c r="O39">
        <f>(M39-Pram!$B$17)/Pram!$B$16</f>
        <v>7.3187875315636466E-3</v>
      </c>
      <c r="P39">
        <f t="shared" si="1"/>
        <v>135.63465371652231</v>
      </c>
    </row>
    <row r="40" spans="1:16" hidden="1" x14ac:dyDescent="0.55000000000000004">
      <c r="A40" t="s">
        <v>47</v>
      </c>
      <c r="B40">
        <v>48</v>
      </c>
      <c r="C40">
        <v>617.5</v>
      </c>
      <c r="D40">
        <v>641</v>
      </c>
      <c r="E40">
        <v>14.53454</v>
      </c>
      <c r="F40">
        <v>138</v>
      </c>
      <c r="G40">
        <v>1</v>
      </c>
      <c r="H40">
        <v>0</v>
      </c>
      <c r="I40">
        <f>D40-Pram!$G$2</f>
        <v>11</v>
      </c>
      <c r="J40">
        <f>I40/Pram!$H$2</f>
        <v>0.91666666666666663</v>
      </c>
      <c r="K40">
        <f t="shared" si="0"/>
        <v>7.1942446043165471E-3</v>
      </c>
      <c r="L40">
        <f>IF(G40=0,1/(F40 - H40*Pram!$B$5 +Pram!$B$6)+Pram!$B$7,1/(F40+G40+Pram!$B$2))</f>
        <v>7.9872204472843447E-3</v>
      </c>
      <c r="M40">
        <f>(B40-J40-Pram!$I$2) * 2/120</f>
        <v>0.58472222222222225</v>
      </c>
      <c r="N40">
        <f>(1-L40-L40*Pram!$B$2)/L40</f>
        <v>138</v>
      </c>
      <c r="O40">
        <f>(M40-Pram!$B$17)/Pram!$B$16</f>
        <v>7.2414256512544116E-3</v>
      </c>
      <c r="P40">
        <f t="shared" si="1"/>
        <v>137.09435436608712</v>
      </c>
    </row>
    <row r="41" spans="1:16" hidden="1" x14ac:dyDescent="0.55000000000000004">
      <c r="A41" t="s">
        <v>48</v>
      </c>
      <c r="B41">
        <v>51</v>
      </c>
      <c r="C41">
        <v>639.5</v>
      </c>
      <c r="D41">
        <v>677.5</v>
      </c>
      <c r="E41">
        <v>16.56814</v>
      </c>
      <c r="F41">
        <v>137</v>
      </c>
      <c r="G41">
        <v>1</v>
      </c>
      <c r="H41">
        <v>0</v>
      </c>
      <c r="I41">
        <f>D41-Pram!$G$2</f>
        <v>47.5</v>
      </c>
      <c r="J41">
        <f>I41/Pram!$H$2</f>
        <v>3.9583333333333335</v>
      </c>
      <c r="K41">
        <f t="shared" si="0"/>
        <v>7.246376811594203E-3</v>
      </c>
      <c r="L41">
        <f>IF(G41=0,1/(F41 - H41*Pram!$B$5 +Pram!$B$6)+Pram!$B$7,1/(F41+G41+Pram!$B$2))</f>
        <v>8.0515297906602248E-3</v>
      </c>
      <c r="M41">
        <f>(B41-J41-Pram!$I$2) * 2/120</f>
        <v>0.5840277777777777</v>
      </c>
      <c r="N41">
        <f>(1-L41-L41*Pram!$B$2)/L41</f>
        <v>137</v>
      </c>
      <c r="O41">
        <f>(M41-Pram!$B$17)/Pram!$B$16</f>
        <v>7.2303739540673763E-3</v>
      </c>
      <c r="P41">
        <f t="shared" si="1"/>
        <v>137.30543293510564</v>
      </c>
    </row>
    <row r="42" spans="1:16" hidden="1" x14ac:dyDescent="0.55000000000000004">
      <c r="A42" t="s">
        <v>49</v>
      </c>
      <c r="B42">
        <v>47</v>
      </c>
      <c r="C42">
        <v>675.5</v>
      </c>
      <c r="D42">
        <v>630.5</v>
      </c>
      <c r="E42">
        <v>2.9155799999999998</v>
      </c>
      <c r="F42">
        <v>138</v>
      </c>
      <c r="G42">
        <v>1</v>
      </c>
      <c r="H42">
        <v>0</v>
      </c>
      <c r="I42">
        <f>D42-Pram!$G$2</f>
        <v>0.5</v>
      </c>
      <c r="J42">
        <f>I42/Pram!$H$2</f>
        <v>4.1666666666666664E-2</v>
      </c>
      <c r="K42">
        <f t="shared" si="0"/>
        <v>7.1942446043165471E-3</v>
      </c>
      <c r="L42">
        <f>IF(G42=0,1/(F42 - H42*Pram!$B$5 +Pram!$B$6)+Pram!$B$7,1/(F42+G42+Pram!$B$2))</f>
        <v>7.9872204472843447E-3</v>
      </c>
      <c r="M42">
        <f>(B42-J42-Pram!$I$2) * 2/120</f>
        <v>0.58263888888888893</v>
      </c>
      <c r="N42">
        <f>(1-L42-L42*Pram!$B$2)/L42</f>
        <v>138</v>
      </c>
      <c r="O42">
        <f>(M42-Pram!$B$17)/Pram!$B$16</f>
        <v>7.2082705596933109E-3</v>
      </c>
      <c r="P42">
        <f t="shared" si="1"/>
        <v>137.72953182303229</v>
      </c>
    </row>
    <row r="43" spans="1:16" hidden="1" x14ac:dyDescent="0.55000000000000004">
      <c r="A43" t="s">
        <v>50</v>
      </c>
      <c r="B43">
        <v>47</v>
      </c>
      <c r="C43">
        <v>626</v>
      </c>
      <c r="D43">
        <v>632</v>
      </c>
      <c r="E43">
        <v>14.035769999999999</v>
      </c>
      <c r="F43">
        <v>139</v>
      </c>
      <c r="G43">
        <v>1</v>
      </c>
      <c r="H43">
        <v>0</v>
      </c>
      <c r="I43">
        <f>D43-Pram!$G$2</f>
        <v>2</v>
      </c>
      <c r="J43">
        <f>I43/Pram!$H$2</f>
        <v>0.16666666666666666</v>
      </c>
      <c r="K43">
        <f t="shared" si="0"/>
        <v>7.1428571428571426E-3</v>
      </c>
      <c r="L43">
        <f>IF(G43=0,1/(F43 - H43*Pram!$B$5 +Pram!$B$6)+Pram!$B$7,1/(F43+G43+Pram!$B$2))</f>
        <v>7.9239302694136295E-3</v>
      </c>
      <c r="M43">
        <f>(B43-J43-Pram!$I$2) * 2/120</f>
        <v>0.5805555555555556</v>
      </c>
      <c r="N43">
        <f>(1-L43-L43*Pram!$B$2)/L43</f>
        <v>139</v>
      </c>
      <c r="O43">
        <f>(M43-Pram!$B$17)/Pram!$B$16</f>
        <v>7.1751154681322102E-3</v>
      </c>
      <c r="P43">
        <f t="shared" si="1"/>
        <v>138.37057939226656</v>
      </c>
    </row>
    <row r="44" spans="1:16" hidden="1" x14ac:dyDescent="0.55000000000000004">
      <c r="A44" t="s">
        <v>51</v>
      </c>
      <c r="B44">
        <v>49</v>
      </c>
      <c r="C44">
        <v>658</v>
      </c>
      <c r="D44">
        <v>651.5</v>
      </c>
      <c r="E44">
        <v>3.3542000000000001</v>
      </c>
      <c r="F44">
        <v>137</v>
      </c>
      <c r="G44">
        <v>1</v>
      </c>
      <c r="H44">
        <v>0</v>
      </c>
      <c r="I44">
        <f>D44-Pram!$G$2</f>
        <v>21.5</v>
      </c>
      <c r="J44">
        <f>I44/Pram!$H$2</f>
        <v>1.7916666666666667</v>
      </c>
      <c r="K44">
        <f t="shared" si="0"/>
        <v>7.246376811594203E-3</v>
      </c>
      <c r="L44">
        <f>IF(G44=0,1/(F44 - H44*Pram!$B$5 +Pram!$B$6)+Pram!$B$7,1/(F44+G44+Pram!$B$2))</f>
        <v>8.0515297906602248E-3</v>
      </c>
      <c r="M44">
        <f>(B44-J44-Pram!$I$2) * 2/120</f>
        <v>0.58680555555555558</v>
      </c>
      <c r="N44">
        <f>(1-L44-L44*Pram!$B$2)/L44</f>
        <v>137</v>
      </c>
      <c r="O44">
        <f>(M44-Pram!$B$17)/Pram!$B$16</f>
        <v>7.2745807428155123E-3</v>
      </c>
      <c r="P44">
        <f t="shared" si="1"/>
        <v>136.46496675944044</v>
      </c>
    </row>
    <row r="45" spans="1:16" hidden="1" x14ac:dyDescent="0.55000000000000004">
      <c r="A45" t="s">
        <v>52</v>
      </c>
      <c r="B45">
        <v>48</v>
      </c>
      <c r="C45">
        <v>644.5</v>
      </c>
      <c r="D45">
        <v>632</v>
      </c>
      <c r="E45">
        <v>14.53454</v>
      </c>
      <c r="F45">
        <v>134</v>
      </c>
      <c r="G45">
        <v>1</v>
      </c>
      <c r="H45">
        <v>0</v>
      </c>
      <c r="I45">
        <f>D45-Pram!$G$2</f>
        <v>2</v>
      </c>
      <c r="J45">
        <f>I45/Pram!$H$2</f>
        <v>0.16666666666666666</v>
      </c>
      <c r="K45">
        <f t="shared" si="0"/>
        <v>7.4074074074074077E-3</v>
      </c>
      <c r="L45">
        <f>IF(G45=0,1/(F45 - H45*Pram!$B$5 +Pram!$B$6)+Pram!$B$7,1/(F45+G45+Pram!$B$2))</f>
        <v>8.2508250825082501E-3</v>
      </c>
      <c r="M45">
        <f>(B45-J45-Pram!$I$2) * 2/120</f>
        <v>0.59722222222222221</v>
      </c>
      <c r="N45">
        <f>(1-L45-L45*Pram!$B$2)/L45</f>
        <v>134</v>
      </c>
      <c r="O45">
        <f>(M45-Pram!$B$17)/Pram!$B$16</f>
        <v>7.4403562006210167E-3</v>
      </c>
      <c r="P45">
        <f t="shared" si="1"/>
        <v>133.40216745490412</v>
      </c>
    </row>
    <row r="46" spans="1:16" hidden="1" x14ac:dyDescent="0.55000000000000004">
      <c r="A46" t="s">
        <v>53</v>
      </c>
      <c r="B46">
        <v>49</v>
      </c>
      <c r="C46">
        <v>636.5</v>
      </c>
      <c r="D46">
        <v>638.5</v>
      </c>
      <c r="E46">
        <v>14.57748</v>
      </c>
      <c r="F46">
        <v>131</v>
      </c>
      <c r="G46">
        <v>1</v>
      </c>
      <c r="H46">
        <v>0</v>
      </c>
      <c r="I46">
        <f>D46-Pram!$G$2</f>
        <v>8.5</v>
      </c>
      <c r="J46">
        <f>I46/Pram!$H$2</f>
        <v>0.70833333333333337</v>
      </c>
      <c r="K46">
        <f t="shared" si="0"/>
        <v>7.575757575757576E-3</v>
      </c>
      <c r="L46">
        <f>IF(G46=0,1/(F46 - H46*Pram!$B$5 +Pram!$B$6)+Pram!$B$7,1/(F46+G46+Pram!$B$2))</f>
        <v>8.4602368866328256E-3</v>
      </c>
      <c r="M46">
        <f>(B46-J46-Pram!$I$2) * 2/120</f>
        <v>0.60486111111111107</v>
      </c>
      <c r="N46">
        <f>(1-L46-L46*Pram!$B$2)/L46</f>
        <v>131</v>
      </c>
      <c r="O46">
        <f>(M46-Pram!$B$17)/Pram!$B$16</f>
        <v>7.561924869678386E-3</v>
      </c>
      <c r="P46">
        <f t="shared" si="1"/>
        <v>131.24146196027078</v>
      </c>
    </row>
    <row r="47" spans="1:16" hidden="1" x14ac:dyDescent="0.55000000000000004">
      <c r="A47" t="s">
        <v>54</v>
      </c>
      <c r="B47">
        <v>49</v>
      </c>
      <c r="C47">
        <v>658.5</v>
      </c>
      <c r="D47">
        <v>637</v>
      </c>
      <c r="E47">
        <v>14.53454</v>
      </c>
      <c r="F47">
        <v>131</v>
      </c>
      <c r="G47">
        <v>1</v>
      </c>
      <c r="H47">
        <v>0</v>
      </c>
      <c r="I47">
        <f>D47-Pram!$G$2</f>
        <v>7</v>
      </c>
      <c r="J47">
        <f>I47/Pram!$H$2</f>
        <v>0.58333333333333337</v>
      </c>
      <c r="K47">
        <f t="shared" si="0"/>
        <v>7.575757575757576E-3</v>
      </c>
      <c r="L47">
        <f>IF(G47=0,1/(F47 - H47*Pram!$B$5 +Pram!$B$6)+Pram!$B$7,1/(F47+G47+Pram!$B$2))</f>
        <v>8.4602368866328256E-3</v>
      </c>
      <c r="M47">
        <f>(B47-J47-Pram!$I$2) * 2/120</f>
        <v>0.6069444444444444</v>
      </c>
      <c r="N47">
        <f>(1-L47-L47*Pram!$B$2)/L47</f>
        <v>131</v>
      </c>
      <c r="O47">
        <f>(M47-Pram!$B$17)/Pram!$B$16</f>
        <v>7.5950799612394867E-3</v>
      </c>
      <c r="P47">
        <f t="shared" si="1"/>
        <v>130.66418327435278</v>
      </c>
    </row>
    <row r="48" spans="1:16" hidden="1" x14ac:dyDescent="0.55000000000000004">
      <c r="A48" t="s">
        <v>55</v>
      </c>
      <c r="B48">
        <v>49</v>
      </c>
      <c r="C48">
        <v>636.5</v>
      </c>
      <c r="D48">
        <v>638</v>
      </c>
      <c r="E48">
        <v>9.7083399999999997</v>
      </c>
      <c r="F48">
        <v>131</v>
      </c>
      <c r="G48">
        <v>1</v>
      </c>
      <c r="H48">
        <v>0</v>
      </c>
      <c r="I48">
        <f>D48-Pram!$G$2</f>
        <v>8</v>
      </c>
      <c r="J48">
        <f>I48/Pram!$H$2</f>
        <v>0.66666666666666663</v>
      </c>
      <c r="K48">
        <f t="shared" si="0"/>
        <v>7.575757575757576E-3</v>
      </c>
      <c r="L48">
        <f>IF(G48=0,1/(F48 - H48*Pram!$B$5 +Pram!$B$6)+Pram!$B$7,1/(F48+G48+Pram!$B$2))</f>
        <v>8.4602368866328256E-3</v>
      </c>
      <c r="M48">
        <f>(B48-J48-Pram!$I$2) * 2/120</f>
        <v>0.60555555555555562</v>
      </c>
      <c r="N48">
        <f>(1-L48-L48*Pram!$B$2)/L48</f>
        <v>131</v>
      </c>
      <c r="O48">
        <f>(M48-Pram!$B$17)/Pram!$B$16</f>
        <v>7.5729765668654213E-3</v>
      </c>
      <c r="P48">
        <f t="shared" si="1"/>
        <v>131.04847409344572</v>
      </c>
    </row>
    <row r="49" spans="1:16" hidden="1" x14ac:dyDescent="0.55000000000000004">
      <c r="A49" t="s">
        <v>56</v>
      </c>
      <c r="B49">
        <v>49</v>
      </c>
      <c r="C49">
        <v>653.5</v>
      </c>
      <c r="D49">
        <v>637</v>
      </c>
      <c r="E49">
        <v>14.53454</v>
      </c>
      <c r="F49">
        <v>131</v>
      </c>
      <c r="G49">
        <v>1</v>
      </c>
      <c r="H49">
        <v>0</v>
      </c>
      <c r="I49">
        <f>D49-Pram!$G$2</f>
        <v>7</v>
      </c>
      <c r="J49">
        <f>I49/Pram!$H$2</f>
        <v>0.58333333333333337</v>
      </c>
      <c r="K49">
        <f t="shared" si="0"/>
        <v>7.575757575757576E-3</v>
      </c>
      <c r="L49">
        <f>IF(G49=0,1/(F49 - H49*Pram!$B$5 +Pram!$B$6)+Pram!$B$7,1/(F49+G49+Pram!$B$2))</f>
        <v>8.4602368866328256E-3</v>
      </c>
      <c r="M49">
        <f>(B49-J49-Pram!$I$2) * 2/120</f>
        <v>0.6069444444444444</v>
      </c>
      <c r="N49">
        <f>(1-L49-L49*Pram!$B$2)/L49</f>
        <v>131</v>
      </c>
      <c r="O49">
        <f>(M49-Pram!$B$17)/Pram!$B$16</f>
        <v>7.5950799612394867E-3</v>
      </c>
      <c r="P49">
        <f t="shared" si="1"/>
        <v>130.66418327435278</v>
      </c>
    </row>
    <row r="50" spans="1:16" hidden="1" x14ac:dyDescent="0.55000000000000004">
      <c r="A50" t="s">
        <v>57</v>
      </c>
      <c r="B50">
        <v>49</v>
      </c>
      <c r="C50">
        <v>657</v>
      </c>
      <c r="D50">
        <v>635.5</v>
      </c>
      <c r="E50">
        <v>3.3542000000000001</v>
      </c>
      <c r="F50">
        <v>130</v>
      </c>
      <c r="G50">
        <v>1</v>
      </c>
      <c r="H50">
        <v>0</v>
      </c>
      <c r="I50">
        <f>D50-Pram!$G$2</f>
        <v>5.5</v>
      </c>
      <c r="J50">
        <f>I50/Pram!$H$2</f>
        <v>0.45833333333333331</v>
      </c>
      <c r="K50">
        <f t="shared" si="0"/>
        <v>7.6335877862595417E-3</v>
      </c>
      <c r="L50">
        <f>IF(G50=0,1/(F50 - H50*Pram!$B$5 +Pram!$B$6)+Pram!$B$7,1/(F50+G50+Pram!$B$2))</f>
        <v>8.5324232081911266E-3</v>
      </c>
      <c r="M50">
        <f>(B50-J50-Pram!$I$2) * 2/120</f>
        <v>0.60902777777777772</v>
      </c>
      <c r="N50">
        <f>(1-L50-L50*Pram!$B$2)/L50</f>
        <v>130</v>
      </c>
      <c r="O50">
        <f>(M50-Pram!$B$17)/Pram!$B$16</f>
        <v>7.6282350528005874E-3</v>
      </c>
      <c r="P50">
        <f t="shared" si="1"/>
        <v>130.0919227158405</v>
      </c>
    </row>
    <row r="51" spans="1:16" hidden="1" x14ac:dyDescent="0.55000000000000004">
      <c r="A51" t="s">
        <v>58</v>
      </c>
      <c r="B51">
        <v>49</v>
      </c>
      <c r="C51">
        <v>662.5</v>
      </c>
      <c r="D51">
        <v>635</v>
      </c>
      <c r="E51">
        <v>14.53454</v>
      </c>
      <c r="F51">
        <v>130</v>
      </c>
      <c r="G51">
        <v>1</v>
      </c>
      <c r="H51">
        <v>0</v>
      </c>
      <c r="I51">
        <f>D51-Pram!$G$2</f>
        <v>5</v>
      </c>
      <c r="J51">
        <f>I51/Pram!$H$2</f>
        <v>0.41666666666666669</v>
      </c>
      <c r="K51">
        <f t="shared" si="0"/>
        <v>7.6335877862595417E-3</v>
      </c>
      <c r="L51">
        <f>IF(G51=0,1/(F51 - H51*Pram!$B$5 +Pram!$B$6)+Pram!$B$7,1/(F51+G51+Pram!$B$2))</f>
        <v>8.5324232081911266E-3</v>
      </c>
      <c r="M51">
        <f>(B51-J51-Pram!$I$2) * 2/120</f>
        <v>0.60972222222222228</v>
      </c>
      <c r="N51">
        <f>(1-L51-L51*Pram!$B$2)/L51</f>
        <v>130</v>
      </c>
      <c r="O51">
        <f>(M51-Pram!$B$17)/Pram!$B$16</f>
        <v>7.6392867499876227E-3</v>
      </c>
      <c r="P51">
        <f t="shared" si="1"/>
        <v>129.90227304291469</v>
      </c>
    </row>
    <row r="52" spans="1:16" hidden="1" x14ac:dyDescent="0.55000000000000004">
      <c r="A52" t="s">
        <v>59</v>
      </c>
      <c r="B52">
        <v>49</v>
      </c>
      <c r="C52">
        <v>660.5</v>
      </c>
      <c r="D52">
        <v>642.5</v>
      </c>
      <c r="E52">
        <v>7.6486299999999998</v>
      </c>
      <c r="F52">
        <v>133</v>
      </c>
      <c r="G52">
        <v>1</v>
      </c>
      <c r="H52">
        <v>0</v>
      </c>
      <c r="I52">
        <f>D52-Pram!$G$2</f>
        <v>12.5</v>
      </c>
      <c r="J52">
        <f>I52/Pram!$H$2</f>
        <v>1.0416666666666667</v>
      </c>
      <c r="K52">
        <f t="shared" si="0"/>
        <v>7.462686567164179E-3</v>
      </c>
      <c r="L52">
        <f>IF(G52=0,1/(F52 - H52*Pram!$B$5 +Pram!$B$6)+Pram!$B$7,1/(F52+G52+Pram!$B$2))</f>
        <v>8.3194675540765387E-3</v>
      </c>
      <c r="M52">
        <f>(B52-J52-Pram!$I$2) * 2/120</f>
        <v>0.59930555555555565</v>
      </c>
      <c r="N52">
        <f>(1-L52-L52*Pram!$B$2)/L52</f>
        <v>133</v>
      </c>
      <c r="O52">
        <f>(M52-Pram!$B$17)/Pram!$B$16</f>
        <v>7.4735112921821192E-3</v>
      </c>
      <c r="P52">
        <f t="shared" si="1"/>
        <v>132.8059127636669</v>
      </c>
    </row>
    <row r="53" spans="1:16" hidden="1" x14ac:dyDescent="0.55000000000000004">
      <c r="A53" t="s">
        <v>60</v>
      </c>
      <c r="B53">
        <v>49</v>
      </c>
      <c r="C53">
        <v>634.36365000000001</v>
      </c>
      <c r="D53">
        <v>636</v>
      </c>
      <c r="E53">
        <v>5.7244799999999998</v>
      </c>
      <c r="F53">
        <v>130</v>
      </c>
      <c r="G53">
        <v>1</v>
      </c>
      <c r="H53">
        <v>0</v>
      </c>
      <c r="I53">
        <f>D53-Pram!$G$2</f>
        <v>6</v>
      </c>
      <c r="J53">
        <f>I53/Pram!$H$2</f>
        <v>0.5</v>
      </c>
      <c r="K53">
        <f t="shared" si="0"/>
        <v>7.6335877862595417E-3</v>
      </c>
      <c r="L53">
        <f>IF(G53=0,1/(F53 - H53*Pram!$B$5 +Pram!$B$6)+Pram!$B$7,1/(F53+G53+Pram!$B$2))</f>
        <v>8.5324232081911266E-3</v>
      </c>
      <c r="M53">
        <f>(B53-J53-Pram!$I$2) * 2/120</f>
        <v>0.60833333333333328</v>
      </c>
      <c r="N53">
        <f>(1-L53-L53*Pram!$B$2)/L53</f>
        <v>130</v>
      </c>
      <c r="O53">
        <f>(M53-Pram!$B$17)/Pram!$B$16</f>
        <v>7.6171833556135538E-3</v>
      </c>
      <c r="P53">
        <f t="shared" si="1"/>
        <v>130.28212271049517</v>
      </c>
    </row>
    <row r="54" spans="1:16" hidden="1" x14ac:dyDescent="0.55000000000000004">
      <c r="A54" t="s">
        <v>61</v>
      </c>
      <c r="B54">
        <v>48</v>
      </c>
      <c r="C54">
        <v>651.5</v>
      </c>
      <c r="D54">
        <v>630</v>
      </c>
      <c r="E54">
        <v>9.7083399999999997</v>
      </c>
      <c r="F54">
        <v>132</v>
      </c>
      <c r="G54">
        <v>1</v>
      </c>
      <c r="H54">
        <v>0</v>
      </c>
      <c r="I54">
        <f>D54-Pram!$G$2</f>
        <v>0</v>
      </c>
      <c r="J54">
        <f>I54/Pram!$H$2</f>
        <v>0</v>
      </c>
      <c r="K54">
        <f t="shared" si="0"/>
        <v>7.5187969924812026E-3</v>
      </c>
      <c r="L54">
        <f>IF(G54=0,1/(F54 - H54*Pram!$B$5 +Pram!$B$6)+Pram!$B$7,1/(F54+G54+Pram!$B$2))</f>
        <v>8.389261744966443E-3</v>
      </c>
      <c r="M54">
        <f>(B54-J54-Pram!$I$2) * 2/120</f>
        <v>0.6</v>
      </c>
      <c r="N54">
        <f>(1-L54-L54*Pram!$B$2)/L54</f>
        <v>132</v>
      </c>
      <c r="O54">
        <f>(M54-Pram!$B$17)/Pram!$B$16</f>
        <v>7.484562989369151E-3</v>
      </c>
      <c r="P54">
        <f t="shared" si="1"/>
        <v>132.60833510525197</v>
      </c>
    </row>
    <row r="55" spans="1:16" hidden="1" x14ac:dyDescent="0.55000000000000004">
      <c r="A55" t="s">
        <v>62</v>
      </c>
      <c r="B55">
        <v>49</v>
      </c>
      <c r="C55">
        <v>637</v>
      </c>
      <c r="D55">
        <v>638</v>
      </c>
      <c r="E55">
        <v>15.0334</v>
      </c>
      <c r="F55">
        <v>131</v>
      </c>
      <c r="G55">
        <v>1</v>
      </c>
      <c r="H55">
        <v>0</v>
      </c>
      <c r="I55">
        <f>D55-Pram!$G$2</f>
        <v>8</v>
      </c>
      <c r="J55">
        <f>I55/Pram!$H$2</f>
        <v>0.66666666666666663</v>
      </c>
      <c r="K55">
        <f t="shared" si="0"/>
        <v>7.575757575757576E-3</v>
      </c>
      <c r="L55">
        <f>IF(G55=0,1/(F55 - H55*Pram!$B$5 +Pram!$B$6)+Pram!$B$7,1/(F55+G55+Pram!$B$2))</f>
        <v>8.4602368866328256E-3</v>
      </c>
      <c r="M55">
        <f>(B55-J55-Pram!$I$2) * 2/120</f>
        <v>0.60555555555555562</v>
      </c>
      <c r="N55">
        <f>(1-L55-L55*Pram!$B$2)/L55</f>
        <v>131</v>
      </c>
      <c r="O55">
        <f>(M55-Pram!$B$17)/Pram!$B$16</f>
        <v>7.5729765668654213E-3</v>
      </c>
      <c r="P55">
        <f t="shared" si="1"/>
        <v>131.04847409344572</v>
      </c>
    </row>
    <row r="56" spans="1:16" hidden="1" x14ac:dyDescent="0.55000000000000004">
      <c r="A56" t="s">
        <v>63</v>
      </c>
      <c r="B56">
        <v>49</v>
      </c>
      <c r="C56">
        <v>638</v>
      </c>
      <c r="D56">
        <v>642</v>
      </c>
      <c r="E56">
        <v>15.0334</v>
      </c>
      <c r="F56">
        <v>133</v>
      </c>
      <c r="G56">
        <v>1</v>
      </c>
      <c r="H56">
        <v>0</v>
      </c>
      <c r="I56">
        <f>D56-Pram!$G$2</f>
        <v>12</v>
      </c>
      <c r="J56">
        <f>I56/Pram!$H$2</f>
        <v>1</v>
      </c>
      <c r="K56">
        <f t="shared" si="0"/>
        <v>7.462686567164179E-3</v>
      </c>
      <c r="L56">
        <f>IF(G56=0,1/(F56 - H56*Pram!$B$5 +Pram!$B$6)+Pram!$B$7,1/(F56+G56+Pram!$B$2))</f>
        <v>8.3194675540765387E-3</v>
      </c>
      <c r="M56">
        <f>(B56-J56-Pram!$I$2) * 2/120</f>
        <v>0.6</v>
      </c>
      <c r="N56">
        <f>(1-L56-L56*Pram!$B$2)/L56</f>
        <v>133</v>
      </c>
      <c r="O56">
        <f>(M56-Pram!$B$17)/Pram!$B$16</f>
        <v>7.484562989369151E-3</v>
      </c>
      <c r="P56">
        <f t="shared" si="1"/>
        <v>132.60833510525197</v>
      </c>
    </row>
    <row r="57" spans="1:16" hidden="1" x14ac:dyDescent="0.55000000000000004">
      <c r="A57" t="s">
        <v>39</v>
      </c>
      <c r="B57">
        <v>49</v>
      </c>
      <c r="C57">
        <v>619.5</v>
      </c>
      <c r="D57">
        <v>641</v>
      </c>
      <c r="E57">
        <v>14.53454</v>
      </c>
      <c r="F57">
        <v>133</v>
      </c>
      <c r="G57">
        <v>1</v>
      </c>
      <c r="H57">
        <v>0</v>
      </c>
      <c r="I57">
        <f>D57-Pram!$G$2</f>
        <v>11</v>
      </c>
      <c r="J57">
        <f>I57/Pram!$H$2</f>
        <v>0.91666666666666663</v>
      </c>
      <c r="K57">
        <f t="shared" si="0"/>
        <v>7.462686567164179E-3</v>
      </c>
      <c r="L57">
        <f>IF(G57=0,1/(F57 - H57*Pram!$B$5 +Pram!$B$6)+Pram!$B$7,1/(F57+G57+Pram!$B$2))</f>
        <v>8.3194675540765387E-3</v>
      </c>
      <c r="M57">
        <f>(B57-J57-Pram!$I$2) * 2/120</f>
        <v>0.60138888888888897</v>
      </c>
      <c r="N57">
        <f>(1-L57-L57*Pram!$B$2)/L57</f>
        <v>133</v>
      </c>
      <c r="O57">
        <f>(M57-Pram!$B$17)/Pram!$B$16</f>
        <v>7.5066663837432199E-3</v>
      </c>
      <c r="P57">
        <f t="shared" si="1"/>
        <v>132.21492509186845</v>
      </c>
    </row>
    <row r="58" spans="1:16" hidden="1" x14ac:dyDescent="0.55000000000000004">
      <c r="A58" t="s">
        <v>64</v>
      </c>
      <c r="B58">
        <v>49</v>
      </c>
      <c r="C58">
        <v>630.5</v>
      </c>
      <c r="D58">
        <v>642</v>
      </c>
      <c r="E58">
        <v>14.53454</v>
      </c>
      <c r="F58">
        <v>133</v>
      </c>
      <c r="G58">
        <v>1</v>
      </c>
      <c r="H58">
        <v>0</v>
      </c>
      <c r="I58">
        <f>D58-Pram!$G$2</f>
        <v>12</v>
      </c>
      <c r="J58">
        <f>I58/Pram!$H$2</f>
        <v>1</v>
      </c>
      <c r="K58">
        <f t="shared" si="0"/>
        <v>7.462686567164179E-3</v>
      </c>
      <c r="L58">
        <f>IF(G58=0,1/(F58 - H58*Pram!$B$5 +Pram!$B$6)+Pram!$B$7,1/(F58+G58+Pram!$B$2))</f>
        <v>8.3194675540765387E-3</v>
      </c>
      <c r="M58">
        <f>(B58-J58-Pram!$I$2) * 2/120</f>
        <v>0.6</v>
      </c>
      <c r="N58">
        <f>(1-L58-L58*Pram!$B$2)/L58</f>
        <v>133</v>
      </c>
      <c r="O58">
        <f>(M58-Pram!$B$17)/Pram!$B$16</f>
        <v>7.484562989369151E-3</v>
      </c>
      <c r="P58">
        <f t="shared" si="1"/>
        <v>132.60833510525197</v>
      </c>
    </row>
    <row r="59" spans="1:16" hidden="1" x14ac:dyDescent="0.55000000000000004">
      <c r="A59" t="s">
        <v>65</v>
      </c>
      <c r="B59">
        <v>49</v>
      </c>
      <c r="C59">
        <v>657.5</v>
      </c>
      <c r="D59">
        <v>638</v>
      </c>
      <c r="E59">
        <v>14.53454</v>
      </c>
      <c r="F59">
        <v>131</v>
      </c>
      <c r="G59">
        <v>1</v>
      </c>
      <c r="H59">
        <v>0</v>
      </c>
      <c r="I59">
        <f>D59-Pram!$G$2</f>
        <v>8</v>
      </c>
      <c r="J59">
        <f>I59/Pram!$H$2</f>
        <v>0.66666666666666663</v>
      </c>
      <c r="K59">
        <f t="shared" si="0"/>
        <v>7.575757575757576E-3</v>
      </c>
      <c r="L59">
        <f>IF(G59=0,1/(F59 - H59*Pram!$B$5 +Pram!$B$6)+Pram!$B$7,1/(F59+G59+Pram!$B$2))</f>
        <v>8.4602368866328256E-3</v>
      </c>
      <c r="M59">
        <f>(B59-J59-Pram!$I$2) * 2/120</f>
        <v>0.60555555555555562</v>
      </c>
      <c r="N59">
        <f>(1-L59-L59*Pram!$B$2)/L59</f>
        <v>131</v>
      </c>
      <c r="O59">
        <f>(M59-Pram!$B$17)/Pram!$B$16</f>
        <v>7.5729765668654213E-3</v>
      </c>
      <c r="P59">
        <f t="shared" si="1"/>
        <v>131.04847409344572</v>
      </c>
    </row>
    <row r="60" spans="1:16" hidden="1" x14ac:dyDescent="0.55000000000000004">
      <c r="A60" t="s">
        <v>66</v>
      </c>
      <c r="B60">
        <v>50</v>
      </c>
      <c r="C60">
        <v>661</v>
      </c>
      <c r="D60">
        <v>645</v>
      </c>
      <c r="E60">
        <v>14.035769999999999</v>
      </c>
      <c r="F60">
        <v>130</v>
      </c>
      <c r="G60">
        <v>1</v>
      </c>
      <c r="H60">
        <v>0</v>
      </c>
      <c r="I60">
        <f>D60-Pram!$G$2</f>
        <v>15</v>
      </c>
      <c r="J60">
        <f>I60/Pram!$H$2</f>
        <v>1.25</v>
      </c>
      <c r="K60">
        <f t="shared" si="0"/>
        <v>7.6335877862595417E-3</v>
      </c>
      <c r="L60">
        <f>IF(G60=0,1/(F60 - H60*Pram!$B$5 +Pram!$B$6)+Pram!$B$7,1/(F60+G60+Pram!$B$2))</f>
        <v>8.5324232081911266E-3</v>
      </c>
      <c r="M60">
        <f>(B60-J60-Pram!$I$2) * 2/120</f>
        <v>0.61250000000000004</v>
      </c>
      <c r="N60">
        <f>(1-L60-L60*Pram!$B$2)/L60</f>
        <v>130</v>
      </c>
      <c r="O60">
        <f>(M60-Pram!$B$17)/Pram!$B$16</f>
        <v>7.683493538735757E-3</v>
      </c>
      <c r="P60">
        <f t="shared" si="1"/>
        <v>129.14913007456502</v>
      </c>
    </row>
    <row r="61" spans="1:16" hidden="1" x14ac:dyDescent="0.55000000000000004">
      <c r="A61" t="s">
        <v>67</v>
      </c>
      <c r="B61">
        <v>49</v>
      </c>
      <c r="C61">
        <v>638</v>
      </c>
      <c r="D61">
        <v>630.5</v>
      </c>
      <c r="E61">
        <v>14.08023</v>
      </c>
      <c r="F61">
        <v>128</v>
      </c>
      <c r="G61">
        <v>1</v>
      </c>
      <c r="H61">
        <v>0</v>
      </c>
      <c r="I61">
        <f>D61-Pram!$G$2</f>
        <v>0.5</v>
      </c>
      <c r="J61">
        <f>I61/Pram!$H$2</f>
        <v>4.1666666666666664E-2</v>
      </c>
      <c r="K61">
        <f t="shared" si="0"/>
        <v>7.7519379844961239E-3</v>
      </c>
      <c r="L61">
        <f>IF(G61=0,1/(F61 - H61*Pram!$B$5 +Pram!$B$6)+Pram!$B$7,1/(F61+G61+Pram!$B$2))</f>
        <v>8.6805555555555559E-3</v>
      </c>
      <c r="M61">
        <f>(B61-J61-Pram!$I$2) * 2/120</f>
        <v>0.61597222222222225</v>
      </c>
      <c r="N61">
        <f>(1-L61-L61*Pram!$B$2)/L61</f>
        <v>128</v>
      </c>
      <c r="O61">
        <f>(M61-Pram!$B$17)/Pram!$B$16</f>
        <v>7.7387520246709248E-3</v>
      </c>
      <c r="P61">
        <f t="shared" si="1"/>
        <v>128.21980143723795</v>
      </c>
    </row>
    <row r="62" spans="1:16" hidden="1" x14ac:dyDescent="0.55000000000000004">
      <c r="A62" t="s">
        <v>68</v>
      </c>
      <c r="B62">
        <v>50</v>
      </c>
      <c r="C62">
        <v>636</v>
      </c>
      <c r="D62">
        <v>644</v>
      </c>
      <c r="E62">
        <v>15.0334</v>
      </c>
      <c r="F62">
        <v>129</v>
      </c>
      <c r="G62">
        <v>1</v>
      </c>
      <c r="H62">
        <v>0</v>
      </c>
      <c r="I62">
        <f>D62-Pram!$G$2</f>
        <v>14</v>
      </c>
      <c r="J62">
        <f>I62/Pram!$H$2</f>
        <v>1.1666666666666667</v>
      </c>
      <c r="K62">
        <f t="shared" si="0"/>
        <v>7.6923076923076927E-3</v>
      </c>
      <c r="L62">
        <f>IF(G62=0,1/(F62 - H62*Pram!$B$5 +Pram!$B$6)+Pram!$B$7,1/(F62+G62+Pram!$B$2))</f>
        <v>8.6058519793459545E-3</v>
      </c>
      <c r="M62">
        <f>(B62-J62-Pram!$I$2) * 2/120</f>
        <v>0.61388888888888893</v>
      </c>
      <c r="N62">
        <f>(1-L62-L62*Pram!$B$2)/L62</f>
        <v>129.00000000000003</v>
      </c>
      <c r="O62">
        <f>(M62-Pram!$B$17)/Pram!$B$16</f>
        <v>7.7055969331098241E-3</v>
      </c>
      <c r="P62">
        <f t="shared" si="1"/>
        <v>128.7757991601074</v>
      </c>
    </row>
    <row r="63" spans="1:16" hidden="1" x14ac:dyDescent="0.55000000000000004">
      <c r="A63" t="s">
        <v>69</v>
      </c>
      <c r="B63">
        <v>49</v>
      </c>
      <c r="C63">
        <v>641.5</v>
      </c>
      <c r="D63">
        <v>634</v>
      </c>
      <c r="E63">
        <v>14.53454</v>
      </c>
      <c r="F63">
        <v>129</v>
      </c>
      <c r="G63">
        <v>1</v>
      </c>
      <c r="H63">
        <v>0</v>
      </c>
      <c r="I63">
        <f>D63-Pram!$G$2</f>
        <v>4</v>
      </c>
      <c r="J63">
        <f>I63/Pram!$H$2</f>
        <v>0.33333333333333331</v>
      </c>
      <c r="K63">
        <f t="shared" si="0"/>
        <v>7.6923076923076927E-3</v>
      </c>
      <c r="L63">
        <f>IF(G63=0,1/(F63 - H63*Pram!$B$5 +Pram!$B$6)+Pram!$B$7,1/(F63+G63+Pram!$B$2))</f>
        <v>8.6058519793459545E-3</v>
      </c>
      <c r="M63">
        <f>(B63-J63-Pram!$I$2) * 2/120</f>
        <v>0.61111111111111105</v>
      </c>
      <c r="N63">
        <f>(1-L63-L63*Pram!$B$2)/L63</f>
        <v>129.00000000000003</v>
      </c>
      <c r="O63">
        <f>(M63-Pram!$B$17)/Pram!$B$16</f>
        <v>7.6613901443616881E-3</v>
      </c>
      <c r="P63">
        <f t="shared" si="1"/>
        <v>129.52461513605837</v>
      </c>
    </row>
    <row r="64" spans="1:16" hidden="1" x14ac:dyDescent="0.55000000000000004">
      <c r="A64" t="s">
        <v>70</v>
      </c>
      <c r="B64">
        <v>50</v>
      </c>
      <c r="C64">
        <v>659.5</v>
      </c>
      <c r="D64">
        <v>638</v>
      </c>
      <c r="E64">
        <v>14.53454</v>
      </c>
      <c r="F64">
        <v>126</v>
      </c>
      <c r="G64">
        <v>1</v>
      </c>
      <c r="H64">
        <v>0</v>
      </c>
      <c r="I64">
        <f>D64-Pram!$G$2</f>
        <v>8</v>
      </c>
      <c r="J64">
        <f>I64/Pram!$H$2</f>
        <v>0.66666666666666663</v>
      </c>
      <c r="K64">
        <f t="shared" si="0"/>
        <v>7.874015748031496E-3</v>
      </c>
      <c r="L64">
        <f>IF(G64=0,1/(F64 - H64*Pram!$B$5 +Pram!$B$6)+Pram!$B$7,1/(F64+G64+Pram!$B$2))</f>
        <v>8.8339222614840993E-3</v>
      </c>
      <c r="M64">
        <f>(B64-J64-Pram!$I$2) * 2/120</f>
        <v>0.62222222222222223</v>
      </c>
      <c r="N64">
        <f>(1-L64-L64*Pram!$B$2)/L64</f>
        <v>126.00000000000001</v>
      </c>
      <c r="O64">
        <f>(M64-Pram!$B$17)/Pram!$B$16</f>
        <v>7.8382172993542269E-3</v>
      </c>
      <c r="P64">
        <f t="shared" si="1"/>
        <v>126.58003022988247</v>
      </c>
    </row>
    <row r="65" spans="1:16" hidden="1" x14ac:dyDescent="0.55000000000000004">
      <c r="A65" t="s">
        <v>71</v>
      </c>
      <c r="B65">
        <v>51</v>
      </c>
      <c r="C65">
        <v>629.5</v>
      </c>
      <c r="D65">
        <v>648.5</v>
      </c>
      <c r="E65">
        <v>2.9155799999999998</v>
      </c>
      <c r="F65">
        <v>126</v>
      </c>
      <c r="G65">
        <v>1</v>
      </c>
      <c r="H65">
        <v>0</v>
      </c>
      <c r="I65">
        <f>D65-Pram!$G$2</f>
        <v>18.5</v>
      </c>
      <c r="J65">
        <f>I65/Pram!$H$2</f>
        <v>1.5416666666666667</v>
      </c>
      <c r="K65">
        <f t="shared" si="0"/>
        <v>7.874015748031496E-3</v>
      </c>
      <c r="L65">
        <f>IF(G65=0,1/(F65 - H65*Pram!$B$5 +Pram!$B$6)+Pram!$B$7,1/(F65+G65+Pram!$B$2))</f>
        <v>8.8339222614840993E-3</v>
      </c>
      <c r="M65">
        <f>(B65-J65-Pram!$I$2) * 2/120</f>
        <v>0.62430555555555556</v>
      </c>
      <c r="N65">
        <f>(1-L65-L65*Pram!$B$2)/L65</f>
        <v>126.00000000000001</v>
      </c>
      <c r="O65">
        <f>(M65-Pram!$B$17)/Pram!$B$16</f>
        <v>7.8713723909153276E-3</v>
      </c>
      <c r="P65">
        <f t="shared" si="1"/>
        <v>126.04264902447518</v>
      </c>
    </row>
    <row r="66" spans="1:16" hidden="1" x14ac:dyDescent="0.55000000000000004">
      <c r="A66" t="s">
        <v>72</v>
      </c>
      <c r="B66">
        <v>50</v>
      </c>
      <c r="C66">
        <v>639.5</v>
      </c>
      <c r="D66">
        <v>642</v>
      </c>
      <c r="E66">
        <v>14.53454</v>
      </c>
      <c r="F66">
        <v>128</v>
      </c>
      <c r="G66">
        <v>1</v>
      </c>
      <c r="H66">
        <v>0</v>
      </c>
      <c r="I66">
        <f>D66-Pram!$G$2</f>
        <v>12</v>
      </c>
      <c r="J66">
        <f>I66/Pram!$H$2</f>
        <v>1</v>
      </c>
      <c r="K66">
        <f t="shared" si="0"/>
        <v>7.7519379844961239E-3</v>
      </c>
      <c r="L66">
        <f>IF(G66=0,1/(F66 - H66*Pram!$B$5 +Pram!$B$6)+Pram!$B$7,1/(F66+G66+Pram!$B$2))</f>
        <v>8.6805555555555559E-3</v>
      </c>
      <c r="M66">
        <f>(B66-J66-Pram!$I$2) * 2/120</f>
        <v>0.6166666666666667</v>
      </c>
      <c r="N66">
        <f>(1-L66-L66*Pram!$B$2)/L66</f>
        <v>128</v>
      </c>
      <c r="O66">
        <f>(M66-Pram!$B$17)/Pram!$B$16</f>
        <v>7.7498037218579584E-3</v>
      </c>
      <c r="P66">
        <f t="shared" si="1"/>
        <v>128.03552604558834</v>
      </c>
    </row>
    <row r="67" spans="1:16" hidden="1" x14ac:dyDescent="0.55000000000000004">
      <c r="A67" t="s">
        <v>73</v>
      </c>
      <c r="B67">
        <v>49</v>
      </c>
      <c r="C67">
        <v>663</v>
      </c>
      <c r="D67">
        <v>634</v>
      </c>
      <c r="E67">
        <v>14.035769999999999</v>
      </c>
      <c r="F67">
        <v>129</v>
      </c>
      <c r="G67">
        <v>1</v>
      </c>
      <c r="H67">
        <v>0</v>
      </c>
      <c r="I67">
        <f>D67-Pram!$G$2</f>
        <v>4</v>
      </c>
      <c r="J67">
        <f>I67/Pram!$H$2</f>
        <v>0.33333333333333331</v>
      </c>
      <c r="K67">
        <f t="shared" ref="K67:K130" si="2">1/(F67+G67)</f>
        <v>7.6923076923076927E-3</v>
      </c>
      <c r="L67">
        <f>IF(G67=0,1/(F67 - H67*Pram!$B$5 +Pram!$B$6)+Pram!$B$7,1/(F67+G67+Pram!$B$2))</f>
        <v>8.6058519793459545E-3</v>
      </c>
      <c r="M67">
        <f>(B67-J67-Pram!$I$2) * 2/120</f>
        <v>0.61111111111111105</v>
      </c>
      <c r="N67">
        <f>(1-L67-L67*Pram!$B$2)/L67</f>
        <v>129.00000000000003</v>
      </c>
      <c r="O67">
        <f>(M67-Pram!$B$17)/Pram!$B$16</f>
        <v>7.6613901443616881E-3</v>
      </c>
      <c r="P67">
        <f t="shared" ref="P67:P130" si="3">(1-O67)/O67</f>
        <v>129.52461513605837</v>
      </c>
    </row>
    <row r="68" spans="1:16" hidden="1" x14ac:dyDescent="0.55000000000000004">
      <c r="A68" t="s">
        <v>74</v>
      </c>
      <c r="B68">
        <v>49</v>
      </c>
      <c r="C68">
        <v>648.5</v>
      </c>
      <c r="D68">
        <v>633</v>
      </c>
      <c r="E68">
        <v>14.53454</v>
      </c>
      <c r="F68">
        <v>129</v>
      </c>
      <c r="G68">
        <v>1</v>
      </c>
      <c r="H68">
        <v>0</v>
      </c>
      <c r="I68">
        <f>D68-Pram!$G$2</f>
        <v>3</v>
      </c>
      <c r="J68">
        <f>I68/Pram!$H$2</f>
        <v>0.25</v>
      </c>
      <c r="K68">
        <f t="shared" si="2"/>
        <v>7.6923076923076927E-3</v>
      </c>
      <c r="L68">
        <f>IF(G68=0,1/(F68 - H68*Pram!$B$5 +Pram!$B$6)+Pram!$B$7,1/(F68+G68+Pram!$B$2))</f>
        <v>8.6058519793459545E-3</v>
      </c>
      <c r="M68">
        <f>(B68-J68-Pram!$I$2) * 2/120</f>
        <v>0.61250000000000004</v>
      </c>
      <c r="N68">
        <f>(1-L68-L68*Pram!$B$2)/L68</f>
        <v>129.00000000000003</v>
      </c>
      <c r="O68">
        <f>(M68-Pram!$B$17)/Pram!$B$16</f>
        <v>7.683493538735757E-3</v>
      </c>
      <c r="P68">
        <f t="shared" si="3"/>
        <v>129.14913007456502</v>
      </c>
    </row>
    <row r="69" spans="1:16" hidden="1" x14ac:dyDescent="0.55000000000000004">
      <c r="A69" t="s">
        <v>75</v>
      </c>
      <c r="B69">
        <v>49</v>
      </c>
      <c r="C69">
        <v>657.5</v>
      </c>
      <c r="D69">
        <v>631.5</v>
      </c>
      <c r="E69">
        <v>5.1479200000000001</v>
      </c>
      <c r="F69">
        <v>128</v>
      </c>
      <c r="G69">
        <v>1</v>
      </c>
      <c r="H69">
        <v>0</v>
      </c>
      <c r="I69">
        <f>D69-Pram!$G$2</f>
        <v>1.5</v>
      </c>
      <c r="J69">
        <f>I69/Pram!$H$2</f>
        <v>0.125</v>
      </c>
      <c r="K69">
        <f t="shared" si="2"/>
        <v>7.7519379844961239E-3</v>
      </c>
      <c r="L69">
        <f>IF(G69=0,1/(F69 - H69*Pram!$B$5 +Pram!$B$6)+Pram!$B$7,1/(F69+G69+Pram!$B$2))</f>
        <v>8.6805555555555559E-3</v>
      </c>
      <c r="M69">
        <f>(B69-J69-Pram!$I$2) * 2/120</f>
        <v>0.61458333333333337</v>
      </c>
      <c r="N69">
        <f>(1-L69-L69*Pram!$B$2)/L69</f>
        <v>128</v>
      </c>
      <c r="O69">
        <f>(M69-Pram!$B$17)/Pram!$B$16</f>
        <v>7.7166486302968577E-3</v>
      </c>
      <c r="P69">
        <f t="shared" si="3"/>
        <v>128.58993572336988</v>
      </c>
    </row>
    <row r="70" spans="1:16" hidden="1" x14ac:dyDescent="0.55000000000000004">
      <c r="A70" t="s">
        <v>76</v>
      </c>
      <c r="B70">
        <v>53</v>
      </c>
      <c r="C70">
        <v>634</v>
      </c>
      <c r="D70">
        <v>673</v>
      </c>
      <c r="E70">
        <v>10.19814</v>
      </c>
      <c r="F70">
        <v>127</v>
      </c>
      <c r="G70">
        <v>1</v>
      </c>
      <c r="H70">
        <v>0</v>
      </c>
      <c r="I70">
        <f>D70-Pram!$G$2</f>
        <v>43</v>
      </c>
      <c r="J70">
        <f>I70/Pram!$H$2</f>
        <v>3.5833333333333335</v>
      </c>
      <c r="K70">
        <f t="shared" si="2"/>
        <v>7.8125E-3</v>
      </c>
      <c r="L70">
        <f>IF(G70=0,1/(F70 - H70*Pram!$B$5 +Pram!$B$6)+Pram!$B$7,1/(F70+G70+Pram!$B$2))</f>
        <v>8.7565674255691769E-3</v>
      </c>
      <c r="M70">
        <f>(B70-J70-Pram!$I$2) * 2/120</f>
        <v>0.62361111111111112</v>
      </c>
      <c r="N70">
        <f>(1-L70-L70*Pram!$B$2)/L70</f>
        <v>127</v>
      </c>
      <c r="O70">
        <f>(M70-Pram!$B$17)/Pram!$B$16</f>
        <v>7.8603206937282941E-3</v>
      </c>
      <c r="P70">
        <f t="shared" si="3"/>
        <v>126.22127238369477</v>
      </c>
    </row>
    <row r="71" spans="1:16" hidden="1" x14ac:dyDescent="0.55000000000000004">
      <c r="A71" t="s">
        <v>77</v>
      </c>
      <c r="B71">
        <v>51</v>
      </c>
      <c r="C71">
        <v>639</v>
      </c>
      <c r="D71">
        <v>650.5</v>
      </c>
      <c r="E71">
        <v>3.3542000000000001</v>
      </c>
      <c r="F71">
        <v>127</v>
      </c>
      <c r="G71">
        <v>1</v>
      </c>
      <c r="H71">
        <v>0</v>
      </c>
      <c r="I71">
        <f>D71-Pram!$G$2</f>
        <v>20.5</v>
      </c>
      <c r="J71">
        <f>I71/Pram!$H$2</f>
        <v>1.7083333333333333</v>
      </c>
      <c r="K71">
        <f t="shared" si="2"/>
        <v>7.8125E-3</v>
      </c>
      <c r="L71">
        <f>IF(G71=0,1/(F71 - H71*Pram!$B$5 +Pram!$B$6)+Pram!$B$7,1/(F71+G71+Pram!$B$2))</f>
        <v>8.7565674255691769E-3</v>
      </c>
      <c r="M71">
        <f>(B71-J71-Pram!$I$2) * 2/120</f>
        <v>0.62152777777777779</v>
      </c>
      <c r="N71">
        <f>(1-L71-L71*Pram!$B$2)/L71</f>
        <v>127</v>
      </c>
      <c r="O71">
        <f>(M71-Pram!$B$17)/Pram!$B$16</f>
        <v>7.8271656021671934E-3</v>
      </c>
      <c r="P71">
        <f t="shared" si="3"/>
        <v>126.76016898417468</v>
      </c>
    </row>
    <row r="72" spans="1:16" hidden="1" x14ac:dyDescent="0.55000000000000004">
      <c r="A72" t="s">
        <v>78</v>
      </c>
      <c r="B72">
        <v>50</v>
      </c>
      <c r="C72">
        <v>622.5</v>
      </c>
      <c r="D72">
        <v>639</v>
      </c>
      <c r="E72">
        <v>14.53454</v>
      </c>
      <c r="F72">
        <v>127</v>
      </c>
      <c r="G72">
        <v>1</v>
      </c>
      <c r="H72">
        <v>0</v>
      </c>
      <c r="I72">
        <f>D72-Pram!$G$2</f>
        <v>9</v>
      </c>
      <c r="J72">
        <f>I72/Pram!$H$2</f>
        <v>0.75</v>
      </c>
      <c r="K72">
        <f t="shared" si="2"/>
        <v>7.8125E-3</v>
      </c>
      <c r="L72">
        <f>IF(G72=0,1/(F72 - H72*Pram!$B$5 +Pram!$B$6)+Pram!$B$7,1/(F72+G72+Pram!$B$2))</f>
        <v>8.7565674255691769E-3</v>
      </c>
      <c r="M72">
        <f>(B72-J72-Pram!$I$2) * 2/120</f>
        <v>0.62083333333333335</v>
      </c>
      <c r="N72">
        <f>(1-L72-L72*Pram!$B$2)/L72</f>
        <v>127</v>
      </c>
      <c r="O72">
        <f>(M72-Pram!$B$17)/Pram!$B$16</f>
        <v>7.8161139049801598E-3</v>
      </c>
      <c r="P72">
        <f t="shared" si="3"/>
        <v>126.94081715759468</v>
      </c>
    </row>
    <row r="73" spans="1:16" hidden="1" x14ac:dyDescent="0.55000000000000004">
      <c r="A73" t="s">
        <v>79</v>
      </c>
      <c r="B73">
        <v>50</v>
      </c>
      <c r="C73">
        <v>638</v>
      </c>
      <c r="D73">
        <v>644.5</v>
      </c>
      <c r="E73">
        <v>14.08023</v>
      </c>
      <c r="F73">
        <v>130</v>
      </c>
      <c r="G73">
        <v>1</v>
      </c>
      <c r="H73">
        <v>0</v>
      </c>
      <c r="I73">
        <f>D73-Pram!$G$2</f>
        <v>14.5</v>
      </c>
      <c r="J73">
        <f>I73/Pram!$H$2</f>
        <v>1.2083333333333333</v>
      </c>
      <c r="K73">
        <f t="shared" si="2"/>
        <v>7.6335877862595417E-3</v>
      </c>
      <c r="L73">
        <f>IF(G73=0,1/(F73 - H73*Pram!$B$5 +Pram!$B$6)+Pram!$B$7,1/(F73+G73+Pram!$B$2))</f>
        <v>8.5324232081911266E-3</v>
      </c>
      <c r="M73">
        <f>(B73-J73-Pram!$I$2) * 2/120</f>
        <v>0.61319444444444438</v>
      </c>
      <c r="N73">
        <f>(1-L73-L73*Pram!$B$2)/L73</f>
        <v>130</v>
      </c>
      <c r="O73">
        <f>(M73-Pram!$B$17)/Pram!$B$16</f>
        <v>7.6945452359227888E-3</v>
      </c>
      <c r="P73">
        <f t="shared" si="3"/>
        <v>128.9621965092096</v>
      </c>
    </row>
    <row r="74" spans="1:16" hidden="1" x14ac:dyDescent="0.55000000000000004">
      <c r="A74" t="s">
        <v>80</v>
      </c>
      <c r="B74">
        <v>50</v>
      </c>
      <c r="C74">
        <v>664</v>
      </c>
      <c r="D74">
        <v>639</v>
      </c>
      <c r="E74">
        <v>15.0334</v>
      </c>
      <c r="F74">
        <v>127</v>
      </c>
      <c r="G74">
        <v>1</v>
      </c>
      <c r="H74">
        <v>0</v>
      </c>
      <c r="I74">
        <f>D74-Pram!$G$2</f>
        <v>9</v>
      </c>
      <c r="J74">
        <f>I74/Pram!$H$2</f>
        <v>0.75</v>
      </c>
      <c r="K74">
        <f t="shared" si="2"/>
        <v>7.8125E-3</v>
      </c>
      <c r="L74">
        <f>IF(G74=0,1/(F74 - H74*Pram!$B$5 +Pram!$B$6)+Pram!$B$7,1/(F74+G74+Pram!$B$2))</f>
        <v>8.7565674255691769E-3</v>
      </c>
      <c r="M74">
        <f>(B74-J74-Pram!$I$2) * 2/120</f>
        <v>0.62083333333333335</v>
      </c>
      <c r="N74">
        <f>(1-L74-L74*Pram!$B$2)/L74</f>
        <v>127</v>
      </c>
      <c r="O74">
        <f>(M74-Pram!$B$17)/Pram!$B$16</f>
        <v>7.8161139049801598E-3</v>
      </c>
      <c r="P74">
        <f t="shared" si="3"/>
        <v>126.94081715759468</v>
      </c>
    </row>
    <row r="75" spans="1:16" hidden="1" x14ac:dyDescent="0.55000000000000004">
      <c r="A75" t="s">
        <v>81</v>
      </c>
      <c r="B75">
        <v>53</v>
      </c>
      <c r="C75">
        <v>623.5</v>
      </c>
      <c r="D75">
        <v>675</v>
      </c>
      <c r="E75">
        <v>12.659090000000001</v>
      </c>
      <c r="F75">
        <v>127</v>
      </c>
      <c r="G75">
        <v>1</v>
      </c>
      <c r="H75">
        <v>0</v>
      </c>
      <c r="I75">
        <f>D75-Pram!$G$2</f>
        <v>45</v>
      </c>
      <c r="J75">
        <f>I75/Pram!$H$2</f>
        <v>3.75</v>
      </c>
      <c r="K75">
        <f t="shared" si="2"/>
        <v>7.8125E-3</v>
      </c>
      <c r="L75">
        <f>IF(G75=0,1/(F75 - H75*Pram!$B$5 +Pram!$B$6)+Pram!$B$7,1/(F75+G75+Pram!$B$2))</f>
        <v>8.7565674255691769E-3</v>
      </c>
      <c r="M75">
        <f>(B75-J75-Pram!$I$2) * 2/120</f>
        <v>0.62083333333333335</v>
      </c>
      <c r="N75">
        <f>(1-L75-L75*Pram!$B$2)/L75</f>
        <v>127</v>
      </c>
      <c r="O75">
        <f>(M75-Pram!$B$17)/Pram!$B$16</f>
        <v>7.8161139049801598E-3</v>
      </c>
      <c r="P75">
        <f t="shared" si="3"/>
        <v>126.94081715759468</v>
      </c>
    </row>
    <row r="76" spans="1:16" hidden="1" x14ac:dyDescent="0.55000000000000004">
      <c r="A76" t="s">
        <v>82</v>
      </c>
      <c r="B76">
        <v>53</v>
      </c>
      <c r="C76">
        <v>626</v>
      </c>
      <c r="D76">
        <v>674</v>
      </c>
      <c r="E76">
        <v>16.031320000000001</v>
      </c>
      <c r="F76">
        <v>127</v>
      </c>
      <c r="G76">
        <v>1</v>
      </c>
      <c r="H76">
        <v>0</v>
      </c>
      <c r="I76">
        <f>D76-Pram!$G$2</f>
        <v>44</v>
      </c>
      <c r="J76">
        <f>I76/Pram!$H$2</f>
        <v>3.6666666666666665</v>
      </c>
      <c r="K76">
        <f t="shared" si="2"/>
        <v>7.8125E-3</v>
      </c>
      <c r="L76">
        <f>IF(G76=0,1/(F76 - H76*Pram!$B$5 +Pram!$B$6)+Pram!$B$7,1/(F76+G76+Pram!$B$2))</f>
        <v>8.7565674255691769E-3</v>
      </c>
      <c r="M76">
        <f>(B76-J76-Pram!$I$2) * 2/120</f>
        <v>0.62222222222222223</v>
      </c>
      <c r="N76">
        <f>(1-L76-L76*Pram!$B$2)/L76</f>
        <v>127</v>
      </c>
      <c r="O76">
        <f>(M76-Pram!$B$17)/Pram!$B$16</f>
        <v>7.8382172993542269E-3</v>
      </c>
      <c r="P76">
        <f t="shared" si="3"/>
        <v>126.58003022988247</v>
      </c>
    </row>
    <row r="77" spans="1:16" hidden="1" x14ac:dyDescent="0.55000000000000004">
      <c r="A77" t="s">
        <v>83</v>
      </c>
      <c r="B77">
        <v>54</v>
      </c>
      <c r="C77">
        <v>634.5</v>
      </c>
      <c r="D77">
        <v>672.5</v>
      </c>
      <c r="E77">
        <v>15.572509999999999</v>
      </c>
      <c r="F77">
        <v>122</v>
      </c>
      <c r="G77">
        <v>1</v>
      </c>
      <c r="H77">
        <v>0</v>
      </c>
      <c r="I77">
        <f>D77-Pram!$G$2</f>
        <v>42.5</v>
      </c>
      <c r="J77">
        <f>I77/Pram!$H$2</f>
        <v>3.5416666666666665</v>
      </c>
      <c r="K77">
        <f t="shared" si="2"/>
        <v>8.130081300813009E-3</v>
      </c>
      <c r="L77">
        <f>IF(G77=0,1/(F77 - H77*Pram!$B$5 +Pram!$B$6)+Pram!$B$7,1/(F77+G77+Pram!$B$2))</f>
        <v>9.1575091575091579E-3</v>
      </c>
      <c r="M77">
        <f>(B77-J77-Pram!$I$2) * 2/120</f>
        <v>0.64097222222222228</v>
      </c>
      <c r="N77">
        <f>(1-L77-L77*Pram!$B$2)/L77</f>
        <v>122</v>
      </c>
      <c r="O77">
        <f>(M77-Pram!$B$17)/Pram!$B$16</f>
        <v>8.136613123404135E-3</v>
      </c>
      <c r="P77">
        <f t="shared" si="3"/>
        <v>121.90125938562844</v>
      </c>
    </row>
    <row r="78" spans="1:16" hidden="1" x14ac:dyDescent="0.55000000000000004">
      <c r="A78" t="s">
        <v>84</v>
      </c>
      <c r="B78">
        <v>51</v>
      </c>
      <c r="C78">
        <v>642</v>
      </c>
      <c r="D78">
        <v>639.5</v>
      </c>
      <c r="E78">
        <v>7.1590100000000003</v>
      </c>
      <c r="F78">
        <v>122</v>
      </c>
      <c r="G78">
        <v>1</v>
      </c>
      <c r="H78">
        <v>0</v>
      </c>
      <c r="I78">
        <f>D78-Pram!$G$2</f>
        <v>9.5</v>
      </c>
      <c r="J78">
        <f>I78/Pram!$H$2</f>
        <v>0.79166666666666663</v>
      </c>
      <c r="K78">
        <f t="shared" si="2"/>
        <v>8.130081300813009E-3</v>
      </c>
      <c r="L78">
        <f>IF(G78=0,1/(F78 - H78*Pram!$B$5 +Pram!$B$6)+Pram!$B$7,1/(F78+G78+Pram!$B$2))</f>
        <v>9.1575091575091579E-3</v>
      </c>
      <c r="M78">
        <f>(B78-J78-Pram!$I$2) * 2/120</f>
        <v>0.63680555555555562</v>
      </c>
      <c r="N78">
        <f>(1-L78-L78*Pram!$B$2)/L78</f>
        <v>122</v>
      </c>
      <c r="O78">
        <f>(M78-Pram!$B$17)/Pram!$B$16</f>
        <v>8.0703029402819336E-3</v>
      </c>
      <c r="P78">
        <f t="shared" si="3"/>
        <v>122.91108579191271</v>
      </c>
    </row>
    <row r="79" spans="1:16" hidden="1" x14ac:dyDescent="0.55000000000000004">
      <c r="A79" t="s">
        <v>85</v>
      </c>
      <c r="B79">
        <v>51</v>
      </c>
      <c r="C79">
        <v>641</v>
      </c>
      <c r="D79">
        <v>639</v>
      </c>
      <c r="E79">
        <v>15.0334</v>
      </c>
      <c r="F79">
        <v>123</v>
      </c>
      <c r="G79">
        <v>1</v>
      </c>
      <c r="H79">
        <v>0</v>
      </c>
      <c r="I79">
        <f>D79-Pram!$G$2</f>
        <v>9</v>
      </c>
      <c r="J79">
        <f>I79/Pram!$H$2</f>
        <v>0.75</v>
      </c>
      <c r="K79">
        <f t="shared" si="2"/>
        <v>8.0645161290322578E-3</v>
      </c>
      <c r="L79">
        <f>IF(G79=0,1/(F79 - H79*Pram!$B$5 +Pram!$B$6)+Pram!$B$7,1/(F79+G79+Pram!$B$2))</f>
        <v>9.0744101633393835E-3</v>
      </c>
      <c r="M79">
        <f>(B79-J79-Pram!$I$2) * 2/120</f>
        <v>0.63749999999999996</v>
      </c>
      <c r="N79">
        <f>(1-L79-L79*Pram!$B$2)/L79</f>
        <v>122.99999999999999</v>
      </c>
      <c r="O79">
        <f>(M79-Pram!$B$17)/Pram!$B$16</f>
        <v>8.0813546374689654E-3</v>
      </c>
      <c r="P79">
        <f t="shared" si="3"/>
        <v>122.74163056321389</v>
      </c>
    </row>
    <row r="80" spans="1:16" hidden="1" x14ac:dyDescent="0.55000000000000004">
      <c r="A80" t="s">
        <v>86</v>
      </c>
      <c r="B80">
        <v>50</v>
      </c>
      <c r="C80">
        <v>645</v>
      </c>
      <c r="D80">
        <v>632</v>
      </c>
      <c r="E80">
        <v>14.035769999999999</v>
      </c>
      <c r="F80">
        <v>124</v>
      </c>
      <c r="G80">
        <v>1</v>
      </c>
      <c r="H80">
        <v>0</v>
      </c>
      <c r="I80">
        <f>D80-Pram!$G$2</f>
        <v>2</v>
      </c>
      <c r="J80">
        <f>I80/Pram!$H$2</f>
        <v>0.16666666666666666</v>
      </c>
      <c r="K80">
        <f t="shared" si="2"/>
        <v>8.0000000000000002E-3</v>
      </c>
      <c r="L80">
        <f>IF(G80=0,1/(F80 - H80*Pram!$B$5 +Pram!$B$6)+Pram!$B$7,1/(F80+G80+Pram!$B$2))</f>
        <v>8.9928057553956831E-3</v>
      </c>
      <c r="M80">
        <f>(B80-J80-Pram!$I$2) * 2/120</f>
        <v>0.63055555555555565</v>
      </c>
      <c r="N80">
        <f>(1-L80-L80*Pram!$B$2)/L80</f>
        <v>124.00000000000003</v>
      </c>
      <c r="O80">
        <f>(M80-Pram!$B$17)/Pram!$B$16</f>
        <v>7.9708376655986315E-3</v>
      </c>
      <c r="P80">
        <f t="shared" si="3"/>
        <v>124.45732857111165</v>
      </c>
    </row>
    <row r="81" spans="1:16" hidden="1" x14ac:dyDescent="0.55000000000000004">
      <c r="A81" t="s">
        <v>87</v>
      </c>
      <c r="B81">
        <v>50</v>
      </c>
      <c r="C81">
        <v>662</v>
      </c>
      <c r="D81">
        <v>636</v>
      </c>
      <c r="E81">
        <v>15.0334</v>
      </c>
      <c r="F81">
        <v>126</v>
      </c>
      <c r="G81">
        <v>1</v>
      </c>
      <c r="H81">
        <v>0</v>
      </c>
      <c r="I81">
        <f>D81-Pram!$G$2</f>
        <v>6</v>
      </c>
      <c r="J81">
        <f>I81/Pram!$H$2</f>
        <v>0.5</v>
      </c>
      <c r="K81">
        <f t="shared" si="2"/>
        <v>7.874015748031496E-3</v>
      </c>
      <c r="L81">
        <f>IF(G81=0,1/(F81 - H81*Pram!$B$5 +Pram!$B$6)+Pram!$B$7,1/(F81+G81+Pram!$B$2))</f>
        <v>8.8339222614840993E-3</v>
      </c>
      <c r="M81">
        <f>(B81-J81-Pram!$I$2) * 2/120</f>
        <v>0.625</v>
      </c>
      <c r="N81">
        <f>(1-L81-L81*Pram!$B$2)/L81</f>
        <v>126.00000000000001</v>
      </c>
      <c r="O81">
        <f>(M81-Pram!$B$17)/Pram!$B$16</f>
        <v>7.8824240881023612E-3</v>
      </c>
      <c r="P81">
        <f t="shared" si="3"/>
        <v>125.86452654956592</v>
      </c>
    </row>
    <row r="82" spans="1:16" hidden="1" x14ac:dyDescent="0.55000000000000004">
      <c r="A82" t="s">
        <v>88</v>
      </c>
      <c r="B82">
        <v>54</v>
      </c>
      <c r="C82">
        <v>610.5</v>
      </c>
      <c r="D82">
        <v>674</v>
      </c>
      <c r="E82">
        <v>16.530370000000001</v>
      </c>
      <c r="F82">
        <v>123</v>
      </c>
      <c r="G82">
        <v>1</v>
      </c>
      <c r="H82">
        <v>0</v>
      </c>
      <c r="I82">
        <f>D82-Pram!$G$2</f>
        <v>44</v>
      </c>
      <c r="J82">
        <f>I82/Pram!$H$2</f>
        <v>3.6666666666666665</v>
      </c>
      <c r="K82">
        <f t="shared" si="2"/>
        <v>8.0645161290322578E-3</v>
      </c>
      <c r="L82">
        <f>IF(G82=0,1/(F82 - H82*Pram!$B$5 +Pram!$B$6)+Pram!$B$7,1/(F82+G82+Pram!$B$2))</f>
        <v>9.0744101633393835E-3</v>
      </c>
      <c r="M82">
        <f>(B82-J82-Pram!$I$2) * 2/120</f>
        <v>0.63888888888888895</v>
      </c>
      <c r="N82">
        <f>(1-L82-L82*Pram!$B$2)/L82</f>
        <v>122.99999999999999</v>
      </c>
      <c r="O82">
        <f>(M82-Pram!$B$17)/Pram!$B$16</f>
        <v>8.1034580318430343E-3</v>
      </c>
      <c r="P82">
        <f t="shared" si="3"/>
        <v>122.40410674929628</v>
      </c>
    </row>
    <row r="83" spans="1:16" hidden="1" x14ac:dyDescent="0.55000000000000004">
      <c r="A83" t="s">
        <v>89</v>
      </c>
      <c r="B83">
        <v>50</v>
      </c>
      <c r="C83">
        <v>645.5</v>
      </c>
      <c r="D83">
        <v>631</v>
      </c>
      <c r="E83">
        <v>14.53454</v>
      </c>
      <c r="F83">
        <v>123</v>
      </c>
      <c r="G83">
        <v>1</v>
      </c>
      <c r="H83">
        <v>0</v>
      </c>
      <c r="I83">
        <f>D83-Pram!$G$2</f>
        <v>1</v>
      </c>
      <c r="J83">
        <f>I83/Pram!$H$2</f>
        <v>8.3333333333333329E-2</v>
      </c>
      <c r="K83">
        <f t="shared" si="2"/>
        <v>8.0645161290322578E-3</v>
      </c>
      <c r="L83">
        <f>IF(G83=0,1/(F83 - H83*Pram!$B$5 +Pram!$B$6)+Pram!$B$7,1/(F83+G83+Pram!$B$2))</f>
        <v>9.0744101633393835E-3</v>
      </c>
      <c r="M83">
        <f>(B83-J83-Pram!$I$2) * 2/120</f>
        <v>0.63194444444444442</v>
      </c>
      <c r="N83">
        <f>(1-L83-L83*Pram!$B$2)/L83</f>
        <v>122.99999999999999</v>
      </c>
      <c r="O83">
        <f>(M83-Pram!$B$17)/Pram!$B$16</f>
        <v>7.9929410599726969E-3</v>
      </c>
      <c r="P83">
        <f t="shared" si="3"/>
        <v>124.11039334542721</v>
      </c>
    </row>
    <row r="84" spans="1:16" hidden="1" x14ac:dyDescent="0.55000000000000004">
      <c r="A84" t="s">
        <v>90</v>
      </c>
      <c r="B84">
        <v>51</v>
      </c>
      <c r="C84">
        <v>635</v>
      </c>
      <c r="D84">
        <v>644</v>
      </c>
      <c r="E84">
        <v>16.031320000000001</v>
      </c>
      <c r="F84">
        <v>125</v>
      </c>
      <c r="G84">
        <v>1</v>
      </c>
      <c r="H84">
        <v>0</v>
      </c>
      <c r="I84">
        <f>D84-Pram!$G$2</f>
        <v>14</v>
      </c>
      <c r="J84">
        <f>I84/Pram!$H$2</f>
        <v>1.1666666666666667</v>
      </c>
      <c r="K84">
        <f t="shared" si="2"/>
        <v>7.9365079365079361E-3</v>
      </c>
      <c r="L84">
        <f>IF(G84=0,1/(F84 - H84*Pram!$B$5 +Pram!$B$6)+Pram!$B$7,1/(F84+G84+Pram!$B$2))</f>
        <v>8.9126559714795012E-3</v>
      </c>
      <c r="M84">
        <f>(B84-J84-Pram!$I$2) * 2/120</f>
        <v>0.63055555555555565</v>
      </c>
      <c r="N84">
        <f>(1-L84-L84*Pram!$B$2)/L84</f>
        <v>124.99999999999999</v>
      </c>
      <c r="O84">
        <f>(M84-Pram!$B$17)/Pram!$B$16</f>
        <v>7.9708376655986315E-3</v>
      </c>
      <c r="P84">
        <f t="shared" si="3"/>
        <v>124.45732857111165</v>
      </c>
    </row>
    <row r="85" spans="1:16" hidden="1" x14ac:dyDescent="0.55000000000000004">
      <c r="A85" t="s">
        <v>91</v>
      </c>
      <c r="B85">
        <v>51</v>
      </c>
      <c r="C85">
        <v>647.5</v>
      </c>
      <c r="D85">
        <v>640</v>
      </c>
      <c r="E85">
        <v>14.53454</v>
      </c>
      <c r="F85">
        <v>123</v>
      </c>
      <c r="G85">
        <v>1</v>
      </c>
      <c r="H85">
        <v>0</v>
      </c>
      <c r="I85">
        <f>D85-Pram!$G$2</f>
        <v>10</v>
      </c>
      <c r="J85">
        <f>I85/Pram!$H$2</f>
        <v>0.83333333333333337</v>
      </c>
      <c r="K85">
        <f t="shared" si="2"/>
        <v>8.0645161290322578E-3</v>
      </c>
      <c r="L85">
        <f>IF(G85=0,1/(F85 - H85*Pram!$B$5 +Pram!$B$6)+Pram!$B$7,1/(F85+G85+Pram!$B$2))</f>
        <v>9.0744101633393835E-3</v>
      </c>
      <c r="M85">
        <f>(B85-J85-Pram!$I$2) * 2/120</f>
        <v>0.63611111111111107</v>
      </c>
      <c r="N85">
        <f>(1-L85-L85*Pram!$B$2)/L85</f>
        <v>122.99999999999999</v>
      </c>
      <c r="O85">
        <f>(M85-Pram!$B$17)/Pram!$B$16</f>
        <v>8.0592512430948983E-3</v>
      </c>
      <c r="P85">
        <f t="shared" si="3"/>
        <v>123.08100577045441</v>
      </c>
    </row>
    <row r="86" spans="1:16" hidden="1" x14ac:dyDescent="0.55000000000000004">
      <c r="A86" t="s">
        <v>92</v>
      </c>
      <c r="B86">
        <v>50</v>
      </c>
      <c r="C86">
        <v>643.5</v>
      </c>
      <c r="D86">
        <v>634.5</v>
      </c>
      <c r="E86">
        <v>14.57748</v>
      </c>
      <c r="F86">
        <v>125</v>
      </c>
      <c r="G86">
        <v>1</v>
      </c>
      <c r="H86">
        <v>0</v>
      </c>
      <c r="I86">
        <f>D86-Pram!$G$2</f>
        <v>4.5</v>
      </c>
      <c r="J86">
        <f>I86/Pram!$H$2</f>
        <v>0.375</v>
      </c>
      <c r="K86">
        <f t="shared" si="2"/>
        <v>7.9365079365079361E-3</v>
      </c>
      <c r="L86">
        <f>IF(G86=0,1/(F86 - H86*Pram!$B$5 +Pram!$B$6)+Pram!$B$7,1/(F86+G86+Pram!$B$2))</f>
        <v>8.9126559714795012E-3</v>
      </c>
      <c r="M86">
        <f>(B86-J86-Pram!$I$2) * 2/120</f>
        <v>0.62708333333333333</v>
      </c>
      <c r="N86">
        <f>(1-L86-L86*Pram!$B$2)/L86</f>
        <v>124.99999999999999</v>
      </c>
      <c r="O86">
        <f>(M86-Pram!$B$17)/Pram!$B$16</f>
        <v>7.9155791796634619E-3</v>
      </c>
      <c r="P86">
        <f t="shared" si="3"/>
        <v>125.33314345072547</v>
      </c>
    </row>
    <row r="87" spans="1:16" hidden="1" x14ac:dyDescent="0.55000000000000004">
      <c r="A87" t="s">
        <v>93</v>
      </c>
      <c r="B87">
        <v>52</v>
      </c>
      <c r="C87">
        <v>625</v>
      </c>
      <c r="D87">
        <v>649.5</v>
      </c>
      <c r="E87">
        <v>2.5001000000000002</v>
      </c>
      <c r="F87">
        <v>123</v>
      </c>
      <c r="G87">
        <v>1</v>
      </c>
      <c r="H87">
        <v>0</v>
      </c>
      <c r="I87">
        <f>D87-Pram!$G$2</f>
        <v>19.5</v>
      </c>
      <c r="J87">
        <f>I87/Pram!$H$2</f>
        <v>1.625</v>
      </c>
      <c r="K87">
        <f t="shared" si="2"/>
        <v>8.0645161290322578E-3</v>
      </c>
      <c r="L87">
        <f>IF(G87=0,1/(F87 - H87*Pram!$B$5 +Pram!$B$6)+Pram!$B$7,1/(F87+G87+Pram!$B$2))</f>
        <v>9.0744101633393835E-3</v>
      </c>
      <c r="M87">
        <f>(B87-J87-Pram!$I$2) * 2/120</f>
        <v>0.63958333333333328</v>
      </c>
      <c r="N87">
        <f>(1-L87-L87*Pram!$B$2)/L87</f>
        <v>122.99999999999999</v>
      </c>
      <c r="O87">
        <f>(M87-Pram!$B$17)/Pram!$B$16</f>
        <v>8.1145097290300661E-3</v>
      </c>
      <c r="P87">
        <f t="shared" si="3"/>
        <v>122.23603438695129</v>
      </c>
    </row>
    <row r="88" spans="1:16" hidden="1" x14ac:dyDescent="0.55000000000000004">
      <c r="A88" t="s">
        <v>94</v>
      </c>
      <c r="B88">
        <v>50</v>
      </c>
      <c r="C88">
        <v>653.5</v>
      </c>
      <c r="D88">
        <v>636</v>
      </c>
      <c r="E88">
        <v>14.53454</v>
      </c>
      <c r="F88">
        <v>126</v>
      </c>
      <c r="G88">
        <v>1</v>
      </c>
      <c r="H88">
        <v>0</v>
      </c>
      <c r="I88">
        <f>D88-Pram!$G$2</f>
        <v>6</v>
      </c>
      <c r="J88">
        <f>I88/Pram!$H$2</f>
        <v>0.5</v>
      </c>
      <c r="K88">
        <f t="shared" si="2"/>
        <v>7.874015748031496E-3</v>
      </c>
      <c r="L88">
        <f>IF(G88=0,1/(F88 - H88*Pram!$B$5 +Pram!$B$6)+Pram!$B$7,1/(F88+G88+Pram!$B$2))</f>
        <v>8.8339222614840993E-3</v>
      </c>
      <c r="M88">
        <f>(B88-J88-Pram!$I$2) * 2/120</f>
        <v>0.625</v>
      </c>
      <c r="N88">
        <f>(1-L88-L88*Pram!$B$2)/L88</f>
        <v>126.00000000000001</v>
      </c>
      <c r="O88">
        <f>(M88-Pram!$B$17)/Pram!$B$16</f>
        <v>7.8824240881023612E-3</v>
      </c>
      <c r="P88">
        <f t="shared" si="3"/>
        <v>125.86452654956592</v>
      </c>
    </row>
    <row r="89" spans="1:16" hidden="1" x14ac:dyDescent="0.55000000000000004">
      <c r="A89" t="s">
        <v>95</v>
      </c>
      <c r="B89">
        <v>50</v>
      </c>
      <c r="C89">
        <v>634</v>
      </c>
      <c r="D89">
        <v>636</v>
      </c>
      <c r="E89">
        <v>15.0334</v>
      </c>
      <c r="F89">
        <v>126</v>
      </c>
      <c r="G89">
        <v>1</v>
      </c>
      <c r="H89">
        <v>0</v>
      </c>
      <c r="I89">
        <f>D89-Pram!$G$2</f>
        <v>6</v>
      </c>
      <c r="J89">
        <f>I89/Pram!$H$2</f>
        <v>0.5</v>
      </c>
      <c r="K89">
        <f t="shared" si="2"/>
        <v>7.874015748031496E-3</v>
      </c>
      <c r="L89">
        <f>IF(G89=0,1/(F89 - H89*Pram!$B$5 +Pram!$B$6)+Pram!$B$7,1/(F89+G89+Pram!$B$2))</f>
        <v>8.8339222614840993E-3</v>
      </c>
      <c r="M89">
        <f>(B89-J89-Pram!$I$2) * 2/120</f>
        <v>0.625</v>
      </c>
      <c r="N89">
        <f>(1-L89-L89*Pram!$B$2)/L89</f>
        <v>126.00000000000001</v>
      </c>
      <c r="O89">
        <f>(M89-Pram!$B$17)/Pram!$B$16</f>
        <v>7.8824240881023612E-3</v>
      </c>
      <c r="P89">
        <f t="shared" si="3"/>
        <v>125.86452654956592</v>
      </c>
    </row>
    <row r="90" spans="1:16" hidden="1" x14ac:dyDescent="0.55000000000000004">
      <c r="A90" t="s">
        <v>40</v>
      </c>
      <c r="B90">
        <v>51</v>
      </c>
      <c r="C90">
        <v>655.5</v>
      </c>
      <c r="D90">
        <v>642</v>
      </c>
      <c r="E90">
        <v>14.53454</v>
      </c>
      <c r="F90">
        <v>124</v>
      </c>
      <c r="G90">
        <v>1</v>
      </c>
      <c r="H90">
        <v>0</v>
      </c>
      <c r="I90">
        <f>D90-Pram!$G$2</f>
        <v>12</v>
      </c>
      <c r="J90">
        <f>I90/Pram!$H$2</f>
        <v>1</v>
      </c>
      <c r="K90">
        <f t="shared" si="2"/>
        <v>8.0000000000000002E-3</v>
      </c>
      <c r="L90">
        <f>IF(G90=0,1/(F90 - H90*Pram!$B$5 +Pram!$B$6)+Pram!$B$7,1/(F90+G90+Pram!$B$2))</f>
        <v>8.9928057553956831E-3</v>
      </c>
      <c r="M90">
        <f>(B90-J90-Pram!$I$2) * 2/120</f>
        <v>0.6333333333333333</v>
      </c>
      <c r="N90">
        <f>(1-L90-L90*Pram!$B$2)/L90</f>
        <v>124.00000000000003</v>
      </c>
      <c r="O90">
        <f>(M90-Pram!$B$17)/Pram!$B$16</f>
        <v>8.015044454346764E-3</v>
      </c>
      <c r="P90">
        <f t="shared" si="3"/>
        <v>123.76537163280166</v>
      </c>
    </row>
    <row r="91" spans="1:16" hidden="1" x14ac:dyDescent="0.55000000000000004">
      <c r="A91" t="s">
        <v>96</v>
      </c>
      <c r="B91">
        <v>51</v>
      </c>
      <c r="C91">
        <v>665</v>
      </c>
      <c r="D91">
        <v>630.5</v>
      </c>
      <c r="E91">
        <v>14.08023</v>
      </c>
      <c r="F91">
        <v>119</v>
      </c>
      <c r="G91">
        <v>1</v>
      </c>
      <c r="H91">
        <v>0</v>
      </c>
      <c r="I91">
        <f>D91-Pram!$G$2</f>
        <v>0.5</v>
      </c>
      <c r="J91">
        <f>I91/Pram!$H$2</f>
        <v>4.1666666666666664E-2</v>
      </c>
      <c r="K91">
        <f t="shared" si="2"/>
        <v>8.3333333333333332E-3</v>
      </c>
      <c r="L91">
        <f>IF(G91=0,1/(F91 - H91*Pram!$B$5 +Pram!$B$6)+Pram!$B$7,1/(F91+G91+Pram!$B$2))</f>
        <v>9.4161958568738224E-3</v>
      </c>
      <c r="M91">
        <f>(B91-J91-Pram!$I$2) * 2/120</f>
        <v>0.64930555555555558</v>
      </c>
      <c r="N91">
        <f>(1-L91-L91*Pram!$B$2)/L91</f>
        <v>119</v>
      </c>
      <c r="O91">
        <f>(M91-Pram!$B$17)/Pram!$B$16</f>
        <v>8.2692334896485378E-3</v>
      </c>
      <c r="P91">
        <f t="shared" si="3"/>
        <v>119.93019277443361</v>
      </c>
    </row>
    <row r="92" spans="1:16" hidden="1" x14ac:dyDescent="0.55000000000000004">
      <c r="A92" t="s">
        <v>97</v>
      </c>
      <c r="B92">
        <v>52</v>
      </c>
      <c r="C92">
        <v>664</v>
      </c>
      <c r="D92">
        <v>643.5</v>
      </c>
      <c r="E92">
        <v>5.2202500000000001</v>
      </c>
      <c r="F92">
        <v>120</v>
      </c>
      <c r="G92">
        <v>1</v>
      </c>
      <c r="H92">
        <v>0</v>
      </c>
      <c r="I92">
        <f>D92-Pram!$G$2</f>
        <v>13.5</v>
      </c>
      <c r="J92">
        <f>I92/Pram!$H$2</f>
        <v>1.125</v>
      </c>
      <c r="K92">
        <f t="shared" si="2"/>
        <v>8.2644628099173556E-3</v>
      </c>
      <c r="L92">
        <f>IF(G92=0,1/(F92 - H92*Pram!$B$5 +Pram!$B$6)+Pram!$B$7,1/(F92+G92+Pram!$B$2))</f>
        <v>9.3283582089552231E-3</v>
      </c>
      <c r="M92">
        <f>(B92-J92-Pram!$I$2) * 2/120</f>
        <v>0.6479166666666667</v>
      </c>
      <c r="N92">
        <f>(1-L92-L92*Pram!$B$2)/L92</f>
        <v>120.00000000000003</v>
      </c>
      <c r="O92">
        <f>(M92-Pram!$B$17)/Pram!$B$16</f>
        <v>8.2471300952744707E-3</v>
      </c>
      <c r="P92">
        <f t="shared" si="3"/>
        <v>120.25430161129516</v>
      </c>
    </row>
    <row r="93" spans="1:16" hidden="1" x14ac:dyDescent="0.55000000000000004">
      <c r="A93" t="s">
        <v>98</v>
      </c>
      <c r="B93">
        <v>52</v>
      </c>
      <c r="C93">
        <v>631.5</v>
      </c>
      <c r="D93">
        <v>640.5</v>
      </c>
      <c r="E93">
        <v>14.57748</v>
      </c>
      <c r="F93">
        <v>119</v>
      </c>
      <c r="G93">
        <v>1</v>
      </c>
      <c r="H93">
        <v>0</v>
      </c>
      <c r="I93">
        <f>D93-Pram!$G$2</f>
        <v>10.5</v>
      </c>
      <c r="J93">
        <f>I93/Pram!$H$2</f>
        <v>0.875</v>
      </c>
      <c r="K93">
        <f t="shared" si="2"/>
        <v>8.3333333333333332E-3</v>
      </c>
      <c r="L93">
        <f>IF(G93=0,1/(F93 - H93*Pram!$B$5 +Pram!$B$6)+Pram!$B$7,1/(F93+G93+Pram!$B$2))</f>
        <v>9.4161958568738224E-3</v>
      </c>
      <c r="M93">
        <f>(B93-J93-Pram!$I$2) * 2/120</f>
        <v>0.65208333333333335</v>
      </c>
      <c r="N93">
        <f>(1-L93-L93*Pram!$B$2)/L93</f>
        <v>119</v>
      </c>
      <c r="O93">
        <f>(M93-Pram!$B$17)/Pram!$B$16</f>
        <v>8.3134402783966721E-3</v>
      </c>
      <c r="P93">
        <f t="shared" si="3"/>
        <v>119.28714545512555</v>
      </c>
    </row>
    <row r="94" spans="1:16" hidden="1" x14ac:dyDescent="0.55000000000000004">
      <c r="A94" t="s">
        <v>99</v>
      </c>
      <c r="B94">
        <v>52</v>
      </c>
      <c r="C94">
        <v>664.90002000000004</v>
      </c>
      <c r="D94">
        <v>642.5</v>
      </c>
      <c r="E94">
        <v>10.210850000000001</v>
      </c>
      <c r="F94">
        <v>120</v>
      </c>
      <c r="G94">
        <v>1</v>
      </c>
      <c r="H94">
        <v>0</v>
      </c>
      <c r="I94">
        <f>D94-Pram!$G$2</f>
        <v>12.5</v>
      </c>
      <c r="J94">
        <f>I94/Pram!$H$2</f>
        <v>1.0416666666666667</v>
      </c>
      <c r="K94">
        <f t="shared" si="2"/>
        <v>8.2644628099173556E-3</v>
      </c>
      <c r="L94">
        <f>IF(G94=0,1/(F94 - H94*Pram!$B$5 +Pram!$B$6)+Pram!$B$7,1/(F94+G94+Pram!$B$2))</f>
        <v>9.3283582089552231E-3</v>
      </c>
      <c r="M94">
        <f>(B94-J94-Pram!$I$2) * 2/120</f>
        <v>0.64930555555555558</v>
      </c>
      <c r="N94">
        <f>(1-L94-L94*Pram!$B$2)/L94</f>
        <v>120.00000000000003</v>
      </c>
      <c r="O94">
        <f>(M94-Pram!$B$17)/Pram!$B$16</f>
        <v>8.2692334896485378E-3</v>
      </c>
      <c r="P94">
        <f t="shared" si="3"/>
        <v>119.93019277443361</v>
      </c>
    </row>
    <row r="95" spans="1:16" hidden="1" x14ac:dyDescent="0.55000000000000004">
      <c r="A95" t="s">
        <v>100</v>
      </c>
      <c r="B95">
        <v>52</v>
      </c>
      <c r="C95">
        <v>658.5</v>
      </c>
      <c r="D95">
        <v>642.5</v>
      </c>
      <c r="E95">
        <v>14.57748</v>
      </c>
      <c r="F95">
        <v>120</v>
      </c>
      <c r="G95">
        <v>1</v>
      </c>
      <c r="H95">
        <v>0</v>
      </c>
      <c r="I95">
        <f>D95-Pram!$G$2</f>
        <v>12.5</v>
      </c>
      <c r="J95">
        <f>I95/Pram!$H$2</f>
        <v>1.0416666666666667</v>
      </c>
      <c r="K95">
        <f t="shared" si="2"/>
        <v>8.2644628099173556E-3</v>
      </c>
      <c r="L95">
        <f>IF(G95=0,1/(F95 - H95*Pram!$B$5 +Pram!$B$6)+Pram!$B$7,1/(F95+G95+Pram!$B$2))</f>
        <v>9.3283582089552231E-3</v>
      </c>
      <c r="M95">
        <f>(B95-J95-Pram!$I$2) * 2/120</f>
        <v>0.64930555555555558</v>
      </c>
      <c r="N95">
        <f>(1-L95-L95*Pram!$B$2)/L95</f>
        <v>120.00000000000003</v>
      </c>
      <c r="O95">
        <f>(M95-Pram!$B$17)/Pram!$B$16</f>
        <v>8.2692334896485378E-3</v>
      </c>
      <c r="P95">
        <f t="shared" si="3"/>
        <v>119.93019277443361</v>
      </c>
    </row>
    <row r="96" spans="1:16" hidden="1" x14ac:dyDescent="0.55000000000000004">
      <c r="A96" t="s">
        <v>101</v>
      </c>
      <c r="B96">
        <v>55</v>
      </c>
      <c r="C96">
        <v>641.5</v>
      </c>
      <c r="D96">
        <v>673.5</v>
      </c>
      <c r="E96">
        <v>10.6067</v>
      </c>
      <c r="F96">
        <v>119</v>
      </c>
      <c r="G96">
        <v>1</v>
      </c>
      <c r="H96">
        <v>0</v>
      </c>
      <c r="I96">
        <f>D96-Pram!$G$2</f>
        <v>43.5</v>
      </c>
      <c r="J96">
        <f>I96/Pram!$H$2</f>
        <v>3.625</v>
      </c>
      <c r="K96">
        <f t="shared" si="2"/>
        <v>8.3333333333333332E-3</v>
      </c>
      <c r="L96">
        <f>IF(G96=0,1/(F96 - H96*Pram!$B$5 +Pram!$B$6)+Pram!$B$7,1/(F96+G96+Pram!$B$2))</f>
        <v>9.4161958568738224E-3</v>
      </c>
      <c r="M96">
        <f>(B96-J96-Pram!$I$2) * 2/120</f>
        <v>0.65625</v>
      </c>
      <c r="N96">
        <f>(1-L96-L96*Pram!$B$2)/L96</f>
        <v>119</v>
      </c>
      <c r="O96">
        <f>(M96-Pram!$B$17)/Pram!$B$16</f>
        <v>8.3797504615188735E-3</v>
      </c>
      <c r="P96">
        <f t="shared" si="3"/>
        <v>118.33529579337197</v>
      </c>
    </row>
    <row r="97" spans="1:16" hidden="1" x14ac:dyDescent="0.55000000000000004">
      <c r="A97" t="s">
        <v>102</v>
      </c>
      <c r="B97">
        <v>51</v>
      </c>
      <c r="C97">
        <v>623.5</v>
      </c>
      <c r="D97">
        <v>635</v>
      </c>
      <c r="E97">
        <v>14.53454</v>
      </c>
      <c r="F97">
        <v>121</v>
      </c>
      <c r="G97">
        <v>1</v>
      </c>
      <c r="H97">
        <v>0</v>
      </c>
      <c r="I97">
        <f>D97-Pram!$G$2</f>
        <v>5</v>
      </c>
      <c r="J97">
        <f>I97/Pram!$H$2</f>
        <v>0.41666666666666669</v>
      </c>
      <c r="K97">
        <f t="shared" si="2"/>
        <v>8.1967213114754103E-3</v>
      </c>
      <c r="L97">
        <f>IF(G97=0,1/(F97 - H97*Pram!$B$5 +Pram!$B$6)+Pram!$B$7,1/(F97+G97+Pram!$B$2))</f>
        <v>9.2421441774491672E-3</v>
      </c>
      <c r="M97">
        <f>(B97-J97-Pram!$I$2) * 2/120</f>
        <v>0.6430555555555556</v>
      </c>
      <c r="N97">
        <f>(1-L97-L97*Pram!$B$2)/L97</f>
        <v>121</v>
      </c>
      <c r="O97">
        <f>(M97-Pram!$B$17)/Pram!$B$16</f>
        <v>8.1697682149652357E-3</v>
      </c>
      <c r="P97">
        <f t="shared" si="3"/>
        <v>121.40249339855417</v>
      </c>
    </row>
    <row r="98" spans="1:16" hidden="1" x14ac:dyDescent="0.55000000000000004">
      <c r="A98" t="s">
        <v>103</v>
      </c>
      <c r="B98">
        <v>51</v>
      </c>
      <c r="C98">
        <v>623</v>
      </c>
      <c r="D98">
        <v>632.5</v>
      </c>
      <c r="E98">
        <v>14.08023</v>
      </c>
      <c r="F98">
        <v>120</v>
      </c>
      <c r="G98">
        <v>1</v>
      </c>
      <c r="H98">
        <v>0</v>
      </c>
      <c r="I98">
        <f>D98-Pram!$G$2</f>
        <v>2.5</v>
      </c>
      <c r="J98">
        <f>I98/Pram!$H$2</f>
        <v>0.20833333333333334</v>
      </c>
      <c r="K98">
        <f t="shared" si="2"/>
        <v>8.2644628099173556E-3</v>
      </c>
      <c r="L98">
        <f>IF(G98=0,1/(F98 - H98*Pram!$B$5 +Pram!$B$6)+Pram!$B$7,1/(F98+G98+Pram!$B$2))</f>
        <v>9.3283582089552231E-3</v>
      </c>
      <c r="M98">
        <f>(B98-J98-Pram!$I$2) * 2/120</f>
        <v>0.6465277777777777</v>
      </c>
      <c r="N98">
        <f>(1-L98-L98*Pram!$B$2)/L98</f>
        <v>120.00000000000003</v>
      </c>
      <c r="O98">
        <f>(M98-Pram!$B$17)/Pram!$B$16</f>
        <v>8.2250267009004018E-3</v>
      </c>
      <c r="P98">
        <f t="shared" si="3"/>
        <v>120.58015242558776</v>
      </c>
    </row>
    <row r="99" spans="1:16" hidden="1" x14ac:dyDescent="0.55000000000000004">
      <c r="A99" t="s">
        <v>116</v>
      </c>
      <c r="B99">
        <v>55</v>
      </c>
      <c r="C99">
        <v>602</v>
      </c>
      <c r="D99">
        <v>674</v>
      </c>
      <c r="E99">
        <v>16.031320000000001</v>
      </c>
      <c r="F99">
        <v>119</v>
      </c>
      <c r="G99">
        <v>1</v>
      </c>
      <c r="H99">
        <v>0</v>
      </c>
      <c r="I99">
        <f>D99-Pram!$G$2</f>
        <v>44</v>
      </c>
      <c r="J99">
        <f>I99/Pram!$H$2</f>
        <v>3.6666666666666665</v>
      </c>
      <c r="K99">
        <f t="shared" si="2"/>
        <v>8.3333333333333332E-3</v>
      </c>
      <c r="L99">
        <f>IF(G99=0,1/(F99 - H99*Pram!$B$5 +Pram!$B$6)+Pram!$B$7,1/(F99+G99+Pram!$B$2))</f>
        <v>9.4161958568738224E-3</v>
      </c>
      <c r="M99">
        <f>(B99-J99-Pram!$I$2) * 2/120</f>
        <v>0.65555555555555556</v>
      </c>
      <c r="N99">
        <f>(1-L99-L99*Pram!$B$2)/L99</f>
        <v>119</v>
      </c>
      <c r="O99">
        <f>(M99-Pram!$B$17)/Pram!$B$16</f>
        <v>8.3686987643318399E-3</v>
      </c>
      <c r="P99">
        <f t="shared" si="3"/>
        <v>118.49288989371819</v>
      </c>
    </row>
    <row r="100" spans="1:16" hidden="1" x14ac:dyDescent="0.55000000000000004">
      <c r="A100" t="s">
        <v>105</v>
      </c>
      <c r="B100">
        <v>54</v>
      </c>
      <c r="C100">
        <v>632</v>
      </c>
      <c r="D100">
        <v>670</v>
      </c>
      <c r="E100">
        <v>16.031320000000001</v>
      </c>
      <c r="F100">
        <v>122</v>
      </c>
      <c r="G100">
        <v>1</v>
      </c>
      <c r="H100">
        <v>0</v>
      </c>
      <c r="I100">
        <f>D100-Pram!$G$2</f>
        <v>40</v>
      </c>
      <c r="J100">
        <f>I100/Pram!$H$2</f>
        <v>3.3333333333333335</v>
      </c>
      <c r="K100">
        <f t="shared" si="2"/>
        <v>8.130081300813009E-3</v>
      </c>
      <c r="L100">
        <f>IF(G100=0,1/(F100 - H100*Pram!$B$5 +Pram!$B$6)+Pram!$B$7,1/(F100+G100+Pram!$B$2))</f>
        <v>9.1575091575091579E-3</v>
      </c>
      <c r="M100">
        <f>(B100-J100-Pram!$I$2) * 2/120</f>
        <v>0.64444444444444438</v>
      </c>
      <c r="N100">
        <f>(1-L100-L100*Pram!$B$2)/L100</f>
        <v>122</v>
      </c>
      <c r="O100">
        <f>(M100-Pram!$B$17)/Pram!$B$16</f>
        <v>8.1918716093393011E-3</v>
      </c>
      <c r="P100">
        <f t="shared" si="3"/>
        <v>121.07222569991585</v>
      </c>
    </row>
    <row r="101" spans="1:16" hidden="1" x14ac:dyDescent="0.55000000000000004">
      <c r="A101" t="s">
        <v>106</v>
      </c>
      <c r="B101">
        <v>51</v>
      </c>
      <c r="C101">
        <v>643</v>
      </c>
      <c r="D101">
        <v>633</v>
      </c>
      <c r="E101">
        <v>14.035769999999999</v>
      </c>
      <c r="F101">
        <v>120</v>
      </c>
      <c r="G101">
        <v>1</v>
      </c>
      <c r="H101">
        <v>0</v>
      </c>
      <c r="I101">
        <f>D101-Pram!$G$2</f>
        <v>3</v>
      </c>
      <c r="J101">
        <f>I101/Pram!$H$2</f>
        <v>0.25</v>
      </c>
      <c r="K101">
        <f t="shared" si="2"/>
        <v>8.2644628099173556E-3</v>
      </c>
      <c r="L101">
        <f>IF(G101=0,1/(F101 - H101*Pram!$B$5 +Pram!$B$6)+Pram!$B$7,1/(F101+G101+Pram!$B$2))</f>
        <v>9.3283582089552231E-3</v>
      </c>
      <c r="M101">
        <f>(B101-J101-Pram!$I$2) * 2/120</f>
        <v>0.64583333333333337</v>
      </c>
      <c r="N101">
        <f>(1-L101-L101*Pram!$B$2)/L101</f>
        <v>120.00000000000003</v>
      </c>
      <c r="O101">
        <f>(M101-Pram!$B$17)/Pram!$B$16</f>
        <v>8.21397500371337E-3</v>
      </c>
      <c r="P101">
        <f t="shared" si="3"/>
        <v>120.74373546887109</v>
      </c>
    </row>
    <row r="102" spans="1:16" hidden="1" x14ac:dyDescent="0.55000000000000004">
      <c r="A102" t="s">
        <v>107</v>
      </c>
      <c r="B102">
        <v>54</v>
      </c>
      <c r="C102">
        <v>607.38232000000005</v>
      </c>
      <c r="D102">
        <v>669.5</v>
      </c>
      <c r="E102">
        <v>8.7473500000000008</v>
      </c>
      <c r="F102">
        <v>122</v>
      </c>
      <c r="G102">
        <v>1</v>
      </c>
      <c r="H102">
        <v>0</v>
      </c>
      <c r="I102">
        <f>D102-Pram!$G$2</f>
        <v>39.5</v>
      </c>
      <c r="J102">
        <f>I102/Pram!$H$2</f>
        <v>3.2916666666666665</v>
      </c>
      <c r="K102">
        <f t="shared" si="2"/>
        <v>8.130081300813009E-3</v>
      </c>
      <c r="L102">
        <f>IF(G102=0,1/(F102 - H102*Pram!$B$5 +Pram!$B$6)+Pram!$B$7,1/(F102+G102+Pram!$B$2))</f>
        <v>9.1575091575091579E-3</v>
      </c>
      <c r="M102">
        <f>(B102-J102-Pram!$I$2) * 2/120</f>
        <v>0.64513888888888893</v>
      </c>
      <c r="N102">
        <f>(1-L102-L102*Pram!$B$2)/L102</f>
        <v>122</v>
      </c>
      <c r="O102">
        <f>(M102-Pram!$B$17)/Pram!$B$16</f>
        <v>8.2029233065263364E-3</v>
      </c>
      <c r="P102">
        <f t="shared" si="3"/>
        <v>120.90775929897929</v>
      </c>
    </row>
    <row r="103" spans="1:16" hidden="1" x14ac:dyDescent="0.55000000000000004">
      <c r="A103" t="s">
        <v>117</v>
      </c>
      <c r="B103">
        <v>55</v>
      </c>
      <c r="C103">
        <v>623</v>
      </c>
      <c r="D103">
        <v>672.5</v>
      </c>
      <c r="E103">
        <v>16.070260000000001</v>
      </c>
      <c r="F103">
        <v>119</v>
      </c>
      <c r="G103">
        <v>1</v>
      </c>
      <c r="H103">
        <v>0</v>
      </c>
      <c r="I103">
        <f>D103-Pram!$G$2</f>
        <v>42.5</v>
      </c>
      <c r="J103">
        <f>I103/Pram!$H$2</f>
        <v>3.5416666666666665</v>
      </c>
      <c r="K103">
        <f t="shared" si="2"/>
        <v>8.3333333333333332E-3</v>
      </c>
      <c r="L103">
        <f>IF(G103=0,1/(F103 - H103*Pram!$B$5 +Pram!$B$6)+Pram!$B$7,1/(F103+G103+Pram!$B$2))</f>
        <v>9.4161958568738224E-3</v>
      </c>
      <c r="M103">
        <f>(B103-J103-Pram!$I$2) * 2/120</f>
        <v>0.65763888888888888</v>
      </c>
      <c r="N103">
        <f>(1-L103-L103*Pram!$B$2)/L103</f>
        <v>119</v>
      </c>
      <c r="O103">
        <f>(M103-Pram!$B$17)/Pram!$B$16</f>
        <v>8.4018538558929406E-3</v>
      </c>
      <c r="P103">
        <f t="shared" si="3"/>
        <v>118.0213513769481</v>
      </c>
    </row>
    <row r="104" spans="1:16" hidden="1" x14ac:dyDescent="0.55000000000000004">
      <c r="A104" t="s">
        <v>108</v>
      </c>
      <c r="B104">
        <v>52</v>
      </c>
      <c r="C104">
        <v>637</v>
      </c>
      <c r="D104">
        <v>637.5</v>
      </c>
      <c r="E104">
        <v>11.101900000000001</v>
      </c>
      <c r="F104">
        <v>118</v>
      </c>
      <c r="G104">
        <v>1</v>
      </c>
      <c r="H104">
        <v>0</v>
      </c>
      <c r="I104">
        <f>D104-Pram!$G$2</f>
        <v>7.5</v>
      </c>
      <c r="J104">
        <f>I104/Pram!$H$2</f>
        <v>0.625</v>
      </c>
      <c r="K104">
        <f t="shared" si="2"/>
        <v>8.4033613445378148E-3</v>
      </c>
      <c r="L104">
        <f>IF(G104=0,1/(F104 - H104*Pram!$B$5 +Pram!$B$6)+Pram!$B$7,1/(F104+G104+Pram!$B$2))</f>
        <v>9.5057034220532317E-3</v>
      </c>
      <c r="M104">
        <f>(B104-J104-Pram!$I$2) * 2/120</f>
        <v>0.65625</v>
      </c>
      <c r="N104">
        <f>(1-L104-L104*Pram!$B$2)/L104</f>
        <v>118</v>
      </c>
      <c r="O104">
        <f>(M104-Pram!$B$17)/Pram!$B$16</f>
        <v>8.3797504615188735E-3</v>
      </c>
      <c r="P104">
        <f t="shared" si="3"/>
        <v>118.33529579337197</v>
      </c>
    </row>
    <row r="105" spans="1:16" hidden="1" x14ac:dyDescent="0.55000000000000004">
      <c r="A105" t="s">
        <v>120</v>
      </c>
      <c r="B105">
        <v>48</v>
      </c>
      <c r="C105">
        <v>588.5</v>
      </c>
      <c r="D105">
        <v>682.5</v>
      </c>
      <c r="E105">
        <v>16.56814</v>
      </c>
      <c r="F105">
        <v>141</v>
      </c>
      <c r="G105">
        <v>15</v>
      </c>
      <c r="H105">
        <v>0</v>
      </c>
      <c r="I105">
        <f>D105-Pram!$G$2</f>
        <v>52.5</v>
      </c>
      <c r="J105">
        <f>I105/Pram!$H$2</f>
        <v>4.375</v>
      </c>
      <c r="K105">
        <f t="shared" si="2"/>
        <v>6.41025641025641E-3</v>
      </c>
      <c r="L105">
        <f>IF(G105=0,1/(F105 - H105*Pram!$B$5 +Pram!$B$6)+Pram!$B$7,1/(F105+G105+Pram!$B$2))</f>
        <v>7.0323488045007038E-3</v>
      </c>
      <c r="M105">
        <f>(B105-J105-Pram!$I$2) * 2/120</f>
        <v>0.52708333333333335</v>
      </c>
      <c r="N105">
        <f>(1-L105-L105*Pram!$B$2)/L105</f>
        <v>155</v>
      </c>
      <c r="O105">
        <f>(M105-Pram!$B$17)/Pram!$B$16</f>
        <v>6.3241347847306211E-3</v>
      </c>
      <c r="P105">
        <f t="shared" si="3"/>
        <v>157.12439709768068</v>
      </c>
    </row>
    <row r="106" spans="1:16" hidden="1" x14ac:dyDescent="0.55000000000000004">
      <c r="A106" t="s">
        <v>121</v>
      </c>
      <c r="B106">
        <v>45</v>
      </c>
      <c r="C106">
        <v>634.5</v>
      </c>
      <c r="D106">
        <v>643</v>
      </c>
      <c r="E106">
        <v>11.5435</v>
      </c>
      <c r="F106">
        <v>143</v>
      </c>
      <c r="G106">
        <v>15</v>
      </c>
      <c r="H106">
        <v>0</v>
      </c>
      <c r="I106">
        <f>D106-Pram!$G$2</f>
        <v>13</v>
      </c>
      <c r="J106">
        <f>I106/Pram!$H$2</f>
        <v>1.0833333333333333</v>
      </c>
      <c r="K106">
        <f t="shared" si="2"/>
        <v>6.3291139240506328E-3</v>
      </c>
      <c r="L106">
        <f>IF(G106=0,1/(F106 - H106*Pram!$B$5 +Pram!$B$6)+Pram!$B$7,1/(F106+G106+Pram!$B$2))</f>
        <v>6.9348127600554789E-3</v>
      </c>
      <c r="M106">
        <f>(B106-J106-Pram!$I$2) * 2/120</f>
        <v>0.53194444444444444</v>
      </c>
      <c r="N106">
        <f>(1-L106-L106*Pram!$B$2)/L106</f>
        <v>156.99999999999997</v>
      </c>
      <c r="O106">
        <f>(M106-Pram!$B$17)/Pram!$B$16</f>
        <v>6.4014966650398561E-3</v>
      </c>
      <c r="P106">
        <f t="shared" si="3"/>
        <v>155.21346886912326</v>
      </c>
    </row>
    <row r="107" spans="1:16" hidden="1" x14ac:dyDescent="0.55000000000000004">
      <c r="A107" t="s">
        <v>122</v>
      </c>
      <c r="B107">
        <v>46</v>
      </c>
      <c r="C107">
        <v>641.5</v>
      </c>
      <c r="D107">
        <v>650.5</v>
      </c>
      <c r="E107">
        <v>2.9155799999999998</v>
      </c>
      <c r="F107">
        <v>139</v>
      </c>
      <c r="G107">
        <v>15</v>
      </c>
      <c r="H107">
        <v>0</v>
      </c>
      <c r="I107">
        <f>D107-Pram!$G$2</f>
        <v>20.5</v>
      </c>
      <c r="J107">
        <f>I107/Pram!$H$2</f>
        <v>1.7083333333333333</v>
      </c>
      <c r="K107">
        <f t="shared" si="2"/>
        <v>6.4935064935064939E-3</v>
      </c>
      <c r="L107">
        <f>IF(G107=0,1/(F107 - H107*Pram!$B$5 +Pram!$B$6)+Pram!$B$7,1/(F107+G107+Pram!$B$2))</f>
        <v>7.1326676176890159E-3</v>
      </c>
      <c r="M107">
        <f>(B107-J107-Pram!$I$2) * 2/120</f>
        <v>0.53819444444444442</v>
      </c>
      <c r="N107">
        <f>(1-L107-L107*Pram!$B$2)/L107</f>
        <v>153</v>
      </c>
      <c r="O107">
        <f>(M107-Pram!$B$17)/Pram!$B$16</f>
        <v>6.5009619397231582E-3</v>
      </c>
      <c r="P107">
        <f t="shared" si="3"/>
        <v>152.82338941098072</v>
      </c>
    </row>
    <row r="108" spans="1:16" hidden="1" x14ac:dyDescent="0.55000000000000004">
      <c r="A108" t="s">
        <v>123</v>
      </c>
      <c r="B108">
        <v>48</v>
      </c>
      <c r="C108">
        <v>610.5</v>
      </c>
      <c r="D108">
        <v>683</v>
      </c>
      <c r="E108">
        <v>16.530370000000001</v>
      </c>
      <c r="F108">
        <v>141</v>
      </c>
      <c r="G108">
        <v>15</v>
      </c>
      <c r="H108">
        <v>0</v>
      </c>
      <c r="I108">
        <f>D108-Pram!$G$2</f>
        <v>53</v>
      </c>
      <c r="J108">
        <f>I108/Pram!$H$2</f>
        <v>4.416666666666667</v>
      </c>
      <c r="K108">
        <f t="shared" si="2"/>
        <v>6.41025641025641E-3</v>
      </c>
      <c r="L108">
        <f>IF(G108=0,1/(F108 - H108*Pram!$B$5 +Pram!$B$6)+Pram!$B$7,1/(F108+G108+Pram!$B$2))</f>
        <v>7.0323488045007038E-3</v>
      </c>
      <c r="M108">
        <f>(B108-J108-Pram!$I$2) * 2/120</f>
        <v>0.52638888888888891</v>
      </c>
      <c r="N108">
        <f>(1-L108-L108*Pram!$B$2)/L108</f>
        <v>155</v>
      </c>
      <c r="O108">
        <f>(M108-Pram!$B$17)/Pram!$B$16</f>
        <v>6.3130830875435875E-3</v>
      </c>
      <c r="P108">
        <f t="shared" si="3"/>
        <v>157.40121001624559</v>
      </c>
    </row>
    <row r="109" spans="1:16" hidden="1" x14ac:dyDescent="0.55000000000000004">
      <c r="A109" t="s">
        <v>124</v>
      </c>
      <c r="B109">
        <v>44</v>
      </c>
      <c r="C109">
        <v>634.5</v>
      </c>
      <c r="D109">
        <v>631</v>
      </c>
      <c r="E109">
        <v>9.7083399999999997</v>
      </c>
      <c r="F109">
        <v>143</v>
      </c>
      <c r="G109">
        <v>15</v>
      </c>
      <c r="H109">
        <v>0</v>
      </c>
      <c r="I109">
        <f>D109-Pram!$G$2</f>
        <v>1</v>
      </c>
      <c r="J109">
        <f>I109/Pram!$H$2</f>
        <v>8.3333333333333329E-2</v>
      </c>
      <c r="K109">
        <f t="shared" si="2"/>
        <v>6.3291139240506328E-3</v>
      </c>
      <c r="L109">
        <f>IF(G109=0,1/(F109 - H109*Pram!$B$5 +Pram!$B$6)+Pram!$B$7,1/(F109+G109+Pram!$B$2))</f>
        <v>6.9348127600554789E-3</v>
      </c>
      <c r="M109">
        <f>(B109-J109-Pram!$I$2) * 2/120</f>
        <v>0.53194444444444444</v>
      </c>
      <c r="N109">
        <f>(1-L109-L109*Pram!$B$2)/L109</f>
        <v>156.99999999999997</v>
      </c>
      <c r="O109">
        <f>(M109-Pram!$B$17)/Pram!$B$16</f>
        <v>6.4014966650398561E-3</v>
      </c>
      <c r="P109">
        <f t="shared" si="3"/>
        <v>155.21346886912326</v>
      </c>
    </row>
    <row r="110" spans="1:16" hidden="1" x14ac:dyDescent="0.55000000000000004">
      <c r="A110" t="s">
        <v>125</v>
      </c>
      <c r="B110">
        <v>48</v>
      </c>
      <c r="C110">
        <v>582</v>
      </c>
      <c r="D110">
        <v>681.5</v>
      </c>
      <c r="E110">
        <v>16.070260000000001</v>
      </c>
      <c r="F110">
        <v>140</v>
      </c>
      <c r="G110">
        <v>15</v>
      </c>
      <c r="H110">
        <v>0</v>
      </c>
      <c r="I110">
        <f>D110-Pram!$G$2</f>
        <v>51.5</v>
      </c>
      <c r="J110">
        <f>I110/Pram!$H$2</f>
        <v>4.291666666666667</v>
      </c>
      <c r="K110">
        <f t="shared" si="2"/>
        <v>6.4516129032258064E-3</v>
      </c>
      <c r="L110">
        <f>IF(G110=0,1/(F110 - H110*Pram!$B$5 +Pram!$B$6)+Pram!$B$7,1/(F110+G110+Pram!$B$2))</f>
        <v>7.0821529745042503E-3</v>
      </c>
      <c r="M110">
        <f>(B110-J110-Pram!$I$2) * 2/120</f>
        <v>0.52847222222222223</v>
      </c>
      <c r="N110">
        <f>(1-L110-L110*Pram!$B$2)/L110</f>
        <v>153.99999999999997</v>
      </c>
      <c r="O110">
        <f>(M110-Pram!$B$17)/Pram!$B$16</f>
        <v>6.3462381791046883E-3</v>
      </c>
      <c r="P110">
        <f t="shared" si="3"/>
        <v>156.57366360634725</v>
      </c>
    </row>
    <row r="111" spans="1:16" hidden="1" x14ac:dyDescent="0.55000000000000004">
      <c r="A111" t="s">
        <v>126</v>
      </c>
      <c r="B111">
        <v>45</v>
      </c>
      <c r="C111">
        <v>624</v>
      </c>
      <c r="D111">
        <v>639</v>
      </c>
      <c r="E111">
        <v>9.2196400000000001</v>
      </c>
      <c r="F111">
        <v>140</v>
      </c>
      <c r="G111">
        <v>15</v>
      </c>
      <c r="H111">
        <v>0</v>
      </c>
      <c r="I111">
        <f>D111-Pram!$G$2</f>
        <v>9</v>
      </c>
      <c r="J111">
        <f>I111/Pram!$H$2</f>
        <v>0.75</v>
      </c>
      <c r="K111">
        <f t="shared" si="2"/>
        <v>6.4516129032258064E-3</v>
      </c>
      <c r="L111">
        <f>IF(G111=0,1/(F111 - H111*Pram!$B$5 +Pram!$B$6)+Pram!$B$7,1/(F111+G111+Pram!$B$2))</f>
        <v>7.0821529745042503E-3</v>
      </c>
      <c r="M111">
        <f>(B111-J111-Pram!$I$2) * 2/120</f>
        <v>0.53749999999999998</v>
      </c>
      <c r="N111">
        <f>(1-L111-L111*Pram!$B$2)/L111</f>
        <v>153.99999999999997</v>
      </c>
      <c r="O111">
        <f>(M111-Pram!$B$17)/Pram!$B$16</f>
        <v>6.4899102425361246E-3</v>
      </c>
      <c r="P111">
        <f t="shared" si="3"/>
        <v>153.08533594899464</v>
      </c>
    </row>
    <row r="112" spans="1:16" hidden="1" x14ac:dyDescent="0.55000000000000004">
      <c r="A112" t="s">
        <v>127</v>
      </c>
      <c r="B112">
        <v>48</v>
      </c>
      <c r="C112">
        <v>619</v>
      </c>
      <c r="D112">
        <v>681.5</v>
      </c>
      <c r="E112">
        <v>16.070260000000001</v>
      </c>
      <c r="F112">
        <v>140</v>
      </c>
      <c r="G112">
        <v>15</v>
      </c>
      <c r="H112">
        <v>0</v>
      </c>
      <c r="I112">
        <f>D112-Pram!$G$2</f>
        <v>51.5</v>
      </c>
      <c r="J112">
        <f>I112/Pram!$H$2</f>
        <v>4.291666666666667</v>
      </c>
      <c r="K112">
        <f t="shared" si="2"/>
        <v>6.4516129032258064E-3</v>
      </c>
      <c r="L112">
        <f>IF(G112=0,1/(F112 - H112*Pram!$B$5 +Pram!$B$6)+Pram!$B$7,1/(F112+G112+Pram!$B$2))</f>
        <v>7.0821529745042503E-3</v>
      </c>
      <c r="M112">
        <f>(B112-J112-Pram!$I$2) * 2/120</f>
        <v>0.52847222222222223</v>
      </c>
      <c r="N112">
        <f>(1-L112-L112*Pram!$B$2)/L112</f>
        <v>153.99999999999997</v>
      </c>
      <c r="O112">
        <f>(M112-Pram!$B$17)/Pram!$B$16</f>
        <v>6.3462381791046883E-3</v>
      </c>
      <c r="P112">
        <f t="shared" si="3"/>
        <v>156.57366360634725</v>
      </c>
    </row>
    <row r="113" spans="1:16" hidden="1" x14ac:dyDescent="0.55000000000000004">
      <c r="A113" t="s">
        <v>128</v>
      </c>
      <c r="B113">
        <v>46</v>
      </c>
      <c r="C113">
        <v>635.5</v>
      </c>
      <c r="D113">
        <v>651</v>
      </c>
      <c r="E113">
        <v>9.5525900000000004</v>
      </c>
      <c r="F113">
        <v>140</v>
      </c>
      <c r="G113">
        <v>15</v>
      </c>
      <c r="H113">
        <v>0</v>
      </c>
      <c r="I113">
        <f>D113-Pram!$G$2</f>
        <v>21</v>
      </c>
      <c r="J113">
        <f>I113/Pram!$H$2</f>
        <v>1.75</v>
      </c>
      <c r="K113">
        <f t="shared" si="2"/>
        <v>6.4516129032258064E-3</v>
      </c>
      <c r="L113">
        <f>IF(G113=0,1/(F113 - H113*Pram!$B$5 +Pram!$B$6)+Pram!$B$7,1/(F113+G113+Pram!$B$2))</f>
        <v>7.0821529745042503E-3</v>
      </c>
      <c r="M113">
        <f>(B113-J113-Pram!$I$2) * 2/120</f>
        <v>0.53749999999999998</v>
      </c>
      <c r="N113">
        <f>(1-L113-L113*Pram!$B$2)/L113</f>
        <v>153.99999999999997</v>
      </c>
      <c r="O113">
        <f>(M113-Pram!$B$17)/Pram!$B$16</f>
        <v>6.4899102425361246E-3</v>
      </c>
      <c r="P113">
        <f t="shared" si="3"/>
        <v>153.08533594899464</v>
      </c>
    </row>
    <row r="114" spans="1:16" hidden="1" x14ac:dyDescent="0.55000000000000004">
      <c r="A114" t="s">
        <v>129</v>
      </c>
      <c r="B114">
        <v>45</v>
      </c>
      <c r="C114">
        <v>678</v>
      </c>
      <c r="D114">
        <v>634.5</v>
      </c>
      <c r="E114">
        <v>2.5001000000000002</v>
      </c>
      <c r="F114">
        <v>137</v>
      </c>
      <c r="G114">
        <v>15</v>
      </c>
      <c r="H114">
        <v>0</v>
      </c>
      <c r="I114">
        <f>D114-Pram!$G$2</f>
        <v>4.5</v>
      </c>
      <c r="J114">
        <f>I114/Pram!$H$2</f>
        <v>0.375</v>
      </c>
      <c r="K114">
        <f t="shared" si="2"/>
        <v>6.5789473684210523E-3</v>
      </c>
      <c r="L114">
        <f>IF(G114=0,1/(F114 - H114*Pram!$B$5 +Pram!$B$6)+Pram!$B$7,1/(F114+G114+Pram!$B$2))</f>
        <v>7.2358900144717806E-3</v>
      </c>
      <c r="M114">
        <f>(B114-J114-Pram!$I$2) * 2/120</f>
        <v>0.54374999999999996</v>
      </c>
      <c r="N114">
        <f>(1-L114-L114*Pram!$B$2)/L114</f>
        <v>150.99999999999997</v>
      </c>
      <c r="O114">
        <f>(M114-Pram!$B$17)/Pram!$B$16</f>
        <v>6.5893755172194276E-3</v>
      </c>
      <c r="P114">
        <f t="shared" si="3"/>
        <v>150.75944934186694</v>
      </c>
    </row>
    <row r="115" spans="1:16" hidden="1" x14ac:dyDescent="0.55000000000000004">
      <c r="A115" t="s">
        <v>130</v>
      </c>
      <c r="B115">
        <v>46</v>
      </c>
      <c r="C115">
        <v>624.5</v>
      </c>
      <c r="D115">
        <v>647</v>
      </c>
      <c r="E115">
        <v>5.5902700000000003</v>
      </c>
      <c r="F115">
        <v>138</v>
      </c>
      <c r="G115">
        <v>15</v>
      </c>
      <c r="H115">
        <v>0</v>
      </c>
      <c r="I115">
        <f>D115-Pram!$G$2</f>
        <v>17</v>
      </c>
      <c r="J115">
        <f>I115/Pram!$H$2</f>
        <v>1.4166666666666667</v>
      </c>
      <c r="K115">
        <f t="shared" si="2"/>
        <v>6.5359477124183009E-3</v>
      </c>
      <c r="L115">
        <f>IF(G115=0,1/(F115 - H115*Pram!$B$5 +Pram!$B$6)+Pram!$B$7,1/(F115+G115+Pram!$B$2))</f>
        <v>7.1839080459770123E-3</v>
      </c>
      <c r="M115">
        <f>(B115-J115-Pram!$I$2) * 2/120</f>
        <v>0.54305555555555562</v>
      </c>
      <c r="N115">
        <f>(1-L115-L115*Pram!$B$2)/L115</f>
        <v>152</v>
      </c>
      <c r="O115">
        <f>(M115-Pram!$B$17)/Pram!$B$16</f>
        <v>6.5783238200323958E-3</v>
      </c>
      <c r="P115">
        <f t="shared" si="3"/>
        <v>151.01440782753613</v>
      </c>
    </row>
    <row r="116" spans="1:16" hidden="1" x14ac:dyDescent="0.55000000000000004">
      <c r="A116" t="s">
        <v>131</v>
      </c>
      <c r="B116">
        <v>49</v>
      </c>
      <c r="C116">
        <v>636</v>
      </c>
      <c r="D116">
        <v>683</v>
      </c>
      <c r="E116">
        <v>17.029489999999999</v>
      </c>
      <c r="F116">
        <v>135</v>
      </c>
      <c r="G116">
        <v>15</v>
      </c>
      <c r="H116">
        <v>0</v>
      </c>
      <c r="I116">
        <f>D116-Pram!$G$2</f>
        <v>53</v>
      </c>
      <c r="J116">
        <f>I116/Pram!$H$2</f>
        <v>4.416666666666667</v>
      </c>
      <c r="K116">
        <f t="shared" si="2"/>
        <v>6.6666666666666671E-3</v>
      </c>
      <c r="L116">
        <f>IF(G116=0,1/(F116 - H116*Pram!$B$5 +Pram!$B$6)+Pram!$B$7,1/(F116+G116+Pram!$B$2))</f>
        <v>7.3421439060205587E-3</v>
      </c>
      <c r="M116">
        <f>(B116-J116-Pram!$I$2) * 2/120</f>
        <v>0.54305555555555562</v>
      </c>
      <c r="N116">
        <f>(1-L116-L116*Pram!$B$2)/L116</f>
        <v>149</v>
      </c>
      <c r="O116">
        <f>(M116-Pram!$B$17)/Pram!$B$16</f>
        <v>6.5783238200323958E-3</v>
      </c>
      <c r="P116">
        <f t="shared" si="3"/>
        <v>151.01440782753613</v>
      </c>
    </row>
    <row r="117" spans="1:16" hidden="1" x14ac:dyDescent="0.55000000000000004">
      <c r="A117" t="s">
        <v>132</v>
      </c>
      <c r="B117">
        <v>45</v>
      </c>
      <c r="C117">
        <v>644</v>
      </c>
      <c r="D117">
        <v>633.5</v>
      </c>
      <c r="E117">
        <v>14.08023</v>
      </c>
      <c r="F117">
        <v>137</v>
      </c>
      <c r="G117">
        <v>15</v>
      </c>
      <c r="H117">
        <v>0</v>
      </c>
      <c r="I117">
        <f>D117-Pram!$G$2</f>
        <v>3.5</v>
      </c>
      <c r="J117">
        <f>I117/Pram!$H$2</f>
        <v>0.29166666666666669</v>
      </c>
      <c r="K117">
        <f t="shared" si="2"/>
        <v>6.5789473684210523E-3</v>
      </c>
      <c r="L117">
        <f>IF(G117=0,1/(F117 - H117*Pram!$B$5 +Pram!$B$6)+Pram!$B$7,1/(F117+G117+Pram!$B$2))</f>
        <v>7.2358900144717806E-3</v>
      </c>
      <c r="M117">
        <f>(B117-J117-Pram!$I$2) * 2/120</f>
        <v>0.54513888888888895</v>
      </c>
      <c r="N117">
        <f>(1-L117-L117*Pram!$B$2)/L117</f>
        <v>150.99999999999997</v>
      </c>
      <c r="O117">
        <f>(M117-Pram!$B$17)/Pram!$B$16</f>
        <v>6.6114789115934965E-3</v>
      </c>
      <c r="P117">
        <f t="shared" si="3"/>
        <v>150.25208949036491</v>
      </c>
    </row>
    <row r="118" spans="1:16" hidden="1" x14ac:dyDescent="0.55000000000000004">
      <c r="A118" t="s">
        <v>133</v>
      </c>
      <c r="B118">
        <v>45</v>
      </c>
      <c r="C118">
        <v>634.5</v>
      </c>
      <c r="D118">
        <v>632</v>
      </c>
      <c r="E118">
        <v>14.53454</v>
      </c>
      <c r="F118">
        <v>136</v>
      </c>
      <c r="G118">
        <v>15</v>
      </c>
      <c r="H118">
        <v>0</v>
      </c>
      <c r="I118">
        <f>D118-Pram!$G$2</f>
        <v>2</v>
      </c>
      <c r="J118">
        <f>I118/Pram!$H$2</f>
        <v>0.16666666666666666</v>
      </c>
      <c r="K118">
        <f t="shared" si="2"/>
        <v>6.6225165562913907E-3</v>
      </c>
      <c r="L118">
        <f>IF(G118=0,1/(F118 - H118*Pram!$B$5 +Pram!$B$6)+Pram!$B$7,1/(F118+G118+Pram!$B$2))</f>
        <v>7.28862973760933E-3</v>
      </c>
      <c r="M118">
        <f>(B118-J118-Pram!$I$2) * 2/120</f>
        <v>0.54722222222222228</v>
      </c>
      <c r="N118">
        <f>(1-L118-L118*Pram!$B$2)/L118</f>
        <v>150</v>
      </c>
      <c r="O118">
        <f>(M118-Pram!$B$17)/Pram!$B$16</f>
        <v>6.6446340031545972E-3</v>
      </c>
      <c r="P118">
        <f t="shared" si="3"/>
        <v>149.49737871570375</v>
      </c>
    </row>
    <row r="119" spans="1:16" hidden="1" x14ac:dyDescent="0.55000000000000004">
      <c r="A119" t="s">
        <v>134</v>
      </c>
      <c r="B119">
        <v>48</v>
      </c>
      <c r="C119">
        <v>635.5</v>
      </c>
      <c r="D119">
        <v>674.5</v>
      </c>
      <c r="E119">
        <v>5.7009800000000004</v>
      </c>
      <c r="F119">
        <v>138</v>
      </c>
      <c r="G119">
        <v>15</v>
      </c>
      <c r="H119">
        <v>0</v>
      </c>
      <c r="I119">
        <f>D119-Pram!$G$2</f>
        <v>44.5</v>
      </c>
      <c r="J119">
        <f>I119/Pram!$H$2</f>
        <v>3.7083333333333335</v>
      </c>
      <c r="K119">
        <f t="shared" si="2"/>
        <v>6.5359477124183009E-3</v>
      </c>
      <c r="L119">
        <f>IF(G119=0,1/(F119 - H119*Pram!$B$5 +Pram!$B$6)+Pram!$B$7,1/(F119+G119+Pram!$B$2))</f>
        <v>7.1839080459770123E-3</v>
      </c>
      <c r="M119">
        <f>(B119-J119-Pram!$I$2) * 2/120</f>
        <v>0.53819444444444442</v>
      </c>
      <c r="N119">
        <f>(1-L119-L119*Pram!$B$2)/L119</f>
        <v>152</v>
      </c>
      <c r="O119">
        <f>(M119-Pram!$B$17)/Pram!$B$16</f>
        <v>6.5009619397231582E-3</v>
      </c>
      <c r="P119">
        <f t="shared" si="3"/>
        <v>152.82338941098072</v>
      </c>
    </row>
    <row r="120" spans="1:16" hidden="1" x14ac:dyDescent="0.55000000000000004">
      <c r="A120" t="s">
        <v>135</v>
      </c>
      <c r="B120">
        <v>45</v>
      </c>
      <c r="C120">
        <v>631.5</v>
      </c>
      <c r="D120">
        <v>635</v>
      </c>
      <c r="E120">
        <v>10.688879999999999</v>
      </c>
      <c r="F120">
        <v>138</v>
      </c>
      <c r="G120">
        <v>15</v>
      </c>
      <c r="H120">
        <v>0</v>
      </c>
      <c r="I120">
        <f>D120-Pram!$G$2</f>
        <v>5</v>
      </c>
      <c r="J120">
        <f>I120/Pram!$H$2</f>
        <v>0.41666666666666669</v>
      </c>
      <c r="K120">
        <f t="shared" si="2"/>
        <v>6.5359477124183009E-3</v>
      </c>
      <c r="L120">
        <f>IF(G120=0,1/(F120 - H120*Pram!$B$5 +Pram!$B$6)+Pram!$B$7,1/(F120+G120+Pram!$B$2))</f>
        <v>7.1839080459770123E-3</v>
      </c>
      <c r="M120">
        <f>(B120-J120-Pram!$I$2) * 2/120</f>
        <v>0.54305555555555562</v>
      </c>
      <c r="N120">
        <f>(1-L120-L120*Pram!$B$2)/L120</f>
        <v>152</v>
      </c>
      <c r="O120">
        <f>(M120-Pram!$B$17)/Pram!$B$16</f>
        <v>6.5783238200323958E-3</v>
      </c>
      <c r="P120">
        <f t="shared" si="3"/>
        <v>151.01440782753613</v>
      </c>
    </row>
    <row r="121" spans="1:16" hidden="1" x14ac:dyDescent="0.55000000000000004">
      <c r="A121" t="s">
        <v>136</v>
      </c>
      <c r="B121">
        <v>45</v>
      </c>
      <c r="C121">
        <v>650.5</v>
      </c>
      <c r="D121">
        <v>632</v>
      </c>
      <c r="E121">
        <v>9.7083399999999997</v>
      </c>
      <c r="F121">
        <v>136</v>
      </c>
      <c r="G121">
        <v>15</v>
      </c>
      <c r="H121">
        <v>0</v>
      </c>
      <c r="I121">
        <f>D121-Pram!$G$2</f>
        <v>2</v>
      </c>
      <c r="J121">
        <f>I121/Pram!$H$2</f>
        <v>0.16666666666666666</v>
      </c>
      <c r="K121">
        <f t="shared" si="2"/>
        <v>6.6225165562913907E-3</v>
      </c>
      <c r="L121">
        <f>IF(G121=0,1/(F121 - H121*Pram!$B$5 +Pram!$B$6)+Pram!$B$7,1/(F121+G121+Pram!$B$2))</f>
        <v>7.28862973760933E-3</v>
      </c>
      <c r="M121">
        <f>(B121-J121-Pram!$I$2) * 2/120</f>
        <v>0.54722222222222228</v>
      </c>
      <c r="N121">
        <f>(1-L121-L121*Pram!$B$2)/L121</f>
        <v>150</v>
      </c>
      <c r="O121">
        <f>(M121-Pram!$B$17)/Pram!$B$16</f>
        <v>6.6446340031545972E-3</v>
      </c>
      <c r="P121">
        <f t="shared" si="3"/>
        <v>149.49737871570375</v>
      </c>
    </row>
    <row r="122" spans="1:16" hidden="1" x14ac:dyDescent="0.55000000000000004">
      <c r="A122" t="s">
        <v>137</v>
      </c>
      <c r="B122">
        <v>45</v>
      </c>
      <c r="C122">
        <v>644.5</v>
      </c>
      <c r="D122">
        <v>634</v>
      </c>
      <c r="E122">
        <v>14.53454</v>
      </c>
      <c r="F122">
        <v>137</v>
      </c>
      <c r="G122">
        <v>15</v>
      </c>
      <c r="H122">
        <v>0</v>
      </c>
      <c r="I122">
        <f>D122-Pram!$G$2</f>
        <v>4</v>
      </c>
      <c r="J122">
        <f>I122/Pram!$H$2</f>
        <v>0.33333333333333331</v>
      </c>
      <c r="K122">
        <f t="shared" si="2"/>
        <v>6.5789473684210523E-3</v>
      </c>
      <c r="L122">
        <f>IF(G122=0,1/(F122 - H122*Pram!$B$5 +Pram!$B$6)+Pram!$B$7,1/(F122+G122+Pram!$B$2))</f>
        <v>7.2358900144717806E-3</v>
      </c>
      <c r="M122">
        <f>(B122-J122-Pram!$I$2) * 2/120</f>
        <v>0.5444444444444444</v>
      </c>
      <c r="N122">
        <f>(1-L122-L122*Pram!$B$2)/L122</f>
        <v>150.99999999999997</v>
      </c>
      <c r="O122">
        <f>(M122-Pram!$B$17)/Pram!$B$16</f>
        <v>6.6004272144064612E-3</v>
      </c>
      <c r="P122">
        <f t="shared" si="3"/>
        <v>150.50534465668284</v>
      </c>
    </row>
    <row r="123" spans="1:16" hidden="1" x14ac:dyDescent="0.55000000000000004">
      <c r="A123" t="s">
        <v>138</v>
      </c>
      <c r="B123">
        <v>46</v>
      </c>
      <c r="C123">
        <v>641</v>
      </c>
      <c r="D123">
        <v>642</v>
      </c>
      <c r="E123">
        <v>15.0334</v>
      </c>
      <c r="F123">
        <v>135</v>
      </c>
      <c r="G123">
        <v>15</v>
      </c>
      <c r="H123">
        <v>0</v>
      </c>
      <c r="I123">
        <f>D123-Pram!$G$2</f>
        <v>12</v>
      </c>
      <c r="J123">
        <f>I123/Pram!$H$2</f>
        <v>1</v>
      </c>
      <c r="K123">
        <f t="shared" si="2"/>
        <v>6.6666666666666671E-3</v>
      </c>
      <c r="L123">
        <f>IF(G123=0,1/(F123 - H123*Pram!$B$5 +Pram!$B$6)+Pram!$B$7,1/(F123+G123+Pram!$B$2))</f>
        <v>7.3421439060205587E-3</v>
      </c>
      <c r="M123">
        <f>(B123-J123-Pram!$I$2) * 2/120</f>
        <v>0.55000000000000004</v>
      </c>
      <c r="N123">
        <f>(1-L123-L123*Pram!$B$2)/L123</f>
        <v>149</v>
      </c>
      <c r="O123">
        <f>(M123-Pram!$B$17)/Pram!$B$16</f>
        <v>6.6888407919027315E-3</v>
      </c>
      <c r="P123">
        <f t="shared" si="3"/>
        <v>148.50273614085177</v>
      </c>
    </row>
    <row r="124" spans="1:16" hidden="1" x14ac:dyDescent="0.55000000000000004">
      <c r="A124" t="s">
        <v>139</v>
      </c>
      <c r="B124">
        <v>46</v>
      </c>
      <c r="C124">
        <v>630.28570999999999</v>
      </c>
      <c r="D124">
        <v>643</v>
      </c>
      <c r="E124">
        <v>3.8466499999999999</v>
      </c>
      <c r="F124">
        <v>135</v>
      </c>
      <c r="G124">
        <v>15</v>
      </c>
      <c r="H124">
        <v>0</v>
      </c>
      <c r="I124">
        <f>D124-Pram!$G$2</f>
        <v>13</v>
      </c>
      <c r="J124">
        <f>I124/Pram!$H$2</f>
        <v>1.0833333333333333</v>
      </c>
      <c r="K124">
        <f t="shared" si="2"/>
        <v>6.6666666666666671E-3</v>
      </c>
      <c r="L124">
        <f>IF(G124=0,1/(F124 - H124*Pram!$B$5 +Pram!$B$6)+Pram!$B$7,1/(F124+G124+Pram!$B$2))</f>
        <v>7.3421439060205587E-3</v>
      </c>
      <c r="M124">
        <f>(B124-J124-Pram!$I$2) * 2/120</f>
        <v>0.54861111111111105</v>
      </c>
      <c r="N124">
        <f>(1-L124-L124*Pram!$B$2)/L124</f>
        <v>149</v>
      </c>
      <c r="O124">
        <f>(M124-Pram!$B$17)/Pram!$B$16</f>
        <v>6.6667373975286626E-3</v>
      </c>
      <c r="P124">
        <f t="shared" si="3"/>
        <v>148.99840857248955</v>
      </c>
    </row>
    <row r="125" spans="1:16" hidden="1" x14ac:dyDescent="0.55000000000000004">
      <c r="A125" t="s">
        <v>140</v>
      </c>
      <c r="B125">
        <v>46</v>
      </c>
      <c r="C125">
        <v>631.5</v>
      </c>
      <c r="D125">
        <v>633</v>
      </c>
      <c r="E125">
        <v>14.53454</v>
      </c>
      <c r="F125">
        <v>130</v>
      </c>
      <c r="G125">
        <v>15</v>
      </c>
      <c r="H125">
        <v>0</v>
      </c>
      <c r="I125">
        <f>D125-Pram!$G$2</f>
        <v>3</v>
      </c>
      <c r="J125">
        <f>I125/Pram!$H$2</f>
        <v>0.25</v>
      </c>
      <c r="K125">
        <f t="shared" si="2"/>
        <v>6.8965517241379309E-3</v>
      </c>
      <c r="L125">
        <f>IF(G125=0,1/(F125 - H125*Pram!$B$5 +Pram!$B$6)+Pram!$B$7,1/(F125+G125+Pram!$B$2))</f>
        <v>7.6219512195121958E-3</v>
      </c>
      <c r="M125">
        <f>(B125-J125-Pram!$I$2) * 2/120</f>
        <v>0.5625</v>
      </c>
      <c r="N125">
        <f>(1-L125-L125*Pram!$B$2)/L125</f>
        <v>144</v>
      </c>
      <c r="O125">
        <f>(M125-Pram!$B$17)/Pram!$B$16</f>
        <v>6.8877713412693357E-3</v>
      </c>
      <c r="P125">
        <f t="shared" si="3"/>
        <v>144.18484288354898</v>
      </c>
    </row>
    <row r="126" spans="1:16" hidden="1" x14ac:dyDescent="0.55000000000000004">
      <c r="A126" t="s">
        <v>141</v>
      </c>
      <c r="B126">
        <v>47</v>
      </c>
      <c r="C126">
        <v>629.5</v>
      </c>
      <c r="D126">
        <v>647</v>
      </c>
      <c r="E126">
        <v>4.0312299999999999</v>
      </c>
      <c r="F126">
        <v>131</v>
      </c>
      <c r="G126">
        <v>15</v>
      </c>
      <c r="H126">
        <v>0</v>
      </c>
      <c r="I126">
        <f>D126-Pram!$G$2</f>
        <v>17</v>
      </c>
      <c r="J126">
        <f>I126/Pram!$H$2</f>
        <v>1.4166666666666667</v>
      </c>
      <c r="K126">
        <f t="shared" si="2"/>
        <v>6.8493150684931503E-3</v>
      </c>
      <c r="L126">
        <f>IF(G126=0,1/(F126 - H126*Pram!$B$5 +Pram!$B$6)+Pram!$B$7,1/(F126+G126+Pram!$B$2))</f>
        <v>7.5642965204236016E-3</v>
      </c>
      <c r="M126">
        <f>(B126-J126-Pram!$I$2) * 2/120</f>
        <v>0.55972222222222223</v>
      </c>
      <c r="N126">
        <f>(1-L126-L126*Pram!$B$2)/L126</f>
        <v>145</v>
      </c>
      <c r="O126">
        <f>(M126-Pram!$B$17)/Pram!$B$16</f>
        <v>6.8435645525212014E-3</v>
      </c>
      <c r="P126">
        <f t="shared" si="3"/>
        <v>145.12268099839801</v>
      </c>
    </row>
    <row r="127" spans="1:16" hidden="1" x14ac:dyDescent="0.55000000000000004">
      <c r="A127" t="s">
        <v>142</v>
      </c>
      <c r="B127">
        <v>46</v>
      </c>
      <c r="C127">
        <v>648.5</v>
      </c>
      <c r="D127">
        <v>639</v>
      </c>
      <c r="E127">
        <v>5.8524500000000002</v>
      </c>
      <c r="F127">
        <v>134</v>
      </c>
      <c r="G127">
        <v>15</v>
      </c>
      <c r="H127">
        <v>0</v>
      </c>
      <c r="I127">
        <f>D127-Pram!$G$2</f>
        <v>9</v>
      </c>
      <c r="J127">
        <f>I127/Pram!$H$2</f>
        <v>0.75</v>
      </c>
      <c r="K127">
        <f t="shared" si="2"/>
        <v>6.7114093959731542E-3</v>
      </c>
      <c r="L127">
        <f>IF(G127=0,1/(F127 - H127*Pram!$B$5 +Pram!$B$6)+Pram!$B$7,1/(F127+G127+Pram!$B$2))</f>
        <v>7.3964497041420123E-3</v>
      </c>
      <c r="M127">
        <f>(B127-J127-Pram!$I$2) * 2/120</f>
        <v>0.5541666666666667</v>
      </c>
      <c r="N127">
        <f>(1-L127-L127*Pram!$B$2)/L127</f>
        <v>148</v>
      </c>
      <c r="O127">
        <f>(M127-Pram!$B$17)/Pram!$B$16</f>
        <v>6.7551509750249329E-3</v>
      </c>
      <c r="P127">
        <f t="shared" si="3"/>
        <v>147.03518140411498</v>
      </c>
    </row>
    <row r="128" spans="1:16" hidden="1" x14ac:dyDescent="0.55000000000000004">
      <c r="A128" t="s">
        <v>143</v>
      </c>
      <c r="B128">
        <v>49</v>
      </c>
      <c r="C128">
        <v>635.5</v>
      </c>
      <c r="D128">
        <v>678</v>
      </c>
      <c r="E128">
        <v>8.7322199999999999</v>
      </c>
      <c r="F128">
        <v>133</v>
      </c>
      <c r="G128">
        <v>15</v>
      </c>
      <c r="H128">
        <v>0</v>
      </c>
      <c r="I128">
        <f>D128-Pram!$G$2</f>
        <v>48</v>
      </c>
      <c r="J128">
        <f>I128/Pram!$H$2</f>
        <v>4</v>
      </c>
      <c r="K128">
        <f t="shared" si="2"/>
        <v>6.7567567567567571E-3</v>
      </c>
      <c r="L128">
        <f>IF(G128=0,1/(F128 - H128*Pram!$B$5 +Pram!$B$6)+Pram!$B$7,1/(F128+G128+Pram!$B$2))</f>
        <v>7.4515648286140098E-3</v>
      </c>
      <c r="M128">
        <f>(B128-J128-Pram!$I$2) * 2/120</f>
        <v>0.55000000000000004</v>
      </c>
      <c r="N128">
        <f>(1-L128-L128*Pram!$B$2)/L128</f>
        <v>146.99999999999997</v>
      </c>
      <c r="O128">
        <f>(M128-Pram!$B$17)/Pram!$B$16</f>
        <v>6.6888407919027315E-3</v>
      </c>
      <c r="P128">
        <f t="shared" si="3"/>
        <v>148.50273614085177</v>
      </c>
    </row>
    <row r="129" spans="1:16" hidden="1" x14ac:dyDescent="0.55000000000000004">
      <c r="A129" t="s">
        <v>144</v>
      </c>
      <c r="B129">
        <v>47</v>
      </c>
      <c r="C129">
        <v>619</v>
      </c>
      <c r="D129">
        <v>644</v>
      </c>
      <c r="E129">
        <v>15.0334</v>
      </c>
      <c r="F129">
        <v>130</v>
      </c>
      <c r="G129">
        <v>15</v>
      </c>
      <c r="H129">
        <v>0</v>
      </c>
      <c r="I129">
        <f>D129-Pram!$G$2</f>
        <v>14</v>
      </c>
      <c r="J129">
        <f>I129/Pram!$H$2</f>
        <v>1.1666666666666667</v>
      </c>
      <c r="K129">
        <f t="shared" si="2"/>
        <v>6.8965517241379309E-3</v>
      </c>
      <c r="L129">
        <f>IF(G129=0,1/(F129 - H129*Pram!$B$5 +Pram!$B$6)+Pram!$B$7,1/(F129+G129+Pram!$B$2))</f>
        <v>7.6219512195121958E-3</v>
      </c>
      <c r="M129">
        <f>(B129-J129-Pram!$I$2) * 2/120</f>
        <v>0.56388888888888888</v>
      </c>
      <c r="N129">
        <f>(1-L129-L129*Pram!$B$2)/L129</f>
        <v>144</v>
      </c>
      <c r="O129">
        <f>(M129-Pram!$B$17)/Pram!$B$16</f>
        <v>6.9098747356434028E-3</v>
      </c>
      <c r="P129">
        <f t="shared" si="3"/>
        <v>143.72042377869334</v>
      </c>
    </row>
    <row r="130" spans="1:16" hidden="1" x14ac:dyDescent="0.55000000000000004">
      <c r="A130" t="s">
        <v>145</v>
      </c>
      <c r="B130">
        <v>49</v>
      </c>
      <c r="C130">
        <v>631</v>
      </c>
      <c r="D130">
        <v>675.5</v>
      </c>
      <c r="E130">
        <v>16.070260000000001</v>
      </c>
      <c r="F130">
        <v>132</v>
      </c>
      <c r="G130">
        <v>15</v>
      </c>
      <c r="H130">
        <v>0</v>
      </c>
      <c r="I130">
        <f>D130-Pram!$G$2</f>
        <v>45.5</v>
      </c>
      <c r="J130">
        <f>I130/Pram!$H$2</f>
        <v>3.7916666666666665</v>
      </c>
      <c r="K130">
        <f t="shared" si="2"/>
        <v>6.8027210884353739E-3</v>
      </c>
      <c r="L130">
        <f>IF(G130=0,1/(F130 - H130*Pram!$B$5 +Pram!$B$6)+Pram!$B$7,1/(F130+G130+Pram!$B$2))</f>
        <v>7.5075075075075083E-3</v>
      </c>
      <c r="M130">
        <f>(B130-J130-Pram!$I$2) * 2/120</f>
        <v>0.55347222222222225</v>
      </c>
      <c r="N130">
        <f>(1-L130-L130*Pram!$B$2)/L130</f>
        <v>146</v>
      </c>
      <c r="O130">
        <f>(M130-Pram!$B$17)/Pram!$B$16</f>
        <v>6.7440992778378993E-3</v>
      </c>
      <c r="P130">
        <f t="shared" si="3"/>
        <v>147.27776976625282</v>
      </c>
    </row>
    <row r="131" spans="1:16" hidden="1" x14ac:dyDescent="0.55000000000000004">
      <c r="A131" t="s">
        <v>146</v>
      </c>
      <c r="B131">
        <v>49</v>
      </c>
      <c r="C131">
        <v>627</v>
      </c>
      <c r="D131">
        <v>676</v>
      </c>
      <c r="E131">
        <v>13.15305</v>
      </c>
      <c r="F131">
        <v>132</v>
      </c>
      <c r="G131">
        <v>15</v>
      </c>
      <c r="H131">
        <v>0</v>
      </c>
      <c r="I131">
        <f>D131-Pram!$G$2</f>
        <v>46</v>
      </c>
      <c r="J131">
        <f>I131/Pram!$H$2</f>
        <v>3.8333333333333335</v>
      </c>
      <c r="K131">
        <f t="shared" ref="K131:K146" si="4">1/(F131+G131)</f>
        <v>6.8027210884353739E-3</v>
      </c>
      <c r="L131">
        <f>IF(G131=0,1/(F131 - H131*Pram!$B$5 +Pram!$B$6)+Pram!$B$7,1/(F131+G131+Pram!$B$2))</f>
        <v>7.5075075075075083E-3</v>
      </c>
      <c r="M131">
        <f>(B131-J131-Pram!$I$2) * 2/120</f>
        <v>0.5527777777777777</v>
      </c>
      <c r="N131">
        <f>(1-L131-L131*Pram!$B$2)/L131</f>
        <v>146</v>
      </c>
      <c r="O131">
        <f>(M131-Pram!$B$17)/Pram!$B$16</f>
        <v>6.733047580650864E-3</v>
      </c>
      <c r="P131">
        <f t="shared" ref="P131:P145" si="5">(1-O131)/O131</f>
        <v>147.52115450271822</v>
      </c>
    </row>
    <row r="132" spans="1:16" hidden="1" x14ac:dyDescent="0.55000000000000004">
      <c r="A132" t="s">
        <v>147</v>
      </c>
      <c r="B132">
        <v>46</v>
      </c>
      <c r="C132">
        <v>635.5</v>
      </c>
      <c r="D132">
        <v>632</v>
      </c>
      <c r="E132">
        <v>14.53454</v>
      </c>
      <c r="F132">
        <v>130</v>
      </c>
      <c r="G132">
        <v>15</v>
      </c>
      <c r="H132">
        <v>0</v>
      </c>
      <c r="I132">
        <f>D132-Pram!$G$2</f>
        <v>2</v>
      </c>
      <c r="J132">
        <f>I132/Pram!$H$2</f>
        <v>0.16666666666666666</v>
      </c>
      <c r="K132">
        <f t="shared" si="4"/>
        <v>6.8965517241379309E-3</v>
      </c>
      <c r="L132">
        <f>IF(G132=0,1/(F132 - H132*Pram!$B$5 +Pram!$B$6)+Pram!$B$7,1/(F132+G132+Pram!$B$2))</f>
        <v>7.6219512195121958E-3</v>
      </c>
      <c r="M132">
        <f>(B132-J132-Pram!$I$2) * 2/120</f>
        <v>0.56388888888888888</v>
      </c>
      <c r="N132">
        <f>(1-L132-L132*Pram!$B$2)/L132</f>
        <v>144</v>
      </c>
      <c r="O132">
        <f>(M132-Pram!$B$17)/Pram!$B$16</f>
        <v>6.9098747356434028E-3</v>
      </c>
      <c r="P132">
        <f t="shared" si="5"/>
        <v>143.72042377869334</v>
      </c>
    </row>
    <row r="133" spans="1:16" hidden="1" x14ac:dyDescent="0.55000000000000004">
      <c r="A133" t="s">
        <v>148</v>
      </c>
      <c r="B133">
        <v>49</v>
      </c>
      <c r="C133">
        <v>612.5</v>
      </c>
      <c r="D133">
        <v>677</v>
      </c>
      <c r="E133">
        <v>16.530370000000001</v>
      </c>
      <c r="F133">
        <v>132</v>
      </c>
      <c r="G133">
        <v>15</v>
      </c>
      <c r="H133">
        <v>0</v>
      </c>
      <c r="I133">
        <f>D133-Pram!$G$2</f>
        <v>47</v>
      </c>
      <c r="J133">
        <f>I133/Pram!$H$2</f>
        <v>3.9166666666666665</v>
      </c>
      <c r="K133">
        <f t="shared" si="4"/>
        <v>6.8027210884353739E-3</v>
      </c>
      <c r="L133">
        <f>IF(G133=0,1/(F133 - H133*Pram!$B$5 +Pram!$B$6)+Pram!$B$7,1/(F133+G133+Pram!$B$2))</f>
        <v>7.5075075075075083E-3</v>
      </c>
      <c r="M133">
        <f>(B133-J133-Pram!$I$2) * 2/120</f>
        <v>0.55138888888888893</v>
      </c>
      <c r="N133">
        <f>(1-L133-L133*Pram!$B$2)/L133</f>
        <v>146</v>
      </c>
      <c r="O133">
        <f>(M133-Pram!$B$17)/Pram!$B$16</f>
        <v>6.7109441862767986E-3</v>
      </c>
      <c r="P133">
        <f t="shared" si="5"/>
        <v>148.01032883642495</v>
      </c>
    </row>
    <row r="134" spans="1:16" hidden="1" x14ac:dyDescent="0.55000000000000004">
      <c r="A134" t="s">
        <v>149</v>
      </c>
      <c r="B134">
        <v>46</v>
      </c>
      <c r="C134">
        <v>650</v>
      </c>
      <c r="D134">
        <v>636</v>
      </c>
      <c r="E134">
        <v>11.04546</v>
      </c>
      <c r="F134">
        <v>132</v>
      </c>
      <c r="G134">
        <v>15</v>
      </c>
      <c r="H134">
        <v>0</v>
      </c>
      <c r="I134">
        <f>D134-Pram!$G$2</f>
        <v>6</v>
      </c>
      <c r="J134">
        <f>I134/Pram!$H$2</f>
        <v>0.5</v>
      </c>
      <c r="K134">
        <f t="shared" si="4"/>
        <v>6.8027210884353739E-3</v>
      </c>
      <c r="L134">
        <f>IF(G134=0,1/(F134 - H134*Pram!$B$5 +Pram!$B$6)+Pram!$B$7,1/(F134+G134+Pram!$B$2))</f>
        <v>7.5075075075075083E-3</v>
      </c>
      <c r="M134">
        <f>(B134-J134-Pram!$I$2) * 2/120</f>
        <v>0.55833333333333335</v>
      </c>
      <c r="N134">
        <f>(1-L134-L134*Pram!$B$2)/L134</f>
        <v>146</v>
      </c>
      <c r="O134">
        <f>(M134-Pram!$B$17)/Pram!$B$16</f>
        <v>6.8214611581471343E-3</v>
      </c>
      <c r="P134">
        <f t="shared" si="5"/>
        <v>145.59615833268529</v>
      </c>
    </row>
    <row r="135" spans="1:16" hidden="1" x14ac:dyDescent="0.55000000000000004">
      <c r="A135" t="s">
        <v>150</v>
      </c>
      <c r="B135">
        <v>47</v>
      </c>
      <c r="C135">
        <v>642</v>
      </c>
      <c r="D135">
        <v>636</v>
      </c>
      <c r="E135">
        <v>15.0334</v>
      </c>
      <c r="F135">
        <v>126</v>
      </c>
      <c r="G135">
        <v>15</v>
      </c>
      <c r="H135">
        <v>0</v>
      </c>
      <c r="I135">
        <f>D135-Pram!$G$2</f>
        <v>6</v>
      </c>
      <c r="J135">
        <f>I135/Pram!$H$2</f>
        <v>0.5</v>
      </c>
      <c r="K135">
        <f t="shared" si="4"/>
        <v>7.0921985815602835E-3</v>
      </c>
      <c r="L135">
        <f>IF(G135=0,1/(F135 - H135*Pram!$B$5 +Pram!$B$6)+Pram!$B$7,1/(F135+G135+Pram!$B$2))</f>
        <v>7.8616352201257862E-3</v>
      </c>
      <c r="M135">
        <f>(B135-J135-Pram!$I$2) * 2/120</f>
        <v>0.57499999999999996</v>
      </c>
      <c r="N135">
        <f>(1-L135-L135*Pram!$B$2)/L135</f>
        <v>140</v>
      </c>
      <c r="O135">
        <f>(M135-Pram!$B$17)/Pram!$B$16</f>
        <v>7.0867018906359399E-3</v>
      </c>
      <c r="P135">
        <f t="shared" si="5"/>
        <v>140.10936447338875</v>
      </c>
    </row>
    <row r="136" spans="1:16" hidden="1" x14ac:dyDescent="0.55000000000000004">
      <c r="A136" t="s">
        <v>151</v>
      </c>
      <c r="B136">
        <v>47</v>
      </c>
      <c r="C136">
        <v>628.60528999999997</v>
      </c>
      <c r="D136">
        <v>636.5</v>
      </c>
      <c r="E136">
        <v>9.7217599999999997</v>
      </c>
      <c r="F136">
        <v>126</v>
      </c>
      <c r="G136">
        <v>15</v>
      </c>
      <c r="H136">
        <v>0</v>
      </c>
      <c r="I136">
        <f>D136-Pram!$G$2</f>
        <v>6.5</v>
      </c>
      <c r="J136">
        <f>I136/Pram!$H$2</f>
        <v>0.54166666666666663</v>
      </c>
      <c r="K136">
        <f t="shared" si="4"/>
        <v>7.0921985815602835E-3</v>
      </c>
      <c r="L136">
        <f>IF(G136=0,1/(F136 - H136*Pram!$B$5 +Pram!$B$6)+Pram!$B$7,1/(F136+G136+Pram!$B$2))</f>
        <v>7.8616352201257862E-3</v>
      </c>
      <c r="M136">
        <f>(B136-J136-Pram!$I$2) * 2/120</f>
        <v>0.57430555555555562</v>
      </c>
      <c r="N136">
        <f>(1-L136-L136*Pram!$B$2)/L136</f>
        <v>140</v>
      </c>
      <c r="O136">
        <f>(M136-Pram!$B$17)/Pram!$B$16</f>
        <v>7.0756501934489081E-3</v>
      </c>
      <c r="P136">
        <f t="shared" si="5"/>
        <v>140.3297679591148</v>
      </c>
    </row>
    <row r="137" spans="1:16" hidden="1" x14ac:dyDescent="0.55000000000000004">
      <c r="A137" t="s">
        <v>152</v>
      </c>
      <c r="B137">
        <v>46</v>
      </c>
      <c r="C137">
        <v>641.5</v>
      </c>
      <c r="D137">
        <v>631</v>
      </c>
      <c r="E137">
        <v>10.688879999999999</v>
      </c>
      <c r="F137">
        <v>129</v>
      </c>
      <c r="G137">
        <v>15</v>
      </c>
      <c r="H137">
        <v>0</v>
      </c>
      <c r="I137">
        <f>D137-Pram!$G$2</f>
        <v>1</v>
      </c>
      <c r="J137">
        <f>I137/Pram!$H$2</f>
        <v>8.3333333333333329E-2</v>
      </c>
      <c r="K137">
        <f t="shared" si="4"/>
        <v>6.9444444444444441E-3</v>
      </c>
      <c r="L137">
        <f>IF(G137=0,1/(F137 - H137*Pram!$B$5 +Pram!$B$6)+Pram!$B$7,1/(F137+G137+Pram!$B$2))</f>
        <v>7.6804915514592943E-3</v>
      </c>
      <c r="M137">
        <f>(B137-J137-Pram!$I$2) * 2/120</f>
        <v>0.56527777777777777</v>
      </c>
      <c r="N137">
        <f>(1-L137-L137*Pram!$B$2)/L137</f>
        <v>142.99999999999997</v>
      </c>
      <c r="O137">
        <f>(M137-Pram!$B$17)/Pram!$B$16</f>
        <v>6.93197813001747E-3</v>
      </c>
      <c r="P137">
        <f t="shared" si="5"/>
        <v>143.25896637926638</v>
      </c>
    </row>
    <row r="138" spans="1:16" hidden="1" x14ac:dyDescent="0.55000000000000004">
      <c r="A138" t="s">
        <v>153</v>
      </c>
      <c r="B138">
        <v>47</v>
      </c>
      <c r="C138">
        <v>655</v>
      </c>
      <c r="D138">
        <v>641</v>
      </c>
      <c r="E138">
        <v>15.0334</v>
      </c>
      <c r="F138">
        <v>128</v>
      </c>
      <c r="G138">
        <v>15</v>
      </c>
      <c r="H138">
        <v>0</v>
      </c>
      <c r="I138">
        <f>D138-Pram!$G$2</f>
        <v>11</v>
      </c>
      <c r="J138">
        <f>I138/Pram!$H$2</f>
        <v>0.91666666666666663</v>
      </c>
      <c r="K138">
        <f t="shared" si="4"/>
        <v>6.993006993006993E-3</v>
      </c>
      <c r="L138">
        <f>IF(G138=0,1/(F138 - H138*Pram!$B$5 +Pram!$B$6)+Pram!$B$7,1/(F138+G138+Pram!$B$2))</f>
        <v>7.7399380804953569E-3</v>
      </c>
      <c r="M138">
        <f>(B138-J138-Pram!$I$2) * 2/120</f>
        <v>0.56805555555555565</v>
      </c>
      <c r="N138">
        <f>(1-L138-L138*Pram!$B$2)/L138</f>
        <v>142</v>
      </c>
      <c r="O138">
        <f>(M138-Pram!$B$17)/Pram!$B$16</f>
        <v>6.976184918765606E-3</v>
      </c>
      <c r="P138">
        <f t="shared" si="5"/>
        <v>142.34482409003343</v>
      </c>
    </row>
    <row r="139" spans="1:16" hidden="1" x14ac:dyDescent="0.55000000000000004">
      <c r="A139" t="s">
        <v>154</v>
      </c>
      <c r="B139">
        <v>46</v>
      </c>
      <c r="C139">
        <v>651.5</v>
      </c>
      <c r="D139">
        <v>632</v>
      </c>
      <c r="E139">
        <v>14.53454</v>
      </c>
      <c r="F139">
        <v>130</v>
      </c>
      <c r="G139">
        <v>15</v>
      </c>
      <c r="H139">
        <v>0</v>
      </c>
      <c r="I139">
        <f>D139-Pram!$G$2</f>
        <v>2</v>
      </c>
      <c r="J139">
        <f>I139/Pram!$H$2</f>
        <v>0.16666666666666666</v>
      </c>
      <c r="K139">
        <f t="shared" si="4"/>
        <v>6.8965517241379309E-3</v>
      </c>
      <c r="L139">
        <f>IF(G139=0,1/(F139 - H139*Pram!$B$5 +Pram!$B$6)+Pram!$B$7,1/(F139+G139+Pram!$B$2))</f>
        <v>7.6219512195121958E-3</v>
      </c>
      <c r="M139">
        <f>(B139-J139-Pram!$I$2) * 2/120</f>
        <v>0.56388888888888888</v>
      </c>
      <c r="N139">
        <f>(1-L139-L139*Pram!$B$2)/L139</f>
        <v>144</v>
      </c>
      <c r="O139">
        <f>(M139-Pram!$B$17)/Pram!$B$16</f>
        <v>6.9098747356434028E-3</v>
      </c>
      <c r="P139">
        <f t="shared" si="5"/>
        <v>143.72042377869334</v>
      </c>
    </row>
    <row r="140" spans="1:16" hidden="1" x14ac:dyDescent="0.55000000000000004">
      <c r="A140" t="s">
        <v>155</v>
      </c>
      <c r="B140">
        <v>47</v>
      </c>
      <c r="C140">
        <v>642</v>
      </c>
      <c r="D140">
        <v>642</v>
      </c>
      <c r="E140">
        <v>5.0991200000000001</v>
      </c>
      <c r="F140">
        <v>130</v>
      </c>
      <c r="G140">
        <v>15</v>
      </c>
      <c r="H140">
        <v>0</v>
      </c>
      <c r="I140">
        <f>D140-Pram!$G$2</f>
        <v>12</v>
      </c>
      <c r="J140">
        <f>I140/Pram!$H$2</f>
        <v>1</v>
      </c>
      <c r="K140">
        <f t="shared" si="4"/>
        <v>6.8965517241379309E-3</v>
      </c>
      <c r="L140">
        <f>IF(G140=0,1/(F140 - H140*Pram!$B$5 +Pram!$B$6)+Pram!$B$7,1/(F140+G140+Pram!$B$2))</f>
        <v>7.6219512195121958E-3</v>
      </c>
      <c r="M140">
        <f>(B140-J140-Pram!$I$2) * 2/120</f>
        <v>0.56666666666666665</v>
      </c>
      <c r="N140">
        <f>(1-L140-L140*Pram!$B$2)/L140</f>
        <v>144</v>
      </c>
      <c r="O140">
        <f>(M140-Pram!$B$17)/Pram!$B$16</f>
        <v>6.9540815243915371E-3</v>
      </c>
      <c r="P140">
        <f t="shared" si="5"/>
        <v>142.80044244412235</v>
      </c>
    </row>
    <row r="141" spans="1:16" hidden="1" x14ac:dyDescent="0.55000000000000004">
      <c r="A141" t="s">
        <v>156</v>
      </c>
      <c r="B141">
        <v>47</v>
      </c>
      <c r="C141">
        <v>623.5</v>
      </c>
      <c r="D141">
        <v>642.5</v>
      </c>
      <c r="E141">
        <v>14.57748</v>
      </c>
      <c r="F141">
        <v>129</v>
      </c>
      <c r="G141">
        <v>15</v>
      </c>
      <c r="H141">
        <v>0</v>
      </c>
      <c r="I141">
        <f>D141-Pram!$G$2</f>
        <v>12.5</v>
      </c>
      <c r="J141">
        <f>I141/Pram!$H$2</f>
        <v>1.0416666666666667</v>
      </c>
      <c r="K141">
        <f t="shared" si="4"/>
        <v>6.9444444444444441E-3</v>
      </c>
      <c r="L141">
        <f>IF(G141=0,1/(F141 - H141*Pram!$B$5 +Pram!$B$6)+Pram!$B$7,1/(F141+G141+Pram!$B$2))</f>
        <v>7.6804915514592943E-3</v>
      </c>
      <c r="M141">
        <f>(B141-J141-Pram!$I$2) * 2/120</f>
        <v>0.56597222222222221</v>
      </c>
      <c r="N141">
        <f>(1-L141-L141*Pram!$B$2)/L141</f>
        <v>142.99999999999997</v>
      </c>
      <c r="O141">
        <f>(M141-Pram!$B$17)/Pram!$B$16</f>
        <v>6.9430298272045035E-3</v>
      </c>
      <c r="P141">
        <f t="shared" si="5"/>
        <v>143.02933947968268</v>
      </c>
    </row>
    <row r="142" spans="1:16" hidden="1" x14ac:dyDescent="0.55000000000000004">
      <c r="A142" t="s">
        <v>157</v>
      </c>
      <c r="B142">
        <v>47</v>
      </c>
      <c r="C142">
        <v>623</v>
      </c>
      <c r="D142">
        <v>635</v>
      </c>
      <c r="E142">
        <v>8.06236</v>
      </c>
      <c r="F142">
        <v>126</v>
      </c>
      <c r="G142">
        <v>15</v>
      </c>
      <c r="H142">
        <v>0</v>
      </c>
      <c r="I142">
        <f>D142-Pram!$G$2</f>
        <v>5</v>
      </c>
      <c r="J142">
        <f>I142/Pram!$H$2</f>
        <v>0.41666666666666669</v>
      </c>
      <c r="K142">
        <f t="shared" si="4"/>
        <v>7.0921985815602835E-3</v>
      </c>
      <c r="L142">
        <f>IF(G142=0,1/(F142 - H142*Pram!$B$5 +Pram!$B$6)+Pram!$B$7,1/(F142+G142+Pram!$B$2))</f>
        <v>7.8616352201257862E-3</v>
      </c>
      <c r="M142">
        <f>(B142-J142-Pram!$I$2) * 2/120</f>
        <v>0.57638888888888895</v>
      </c>
      <c r="N142">
        <f>(1-L142-L142*Pram!$B$2)/L142</f>
        <v>140</v>
      </c>
      <c r="O142">
        <f>(M142-Pram!$B$17)/Pram!$B$16</f>
        <v>7.1088052850100088E-3</v>
      </c>
      <c r="P142">
        <f t="shared" si="5"/>
        <v>139.67061340231828</v>
      </c>
    </row>
    <row r="143" spans="1:16" hidden="1" x14ac:dyDescent="0.55000000000000004">
      <c r="A143" t="s">
        <v>158</v>
      </c>
      <c r="B143">
        <v>47</v>
      </c>
      <c r="C143">
        <v>646.5</v>
      </c>
      <c r="D143">
        <v>636</v>
      </c>
      <c r="E143">
        <v>14.53454</v>
      </c>
      <c r="F143">
        <v>126</v>
      </c>
      <c r="G143">
        <v>15</v>
      </c>
      <c r="H143">
        <v>0</v>
      </c>
      <c r="I143">
        <f>D143-Pram!$G$2</f>
        <v>6</v>
      </c>
      <c r="J143">
        <f>I143/Pram!$H$2</f>
        <v>0.5</v>
      </c>
      <c r="K143">
        <f t="shared" si="4"/>
        <v>7.0921985815602835E-3</v>
      </c>
      <c r="L143">
        <f>IF(G143=0,1/(F143 - H143*Pram!$B$5 +Pram!$B$6)+Pram!$B$7,1/(F143+G143+Pram!$B$2))</f>
        <v>7.8616352201257862E-3</v>
      </c>
      <c r="M143">
        <f>(B143-J143-Pram!$I$2) * 2/120</f>
        <v>0.57499999999999996</v>
      </c>
      <c r="N143">
        <f>(1-L143-L143*Pram!$B$2)/L143</f>
        <v>140</v>
      </c>
      <c r="O143">
        <f>(M143-Pram!$B$17)/Pram!$B$16</f>
        <v>7.0867018906359399E-3</v>
      </c>
      <c r="P143">
        <f t="shared" si="5"/>
        <v>140.10936447338875</v>
      </c>
    </row>
    <row r="144" spans="1:16" hidden="1" x14ac:dyDescent="0.55000000000000004">
      <c r="A144" t="s">
        <v>159</v>
      </c>
      <c r="B144">
        <v>47</v>
      </c>
      <c r="C144">
        <v>621</v>
      </c>
      <c r="D144">
        <v>642</v>
      </c>
      <c r="E144">
        <v>15.0334</v>
      </c>
      <c r="F144">
        <v>129</v>
      </c>
      <c r="G144">
        <v>15</v>
      </c>
      <c r="H144">
        <v>0</v>
      </c>
      <c r="I144">
        <f>D144-Pram!$G$2</f>
        <v>12</v>
      </c>
      <c r="J144">
        <f>I144/Pram!$H$2</f>
        <v>1</v>
      </c>
      <c r="K144">
        <f t="shared" si="4"/>
        <v>6.9444444444444441E-3</v>
      </c>
      <c r="L144">
        <f>IF(G144=0,1/(F144 - H144*Pram!$B$5 +Pram!$B$6)+Pram!$B$7,1/(F144+G144+Pram!$B$2))</f>
        <v>7.6804915514592943E-3</v>
      </c>
      <c r="M144">
        <f>(B144-J144-Pram!$I$2) * 2/120</f>
        <v>0.56666666666666665</v>
      </c>
      <c r="N144">
        <f>(1-L144-L144*Pram!$B$2)/L144</f>
        <v>142.99999999999997</v>
      </c>
      <c r="O144">
        <f>(M144-Pram!$B$17)/Pram!$B$16</f>
        <v>6.9540815243915371E-3</v>
      </c>
      <c r="P144">
        <f t="shared" si="5"/>
        <v>142.80044244412235</v>
      </c>
    </row>
    <row r="145" spans="1:16" hidden="1" x14ac:dyDescent="0.55000000000000004">
      <c r="A145" t="s">
        <v>160</v>
      </c>
      <c r="B145">
        <v>47</v>
      </c>
      <c r="C145">
        <v>630</v>
      </c>
      <c r="D145">
        <v>642</v>
      </c>
      <c r="E145">
        <v>6.0828600000000002</v>
      </c>
      <c r="F145">
        <v>130</v>
      </c>
      <c r="G145">
        <v>15</v>
      </c>
      <c r="H145">
        <v>0</v>
      </c>
      <c r="I145">
        <f>D145-Pram!$G$2</f>
        <v>12</v>
      </c>
      <c r="J145">
        <f>I145/Pram!$H$2</f>
        <v>1</v>
      </c>
      <c r="K145">
        <f t="shared" si="4"/>
        <v>6.8965517241379309E-3</v>
      </c>
      <c r="L145">
        <f>IF(G145=0,1/(F145 - H145*Pram!$B$5 +Pram!$B$6)+Pram!$B$7,1/(F145+G145+Pram!$B$2))</f>
        <v>7.6219512195121958E-3</v>
      </c>
      <c r="M145">
        <f>(B145-J145-Pram!$I$2) * 2/120</f>
        <v>0.56666666666666665</v>
      </c>
      <c r="N145">
        <f>(1-L145-L145*Pram!$B$2)/L145</f>
        <v>144</v>
      </c>
      <c r="O145">
        <f>(M145-Pram!$B$17)/Pram!$B$16</f>
        <v>6.9540815243915371E-3</v>
      </c>
      <c r="P145">
        <f t="shared" si="5"/>
        <v>142.80044244412235</v>
      </c>
    </row>
    <row r="146" spans="1:16" hidden="1" x14ac:dyDescent="0.55000000000000004">
      <c r="A146" t="s">
        <v>161</v>
      </c>
      <c r="B146" t="s">
        <v>38</v>
      </c>
      <c r="C146" t="s">
        <v>38</v>
      </c>
      <c r="D146" t="s">
        <v>38</v>
      </c>
      <c r="E146" t="s">
        <v>38</v>
      </c>
      <c r="F146" t="s">
        <v>187</v>
      </c>
      <c r="G146">
        <v>15</v>
      </c>
      <c r="H146">
        <v>0</v>
      </c>
      <c r="I146" t="e">
        <f>D146-Pram!$G$2</f>
        <v>#VALUE!</v>
      </c>
      <c r="J146" t="e">
        <f>I146/Pram!$H$2</f>
        <v>#VALUE!</v>
      </c>
      <c r="K146" t="e">
        <f t="shared" si="4"/>
        <v>#VALUE!</v>
      </c>
      <c r="L146" t="e">
        <f>IF(G146=0,1/(F146 - H146*Pram!$B$5 +Pram!$B$6)+Pram!$B$7,1/(F146+G146+Pram!$B$2))</f>
        <v>#VALUE!</v>
      </c>
      <c r="M146" t="e">
        <f>(B146-J146-Pram!$I$2) * 2/120</f>
        <v>#VALUE!</v>
      </c>
      <c r="N146" t="e">
        <f>(1-L146-L146*Pram!$B$2)/L146</f>
        <v>#VALUE!</v>
      </c>
    </row>
    <row r="147" spans="1:16" hidden="1" x14ac:dyDescent="0.55000000000000004">
      <c r="A147" t="s">
        <v>162</v>
      </c>
      <c r="B147">
        <v>49</v>
      </c>
      <c r="C147">
        <v>631.5</v>
      </c>
      <c r="D147">
        <v>652</v>
      </c>
      <c r="E147">
        <v>2.6926800000000002</v>
      </c>
      <c r="F147">
        <v>122</v>
      </c>
      <c r="G147">
        <v>15</v>
      </c>
      <c r="H147">
        <v>0</v>
      </c>
      <c r="I147">
        <f>D147-Pram!$G$2</f>
        <v>22</v>
      </c>
      <c r="J147">
        <f>I147/Pram!$H$2</f>
        <v>1.8333333333333333</v>
      </c>
      <c r="K147">
        <f t="shared" ref="K147:K210" si="6">1/(F147+G147)</f>
        <v>7.2992700729927005E-3</v>
      </c>
      <c r="L147">
        <f>IF(G147=0,1/(F147 - H147*Pram!$B$5 +Pram!$B$6)+Pram!$B$7,1/(F147+G147+Pram!$B$2))</f>
        <v>8.1168831168831161E-3</v>
      </c>
      <c r="M147">
        <f>(B147-J147-Pram!$I$2) * 2/120</f>
        <v>0.58611111111111103</v>
      </c>
      <c r="N147">
        <f>(1-L147-L147*Pram!$B$2)/L147</f>
        <v>136.00000000000003</v>
      </c>
      <c r="O147">
        <f>(M147-Pram!$B$17)/Pram!$B$16</f>
        <v>7.263529045628477E-3</v>
      </c>
      <c r="P147">
        <f t="shared" ref="P147:P210" si="7">(1-O147)/O147</f>
        <v>136.67412420575997</v>
      </c>
    </row>
    <row r="148" spans="1:16" hidden="1" x14ac:dyDescent="0.55000000000000004">
      <c r="A148" t="s">
        <v>163</v>
      </c>
      <c r="B148">
        <v>47</v>
      </c>
      <c r="C148">
        <v>674</v>
      </c>
      <c r="D148">
        <v>635.5</v>
      </c>
      <c r="E148">
        <v>3.3542000000000001</v>
      </c>
      <c r="F148">
        <v>126</v>
      </c>
      <c r="G148">
        <v>15</v>
      </c>
      <c r="H148">
        <v>0</v>
      </c>
      <c r="I148">
        <f>D148-Pram!$G$2</f>
        <v>5.5</v>
      </c>
      <c r="J148">
        <f>I148/Pram!$H$2</f>
        <v>0.45833333333333331</v>
      </c>
      <c r="K148">
        <f t="shared" si="6"/>
        <v>7.0921985815602835E-3</v>
      </c>
      <c r="L148">
        <f>IF(G148=0,1/(F148 - H148*Pram!$B$5 +Pram!$B$6)+Pram!$B$7,1/(F148+G148+Pram!$B$2))</f>
        <v>7.8616352201257862E-3</v>
      </c>
      <c r="M148">
        <f>(B148-J148-Pram!$I$2) * 2/120</f>
        <v>0.5756944444444444</v>
      </c>
      <c r="N148">
        <f>(1-L148-L148*Pram!$B$2)/L148</f>
        <v>140</v>
      </c>
      <c r="O148">
        <f>(M148-Pram!$B$17)/Pram!$B$16</f>
        <v>7.0977535878229735E-3</v>
      </c>
      <c r="P148">
        <f t="shared" si="7"/>
        <v>139.88964735484998</v>
      </c>
    </row>
    <row r="149" spans="1:16" hidden="1" x14ac:dyDescent="0.55000000000000004">
      <c r="A149" t="s">
        <v>164</v>
      </c>
      <c r="B149">
        <v>47</v>
      </c>
      <c r="C149">
        <v>619</v>
      </c>
      <c r="D149">
        <v>630.5</v>
      </c>
      <c r="E149">
        <v>8.1395099999999996</v>
      </c>
      <c r="F149">
        <v>124</v>
      </c>
      <c r="G149">
        <v>15</v>
      </c>
      <c r="H149">
        <v>0</v>
      </c>
      <c r="I149">
        <f>D149-Pram!$G$2</f>
        <v>0.5</v>
      </c>
      <c r="J149">
        <f>I149/Pram!$H$2</f>
        <v>4.1666666666666664E-2</v>
      </c>
      <c r="K149">
        <f t="shared" si="6"/>
        <v>7.1942446043165471E-3</v>
      </c>
      <c r="L149">
        <f>IF(G149=0,1/(F149 - H149*Pram!$B$5 +Pram!$B$6)+Pram!$B$7,1/(F149+G149+Pram!$B$2))</f>
        <v>7.9872204472843447E-3</v>
      </c>
      <c r="M149">
        <f>(B149-J149-Pram!$I$2) * 2/120</f>
        <v>0.58263888888888893</v>
      </c>
      <c r="N149">
        <f>(1-L149-L149*Pram!$B$2)/L149</f>
        <v>138</v>
      </c>
      <c r="O149">
        <f>(M149-Pram!$B$17)/Pram!$B$16</f>
        <v>7.2082705596933109E-3</v>
      </c>
      <c r="P149">
        <f t="shared" si="7"/>
        <v>137.72953182303229</v>
      </c>
    </row>
    <row r="150" spans="1:16" hidden="1" x14ac:dyDescent="0.55000000000000004">
      <c r="A150" t="s">
        <v>165</v>
      </c>
      <c r="B150">
        <v>47</v>
      </c>
      <c r="C150">
        <v>631</v>
      </c>
      <c r="D150">
        <v>633.5</v>
      </c>
      <c r="E150">
        <v>14.08023</v>
      </c>
      <c r="F150">
        <v>125</v>
      </c>
      <c r="G150">
        <v>15</v>
      </c>
      <c r="H150">
        <v>0</v>
      </c>
      <c r="I150">
        <f>D150-Pram!$G$2</f>
        <v>3.5</v>
      </c>
      <c r="J150">
        <f>I150/Pram!$H$2</f>
        <v>0.29166666666666669</v>
      </c>
      <c r="K150">
        <f t="shared" si="6"/>
        <v>7.1428571428571426E-3</v>
      </c>
      <c r="L150">
        <f>IF(G150=0,1/(F150 - H150*Pram!$B$5 +Pram!$B$6)+Pram!$B$7,1/(F150+G150+Pram!$B$2))</f>
        <v>7.9239302694136295E-3</v>
      </c>
      <c r="M150">
        <f>(B150-J150-Pram!$I$2) * 2/120</f>
        <v>0.57847222222222228</v>
      </c>
      <c r="N150">
        <f>(1-L150-L150*Pram!$B$2)/L150</f>
        <v>139</v>
      </c>
      <c r="O150">
        <f>(M150-Pram!$B$17)/Pram!$B$16</f>
        <v>7.1419603765711095E-3</v>
      </c>
      <c r="P150">
        <f t="shared" si="7"/>
        <v>139.01757882618006</v>
      </c>
    </row>
    <row r="151" spans="1:16" hidden="1" x14ac:dyDescent="0.55000000000000004">
      <c r="A151" t="s">
        <v>166</v>
      </c>
      <c r="B151">
        <v>47</v>
      </c>
      <c r="C151">
        <v>654</v>
      </c>
      <c r="D151">
        <v>634</v>
      </c>
      <c r="E151">
        <v>14.035769999999999</v>
      </c>
      <c r="F151">
        <v>125</v>
      </c>
      <c r="G151">
        <v>15</v>
      </c>
      <c r="H151">
        <v>0</v>
      </c>
      <c r="I151">
        <f>D151-Pram!$G$2</f>
        <v>4</v>
      </c>
      <c r="J151">
        <f>I151/Pram!$H$2</f>
        <v>0.33333333333333331</v>
      </c>
      <c r="K151">
        <f t="shared" si="6"/>
        <v>7.1428571428571426E-3</v>
      </c>
      <c r="L151">
        <f>IF(G151=0,1/(F151 - H151*Pram!$B$5 +Pram!$B$6)+Pram!$B$7,1/(F151+G151+Pram!$B$2))</f>
        <v>7.9239302694136295E-3</v>
      </c>
      <c r="M151">
        <f>(B151-J151-Pram!$I$2) * 2/120</f>
        <v>0.57777777777777772</v>
      </c>
      <c r="N151">
        <f>(1-L151-L151*Pram!$B$2)/L151</f>
        <v>139</v>
      </c>
      <c r="O151">
        <f>(M151-Pram!$B$17)/Pram!$B$16</f>
        <v>7.1309086793840742E-3</v>
      </c>
      <c r="P151">
        <f t="shared" si="7"/>
        <v>139.23458228978106</v>
      </c>
    </row>
    <row r="152" spans="1:16" hidden="1" x14ac:dyDescent="0.55000000000000004">
      <c r="A152" t="s">
        <v>167</v>
      </c>
      <c r="B152">
        <v>47</v>
      </c>
      <c r="C152">
        <v>645.5</v>
      </c>
      <c r="D152">
        <v>630</v>
      </c>
      <c r="E152">
        <v>14.53454</v>
      </c>
      <c r="F152">
        <v>123</v>
      </c>
      <c r="G152">
        <v>15</v>
      </c>
      <c r="H152">
        <v>0</v>
      </c>
      <c r="I152">
        <f>D152-Pram!$G$2</f>
        <v>0</v>
      </c>
      <c r="J152">
        <f>I152/Pram!$H$2</f>
        <v>0</v>
      </c>
      <c r="K152">
        <f t="shared" si="6"/>
        <v>7.246376811594203E-3</v>
      </c>
      <c r="L152">
        <f>IF(G152=0,1/(F152 - H152*Pram!$B$5 +Pram!$B$6)+Pram!$B$7,1/(F152+G152+Pram!$B$2))</f>
        <v>8.0515297906602248E-3</v>
      </c>
      <c r="M152">
        <f>(B152-J152-Pram!$I$2) * 2/120</f>
        <v>0.58333333333333337</v>
      </c>
      <c r="N152">
        <f>(1-L152-L152*Pram!$B$2)/L152</f>
        <v>137</v>
      </c>
      <c r="O152">
        <f>(M152-Pram!$B$17)/Pram!$B$16</f>
        <v>7.2193222568803445E-3</v>
      </c>
      <c r="P152">
        <f t="shared" si="7"/>
        <v>137.51715776324491</v>
      </c>
    </row>
    <row r="153" spans="1:16" hidden="1" x14ac:dyDescent="0.55000000000000004">
      <c r="A153" t="s">
        <v>168</v>
      </c>
      <c r="B153">
        <v>47</v>
      </c>
      <c r="C153">
        <v>626</v>
      </c>
      <c r="D153">
        <v>634</v>
      </c>
      <c r="E153">
        <v>14.035769999999999</v>
      </c>
      <c r="F153">
        <v>125</v>
      </c>
      <c r="G153">
        <v>15</v>
      </c>
      <c r="H153">
        <v>0</v>
      </c>
      <c r="I153">
        <f>D153-Pram!$G$2</f>
        <v>4</v>
      </c>
      <c r="J153">
        <f>I153/Pram!$H$2</f>
        <v>0.33333333333333331</v>
      </c>
      <c r="K153">
        <f t="shared" si="6"/>
        <v>7.1428571428571426E-3</v>
      </c>
      <c r="L153">
        <f>IF(G153=0,1/(F153 - H153*Pram!$B$5 +Pram!$B$6)+Pram!$B$7,1/(F153+G153+Pram!$B$2))</f>
        <v>7.9239302694136295E-3</v>
      </c>
      <c r="M153">
        <f>(B153-J153-Pram!$I$2) * 2/120</f>
        <v>0.57777777777777772</v>
      </c>
      <c r="N153">
        <f>(1-L153-L153*Pram!$B$2)/L153</f>
        <v>139</v>
      </c>
      <c r="O153">
        <f>(M153-Pram!$B$17)/Pram!$B$16</f>
        <v>7.1309086793840742E-3</v>
      </c>
      <c r="P153">
        <f t="shared" si="7"/>
        <v>139.23458228978106</v>
      </c>
    </row>
    <row r="154" spans="1:16" hidden="1" x14ac:dyDescent="0.55000000000000004">
      <c r="A154" t="s">
        <v>169</v>
      </c>
      <c r="B154">
        <v>47</v>
      </c>
      <c r="C154">
        <v>657</v>
      </c>
      <c r="D154">
        <v>634</v>
      </c>
      <c r="E154">
        <v>5.0991200000000001</v>
      </c>
      <c r="F154">
        <v>126</v>
      </c>
      <c r="G154">
        <v>15</v>
      </c>
      <c r="H154">
        <v>0</v>
      </c>
      <c r="I154">
        <f>D154-Pram!$G$2</f>
        <v>4</v>
      </c>
      <c r="J154">
        <f>I154/Pram!$H$2</f>
        <v>0.33333333333333331</v>
      </c>
      <c r="K154">
        <f t="shared" si="6"/>
        <v>7.0921985815602835E-3</v>
      </c>
      <c r="L154">
        <f>IF(G154=0,1/(F154 - H154*Pram!$B$5 +Pram!$B$6)+Pram!$B$7,1/(F154+G154+Pram!$B$2))</f>
        <v>7.8616352201257862E-3</v>
      </c>
      <c r="M154">
        <f>(B154-J154-Pram!$I$2) * 2/120</f>
        <v>0.57777777777777772</v>
      </c>
      <c r="N154">
        <f>(1-L154-L154*Pram!$B$2)/L154</f>
        <v>140</v>
      </c>
      <c r="O154">
        <f>(M154-Pram!$B$17)/Pram!$B$16</f>
        <v>7.1309086793840742E-3</v>
      </c>
      <c r="P154">
        <f t="shared" si="7"/>
        <v>139.23458228978106</v>
      </c>
    </row>
    <row r="155" spans="1:16" hidden="1" x14ac:dyDescent="0.55000000000000004">
      <c r="A155" t="s">
        <v>170</v>
      </c>
      <c r="B155">
        <v>50</v>
      </c>
      <c r="C155">
        <v>623</v>
      </c>
      <c r="D155">
        <v>672.5</v>
      </c>
      <c r="E155">
        <v>16.070260000000001</v>
      </c>
      <c r="F155">
        <v>125</v>
      </c>
      <c r="G155">
        <v>15</v>
      </c>
      <c r="H155">
        <v>0</v>
      </c>
      <c r="I155">
        <f>D155-Pram!$G$2</f>
        <v>42.5</v>
      </c>
      <c r="J155">
        <f>I155/Pram!$H$2</f>
        <v>3.5416666666666665</v>
      </c>
      <c r="K155">
        <f t="shared" si="6"/>
        <v>7.1428571428571426E-3</v>
      </c>
      <c r="L155">
        <f>IF(G155=0,1/(F155 - H155*Pram!$B$5 +Pram!$B$6)+Pram!$B$7,1/(F155+G155+Pram!$B$2))</f>
        <v>7.9239302694136295E-3</v>
      </c>
      <c r="M155">
        <f>(B155-J155-Pram!$I$2) * 2/120</f>
        <v>0.57430555555555562</v>
      </c>
      <c r="N155">
        <f>(1-L155-L155*Pram!$B$2)/L155</f>
        <v>139</v>
      </c>
      <c r="O155">
        <f>(M155-Pram!$B$17)/Pram!$B$16</f>
        <v>7.0756501934489081E-3</v>
      </c>
      <c r="P155">
        <f t="shared" si="7"/>
        <v>140.3297679591148</v>
      </c>
    </row>
    <row r="156" spans="1:16" hidden="1" x14ac:dyDescent="0.55000000000000004">
      <c r="A156" t="s">
        <v>171</v>
      </c>
      <c r="B156">
        <v>48</v>
      </c>
      <c r="C156">
        <v>666.5</v>
      </c>
      <c r="D156">
        <v>647.5</v>
      </c>
      <c r="E156">
        <v>2.9155799999999998</v>
      </c>
      <c r="F156">
        <v>126</v>
      </c>
      <c r="G156">
        <v>15</v>
      </c>
      <c r="H156">
        <v>0</v>
      </c>
      <c r="I156">
        <f>D156-Pram!$G$2</f>
        <v>17.5</v>
      </c>
      <c r="J156">
        <f>I156/Pram!$H$2</f>
        <v>1.4583333333333333</v>
      </c>
      <c r="K156">
        <f t="shared" si="6"/>
        <v>7.0921985815602835E-3</v>
      </c>
      <c r="L156">
        <f>IF(G156=0,1/(F156 - H156*Pram!$B$5 +Pram!$B$6)+Pram!$B$7,1/(F156+G156+Pram!$B$2))</f>
        <v>7.8616352201257862E-3</v>
      </c>
      <c r="M156">
        <f>(B156-J156-Pram!$I$2) * 2/120</f>
        <v>0.5756944444444444</v>
      </c>
      <c r="N156">
        <f>(1-L156-L156*Pram!$B$2)/L156</f>
        <v>140</v>
      </c>
      <c r="O156">
        <f>(M156-Pram!$B$17)/Pram!$B$16</f>
        <v>7.0977535878229735E-3</v>
      </c>
      <c r="P156">
        <f t="shared" si="7"/>
        <v>139.88964735484998</v>
      </c>
    </row>
    <row r="157" spans="1:16" hidden="1" x14ac:dyDescent="0.55000000000000004">
      <c r="A157" t="s">
        <v>172</v>
      </c>
      <c r="B157">
        <v>48</v>
      </c>
      <c r="C157">
        <v>647.5</v>
      </c>
      <c r="D157">
        <v>642.5</v>
      </c>
      <c r="E157">
        <v>6.6709300000000002</v>
      </c>
      <c r="F157">
        <v>124</v>
      </c>
      <c r="G157">
        <v>15</v>
      </c>
      <c r="H157">
        <v>0</v>
      </c>
      <c r="I157">
        <f>D157-Pram!$G$2</f>
        <v>12.5</v>
      </c>
      <c r="J157">
        <f>I157/Pram!$H$2</f>
        <v>1.0416666666666667</v>
      </c>
      <c r="K157">
        <f t="shared" si="6"/>
        <v>7.1942446043165471E-3</v>
      </c>
      <c r="L157">
        <f>IF(G157=0,1/(F157 - H157*Pram!$B$5 +Pram!$B$6)+Pram!$B$7,1/(F157+G157+Pram!$B$2))</f>
        <v>7.9872204472843447E-3</v>
      </c>
      <c r="M157">
        <f>(B157-J157-Pram!$I$2) * 2/120</f>
        <v>0.58263888888888893</v>
      </c>
      <c r="N157">
        <f>(1-L157-L157*Pram!$B$2)/L157</f>
        <v>138</v>
      </c>
      <c r="O157">
        <f>(M157-Pram!$B$17)/Pram!$B$16</f>
        <v>7.2082705596933109E-3</v>
      </c>
      <c r="P157">
        <f t="shared" si="7"/>
        <v>137.72953182303229</v>
      </c>
    </row>
    <row r="158" spans="1:16" hidden="1" x14ac:dyDescent="0.55000000000000004">
      <c r="A158" t="s">
        <v>173</v>
      </c>
      <c r="B158">
        <v>48</v>
      </c>
      <c r="C158">
        <v>651.5</v>
      </c>
      <c r="D158">
        <v>641.5</v>
      </c>
      <c r="E158">
        <v>2.9155799999999998</v>
      </c>
      <c r="F158">
        <v>123</v>
      </c>
      <c r="G158">
        <v>15</v>
      </c>
      <c r="H158">
        <v>0</v>
      </c>
      <c r="I158">
        <f>D158-Pram!$G$2</f>
        <v>11.5</v>
      </c>
      <c r="J158">
        <f>I158/Pram!$H$2</f>
        <v>0.95833333333333337</v>
      </c>
      <c r="K158">
        <f t="shared" si="6"/>
        <v>7.246376811594203E-3</v>
      </c>
      <c r="L158">
        <f>IF(G158=0,1/(F158 - H158*Pram!$B$5 +Pram!$B$6)+Pram!$B$7,1/(F158+G158+Pram!$B$2))</f>
        <v>8.0515297906602248E-3</v>
      </c>
      <c r="M158">
        <f>(B158-J158-Pram!$I$2) * 2/120</f>
        <v>0.5840277777777777</v>
      </c>
      <c r="N158">
        <f>(1-L158-L158*Pram!$B$2)/L158</f>
        <v>137</v>
      </c>
      <c r="O158">
        <f>(M158-Pram!$B$17)/Pram!$B$16</f>
        <v>7.2303739540673763E-3</v>
      </c>
      <c r="P158">
        <f t="shared" si="7"/>
        <v>137.30543293510564</v>
      </c>
    </row>
    <row r="159" spans="1:16" hidden="1" x14ac:dyDescent="0.55000000000000004">
      <c r="A159" t="s">
        <v>174</v>
      </c>
      <c r="B159">
        <v>48</v>
      </c>
      <c r="C159">
        <v>647</v>
      </c>
      <c r="D159">
        <v>633.5</v>
      </c>
      <c r="E159">
        <v>14.08023</v>
      </c>
      <c r="F159">
        <v>119</v>
      </c>
      <c r="G159">
        <v>15</v>
      </c>
      <c r="H159">
        <v>0</v>
      </c>
      <c r="I159">
        <f>D159-Pram!$G$2</f>
        <v>3.5</v>
      </c>
      <c r="J159">
        <f>I159/Pram!$H$2</f>
        <v>0.29166666666666669</v>
      </c>
      <c r="K159">
        <f t="shared" si="6"/>
        <v>7.462686567164179E-3</v>
      </c>
      <c r="L159">
        <f>IF(G159=0,1/(F159 - H159*Pram!$B$5 +Pram!$B$6)+Pram!$B$7,1/(F159+G159+Pram!$B$2))</f>
        <v>8.3194675540765387E-3</v>
      </c>
      <c r="M159">
        <f>(B159-J159-Pram!$I$2) * 2/120</f>
        <v>0.59513888888888888</v>
      </c>
      <c r="N159">
        <f>(1-L159-L159*Pram!$B$2)/L159</f>
        <v>133</v>
      </c>
      <c r="O159">
        <f>(M159-Pram!$B$17)/Pram!$B$16</f>
        <v>7.407201109059916E-3</v>
      </c>
      <c r="P159">
        <f t="shared" si="7"/>
        <v>134.00375989209707</v>
      </c>
    </row>
    <row r="160" spans="1:16" hidden="1" x14ac:dyDescent="0.55000000000000004">
      <c r="A160" t="s">
        <v>175</v>
      </c>
      <c r="B160">
        <v>48</v>
      </c>
      <c r="C160">
        <v>629.5</v>
      </c>
      <c r="D160">
        <v>635.5</v>
      </c>
      <c r="E160">
        <v>6.6709300000000002</v>
      </c>
      <c r="F160">
        <v>121</v>
      </c>
      <c r="G160">
        <v>15</v>
      </c>
      <c r="H160">
        <v>0</v>
      </c>
      <c r="I160">
        <f>D160-Pram!$G$2</f>
        <v>5.5</v>
      </c>
      <c r="J160">
        <f>I160/Pram!$H$2</f>
        <v>0.45833333333333331</v>
      </c>
      <c r="K160">
        <f t="shared" si="6"/>
        <v>7.3529411764705881E-3</v>
      </c>
      <c r="L160">
        <f>IF(G160=0,1/(F160 - H160*Pram!$B$5 +Pram!$B$6)+Pram!$B$7,1/(F160+G160+Pram!$B$2))</f>
        <v>8.1833060556464818E-3</v>
      </c>
      <c r="M160">
        <f>(B160-J160-Pram!$I$2) * 2/120</f>
        <v>0.59236111111111112</v>
      </c>
      <c r="N160">
        <f>(1-L160-L160*Pram!$B$2)/L160</f>
        <v>134.99999999999997</v>
      </c>
      <c r="O160">
        <f>(M160-Pram!$B$17)/Pram!$B$16</f>
        <v>7.3629943203117809E-3</v>
      </c>
      <c r="P160">
        <f t="shared" si="7"/>
        <v>134.81431093072686</v>
      </c>
    </row>
    <row r="161" spans="1:16" hidden="1" x14ac:dyDescent="0.55000000000000004">
      <c r="A161" t="s">
        <v>176</v>
      </c>
      <c r="B161">
        <v>48</v>
      </c>
      <c r="C161">
        <v>655</v>
      </c>
      <c r="D161">
        <v>631.5</v>
      </c>
      <c r="E161">
        <v>4.7170899999999998</v>
      </c>
      <c r="F161">
        <v>118</v>
      </c>
      <c r="G161">
        <v>15</v>
      </c>
      <c r="H161">
        <v>0</v>
      </c>
      <c r="I161">
        <f>D161-Pram!$G$2</f>
        <v>1.5</v>
      </c>
      <c r="J161">
        <f>I161/Pram!$H$2</f>
        <v>0.125</v>
      </c>
      <c r="K161">
        <f t="shared" si="6"/>
        <v>7.5187969924812026E-3</v>
      </c>
      <c r="L161">
        <f>IF(G161=0,1/(F161 - H161*Pram!$B$5 +Pram!$B$6)+Pram!$B$7,1/(F161+G161+Pram!$B$2))</f>
        <v>8.389261744966443E-3</v>
      </c>
      <c r="M161">
        <f>(B161-J161-Pram!$I$2) * 2/120</f>
        <v>0.59791666666666665</v>
      </c>
      <c r="N161">
        <f>(1-L161-L161*Pram!$B$2)/L161</f>
        <v>132</v>
      </c>
      <c r="O161">
        <f>(M161-Pram!$B$17)/Pram!$B$16</f>
        <v>7.4514078978080503E-3</v>
      </c>
      <c r="P161">
        <f t="shared" si="7"/>
        <v>133.202826326843</v>
      </c>
    </row>
    <row r="162" spans="1:16" hidden="1" x14ac:dyDescent="0.55000000000000004">
      <c r="A162" t="s">
        <v>177</v>
      </c>
      <c r="B162">
        <v>48</v>
      </c>
      <c r="C162">
        <v>633.5</v>
      </c>
      <c r="D162">
        <v>631</v>
      </c>
      <c r="E162">
        <v>14.53454</v>
      </c>
      <c r="F162">
        <v>118</v>
      </c>
      <c r="G162">
        <v>15</v>
      </c>
      <c r="H162">
        <v>0</v>
      </c>
      <c r="I162">
        <f>D162-Pram!$G$2</f>
        <v>1</v>
      </c>
      <c r="J162">
        <f>I162/Pram!$H$2</f>
        <v>8.3333333333333329E-2</v>
      </c>
      <c r="K162">
        <f t="shared" si="6"/>
        <v>7.5187969924812026E-3</v>
      </c>
      <c r="L162">
        <f>IF(G162=0,1/(F162 - H162*Pram!$B$5 +Pram!$B$6)+Pram!$B$7,1/(F162+G162+Pram!$B$2))</f>
        <v>8.389261744966443E-3</v>
      </c>
      <c r="M162">
        <f>(B162-J162-Pram!$I$2) * 2/120</f>
        <v>0.59861111111111109</v>
      </c>
      <c r="N162">
        <f>(1-L162-L162*Pram!$B$2)/L162</f>
        <v>132</v>
      </c>
      <c r="O162">
        <f>(M162-Pram!$B$17)/Pram!$B$16</f>
        <v>7.4624595949950839E-3</v>
      </c>
      <c r="P162">
        <f t="shared" si="7"/>
        <v>133.00407563622579</v>
      </c>
    </row>
    <row r="163" spans="1:16" hidden="1" x14ac:dyDescent="0.55000000000000004">
      <c r="A163" t="s">
        <v>178</v>
      </c>
      <c r="B163">
        <v>51</v>
      </c>
      <c r="C163">
        <v>615.5</v>
      </c>
      <c r="D163">
        <v>672</v>
      </c>
      <c r="E163">
        <v>16.530370000000001</v>
      </c>
      <c r="F163">
        <v>120</v>
      </c>
      <c r="G163">
        <v>15</v>
      </c>
      <c r="H163">
        <v>0</v>
      </c>
      <c r="I163">
        <f>D163-Pram!$G$2</f>
        <v>42</v>
      </c>
      <c r="J163">
        <f>I163/Pram!$H$2</f>
        <v>3.5</v>
      </c>
      <c r="K163">
        <f t="shared" si="6"/>
        <v>7.4074074074074077E-3</v>
      </c>
      <c r="L163">
        <f>IF(G163=0,1/(F163 - H163*Pram!$B$5 +Pram!$B$6)+Pram!$B$7,1/(F163+G163+Pram!$B$2))</f>
        <v>8.2508250825082501E-3</v>
      </c>
      <c r="M163">
        <f>(B163-J163-Pram!$I$2) * 2/120</f>
        <v>0.59166666666666667</v>
      </c>
      <c r="N163">
        <f>(1-L163-L163*Pram!$B$2)/L163</f>
        <v>134</v>
      </c>
      <c r="O163">
        <f>(M163-Pram!$B$17)/Pram!$B$16</f>
        <v>7.3519426231247473E-3</v>
      </c>
      <c r="P163">
        <f t="shared" si="7"/>
        <v>135.01847175120861</v>
      </c>
    </row>
    <row r="164" spans="1:16" hidden="1" x14ac:dyDescent="0.55000000000000004">
      <c r="A164" t="s">
        <v>179</v>
      </c>
      <c r="B164">
        <v>48</v>
      </c>
      <c r="C164">
        <v>637.5</v>
      </c>
      <c r="D164">
        <v>638.5</v>
      </c>
      <c r="E164">
        <v>14.57748</v>
      </c>
      <c r="F164">
        <v>122</v>
      </c>
      <c r="G164">
        <v>15</v>
      </c>
      <c r="H164">
        <v>0</v>
      </c>
      <c r="I164">
        <f>D164-Pram!$G$2</f>
        <v>8.5</v>
      </c>
      <c r="J164">
        <f>I164/Pram!$H$2</f>
        <v>0.70833333333333337</v>
      </c>
      <c r="K164">
        <f t="shared" si="6"/>
        <v>7.2992700729927005E-3</v>
      </c>
      <c r="L164">
        <f>IF(G164=0,1/(F164 - H164*Pram!$B$5 +Pram!$B$6)+Pram!$B$7,1/(F164+G164+Pram!$B$2))</f>
        <v>8.1168831168831161E-3</v>
      </c>
      <c r="M164">
        <f>(B164-J164-Pram!$I$2) * 2/120</f>
        <v>0.58819444444444435</v>
      </c>
      <c r="N164">
        <f>(1-L164-L164*Pram!$B$2)/L164</f>
        <v>136.00000000000003</v>
      </c>
      <c r="O164">
        <f>(M164-Pram!$B$17)/Pram!$B$16</f>
        <v>7.2966841371895777E-3</v>
      </c>
      <c r="P164">
        <f t="shared" si="7"/>
        <v>136.04855262998467</v>
      </c>
    </row>
    <row r="165" spans="1:16" hidden="1" x14ac:dyDescent="0.55000000000000004">
      <c r="A165" t="s">
        <v>180</v>
      </c>
      <c r="B165">
        <v>49</v>
      </c>
      <c r="C165">
        <v>631.5</v>
      </c>
      <c r="D165">
        <v>644.5</v>
      </c>
      <c r="E165">
        <v>14.57748</v>
      </c>
      <c r="F165">
        <v>119</v>
      </c>
      <c r="G165">
        <v>15</v>
      </c>
      <c r="H165">
        <v>0</v>
      </c>
      <c r="I165">
        <f>D165-Pram!$G$2</f>
        <v>14.5</v>
      </c>
      <c r="J165">
        <f>I165/Pram!$H$2</f>
        <v>1.2083333333333333</v>
      </c>
      <c r="K165">
        <f t="shared" si="6"/>
        <v>7.462686567164179E-3</v>
      </c>
      <c r="L165">
        <f>IF(G165=0,1/(F165 - H165*Pram!$B$5 +Pram!$B$6)+Pram!$B$7,1/(F165+G165+Pram!$B$2))</f>
        <v>8.3194675540765387E-3</v>
      </c>
      <c r="M165">
        <f>(B165-J165-Pram!$I$2) * 2/120</f>
        <v>0.59652777777777777</v>
      </c>
      <c r="N165">
        <f>(1-L165-L165*Pram!$B$2)/L165</f>
        <v>133</v>
      </c>
      <c r="O165">
        <f>(M165-Pram!$B$17)/Pram!$B$16</f>
        <v>7.4293045034339832E-3</v>
      </c>
      <c r="P165">
        <f t="shared" si="7"/>
        <v>133.60210165538089</v>
      </c>
    </row>
    <row r="166" spans="1:16" hidden="1" x14ac:dyDescent="0.55000000000000004">
      <c r="A166" t="s">
        <v>181</v>
      </c>
      <c r="B166">
        <v>49</v>
      </c>
      <c r="C166">
        <v>625</v>
      </c>
      <c r="D166">
        <v>644.5</v>
      </c>
      <c r="E166">
        <v>14.08023</v>
      </c>
      <c r="F166">
        <v>120</v>
      </c>
      <c r="G166">
        <v>15</v>
      </c>
      <c r="H166">
        <v>0</v>
      </c>
      <c r="I166">
        <f>D166-Pram!$G$2</f>
        <v>14.5</v>
      </c>
      <c r="J166">
        <f>I166/Pram!$H$2</f>
        <v>1.2083333333333333</v>
      </c>
      <c r="K166">
        <f t="shared" si="6"/>
        <v>7.4074074074074077E-3</v>
      </c>
      <c r="L166">
        <f>IF(G166=0,1/(F166 - H166*Pram!$B$5 +Pram!$B$6)+Pram!$B$7,1/(F166+G166+Pram!$B$2))</f>
        <v>8.2508250825082501E-3</v>
      </c>
      <c r="M166">
        <f>(B166-J166-Pram!$I$2) * 2/120</f>
        <v>0.59652777777777777</v>
      </c>
      <c r="N166">
        <f>(1-L166-L166*Pram!$B$2)/L166</f>
        <v>134</v>
      </c>
      <c r="O166">
        <f>(M166-Pram!$B$17)/Pram!$B$16</f>
        <v>7.4293045034339832E-3</v>
      </c>
      <c r="P166">
        <f t="shared" si="7"/>
        <v>133.60210165538089</v>
      </c>
    </row>
    <row r="167" spans="1:16" hidden="1" x14ac:dyDescent="0.55000000000000004">
      <c r="A167" t="s">
        <v>182</v>
      </c>
      <c r="B167">
        <v>49</v>
      </c>
      <c r="C167">
        <v>646</v>
      </c>
      <c r="D167">
        <v>644.5</v>
      </c>
      <c r="E167">
        <v>15.074909999999999</v>
      </c>
      <c r="F167">
        <v>119</v>
      </c>
      <c r="G167">
        <v>15</v>
      </c>
      <c r="H167">
        <v>0</v>
      </c>
      <c r="I167">
        <f>D167-Pram!$G$2</f>
        <v>14.5</v>
      </c>
      <c r="J167">
        <f>I167/Pram!$H$2</f>
        <v>1.2083333333333333</v>
      </c>
      <c r="K167">
        <f t="shared" si="6"/>
        <v>7.462686567164179E-3</v>
      </c>
      <c r="L167">
        <f>IF(G167=0,1/(F167 - H167*Pram!$B$5 +Pram!$B$6)+Pram!$B$7,1/(F167+G167+Pram!$B$2))</f>
        <v>8.3194675540765387E-3</v>
      </c>
      <c r="M167">
        <f>(B167-J167-Pram!$I$2) * 2/120</f>
        <v>0.59652777777777777</v>
      </c>
      <c r="N167">
        <f>(1-L167-L167*Pram!$B$2)/L167</f>
        <v>133</v>
      </c>
      <c r="O167">
        <f>(M167-Pram!$B$17)/Pram!$B$16</f>
        <v>7.4293045034339832E-3</v>
      </c>
      <c r="P167">
        <f t="shared" si="7"/>
        <v>133.60210165538089</v>
      </c>
    </row>
    <row r="168" spans="1:16" hidden="1" x14ac:dyDescent="0.55000000000000004">
      <c r="A168" t="s">
        <v>183</v>
      </c>
      <c r="B168">
        <v>49</v>
      </c>
      <c r="C168">
        <v>615</v>
      </c>
      <c r="D168">
        <v>646.5</v>
      </c>
      <c r="E168">
        <v>3.3542000000000001</v>
      </c>
      <c r="F168">
        <v>120</v>
      </c>
      <c r="G168">
        <v>15</v>
      </c>
      <c r="H168">
        <v>0</v>
      </c>
      <c r="I168">
        <f>D168-Pram!$G$2</f>
        <v>16.5</v>
      </c>
      <c r="J168">
        <f>I168/Pram!$H$2</f>
        <v>1.375</v>
      </c>
      <c r="K168">
        <f t="shared" si="6"/>
        <v>7.4074074074074077E-3</v>
      </c>
      <c r="L168">
        <f>IF(G168=0,1/(F168 - H168*Pram!$B$5 +Pram!$B$6)+Pram!$B$7,1/(F168+G168+Pram!$B$2))</f>
        <v>8.2508250825082501E-3</v>
      </c>
      <c r="M168">
        <f>(B168-J168-Pram!$I$2) * 2/120</f>
        <v>0.59375</v>
      </c>
      <c r="N168">
        <f>(1-L168-L168*Pram!$B$2)/L168</f>
        <v>134</v>
      </c>
      <c r="O168">
        <f>(M168-Pram!$B$17)/Pram!$B$16</f>
        <v>7.3850977146858489E-3</v>
      </c>
      <c r="P168">
        <f t="shared" si="7"/>
        <v>134.40782243292747</v>
      </c>
    </row>
    <row r="169" spans="1:16" hidden="1" x14ac:dyDescent="0.55000000000000004">
      <c r="A169" t="s">
        <v>184</v>
      </c>
      <c r="B169">
        <v>49</v>
      </c>
      <c r="C169">
        <v>658</v>
      </c>
      <c r="D169">
        <v>644</v>
      </c>
      <c r="E169">
        <v>15.0334</v>
      </c>
      <c r="F169">
        <v>119</v>
      </c>
      <c r="G169">
        <v>15</v>
      </c>
      <c r="H169">
        <v>0</v>
      </c>
      <c r="I169">
        <f>D169-Pram!$G$2</f>
        <v>14</v>
      </c>
      <c r="J169">
        <f>I169/Pram!$H$2</f>
        <v>1.1666666666666667</v>
      </c>
      <c r="K169">
        <f t="shared" si="6"/>
        <v>7.462686567164179E-3</v>
      </c>
      <c r="L169">
        <f>IF(G169=0,1/(F169 - H169*Pram!$B$5 +Pram!$B$6)+Pram!$B$7,1/(F169+G169+Pram!$B$2))</f>
        <v>8.3194675540765387E-3</v>
      </c>
      <c r="M169">
        <f>(B169-J169-Pram!$I$2) * 2/120</f>
        <v>0.59722222222222221</v>
      </c>
      <c r="N169">
        <f>(1-L169-L169*Pram!$B$2)/L169</f>
        <v>133</v>
      </c>
      <c r="O169">
        <f>(M169-Pram!$B$17)/Pram!$B$16</f>
        <v>7.4403562006210167E-3</v>
      </c>
      <c r="P169">
        <f t="shared" si="7"/>
        <v>133.40216745490412</v>
      </c>
    </row>
    <row r="170" spans="1:16" hidden="1" x14ac:dyDescent="0.55000000000000004">
      <c r="A170" t="s">
        <v>185</v>
      </c>
      <c r="B170">
        <v>48</v>
      </c>
      <c r="C170">
        <v>657</v>
      </c>
      <c r="D170">
        <v>632.5</v>
      </c>
      <c r="E170">
        <v>2.5001000000000002</v>
      </c>
      <c r="F170">
        <v>119</v>
      </c>
      <c r="G170">
        <v>15</v>
      </c>
      <c r="H170">
        <v>0</v>
      </c>
      <c r="I170">
        <f>D170-Pram!$G$2</f>
        <v>2.5</v>
      </c>
      <c r="J170">
        <f>I170/Pram!$H$2</f>
        <v>0.20833333333333334</v>
      </c>
      <c r="K170">
        <f t="shared" si="6"/>
        <v>7.462686567164179E-3</v>
      </c>
      <c r="L170">
        <f>IF(G170=0,1/(F170 - H170*Pram!$B$5 +Pram!$B$6)+Pram!$B$7,1/(F170+G170+Pram!$B$2))</f>
        <v>8.3194675540765387E-3</v>
      </c>
      <c r="M170">
        <f>(B170-J170-Pram!$I$2) * 2/120</f>
        <v>0.59652777777777777</v>
      </c>
      <c r="N170">
        <f>(1-L170-L170*Pram!$B$2)/L170</f>
        <v>133</v>
      </c>
      <c r="O170">
        <f>(M170-Pram!$B$17)/Pram!$B$16</f>
        <v>7.4293045034339832E-3</v>
      </c>
      <c r="P170">
        <f t="shared" si="7"/>
        <v>133.60210165538089</v>
      </c>
    </row>
    <row r="171" spans="1:16" hidden="1" x14ac:dyDescent="0.55000000000000004">
      <c r="A171" t="s">
        <v>186</v>
      </c>
      <c r="B171">
        <v>48</v>
      </c>
      <c r="C171">
        <v>646.5</v>
      </c>
      <c r="D171">
        <v>634</v>
      </c>
      <c r="E171">
        <v>14.53454</v>
      </c>
      <c r="F171">
        <v>119</v>
      </c>
      <c r="G171">
        <v>15</v>
      </c>
      <c r="H171">
        <v>0</v>
      </c>
      <c r="I171">
        <f>D171-Pram!$G$2</f>
        <v>4</v>
      </c>
      <c r="J171">
        <f>I171/Pram!$H$2</f>
        <v>0.33333333333333331</v>
      </c>
      <c r="K171">
        <f t="shared" si="6"/>
        <v>7.462686567164179E-3</v>
      </c>
      <c r="L171">
        <f>IF(G171=0,1/(F171 - H171*Pram!$B$5 +Pram!$B$6)+Pram!$B$7,1/(F171+G171+Pram!$B$2))</f>
        <v>8.3194675540765387E-3</v>
      </c>
      <c r="M171">
        <f>(B171-J171-Pram!$I$2) * 2/120</f>
        <v>0.59444444444444444</v>
      </c>
      <c r="N171">
        <f>(1-L171-L171*Pram!$B$2)/L171</f>
        <v>133</v>
      </c>
      <c r="O171">
        <f>(M171-Pram!$B$17)/Pram!$B$16</f>
        <v>7.3961494118728825E-3</v>
      </c>
      <c r="P171">
        <f t="shared" si="7"/>
        <v>134.20548927726111</v>
      </c>
    </row>
    <row r="172" spans="1:16" hidden="1" x14ac:dyDescent="0.55000000000000004">
      <c r="A172" t="s">
        <v>193</v>
      </c>
      <c r="B172">
        <v>53</v>
      </c>
      <c r="C172">
        <v>637.5</v>
      </c>
      <c r="D172">
        <v>630.5</v>
      </c>
      <c r="E172">
        <v>14.57748</v>
      </c>
      <c r="F172">
        <v>124</v>
      </c>
      <c r="G172">
        <v>0</v>
      </c>
      <c r="H172">
        <v>1</v>
      </c>
      <c r="I172">
        <f>D172-Pram!$G$2</f>
        <v>0.5</v>
      </c>
      <c r="J172">
        <f>I172/Pram!$H$2</f>
        <v>4.1666666666666664E-2</v>
      </c>
      <c r="K172">
        <f t="shared" si="6"/>
        <v>8.0645161290322578E-3</v>
      </c>
      <c r="L172">
        <f>IF(G172=0,1/(F172 - H172*Pram!$B$5 +Pram!$B$6)+Pram!$B$7,1/(F172+G172+Pram!$B$2))</f>
        <v>1.0065310492505353E-2</v>
      </c>
      <c r="M172">
        <f>(B172-J172-Pram!$I$2) * 2/120</f>
        <v>0.68263888888888891</v>
      </c>
      <c r="N172">
        <f>(1-L172-L172*Pram!$B$2)/L172</f>
        <v>112.15113285820658</v>
      </c>
      <c r="O172">
        <f>(M172-Pram!$B$17)/Pram!$B$16</f>
        <v>8.7997149546261526E-3</v>
      </c>
      <c r="P172">
        <f t="shared" si="7"/>
        <v>112.64004461011362</v>
      </c>
    </row>
    <row r="173" spans="1:16" hidden="1" x14ac:dyDescent="0.55000000000000004">
      <c r="A173" t="s">
        <v>194</v>
      </c>
      <c r="B173">
        <v>54</v>
      </c>
      <c r="C173">
        <v>654</v>
      </c>
      <c r="D173">
        <v>639.5</v>
      </c>
      <c r="E173">
        <v>14.08023</v>
      </c>
      <c r="F173">
        <v>124</v>
      </c>
      <c r="G173">
        <v>0</v>
      </c>
      <c r="H173">
        <v>1</v>
      </c>
      <c r="I173">
        <f>D173-Pram!$G$2</f>
        <v>9.5</v>
      </c>
      <c r="J173">
        <f>I173/Pram!$H$2</f>
        <v>0.79166666666666663</v>
      </c>
      <c r="K173">
        <f t="shared" si="6"/>
        <v>8.0645161290322578E-3</v>
      </c>
      <c r="L173">
        <f>IF(G173=0,1/(F173 - H173*Pram!$B$5 +Pram!$B$6)+Pram!$B$7,1/(F173+G173+Pram!$B$2))</f>
        <v>1.0065310492505353E-2</v>
      </c>
      <c r="M173">
        <f>(B173-J173-Pram!$I$2) * 2/120</f>
        <v>0.68680555555555556</v>
      </c>
      <c r="N173">
        <f>(1-L173-L173*Pram!$B$2)/L173</f>
        <v>112.15113285820658</v>
      </c>
      <c r="O173">
        <f>(M173-Pram!$B$17)/Pram!$B$16</f>
        <v>8.866025137748354E-3</v>
      </c>
      <c r="P173">
        <f t="shared" si="7"/>
        <v>111.79011557753866</v>
      </c>
    </row>
    <row r="174" spans="1:16" hidden="1" x14ac:dyDescent="0.55000000000000004">
      <c r="A174" t="s">
        <v>195</v>
      </c>
      <c r="B174">
        <v>55</v>
      </c>
      <c r="C174">
        <v>635.5</v>
      </c>
      <c r="D174">
        <v>646</v>
      </c>
      <c r="E174">
        <v>8.5587199999999992</v>
      </c>
      <c r="F174">
        <v>123</v>
      </c>
      <c r="G174">
        <v>0</v>
      </c>
      <c r="H174">
        <v>1</v>
      </c>
      <c r="I174">
        <f>D174-Pram!$G$2</f>
        <v>16</v>
      </c>
      <c r="J174">
        <f>I174/Pram!$H$2</f>
        <v>1.3333333333333333</v>
      </c>
      <c r="K174">
        <f t="shared" si="6"/>
        <v>8.130081300813009E-3</v>
      </c>
      <c r="L174">
        <f>IF(G174=0,1/(F174 - H174*Pram!$B$5 +Pram!$B$6)+Pram!$B$7,1/(F174+G174+Pram!$B$2))</f>
        <v>1.0139308855291577E-2</v>
      </c>
      <c r="M174">
        <f>(B174-J174-Pram!$I$2) * 2/120</f>
        <v>0.69444444444444442</v>
      </c>
      <c r="N174">
        <f>(1-L174-L174*Pram!$B$2)/L174</f>
        <v>111.42605176270104</v>
      </c>
      <c r="O174">
        <f>(M174-Pram!$B$17)/Pram!$B$16</f>
        <v>8.9875938068057232E-3</v>
      </c>
      <c r="P174">
        <f t="shared" si="7"/>
        <v>110.26448541129716</v>
      </c>
    </row>
    <row r="175" spans="1:16" hidden="1" x14ac:dyDescent="0.55000000000000004">
      <c r="A175" t="s">
        <v>196</v>
      </c>
      <c r="B175">
        <v>53</v>
      </c>
      <c r="C175">
        <v>648</v>
      </c>
      <c r="D175">
        <v>632.5</v>
      </c>
      <c r="E175">
        <v>2.5001000000000002</v>
      </c>
      <c r="F175">
        <v>125</v>
      </c>
      <c r="G175">
        <v>0</v>
      </c>
      <c r="H175">
        <v>1</v>
      </c>
      <c r="I175">
        <f>D175-Pram!$G$2</f>
        <v>2.5</v>
      </c>
      <c r="J175">
        <f>I175/Pram!$H$2</f>
        <v>0.20833333333333334</v>
      </c>
      <c r="K175">
        <f t="shared" si="6"/>
        <v>8.0000000000000002E-3</v>
      </c>
      <c r="L175">
        <f>IF(G175=0,1/(F175 - H175*Pram!$B$5 +Pram!$B$6)+Pram!$B$7,1/(F175+G175+Pram!$B$2))</f>
        <v>9.9925690021231417E-3</v>
      </c>
      <c r="M175">
        <f>(B175-J175-Pram!$I$2) * 2/120</f>
        <v>0.67986111111111103</v>
      </c>
      <c r="N175">
        <f>(1-L175-L175*Pram!$B$2)/L175</f>
        <v>112.87436523956229</v>
      </c>
      <c r="O175">
        <f>(M175-Pram!$B$17)/Pram!$B$16</f>
        <v>8.7555081658780166E-3</v>
      </c>
      <c r="P175">
        <f t="shared" si="7"/>
        <v>113.21381615486374</v>
      </c>
    </row>
    <row r="176" spans="1:16" hidden="1" x14ac:dyDescent="0.55000000000000004">
      <c r="A176" t="s">
        <v>197</v>
      </c>
      <c r="B176">
        <v>55</v>
      </c>
      <c r="C176">
        <v>640.5</v>
      </c>
      <c r="D176">
        <v>647</v>
      </c>
      <c r="E176">
        <v>7.7621900000000004</v>
      </c>
      <c r="F176">
        <v>123</v>
      </c>
      <c r="G176">
        <v>0</v>
      </c>
      <c r="H176">
        <v>1</v>
      </c>
      <c r="I176">
        <f>D176-Pram!$G$2</f>
        <v>17</v>
      </c>
      <c r="J176">
        <f>I176/Pram!$H$2</f>
        <v>1.4166666666666667</v>
      </c>
      <c r="K176">
        <f t="shared" si="6"/>
        <v>8.130081300813009E-3</v>
      </c>
      <c r="L176">
        <f>IF(G176=0,1/(F176 - H176*Pram!$B$5 +Pram!$B$6)+Pram!$B$7,1/(F176+G176+Pram!$B$2))</f>
        <v>1.0139308855291577E-2</v>
      </c>
      <c r="M176">
        <f>(B176-J176-Pram!$I$2) * 2/120</f>
        <v>0.69305555555555565</v>
      </c>
      <c r="N176">
        <f>(1-L176-L176*Pram!$B$2)/L176</f>
        <v>111.42605176270104</v>
      </c>
      <c r="O176">
        <f>(M176-Pram!$B$17)/Pram!$B$16</f>
        <v>8.9654904124316578E-3</v>
      </c>
      <c r="P176">
        <f t="shared" si="7"/>
        <v>110.53879531379431</v>
      </c>
    </row>
    <row r="177" spans="1:16" hidden="1" x14ac:dyDescent="0.55000000000000004">
      <c r="A177" t="s">
        <v>198</v>
      </c>
      <c r="B177">
        <v>54</v>
      </c>
      <c r="C177">
        <v>654</v>
      </c>
      <c r="D177">
        <v>638</v>
      </c>
      <c r="E177">
        <v>8.2463099999999994</v>
      </c>
      <c r="F177">
        <v>123</v>
      </c>
      <c r="G177">
        <v>0</v>
      </c>
      <c r="H177">
        <v>1</v>
      </c>
      <c r="I177">
        <f>D177-Pram!$G$2</f>
        <v>8</v>
      </c>
      <c r="J177">
        <f>I177/Pram!$H$2</f>
        <v>0.66666666666666663</v>
      </c>
      <c r="K177">
        <f t="shared" si="6"/>
        <v>8.130081300813009E-3</v>
      </c>
      <c r="L177">
        <f>IF(G177=0,1/(F177 - H177*Pram!$B$5 +Pram!$B$6)+Pram!$B$7,1/(F177+G177+Pram!$B$2))</f>
        <v>1.0139308855291577E-2</v>
      </c>
      <c r="M177">
        <f>(B177-J177-Pram!$I$2) * 2/120</f>
        <v>0.68888888888888888</v>
      </c>
      <c r="N177">
        <f>(1-L177-L177*Pram!$B$2)/L177</f>
        <v>111.42605176270104</v>
      </c>
      <c r="O177">
        <f>(M177-Pram!$B$17)/Pram!$B$16</f>
        <v>8.8991802293094547E-3</v>
      </c>
      <c r="P177">
        <f t="shared" si="7"/>
        <v>111.36990084845112</v>
      </c>
    </row>
    <row r="178" spans="1:16" hidden="1" x14ac:dyDescent="0.55000000000000004">
      <c r="A178" t="s">
        <v>199</v>
      </c>
      <c r="B178">
        <v>54</v>
      </c>
      <c r="C178">
        <v>649.5</v>
      </c>
      <c r="D178">
        <v>638.5</v>
      </c>
      <c r="E178">
        <v>14.57748</v>
      </c>
      <c r="F178">
        <v>124</v>
      </c>
      <c r="G178">
        <v>0</v>
      </c>
      <c r="H178">
        <v>1</v>
      </c>
      <c r="I178">
        <f>D178-Pram!$G$2</f>
        <v>8.5</v>
      </c>
      <c r="J178">
        <f>I178/Pram!$H$2</f>
        <v>0.70833333333333337</v>
      </c>
      <c r="K178">
        <f t="shared" si="6"/>
        <v>8.0645161290322578E-3</v>
      </c>
      <c r="L178">
        <f>IF(G178=0,1/(F178 - H178*Pram!$B$5 +Pram!$B$6)+Pram!$B$7,1/(F178+G178+Pram!$B$2))</f>
        <v>1.0065310492505353E-2</v>
      </c>
      <c r="M178">
        <f>(B178-J178-Pram!$I$2) * 2/120</f>
        <v>0.68819444444444444</v>
      </c>
      <c r="N178">
        <f>(1-L178-L178*Pram!$B$2)/L178</f>
        <v>112.15113285820658</v>
      </c>
      <c r="O178">
        <f>(M178-Pram!$B$17)/Pram!$B$16</f>
        <v>8.8881285321224211E-3</v>
      </c>
      <c r="P178">
        <f t="shared" si="7"/>
        <v>111.50962408857146</v>
      </c>
    </row>
    <row r="179" spans="1:16" hidden="1" x14ac:dyDescent="0.55000000000000004">
      <c r="A179" t="s">
        <v>200</v>
      </c>
      <c r="B179">
        <v>55</v>
      </c>
      <c r="C179">
        <v>617.5</v>
      </c>
      <c r="D179">
        <v>647.5</v>
      </c>
      <c r="E179">
        <v>2.9155799999999998</v>
      </c>
      <c r="F179">
        <v>123</v>
      </c>
      <c r="G179">
        <v>0</v>
      </c>
      <c r="H179">
        <v>1</v>
      </c>
      <c r="I179">
        <f>D179-Pram!$G$2</f>
        <v>17.5</v>
      </c>
      <c r="J179">
        <f>I179/Pram!$H$2</f>
        <v>1.4583333333333333</v>
      </c>
      <c r="K179">
        <f t="shared" si="6"/>
        <v>8.130081300813009E-3</v>
      </c>
      <c r="L179">
        <f>IF(G179=0,1/(F179 - H179*Pram!$B$5 +Pram!$B$6)+Pram!$B$7,1/(F179+G179+Pram!$B$2))</f>
        <v>1.0139308855291577E-2</v>
      </c>
      <c r="M179">
        <f>(B179-J179-Pram!$I$2) * 2/120</f>
        <v>0.69236111111111109</v>
      </c>
      <c r="N179">
        <f>(1-L179-L179*Pram!$B$2)/L179</f>
        <v>111.42605176270104</v>
      </c>
      <c r="O179">
        <f>(M179-Pram!$B$17)/Pram!$B$16</f>
        <v>8.9544387152446225E-3</v>
      </c>
      <c r="P179">
        <f t="shared" si="7"/>
        <v>110.67645810088963</v>
      </c>
    </row>
    <row r="180" spans="1:16" hidden="1" x14ac:dyDescent="0.55000000000000004">
      <c r="A180" t="s">
        <v>201</v>
      </c>
      <c r="B180">
        <v>53</v>
      </c>
      <c r="C180">
        <v>641</v>
      </c>
      <c r="D180">
        <v>630</v>
      </c>
      <c r="E180">
        <v>15.0334</v>
      </c>
      <c r="F180">
        <v>124</v>
      </c>
      <c r="G180">
        <v>0</v>
      </c>
      <c r="H180">
        <v>1</v>
      </c>
      <c r="I180">
        <f>D180-Pram!$G$2</f>
        <v>0</v>
      </c>
      <c r="J180">
        <f>I180/Pram!$H$2</f>
        <v>0</v>
      </c>
      <c r="K180">
        <f t="shared" si="6"/>
        <v>8.0645161290322578E-3</v>
      </c>
      <c r="L180">
        <f>IF(G180=0,1/(F180 - H180*Pram!$B$5 +Pram!$B$6)+Pram!$B$7,1/(F180+G180+Pram!$B$2))</f>
        <v>1.0065310492505353E-2</v>
      </c>
      <c r="M180">
        <f>(B180-J180-Pram!$I$2) * 2/120</f>
        <v>0.68333333333333335</v>
      </c>
      <c r="N180">
        <f>(1-L180-L180*Pram!$B$2)/L180</f>
        <v>112.15113285820658</v>
      </c>
      <c r="O180">
        <f>(M180-Pram!$B$17)/Pram!$B$16</f>
        <v>8.8107666518131861E-3</v>
      </c>
      <c r="P180">
        <f t="shared" si="7"/>
        <v>112.4975013546872</v>
      </c>
    </row>
    <row r="181" spans="1:16" hidden="1" x14ac:dyDescent="0.55000000000000004">
      <c r="A181" t="s">
        <v>202</v>
      </c>
      <c r="B181">
        <v>53</v>
      </c>
      <c r="C181">
        <v>657.5</v>
      </c>
      <c r="D181">
        <v>633</v>
      </c>
      <c r="E181">
        <v>14.53454</v>
      </c>
      <c r="F181">
        <v>125</v>
      </c>
      <c r="G181">
        <v>0</v>
      </c>
      <c r="H181">
        <v>1</v>
      </c>
      <c r="I181">
        <f>D181-Pram!$G$2</f>
        <v>3</v>
      </c>
      <c r="J181">
        <f>I181/Pram!$H$2</f>
        <v>0.25</v>
      </c>
      <c r="K181">
        <f t="shared" si="6"/>
        <v>8.0000000000000002E-3</v>
      </c>
      <c r="L181">
        <f>IF(G181=0,1/(F181 - H181*Pram!$B$5 +Pram!$B$6)+Pram!$B$7,1/(F181+G181+Pram!$B$2))</f>
        <v>9.9925690021231417E-3</v>
      </c>
      <c r="M181">
        <f>(B181-J181-Pram!$I$2) * 2/120</f>
        <v>0.6791666666666667</v>
      </c>
      <c r="N181">
        <f>(1-L181-L181*Pram!$B$2)/L181</f>
        <v>112.87436523956229</v>
      </c>
      <c r="O181">
        <f>(M181-Pram!$B$17)/Pram!$B$16</f>
        <v>8.7444564686909847E-3</v>
      </c>
      <c r="P181">
        <f t="shared" si="7"/>
        <v>113.35816549381218</v>
      </c>
    </row>
    <row r="182" spans="1:16" hidden="1" x14ac:dyDescent="0.55000000000000004">
      <c r="A182" t="s">
        <v>203</v>
      </c>
      <c r="B182">
        <v>56</v>
      </c>
      <c r="C182">
        <v>635</v>
      </c>
      <c r="D182">
        <v>645</v>
      </c>
      <c r="E182">
        <v>14.035769999999999</v>
      </c>
      <c r="F182">
        <v>118</v>
      </c>
      <c r="G182">
        <v>0</v>
      </c>
      <c r="H182">
        <v>1</v>
      </c>
      <c r="I182">
        <f>D182-Pram!$G$2</f>
        <v>15</v>
      </c>
      <c r="J182">
        <f>I182/Pram!$H$2</f>
        <v>1.25</v>
      </c>
      <c r="K182">
        <f t="shared" si="6"/>
        <v>8.4745762711864406E-3</v>
      </c>
      <c r="L182">
        <f>IF(G182=0,1/(F182 - H182*Pram!$B$5 +Pram!$B$6)+Pram!$B$7,1/(F182+G182+Pram!$B$2))</f>
        <v>1.0529345372460495E-2</v>
      </c>
      <c r="M182">
        <f>(B182-J182-Pram!$I$2) * 2/120</f>
        <v>0.71250000000000002</v>
      </c>
      <c r="N182">
        <f>(1-L182-L182*Pram!$B$2)/L182</f>
        <v>107.77266588058743</v>
      </c>
      <c r="O182">
        <f>(M182-Pram!$B$17)/Pram!$B$16</f>
        <v>9.2749379336685978E-3</v>
      </c>
      <c r="P182">
        <f t="shared" si="7"/>
        <v>106.81743308167466</v>
      </c>
    </row>
    <row r="183" spans="1:16" hidden="1" x14ac:dyDescent="0.55000000000000004">
      <c r="A183" t="s">
        <v>204</v>
      </c>
      <c r="B183">
        <v>55</v>
      </c>
      <c r="C183">
        <v>641</v>
      </c>
      <c r="D183">
        <v>635.5</v>
      </c>
      <c r="E183">
        <v>15.074909999999999</v>
      </c>
      <c r="F183">
        <v>118</v>
      </c>
      <c r="G183">
        <v>0</v>
      </c>
      <c r="H183">
        <v>1</v>
      </c>
      <c r="I183">
        <f>D183-Pram!$G$2</f>
        <v>5.5</v>
      </c>
      <c r="J183">
        <f>I183/Pram!$H$2</f>
        <v>0.45833333333333331</v>
      </c>
      <c r="K183">
        <f t="shared" si="6"/>
        <v>8.4745762711864406E-3</v>
      </c>
      <c r="L183">
        <f>IF(G183=0,1/(F183 - H183*Pram!$B$5 +Pram!$B$6)+Pram!$B$7,1/(F183+G183+Pram!$B$2))</f>
        <v>1.0529345372460495E-2</v>
      </c>
      <c r="M183">
        <f>(B183-J183-Pram!$I$2) * 2/120</f>
        <v>0.7090277777777777</v>
      </c>
      <c r="N183">
        <f>(1-L183-L183*Pram!$B$2)/L183</f>
        <v>107.77266588058743</v>
      </c>
      <c r="O183">
        <f>(M183-Pram!$B$17)/Pram!$B$16</f>
        <v>9.2196794477334282E-3</v>
      </c>
      <c r="P183">
        <f t="shared" si="7"/>
        <v>107.46364080975079</v>
      </c>
    </row>
    <row r="184" spans="1:16" hidden="1" x14ac:dyDescent="0.55000000000000004">
      <c r="A184" t="s">
        <v>205</v>
      </c>
      <c r="B184">
        <v>55</v>
      </c>
      <c r="C184">
        <v>647</v>
      </c>
      <c r="D184">
        <v>642</v>
      </c>
      <c r="E184">
        <v>15.0334</v>
      </c>
      <c r="F184">
        <v>121</v>
      </c>
      <c r="G184">
        <v>0</v>
      </c>
      <c r="H184">
        <v>1</v>
      </c>
      <c r="I184">
        <f>D184-Pram!$G$2</f>
        <v>12</v>
      </c>
      <c r="J184">
        <f>I184/Pram!$H$2</f>
        <v>1</v>
      </c>
      <c r="K184">
        <f t="shared" si="6"/>
        <v>8.2644628099173556E-3</v>
      </c>
      <c r="L184">
        <f>IF(G184=0,1/(F184 - H184*Pram!$B$5 +Pram!$B$6)+Pram!$B$7,1/(F184+G184+Pram!$B$2))</f>
        <v>1.0291208791208791E-2</v>
      </c>
      <c r="M184">
        <f>(B184-J184-Pram!$I$2) * 2/120</f>
        <v>0.7</v>
      </c>
      <c r="N184">
        <f>(1-L184-L184*Pram!$B$2)/L184</f>
        <v>109.97031500266951</v>
      </c>
      <c r="O184">
        <f>(M184-Pram!$B$17)/Pram!$B$16</f>
        <v>9.0760073843019918E-3</v>
      </c>
      <c r="P184">
        <f t="shared" si="7"/>
        <v>109.18060669822901</v>
      </c>
    </row>
    <row r="185" spans="1:16" hidden="1" x14ac:dyDescent="0.55000000000000004">
      <c r="A185" t="s">
        <v>206</v>
      </c>
      <c r="B185">
        <v>54</v>
      </c>
      <c r="C185">
        <v>642</v>
      </c>
      <c r="D185">
        <v>632.5</v>
      </c>
      <c r="E185">
        <v>14.08023</v>
      </c>
      <c r="F185">
        <v>121</v>
      </c>
      <c r="G185">
        <v>0</v>
      </c>
      <c r="H185">
        <v>1</v>
      </c>
      <c r="I185">
        <f>D185-Pram!$G$2</f>
        <v>2.5</v>
      </c>
      <c r="J185">
        <f>I185/Pram!$H$2</f>
        <v>0.20833333333333334</v>
      </c>
      <c r="K185">
        <f t="shared" si="6"/>
        <v>8.2644628099173556E-3</v>
      </c>
      <c r="L185">
        <f>IF(G185=0,1/(F185 - H185*Pram!$B$5 +Pram!$B$6)+Pram!$B$7,1/(F185+G185+Pram!$B$2))</f>
        <v>1.0291208791208791E-2</v>
      </c>
      <c r="M185">
        <f>(B185-J185-Pram!$I$2) * 2/120</f>
        <v>0.69652777777777775</v>
      </c>
      <c r="N185">
        <f>(1-L185-L185*Pram!$B$2)/L185</f>
        <v>109.97031500266951</v>
      </c>
      <c r="O185">
        <f>(M185-Pram!$B$17)/Pram!$B$16</f>
        <v>9.0207488983668239E-3</v>
      </c>
      <c r="P185">
        <f t="shared" si="7"/>
        <v>109.85554107165611</v>
      </c>
    </row>
    <row r="186" spans="1:16" hidden="1" x14ac:dyDescent="0.55000000000000004">
      <c r="A186" t="s">
        <v>207</v>
      </c>
      <c r="B186">
        <v>56</v>
      </c>
      <c r="C186">
        <v>631.5</v>
      </c>
      <c r="D186">
        <v>647</v>
      </c>
      <c r="E186">
        <v>4.9245299999999999</v>
      </c>
      <c r="F186">
        <v>119</v>
      </c>
      <c r="G186">
        <v>0</v>
      </c>
      <c r="H186">
        <v>1</v>
      </c>
      <c r="I186">
        <f>D186-Pram!$G$2</f>
        <v>17</v>
      </c>
      <c r="J186">
        <f>I186/Pram!$H$2</f>
        <v>1.4166666666666667</v>
      </c>
      <c r="K186">
        <f t="shared" si="6"/>
        <v>8.4033613445378148E-3</v>
      </c>
      <c r="L186">
        <f>IF(G186=0,1/(F186 - H186*Pram!$B$5 +Pram!$B$6)+Pram!$B$7,1/(F186+G186+Pram!$B$2))</f>
        <v>1.0448545861297539E-2</v>
      </c>
      <c r="M186">
        <f>(B186-J186-Pram!$I$2) * 2/120</f>
        <v>0.70972222222222225</v>
      </c>
      <c r="N186">
        <f>(1-L186-L186*Pram!$B$2)/L186</f>
        <v>108.50709774114121</v>
      </c>
      <c r="O186">
        <f>(M186-Pram!$B$17)/Pram!$B$16</f>
        <v>9.2307311449204635E-3</v>
      </c>
      <c r="P186">
        <f t="shared" si="7"/>
        <v>107.33378031493046</v>
      </c>
    </row>
    <row r="187" spans="1:16" hidden="1" x14ac:dyDescent="0.55000000000000004">
      <c r="A187" t="s">
        <v>208</v>
      </c>
      <c r="B187">
        <v>56</v>
      </c>
      <c r="C187">
        <v>620.5</v>
      </c>
      <c r="D187">
        <v>645</v>
      </c>
      <c r="E187">
        <v>13.537089999999999</v>
      </c>
      <c r="F187">
        <v>118</v>
      </c>
      <c r="G187">
        <v>0</v>
      </c>
      <c r="H187">
        <v>1</v>
      </c>
      <c r="I187">
        <f>D187-Pram!$G$2</f>
        <v>15</v>
      </c>
      <c r="J187">
        <f>I187/Pram!$H$2</f>
        <v>1.25</v>
      </c>
      <c r="K187">
        <f t="shared" si="6"/>
        <v>8.4745762711864406E-3</v>
      </c>
      <c r="L187">
        <f>IF(G187=0,1/(F187 - H187*Pram!$B$5 +Pram!$B$6)+Pram!$B$7,1/(F187+G187+Pram!$B$2))</f>
        <v>1.0529345372460495E-2</v>
      </c>
      <c r="M187">
        <f>(B187-J187-Pram!$I$2) * 2/120</f>
        <v>0.71250000000000002</v>
      </c>
      <c r="N187">
        <f>(1-L187-L187*Pram!$B$2)/L187</f>
        <v>107.77266588058743</v>
      </c>
      <c r="O187">
        <f>(M187-Pram!$B$17)/Pram!$B$16</f>
        <v>9.2749379336685978E-3</v>
      </c>
      <c r="P187">
        <f t="shared" si="7"/>
        <v>106.81743308167466</v>
      </c>
    </row>
    <row r="188" spans="1:16" hidden="1" x14ac:dyDescent="0.55000000000000004">
      <c r="A188" t="s">
        <v>209</v>
      </c>
      <c r="B188">
        <v>54</v>
      </c>
      <c r="C188">
        <v>625</v>
      </c>
      <c r="D188">
        <v>632</v>
      </c>
      <c r="E188">
        <v>14.035769999999999</v>
      </c>
      <c r="F188">
        <v>121</v>
      </c>
      <c r="G188">
        <v>0</v>
      </c>
      <c r="H188">
        <v>1</v>
      </c>
      <c r="I188">
        <f>D188-Pram!$G$2</f>
        <v>2</v>
      </c>
      <c r="J188">
        <f>I188/Pram!$H$2</f>
        <v>0.16666666666666666</v>
      </c>
      <c r="K188">
        <f t="shared" si="6"/>
        <v>8.2644628099173556E-3</v>
      </c>
      <c r="L188">
        <f>IF(G188=0,1/(F188 - H188*Pram!$B$5 +Pram!$B$6)+Pram!$B$7,1/(F188+G188+Pram!$B$2))</f>
        <v>1.0291208791208791E-2</v>
      </c>
      <c r="M188">
        <f>(B188-J188-Pram!$I$2) * 2/120</f>
        <v>0.6972222222222223</v>
      </c>
      <c r="N188">
        <f>(1-L188-L188*Pram!$B$2)/L188</f>
        <v>109.97031500266951</v>
      </c>
      <c r="O188">
        <f>(M188-Pram!$B$17)/Pram!$B$16</f>
        <v>9.0318005955538593E-3</v>
      </c>
      <c r="P188">
        <f t="shared" si="7"/>
        <v>109.71989349413629</v>
      </c>
    </row>
    <row r="189" spans="1:16" hidden="1" x14ac:dyDescent="0.55000000000000004">
      <c r="A189" t="s">
        <v>210</v>
      </c>
      <c r="B189">
        <v>55</v>
      </c>
      <c r="C189">
        <v>640.5</v>
      </c>
      <c r="D189">
        <v>635.5</v>
      </c>
      <c r="E189">
        <v>14.57748</v>
      </c>
      <c r="F189">
        <v>118</v>
      </c>
      <c r="G189">
        <v>0</v>
      </c>
      <c r="H189">
        <v>1</v>
      </c>
      <c r="I189">
        <f>D189-Pram!$G$2</f>
        <v>5.5</v>
      </c>
      <c r="J189">
        <f>I189/Pram!$H$2</f>
        <v>0.45833333333333331</v>
      </c>
      <c r="K189">
        <f t="shared" si="6"/>
        <v>8.4745762711864406E-3</v>
      </c>
      <c r="L189">
        <f>IF(G189=0,1/(F189 - H189*Pram!$B$5 +Pram!$B$6)+Pram!$B$7,1/(F189+G189+Pram!$B$2))</f>
        <v>1.0529345372460495E-2</v>
      </c>
      <c r="M189">
        <f>(B189-J189-Pram!$I$2) * 2/120</f>
        <v>0.7090277777777777</v>
      </c>
      <c r="N189">
        <f>(1-L189-L189*Pram!$B$2)/L189</f>
        <v>107.77266588058743</v>
      </c>
      <c r="O189">
        <f>(M189-Pram!$B$17)/Pram!$B$16</f>
        <v>9.2196794477334282E-3</v>
      </c>
      <c r="P189">
        <f t="shared" si="7"/>
        <v>107.46364080975079</v>
      </c>
    </row>
    <row r="190" spans="1:16" hidden="1" x14ac:dyDescent="0.55000000000000004">
      <c r="A190" t="s">
        <v>211</v>
      </c>
      <c r="B190">
        <v>58</v>
      </c>
      <c r="C190">
        <v>637.5</v>
      </c>
      <c r="D190">
        <v>671</v>
      </c>
      <c r="E190">
        <v>15.53232</v>
      </c>
      <c r="F190">
        <v>120</v>
      </c>
      <c r="G190">
        <v>0</v>
      </c>
      <c r="H190">
        <v>1</v>
      </c>
      <c r="I190">
        <f>D190-Pram!$G$2</f>
        <v>41</v>
      </c>
      <c r="J190">
        <f>I190/Pram!$H$2</f>
        <v>3.4166666666666665</v>
      </c>
      <c r="K190">
        <f t="shared" si="6"/>
        <v>8.3333333333333332E-3</v>
      </c>
      <c r="L190">
        <f>IF(G190=0,1/(F190 - H190*Pram!$B$5 +Pram!$B$6)+Pram!$B$7,1/(F190+G190+Pram!$B$2))</f>
        <v>1.0369179600886918E-2</v>
      </c>
      <c r="M190">
        <f>(B190-J190-Pram!$I$2) * 2/120</f>
        <v>0.70972222222222225</v>
      </c>
      <c r="N190">
        <f>(1-L190-L190*Pram!$B$2)/L190</f>
        <v>109.23964503367905</v>
      </c>
      <c r="O190">
        <f>(M190-Pram!$B$17)/Pram!$B$16</f>
        <v>9.2307311449204635E-3</v>
      </c>
      <c r="P190">
        <f t="shared" si="7"/>
        <v>107.33378031493046</v>
      </c>
    </row>
    <row r="191" spans="1:16" hidden="1" x14ac:dyDescent="0.55000000000000004">
      <c r="A191" t="s">
        <v>212</v>
      </c>
      <c r="B191">
        <v>55</v>
      </c>
      <c r="C191">
        <v>648.5</v>
      </c>
      <c r="D191">
        <v>638</v>
      </c>
      <c r="E191">
        <v>14.53454</v>
      </c>
      <c r="F191">
        <v>119</v>
      </c>
      <c r="G191">
        <v>0</v>
      </c>
      <c r="H191">
        <v>1</v>
      </c>
      <c r="I191">
        <f>D191-Pram!$G$2</f>
        <v>8</v>
      </c>
      <c r="J191">
        <f>I191/Pram!$H$2</f>
        <v>0.66666666666666663</v>
      </c>
      <c r="K191">
        <f t="shared" si="6"/>
        <v>8.4033613445378148E-3</v>
      </c>
      <c r="L191">
        <f>IF(G191=0,1/(F191 - H191*Pram!$B$5 +Pram!$B$6)+Pram!$B$7,1/(F191+G191+Pram!$B$2))</f>
        <v>1.0448545861297539E-2</v>
      </c>
      <c r="M191">
        <f>(B191-J191-Pram!$I$2) * 2/120</f>
        <v>0.7055555555555556</v>
      </c>
      <c r="N191">
        <f>(1-L191-L191*Pram!$B$2)/L191</f>
        <v>108.50709774114121</v>
      </c>
      <c r="O191">
        <f>(M191-Pram!$B$17)/Pram!$B$16</f>
        <v>9.1644209617982621E-3</v>
      </c>
      <c r="P191">
        <f t="shared" si="7"/>
        <v>108.11764138383468</v>
      </c>
    </row>
    <row r="192" spans="1:16" hidden="1" x14ac:dyDescent="0.55000000000000004">
      <c r="A192" t="s">
        <v>213</v>
      </c>
      <c r="B192">
        <v>55</v>
      </c>
      <c r="C192">
        <v>638.5</v>
      </c>
      <c r="D192">
        <v>640</v>
      </c>
      <c r="E192">
        <v>14.53454</v>
      </c>
      <c r="F192">
        <v>120</v>
      </c>
      <c r="G192">
        <v>0</v>
      </c>
      <c r="H192">
        <v>1</v>
      </c>
      <c r="I192">
        <f>D192-Pram!$G$2</f>
        <v>10</v>
      </c>
      <c r="J192">
        <f>I192/Pram!$H$2</f>
        <v>0.83333333333333337</v>
      </c>
      <c r="K192">
        <f t="shared" si="6"/>
        <v>8.3333333333333332E-3</v>
      </c>
      <c r="L192">
        <f>IF(G192=0,1/(F192 - H192*Pram!$B$5 +Pram!$B$6)+Pram!$B$7,1/(F192+G192+Pram!$B$2))</f>
        <v>1.0369179600886918E-2</v>
      </c>
      <c r="M192">
        <f>(B192-J192-Pram!$I$2) * 2/120</f>
        <v>0.70277777777777772</v>
      </c>
      <c r="N192">
        <f>(1-L192-L192*Pram!$B$2)/L192</f>
        <v>109.23964503367905</v>
      </c>
      <c r="O192">
        <f>(M192-Pram!$B$17)/Pram!$B$16</f>
        <v>9.1202141730501261E-3</v>
      </c>
      <c r="P192">
        <f t="shared" si="7"/>
        <v>108.64654787986895</v>
      </c>
    </row>
    <row r="193" spans="1:16" hidden="1" x14ac:dyDescent="0.55000000000000004">
      <c r="A193" t="s">
        <v>214</v>
      </c>
      <c r="B193">
        <v>56</v>
      </c>
      <c r="C193">
        <v>635.5</v>
      </c>
      <c r="D193">
        <v>641</v>
      </c>
      <c r="E193">
        <v>14.53454</v>
      </c>
      <c r="F193">
        <v>116</v>
      </c>
      <c r="G193">
        <v>0</v>
      </c>
      <c r="H193">
        <v>1</v>
      </c>
      <c r="I193">
        <f>D193-Pram!$G$2</f>
        <v>11</v>
      </c>
      <c r="J193">
        <f>I193/Pram!$H$2</f>
        <v>0.91666666666666663</v>
      </c>
      <c r="K193">
        <f t="shared" si="6"/>
        <v>8.6206896551724137E-3</v>
      </c>
      <c r="L193">
        <f>IF(G193=0,1/(F193 - H193*Pram!$B$5 +Pram!$B$6)+Pram!$B$7,1/(F193+G193+Pram!$B$2))</f>
        <v>1.0695402298850574E-2</v>
      </c>
      <c r="M193">
        <f>(B193-J193-Pram!$I$2) * 2/120</f>
        <v>0.71805555555555556</v>
      </c>
      <c r="N193">
        <f>(1-L193-L193*Pram!$B$2)/L193</f>
        <v>106.29811929070394</v>
      </c>
      <c r="O193">
        <f>(M193-Pram!$B$17)/Pram!$B$16</f>
        <v>9.3633515111648663E-3</v>
      </c>
      <c r="P193">
        <f t="shared" si="7"/>
        <v>105.79936546306089</v>
      </c>
    </row>
    <row r="194" spans="1:16" hidden="1" x14ac:dyDescent="0.55000000000000004">
      <c r="A194" t="s">
        <v>215</v>
      </c>
      <c r="B194">
        <v>56</v>
      </c>
      <c r="C194">
        <v>645.5</v>
      </c>
      <c r="D194">
        <v>633</v>
      </c>
      <c r="E194">
        <v>14.53454</v>
      </c>
      <c r="F194">
        <v>114</v>
      </c>
      <c r="G194">
        <v>0</v>
      </c>
      <c r="H194">
        <v>1</v>
      </c>
      <c r="I194">
        <f>D194-Pram!$G$2</f>
        <v>3</v>
      </c>
      <c r="J194">
        <f>I194/Pram!$H$2</f>
        <v>0.25</v>
      </c>
      <c r="K194">
        <f t="shared" si="6"/>
        <v>8.771929824561403E-3</v>
      </c>
      <c r="L194">
        <f>IF(G194=0,1/(F194 - H194*Pram!$B$5 +Pram!$B$6)+Pram!$B$7,1/(F194+G194+Pram!$B$2))</f>
        <v>1.0867681498829039E-2</v>
      </c>
      <c r="M194">
        <f>(B194-J194-Pram!$I$2) * 2/120</f>
        <v>0.72916666666666663</v>
      </c>
      <c r="N194">
        <f>(1-L194-L194*Pram!$B$2)/L194</f>
        <v>104.81594655748304</v>
      </c>
      <c r="O194">
        <f>(M194-Pram!$B$17)/Pram!$B$16</f>
        <v>9.5401786661574034E-3</v>
      </c>
      <c r="P194">
        <f t="shared" si="7"/>
        <v>103.81983985765126</v>
      </c>
    </row>
    <row r="195" spans="1:16" hidden="1" x14ac:dyDescent="0.55000000000000004">
      <c r="A195" t="s">
        <v>216</v>
      </c>
      <c r="B195">
        <v>55</v>
      </c>
      <c r="C195">
        <v>636.5</v>
      </c>
      <c r="D195">
        <v>630.5</v>
      </c>
      <c r="E195">
        <v>14.57748</v>
      </c>
      <c r="F195">
        <v>116</v>
      </c>
      <c r="G195">
        <v>0</v>
      </c>
      <c r="H195">
        <v>1</v>
      </c>
      <c r="I195">
        <f>D195-Pram!$G$2</f>
        <v>0.5</v>
      </c>
      <c r="J195">
        <f>I195/Pram!$H$2</f>
        <v>4.1666666666666664E-2</v>
      </c>
      <c r="K195">
        <f t="shared" si="6"/>
        <v>8.6206896551724137E-3</v>
      </c>
      <c r="L195">
        <f>IF(G195=0,1/(F195 - H195*Pram!$B$5 +Pram!$B$6)+Pram!$B$7,1/(F195+G195+Pram!$B$2))</f>
        <v>1.0695402298850574E-2</v>
      </c>
      <c r="M195">
        <f>(B195-J195-Pram!$I$2) * 2/120</f>
        <v>0.71597222222222223</v>
      </c>
      <c r="N195">
        <f>(1-L195-L195*Pram!$B$2)/L195</f>
        <v>106.29811929070394</v>
      </c>
      <c r="O195">
        <f>(M195-Pram!$B$17)/Pram!$B$16</f>
        <v>9.3301964196037656E-3</v>
      </c>
      <c r="P195">
        <f t="shared" si="7"/>
        <v>106.1788797392186</v>
      </c>
    </row>
    <row r="196" spans="1:16" hidden="1" x14ac:dyDescent="0.55000000000000004">
      <c r="A196" t="s">
        <v>217</v>
      </c>
      <c r="B196">
        <v>56</v>
      </c>
      <c r="C196">
        <v>638.5</v>
      </c>
      <c r="D196">
        <v>639</v>
      </c>
      <c r="E196">
        <v>14.53454</v>
      </c>
      <c r="F196">
        <v>116</v>
      </c>
      <c r="G196">
        <v>0</v>
      </c>
      <c r="H196">
        <v>1</v>
      </c>
      <c r="I196">
        <f>D196-Pram!$G$2</f>
        <v>9</v>
      </c>
      <c r="J196">
        <f>I196/Pram!$H$2</f>
        <v>0.75</v>
      </c>
      <c r="K196">
        <f t="shared" si="6"/>
        <v>8.6206896551724137E-3</v>
      </c>
      <c r="L196">
        <f>IF(G196=0,1/(F196 - H196*Pram!$B$5 +Pram!$B$6)+Pram!$B$7,1/(F196+G196+Pram!$B$2))</f>
        <v>1.0695402298850574E-2</v>
      </c>
      <c r="M196">
        <f>(B196-J196-Pram!$I$2) * 2/120</f>
        <v>0.72083333333333333</v>
      </c>
      <c r="N196">
        <f>(1-L196-L196*Pram!$B$2)/L196</f>
        <v>106.29811929070394</v>
      </c>
      <c r="O196">
        <f>(M196-Pram!$B$17)/Pram!$B$16</f>
        <v>9.4075582999130006E-3</v>
      </c>
      <c r="P196">
        <f t="shared" si="7"/>
        <v>105.29750761249578</v>
      </c>
    </row>
    <row r="197" spans="1:16" hidden="1" x14ac:dyDescent="0.55000000000000004">
      <c r="A197" t="s">
        <v>218</v>
      </c>
      <c r="B197">
        <v>56</v>
      </c>
      <c r="C197">
        <v>643.5</v>
      </c>
      <c r="D197">
        <v>634.5</v>
      </c>
      <c r="E197">
        <v>14.57748</v>
      </c>
      <c r="F197">
        <v>114</v>
      </c>
      <c r="G197">
        <v>0</v>
      </c>
      <c r="H197">
        <v>1</v>
      </c>
      <c r="I197">
        <f>D197-Pram!$G$2</f>
        <v>4.5</v>
      </c>
      <c r="J197">
        <f>I197/Pram!$H$2</f>
        <v>0.375</v>
      </c>
      <c r="K197">
        <f t="shared" si="6"/>
        <v>8.771929824561403E-3</v>
      </c>
      <c r="L197">
        <f>IF(G197=0,1/(F197 - H197*Pram!$B$5 +Pram!$B$6)+Pram!$B$7,1/(F197+G197+Pram!$B$2))</f>
        <v>1.0867681498829039E-2</v>
      </c>
      <c r="M197">
        <f>(B197-J197-Pram!$I$2) * 2/120</f>
        <v>0.7270833333333333</v>
      </c>
      <c r="N197">
        <f>(1-L197-L197*Pram!$B$2)/L197</f>
        <v>104.81594655748304</v>
      </c>
      <c r="O197">
        <f>(M197-Pram!$B$17)/Pram!$B$16</f>
        <v>9.5070235745963027E-3</v>
      </c>
      <c r="P197">
        <f t="shared" si="7"/>
        <v>104.18539184778061</v>
      </c>
    </row>
    <row r="198" spans="1:16" x14ac:dyDescent="0.55000000000000004">
      <c r="A198" t="s">
        <v>219</v>
      </c>
      <c r="B198">
        <v>57</v>
      </c>
      <c r="C198">
        <v>649.5</v>
      </c>
      <c r="D198">
        <v>642</v>
      </c>
      <c r="E198">
        <v>14.53454</v>
      </c>
      <c r="F198">
        <v>113</v>
      </c>
      <c r="G198">
        <v>0</v>
      </c>
      <c r="H198">
        <v>1</v>
      </c>
      <c r="I198">
        <f>D198-Pram!$G$2</f>
        <v>12</v>
      </c>
      <c r="J198">
        <f>I198/Pram!$H$2</f>
        <v>1</v>
      </c>
      <c r="K198">
        <f t="shared" si="6"/>
        <v>8.8495575221238937E-3</v>
      </c>
      <c r="L198">
        <f>IF(G198=0,1/(F198 - H198*Pram!$B$5 +Pram!$B$6)+Pram!$B$7,1/(F198+G198+Pram!$B$2))</f>
        <v>1.0956264775413711E-2</v>
      </c>
      <c r="M198">
        <f>(B198-J198-Pram!$I$2) * 2/120</f>
        <v>0.73333333333333328</v>
      </c>
      <c r="N198">
        <f>(1-L198-L198*Pram!$B$2)/L198</f>
        <v>104.07198187506744</v>
      </c>
      <c r="O198">
        <f>(M198-Pram!$B$17)/Pram!$B$16</f>
        <v>9.6064888492796048E-3</v>
      </c>
      <c r="P198">
        <f t="shared" si="7"/>
        <v>103.09630570434592</v>
      </c>
    </row>
    <row r="199" spans="1:16" hidden="1" x14ac:dyDescent="0.55000000000000004">
      <c r="A199" t="s">
        <v>220</v>
      </c>
      <c r="B199">
        <v>56</v>
      </c>
      <c r="C199">
        <v>637.5</v>
      </c>
      <c r="D199">
        <v>641</v>
      </c>
      <c r="E199">
        <v>14.53454</v>
      </c>
      <c r="F199">
        <v>117</v>
      </c>
      <c r="G199">
        <v>0</v>
      </c>
      <c r="H199">
        <v>1</v>
      </c>
      <c r="I199">
        <f>D199-Pram!$G$2</f>
        <v>11</v>
      </c>
      <c r="J199">
        <f>I199/Pram!$H$2</f>
        <v>0.91666666666666663</v>
      </c>
      <c r="K199">
        <f t="shared" si="6"/>
        <v>8.5470085470085479E-3</v>
      </c>
      <c r="L199">
        <f>IF(G199=0,1/(F199 - H199*Pram!$B$5 +Pram!$B$6)+Pram!$B$7,1/(F199+G199+Pram!$B$2))</f>
        <v>1.0611617312072892E-2</v>
      </c>
      <c r="M199">
        <f>(B199-J199-Pram!$I$2) * 2/120</f>
        <v>0.71805555555555556</v>
      </c>
      <c r="N199">
        <f>(1-L199-L199*Pram!$B$2)/L199</f>
        <v>107.03634217022648</v>
      </c>
      <c r="O199">
        <f>(M199-Pram!$B$17)/Pram!$B$16</f>
        <v>9.3633515111648663E-3</v>
      </c>
      <c r="P199">
        <f t="shared" si="7"/>
        <v>105.79936546306089</v>
      </c>
    </row>
    <row r="200" spans="1:16" hidden="1" x14ac:dyDescent="0.55000000000000004">
      <c r="A200" t="s">
        <v>221</v>
      </c>
      <c r="B200">
        <v>56</v>
      </c>
      <c r="C200">
        <v>644</v>
      </c>
      <c r="D200">
        <v>641</v>
      </c>
      <c r="E200">
        <v>9.2196400000000001</v>
      </c>
      <c r="F200">
        <v>116</v>
      </c>
      <c r="G200">
        <v>0</v>
      </c>
      <c r="H200">
        <v>1</v>
      </c>
      <c r="I200">
        <f>D200-Pram!$G$2</f>
        <v>11</v>
      </c>
      <c r="J200">
        <f>I200/Pram!$H$2</f>
        <v>0.91666666666666663</v>
      </c>
      <c r="K200">
        <f t="shared" si="6"/>
        <v>8.6206896551724137E-3</v>
      </c>
      <c r="L200">
        <f>IF(G200=0,1/(F200 - H200*Pram!$B$5 +Pram!$B$6)+Pram!$B$7,1/(F200+G200+Pram!$B$2))</f>
        <v>1.0695402298850574E-2</v>
      </c>
      <c r="M200">
        <f>(B200-J200-Pram!$I$2) * 2/120</f>
        <v>0.71805555555555556</v>
      </c>
      <c r="N200">
        <f>(1-L200-L200*Pram!$B$2)/L200</f>
        <v>106.29811929070394</v>
      </c>
      <c r="O200">
        <f>(M200-Pram!$B$17)/Pram!$B$16</f>
        <v>9.3633515111648663E-3</v>
      </c>
      <c r="P200">
        <f t="shared" si="7"/>
        <v>105.79936546306089</v>
      </c>
    </row>
    <row r="201" spans="1:16" hidden="1" x14ac:dyDescent="0.55000000000000004">
      <c r="A201" t="s">
        <v>222</v>
      </c>
      <c r="B201">
        <v>56</v>
      </c>
      <c r="C201">
        <v>640.5</v>
      </c>
      <c r="D201">
        <v>635.5</v>
      </c>
      <c r="E201">
        <v>14.57748</v>
      </c>
      <c r="F201">
        <v>114</v>
      </c>
      <c r="G201">
        <v>0</v>
      </c>
      <c r="H201">
        <v>1</v>
      </c>
      <c r="I201">
        <f>D201-Pram!$G$2</f>
        <v>5.5</v>
      </c>
      <c r="J201">
        <f>I201/Pram!$H$2</f>
        <v>0.45833333333333331</v>
      </c>
      <c r="K201">
        <f t="shared" si="6"/>
        <v>8.771929824561403E-3</v>
      </c>
      <c r="L201">
        <f>IF(G201=0,1/(F201 - H201*Pram!$B$5 +Pram!$B$6)+Pram!$B$7,1/(F201+G201+Pram!$B$2))</f>
        <v>1.0867681498829039E-2</v>
      </c>
      <c r="M201">
        <f>(B201-J201-Pram!$I$2) * 2/120</f>
        <v>0.72569444444444442</v>
      </c>
      <c r="N201">
        <f>(1-L201-L201*Pram!$B$2)/L201</f>
        <v>104.81594655748304</v>
      </c>
      <c r="O201">
        <f>(M201-Pram!$B$17)/Pram!$B$16</f>
        <v>9.4849201802222356E-3</v>
      </c>
      <c r="P201">
        <f t="shared" si="7"/>
        <v>104.43051296153021</v>
      </c>
    </row>
    <row r="202" spans="1:16" hidden="1" x14ac:dyDescent="0.55000000000000004">
      <c r="A202" t="s">
        <v>223</v>
      </c>
      <c r="B202">
        <v>57</v>
      </c>
      <c r="C202">
        <v>638.5</v>
      </c>
      <c r="D202">
        <v>642.5</v>
      </c>
      <c r="E202">
        <v>14.57748</v>
      </c>
      <c r="F202">
        <v>114</v>
      </c>
      <c r="G202">
        <v>0</v>
      </c>
      <c r="H202">
        <v>1</v>
      </c>
      <c r="I202">
        <f>D202-Pram!$G$2</f>
        <v>12.5</v>
      </c>
      <c r="J202">
        <f>I202/Pram!$H$2</f>
        <v>1.0416666666666667</v>
      </c>
      <c r="K202">
        <f t="shared" si="6"/>
        <v>8.771929824561403E-3</v>
      </c>
      <c r="L202">
        <f>IF(G202=0,1/(F202 - H202*Pram!$B$5 +Pram!$B$6)+Pram!$B$7,1/(F202+G202+Pram!$B$2))</f>
        <v>1.0867681498829039E-2</v>
      </c>
      <c r="M202">
        <f>(B202-J202-Pram!$I$2) * 2/120</f>
        <v>0.73263888888888895</v>
      </c>
      <c r="N202">
        <f>(1-L202-L202*Pram!$B$2)/L202</f>
        <v>104.81594655748304</v>
      </c>
      <c r="O202">
        <f>(M202-Pram!$B$17)/Pram!$B$16</f>
        <v>9.595437152092573E-3</v>
      </c>
      <c r="P202">
        <f t="shared" si="7"/>
        <v>103.21620027826664</v>
      </c>
    </row>
    <row r="203" spans="1:16" hidden="1" x14ac:dyDescent="0.55000000000000004">
      <c r="A203" t="s">
        <v>224</v>
      </c>
      <c r="B203">
        <v>56</v>
      </c>
      <c r="C203">
        <v>626.5</v>
      </c>
      <c r="D203">
        <v>633</v>
      </c>
      <c r="E203">
        <v>14.53454</v>
      </c>
      <c r="F203">
        <v>114</v>
      </c>
      <c r="G203">
        <v>0</v>
      </c>
      <c r="H203">
        <v>1</v>
      </c>
      <c r="I203">
        <f>D203-Pram!$G$2</f>
        <v>3</v>
      </c>
      <c r="J203">
        <f>I203/Pram!$H$2</f>
        <v>0.25</v>
      </c>
      <c r="K203">
        <f t="shared" si="6"/>
        <v>8.771929824561403E-3</v>
      </c>
      <c r="L203">
        <f>IF(G203=0,1/(F203 - H203*Pram!$B$5 +Pram!$B$6)+Pram!$B$7,1/(F203+G203+Pram!$B$2))</f>
        <v>1.0867681498829039E-2</v>
      </c>
      <c r="M203">
        <f>(B203-J203-Pram!$I$2) * 2/120</f>
        <v>0.72916666666666663</v>
      </c>
      <c r="N203">
        <f>(1-L203-L203*Pram!$B$2)/L203</f>
        <v>104.81594655748304</v>
      </c>
      <c r="O203">
        <f>(M203-Pram!$B$17)/Pram!$B$16</f>
        <v>9.5401786661574034E-3</v>
      </c>
      <c r="P203">
        <f t="shared" si="7"/>
        <v>103.81983985765126</v>
      </c>
    </row>
    <row r="204" spans="1:16" x14ac:dyDescent="0.55000000000000004">
      <c r="A204" t="s">
        <v>225</v>
      </c>
      <c r="B204">
        <v>60</v>
      </c>
      <c r="C204">
        <v>617</v>
      </c>
      <c r="D204">
        <v>667.5</v>
      </c>
      <c r="E204">
        <v>16.070260000000001</v>
      </c>
      <c r="F204">
        <v>112</v>
      </c>
      <c r="G204">
        <v>0</v>
      </c>
      <c r="H204">
        <v>1</v>
      </c>
      <c r="I204">
        <f>D204-Pram!$G$2</f>
        <v>37.5</v>
      </c>
      <c r="J204">
        <f>I204/Pram!$H$2</f>
        <v>3.125</v>
      </c>
      <c r="K204">
        <f t="shared" si="6"/>
        <v>8.9285714285714281E-3</v>
      </c>
      <c r="L204">
        <f>IF(G204=0,1/(F204 - H204*Pram!$B$5 +Pram!$B$6)+Pram!$B$7,1/(F204+G204+Pram!$B$2))</f>
        <v>1.104653937947494E-2</v>
      </c>
      <c r="M204">
        <f>(B204-J204-Pram!$I$2) * 2/120</f>
        <v>0.74791666666666667</v>
      </c>
      <c r="N204">
        <f>(1-L204-L204*Pram!$B$2)/L204</f>
        <v>103.3260883655612</v>
      </c>
      <c r="O204">
        <f>(M204-Pram!$B$17)/Pram!$B$16</f>
        <v>9.8385744902073115E-3</v>
      </c>
      <c r="P204">
        <f t="shared" si="7"/>
        <v>100.64074084058987</v>
      </c>
    </row>
    <row r="205" spans="1:16" x14ac:dyDescent="0.55000000000000004">
      <c r="A205" t="s">
        <v>226</v>
      </c>
      <c r="B205">
        <v>57</v>
      </c>
      <c r="C205">
        <v>628</v>
      </c>
      <c r="D205">
        <v>632</v>
      </c>
      <c r="E205">
        <v>14.035769999999999</v>
      </c>
      <c r="F205">
        <v>110</v>
      </c>
      <c r="G205">
        <v>0</v>
      </c>
      <c r="H205">
        <v>1</v>
      </c>
      <c r="I205">
        <f>D205-Pram!$G$2</f>
        <v>2</v>
      </c>
      <c r="J205">
        <f>I205/Pram!$H$2</f>
        <v>0.16666666666666666</v>
      </c>
      <c r="K205">
        <f t="shared" si="6"/>
        <v>9.0909090909090905E-3</v>
      </c>
      <c r="L205">
        <f>IF(G205=0,1/(F205 - H205*Pram!$B$5 +Pram!$B$6)+Pram!$B$7,1/(F205+G205+Pram!$B$2))</f>
        <v>1.1232360097323601E-2</v>
      </c>
      <c r="M205">
        <f>(B205-J205-Pram!$I$2) * 2/120</f>
        <v>0.74722222222222223</v>
      </c>
      <c r="N205">
        <f>(1-L205-L205*Pram!$B$2)/L205</f>
        <v>101.82848478284416</v>
      </c>
      <c r="O205">
        <f>(M205-Pram!$B$17)/Pram!$B$16</f>
        <v>9.8275227930202779E-3</v>
      </c>
      <c r="P205">
        <f t="shared" si="7"/>
        <v>100.75504255357433</v>
      </c>
    </row>
    <row r="206" spans="1:16" x14ac:dyDescent="0.55000000000000004">
      <c r="A206" t="s">
        <v>227</v>
      </c>
      <c r="B206">
        <v>57</v>
      </c>
      <c r="C206">
        <v>635.5</v>
      </c>
      <c r="D206">
        <v>638.5</v>
      </c>
      <c r="E206">
        <v>14.57748</v>
      </c>
      <c r="F206">
        <v>112</v>
      </c>
      <c r="G206">
        <v>0</v>
      </c>
      <c r="H206">
        <v>1</v>
      </c>
      <c r="I206">
        <f>D206-Pram!$G$2</f>
        <v>8.5</v>
      </c>
      <c r="J206">
        <f>I206/Pram!$H$2</f>
        <v>0.70833333333333337</v>
      </c>
      <c r="K206">
        <f t="shared" si="6"/>
        <v>8.9285714285714281E-3</v>
      </c>
      <c r="L206">
        <f>IF(G206=0,1/(F206 - H206*Pram!$B$5 +Pram!$B$6)+Pram!$B$7,1/(F206+G206+Pram!$B$2))</f>
        <v>1.104653937947494E-2</v>
      </c>
      <c r="M206">
        <f>(B206-J206-Pram!$I$2) * 2/120</f>
        <v>0.73819444444444438</v>
      </c>
      <c r="N206">
        <f>(1-L206-L206*Pram!$B$2)/L206</f>
        <v>103.3260883655612</v>
      </c>
      <c r="O206">
        <f>(M206-Pram!$B$17)/Pram!$B$16</f>
        <v>9.6838507295888398E-3</v>
      </c>
      <c r="P206">
        <f t="shared" si="7"/>
        <v>102.26470615088243</v>
      </c>
    </row>
    <row r="207" spans="1:16" x14ac:dyDescent="0.55000000000000004">
      <c r="A207" t="s">
        <v>228</v>
      </c>
      <c r="B207">
        <v>58</v>
      </c>
      <c r="C207">
        <v>620.5</v>
      </c>
      <c r="D207">
        <v>644</v>
      </c>
      <c r="E207">
        <v>15.53232</v>
      </c>
      <c r="F207">
        <v>111</v>
      </c>
      <c r="G207">
        <v>0</v>
      </c>
      <c r="H207">
        <v>1</v>
      </c>
      <c r="I207">
        <f>D207-Pram!$G$2</f>
        <v>14</v>
      </c>
      <c r="J207">
        <f>I207/Pram!$H$2</f>
        <v>1.1666666666666667</v>
      </c>
      <c r="K207">
        <f t="shared" si="6"/>
        <v>9.0090090090090089E-3</v>
      </c>
      <c r="L207">
        <f>IF(G207=0,1/(F207 - H207*Pram!$B$5 +Pram!$B$6)+Pram!$B$7,1/(F207+G207+Pram!$B$2))</f>
        <v>1.113855421686747E-2</v>
      </c>
      <c r="M207">
        <f>(B207-J207-Pram!$I$2) * 2/120</f>
        <v>0.74722222222222223</v>
      </c>
      <c r="N207">
        <f>(1-L207-L207*Pram!$B$2)/L207</f>
        <v>102.57825851811789</v>
      </c>
      <c r="O207">
        <f>(M207-Pram!$B$17)/Pram!$B$16</f>
        <v>9.8275227930202779E-3</v>
      </c>
      <c r="P207">
        <f t="shared" si="7"/>
        <v>100.75504255357433</v>
      </c>
    </row>
    <row r="208" spans="1:16" x14ac:dyDescent="0.55000000000000004">
      <c r="A208" t="s">
        <v>229</v>
      </c>
      <c r="B208">
        <v>57</v>
      </c>
      <c r="C208">
        <v>635</v>
      </c>
      <c r="D208">
        <v>639</v>
      </c>
      <c r="E208">
        <v>15.0334</v>
      </c>
      <c r="F208">
        <v>112</v>
      </c>
      <c r="G208">
        <v>0</v>
      </c>
      <c r="H208">
        <v>1</v>
      </c>
      <c r="I208">
        <f>D208-Pram!$G$2</f>
        <v>9</v>
      </c>
      <c r="J208">
        <f>I208/Pram!$H$2</f>
        <v>0.75</v>
      </c>
      <c r="K208">
        <f t="shared" si="6"/>
        <v>8.9285714285714281E-3</v>
      </c>
      <c r="L208">
        <f>IF(G208=0,1/(F208 - H208*Pram!$B$5 +Pram!$B$6)+Pram!$B$7,1/(F208+G208+Pram!$B$2))</f>
        <v>1.104653937947494E-2</v>
      </c>
      <c r="M208">
        <f>(B208-J208-Pram!$I$2) * 2/120</f>
        <v>0.73750000000000004</v>
      </c>
      <c r="N208">
        <f>(1-L208-L208*Pram!$B$2)/L208</f>
        <v>103.3260883655612</v>
      </c>
      <c r="O208">
        <f>(M208-Pram!$B$17)/Pram!$B$16</f>
        <v>9.672799032401808E-3</v>
      </c>
      <c r="P208">
        <f t="shared" si="7"/>
        <v>102.38269167489305</v>
      </c>
    </row>
    <row r="209" spans="1:16" x14ac:dyDescent="0.55000000000000004">
      <c r="A209" t="s">
        <v>230</v>
      </c>
      <c r="B209">
        <v>57</v>
      </c>
      <c r="C209">
        <v>658.9375</v>
      </c>
      <c r="D209">
        <v>632</v>
      </c>
      <c r="E209">
        <v>12.10398</v>
      </c>
      <c r="F209">
        <v>110</v>
      </c>
      <c r="G209">
        <v>0</v>
      </c>
      <c r="H209">
        <v>1</v>
      </c>
      <c r="I209">
        <f>D209-Pram!$G$2</f>
        <v>2</v>
      </c>
      <c r="J209">
        <f>I209/Pram!$H$2</f>
        <v>0.16666666666666666</v>
      </c>
      <c r="K209">
        <f t="shared" si="6"/>
        <v>9.0909090909090905E-3</v>
      </c>
      <c r="L209">
        <f>IF(G209=0,1/(F209 - H209*Pram!$B$5 +Pram!$B$6)+Pram!$B$7,1/(F209+G209+Pram!$B$2))</f>
        <v>1.1232360097323601E-2</v>
      </c>
      <c r="M209">
        <f>(B209-J209-Pram!$I$2) * 2/120</f>
        <v>0.74722222222222223</v>
      </c>
      <c r="N209">
        <f>(1-L209-L209*Pram!$B$2)/L209</f>
        <v>101.82848478284416</v>
      </c>
      <c r="O209">
        <f>(M209-Pram!$B$17)/Pram!$B$16</f>
        <v>9.8275227930202779E-3</v>
      </c>
      <c r="P209">
        <f t="shared" si="7"/>
        <v>100.75504255357433</v>
      </c>
    </row>
    <row r="210" spans="1:16" x14ac:dyDescent="0.55000000000000004">
      <c r="A210" t="s">
        <v>231</v>
      </c>
      <c r="B210">
        <v>57</v>
      </c>
      <c r="C210">
        <v>643.5</v>
      </c>
      <c r="D210">
        <v>637.5</v>
      </c>
      <c r="E210">
        <v>4.7435200000000002</v>
      </c>
      <c r="F210">
        <v>112</v>
      </c>
      <c r="G210">
        <v>0</v>
      </c>
      <c r="H210">
        <v>1</v>
      </c>
      <c r="I210">
        <f>D210-Pram!$G$2</f>
        <v>7.5</v>
      </c>
      <c r="J210">
        <f>I210/Pram!$H$2</f>
        <v>0.625</v>
      </c>
      <c r="K210">
        <f t="shared" si="6"/>
        <v>8.9285714285714281E-3</v>
      </c>
      <c r="L210">
        <f>IF(G210=0,1/(F210 - H210*Pram!$B$5 +Pram!$B$6)+Pram!$B$7,1/(F210+G210+Pram!$B$2))</f>
        <v>1.104653937947494E-2</v>
      </c>
      <c r="M210">
        <f>(B210-J210-Pram!$I$2) * 2/120</f>
        <v>0.73958333333333337</v>
      </c>
      <c r="N210">
        <f>(1-L210-L210*Pram!$B$2)/L210</f>
        <v>103.3260883655612</v>
      </c>
      <c r="O210">
        <f>(M210-Pram!$B$17)/Pram!$B$16</f>
        <v>9.7059541239629087E-3</v>
      </c>
      <c r="P210">
        <f t="shared" si="7"/>
        <v>102.02954116907605</v>
      </c>
    </row>
    <row r="211" spans="1:16" x14ac:dyDescent="0.55000000000000004">
      <c r="A211" t="s">
        <v>232</v>
      </c>
      <c r="B211">
        <v>57</v>
      </c>
      <c r="C211">
        <v>649.5</v>
      </c>
      <c r="D211">
        <v>638.5</v>
      </c>
      <c r="E211">
        <v>14.57748</v>
      </c>
      <c r="F211">
        <v>112</v>
      </c>
      <c r="G211">
        <v>0</v>
      </c>
      <c r="H211">
        <v>1</v>
      </c>
      <c r="I211">
        <f>D211-Pram!$G$2</f>
        <v>8.5</v>
      </c>
      <c r="J211">
        <f>I211/Pram!$H$2</f>
        <v>0.70833333333333337</v>
      </c>
      <c r="K211">
        <f t="shared" ref="K211:K274" si="8">1/(F211+G211)</f>
        <v>8.9285714285714281E-3</v>
      </c>
      <c r="L211">
        <f>IF(G211=0,1/(F211 - H211*Pram!$B$5 +Pram!$B$6)+Pram!$B$7,1/(F211+G211+Pram!$B$2))</f>
        <v>1.104653937947494E-2</v>
      </c>
      <c r="M211">
        <f>(B211-J211-Pram!$I$2) * 2/120</f>
        <v>0.73819444444444438</v>
      </c>
      <c r="N211">
        <f>(1-L211-L211*Pram!$B$2)/L211</f>
        <v>103.3260883655612</v>
      </c>
      <c r="O211">
        <f>(M211-Pram!$B$17)/Pram!$B$16</f>
        <v>9.6838507295888398E-3</v>
      </c>
      <c r="P211">
        <f t="shared" ref="P211:P274" si="9">(1-O211)/O211</f>
        <v>102.26470615088243</v>
      </c>
    </row>
    <row r="212" spans="1:16" x14ac:dyDescent="0.55000000000000004">
      <c r="A212" t="s">
        <v>233</v>
      </c>
      <c r="B212">
        <v>58</v>
      </c>
      <c r="C212">
        <v>639</v>
      </c>
      <c r="D212">
        <v>642</v>
      </c>
      <c r="E212">
        <v>15.0334</v>
      </c>
      <c r="F212">
        <v>110</v>
      </c>
      <c r="G212">
        <v>0</v>
      </c>
      <c r="H212">
        <v>1</v>
      </c>
      <c r="I212">
        <f>D212-Pram!$G$2</f>
        <v>12</v>
      </c>
      <c r="J212">
        <f>I212/Pram!$H$2</f>
        <v>1</v>
      </c>
      <c r="K212">
        <f t="shared" si="8"/>
        <v>9.0909090909090905E-3</v>
      </c>
      <c r="L212">
        <f>IF(G212=0,1/(F212 - H212*Pram!$B$5 +Pram!$B$6)+Pram!$B$7,1/(F212+G212+Pram!$B$2))</f>
        <v>1.1232360097323601E-2</v>
      </c>
      <c r="M212">
        <f>(B212-J212-Pram!$I$2) * 2/120</f>
        <v>0.75</v>
      </c>
      <c r="N212">
        <f>(1-L212-L212*Pram!$B$2)/L212</f>
        <v>101.82848478284416</v>
      </c>
      <c r="O212">
        <f>(M212-Pram!$B$17)/Pram!$B$16</f>
        <v>9.8717295817684122E-3</v>
      </c>
      <c r="P212">
        <f t="shared" si="9"/>
        <v>100.29937127196519</v>
      </c>
    </row>
    <row r="213" spans="1:16" x14ac:dyDescent="0.55000000000000004">
      <c r="A213" t="s">
        <v>234</v>
      </c>
      <c r="B213">
        <v>57</v>
      </c>
      <c r="C213">
        <v>624</v>
      </c>
      <c r="D213">
        <v>639</v>
      </c>
      <c r="E213">
        <v>15.0334</v>
      </c>
      <c r="F213">
        <v>112</v>
      </c>
      <c r="G213">
        <v>0</v>
      </c>
      <c r="H213">
        <v>1</v>
      </c>
      <c r="I213">
        <f>D213-Pram!$G$2</f>
        <v>9</v>
      </c>
      <c r="J213">
        <f>I213/Pram!$H$2</f>
        <v>0.75</v>
      </c>
      <c r="K213">
        <f t="shared" si="8"/>
        <v>8.9285714285714281E-3</v>
      </c>
      <c r="L213">
        <f>IF(G213=0,1/(F213 - H213*Pram!$B$5 +Pram!$B$6)+Pram!$B$7,1/(F213+G213+Pram!$B$2))</f>
        <v>1.104653937947494E-2</v>
      </c>
      <c r="M213">
        <f>(B213-J213-Pram!$I$2) * 2/120</f>
        <v>0.73750000000000004</v>
      </c>
      <c r="N213">
        <f>(1-L213-L213*Pram!$B$2)/L213</f>
        <v>103.3260883655612</v>
      </c>
      <c r="O213">
        <f>(M213-Pram!$B$17)/Pram!$B$16</f>
        <v>9.672799032401808E-3</v>
      </c>
      <c r="P213">
        <f t="shared" si="9"/>
        <v>102.38269167489305</v>
      </c>
    </row>
    <row r="214" spans="1:16" x14ac:dyDescent="0.55000000000000004">
      <c r="A214" t="s">
        <v>235</v>
      </c>
      <c r="B214">
        <v>57</v>
      </c>
      <c r="C214">
        <v>629</v>
      </c>
      <c r="D214">
        <v>636.5</v>
      </c>
      <c r="E214">
        <v>8.3816299999999995</v>
      </c>
      <c r="F214">
        <v>111</v>
      </c>
      <c r="G214">
        <v>0</v>
      </c>
      <c r="H214">
        <v>1</v>
      </c>
      <c r="I214">
        <f>D214-Pram!$G$2</f>
        <v>6.5</v>
      </c>
      <c r="J214">
        <f>I214/Pram!$H$2</f>
        <v>0.54166666666666663</v>
      </c>
      <c r="K214">
        <f t="shared" si="8"/>
        <v>9.0090090090090089E-3</v>
      </c>
      <c r="L214">
        <f>IF(G214=0,1/(F214 - H214*Pram!$B$5 +Pram!$B$6)+Pram!$B$7,1/(F214+G214+Pram!$B$2))</f>
        <v>1.113855421686747E-2</v>
      </c>
      <c r="M214">
        <f>(B214-J214-Pram!$I$2) * 2/120</f>
        <v>0.74097222222222225</v>
      </c>
      <c r="N214">
        <f>(1-L214-L214*Pram!$B$2)/L214</f>
        <v>102.57825851811789</v>
      </c>
      <c r="O214">
        <f>(M214-Pram!$B$17)/Pram!$B$16</f>
        <v>9.7280575183369758E-3</v>
      </c>
      <c r="P214">
        <f t="shared" si="9"/>
        <v>101.79544483727018</v>
      </c>
    </row>
    <row r="215" spans="1:16" x14ac:dyDescent="0.55000000000000004">
      <c r="A215" t="s">
        <v>236</v>
      </c>
      <c r="B215">
        <v>57</v>
      </c>
      <c r="C215">
        <v>647</v>
      </c>
      <c r="D215">
        <v>636</v>
      </c>
      <c r="E215">
        <v>15.0334</v>
      </c>
      <c r="F215">
        <v>111</v>
      </c>
      <c r="G215">
        <v>0</v>
      </c>
      <c r="H215">
        <v>1</v>
      </c>
      <c r="I215">
        <f>D215-Pram!$G$2</f>
        <v>6</v>
      </c>
      <c r="J215">
        <f>I215/Pram!$H$2</f>
        <v>0.5</v>
      </c>
      <c r="K215">
        <f t="shared" si="8"/>
        <v>9.0090090090090089E-3</v>
      </c>
      <c r="L215">
        <f>IF(G215=0,1/(F215 - H215*Pram!$B$5 +Pram!$B$6)+Pram!$B$7,1/(F215+G215+Pram!$B$2))</f>
        <v>1.113855421686747E-2</v>
      </c>
      <c r="M215">
        <f>(B215-J215-Pram!$I$2) * 2/120</f>
        <v>0.7416666666666667</v>
      </c>
      <c r="N215">
        <f>(1-L215-L215*Pram!$B$2)/L215</f>
        <v>102.57825851811789</v>
      </c>
      <c r="O215">
        <f>(M215-Pram!$B$17)/Pram!$B$16</f>
        <v>9.7391092155240094E-3</v>
      </c>
      <c r="P215">
        <f t="shared" si="9"/>
        <v>101.67879514134756</v>
      </c>
    </row>
    <row r="216" spans="1:16" x14ac:dyDescent="0.55000000000000004">
      <c r="A216" t="s">
        <v>237</v>
      </c>
      <c r="B216">
        <v>57</v>
      </c>
      <c r="C216">
        <v>632</v>
      </c>
      <c r="D216">
        <v>632</v>
      </c>
      <c r="E216">
        <v>11.180440000000001</v>
      </c>
      <c r="F216">
        <v>110</v>
      </c>
      <c r="G216">
        <v>0</v>
      </c>
      <c r="H216">
        <v>1</v>
      </c>
      <c r="I216">
        <f>D216-Pram!$G$2</f>
        <v>2</v>
      </c>
      <c r="J216">
        <f>I216/Pram!$H$2</f>
        <v>0.16666666666666666</v>
      </c>
      <c r="K216">
        <f t="shared" si="8"/>
        <v>9.0909090909090905E-3</v>
      </c>
      <c r="L216">
        <f>IF(G216=0,1/(F216 - H216*Pram!$B$5 +Pram!$B$6)+Pram!$B$7,1/(F216+G216+Pram!$B$2))</f>
        <v>1.1232360097323601E-2</v>
      </c>
      <c r="M216">
        <f>(B216-J216-Pram!$I$2) * 2/120</f>
        <v>0.74722222222222223</v>
      </c>
      <c r="N216">
        <f>(1-L216-L216*Pram!$B$2)/L216</f>
        <v>101.82848478284416</v>
      </c>
      <c r="O216">
        <f>(M216-Pram!$B$17)/Pram!$B$16</f>
        <v>9.8275227930202779E-3</v>
      </c>
      <c r="P216">
        <f t="shared" si="9"/>
        <v>100.75504255357433</v>
      </c>
    </row>
    <row r="217" spans="1:16" x14ac:dyDescent="0.55000000000000004">
      <c r="A217" t="s">
        <v>238</v>
      </c>
      <c r="B217">
        <v>57</v>
      </c>
      <c r="C217">
        <v>629.5</v>
      </c>
      <c r="D217">
        <v>639</v>
      </c>
      <c r="E217">
        <v>14.53454</v>
      </c>
      <c r="F217">
        <v>112</v>
      </c>
      <c r="G217">
        <v>0</v>
      </c>
      <c r="H217">
        <v>1</v>
      </c>
      <c r="I217">
        <f>D217-Pram!$G$2</f>
        <v>9</v>
      </c>
      <c r="J217">
        <f>I217/Pram!$H$2</f>
        <v>0.75</v>
      </c>
      <c r="K217">
        <f t="shared" si="8"/>
        <v>8.9285714285714281E-3</v>
      </c>
      <c r="L217">
        <f>IF(G217=0,1/(F217 - H217*Pram!$B$5 +Pram!$B$6)+Pram!$B$7,1/(F217+G217+Pram!$B$2))</f>
        <v>1.104653937947494E-2</v>
      </c>
      <c r="M217">
        <f>(B217-J217-Pram!$I$2) * 2/120</f>
        <v>0.73750000000000004</v>
      </c>
      <c r="N217">
        <f>(1-L217-L217*Pram!$B$2)/L217</f>
        <v>103.3260883655612</v>
      </c>
      <c r="O217">
        <f>(M217-Pram!$B$17)/Pram!$B$16</f>
        <v>9.672799032401808E-3</v>
      </c>
      <c r="P217">
        <f t="shared" si="9"/>
        <v>102.38269167489305</v>
      </c>
    </row>
    <row r="218" spans="1:16" hidden="1" x14ac:dyDescent="0.55000000000000004">
      <c r="A218" t="s">
        <v>239</v>
      </c>
      <c r="B218">
        <v>58</v>
      </c>
      <c r="C218">
        <v>647.5</v>
      </c>
      <c r="D218">
        <v>635.5</v>
      </c>
      <c r="E218">
        <v>6.04162</v>
      </c>
      <c r="F218">
        <v>108</v>
      </c>
      <c r="G218">
        <v>0</v>
      </c>
      <c r="H218">
        <v>1</v>
      </c>
      <c r="I218">
        <f>D218-Pram!$G$2</f>
        <v>5.5</v>
      </c>
      <c r="J218">
        <f>I218/Pram!$H$2</f>
        <v>0.45833333333333331</v>
      </c>
      <c r="K218">
        <f t="shared" si="8"/>
        <v>9.2592592592592587E-3</v>
      </c>
      <c r="L218">
        <f>IF(G218=0,1/(F218 - H218*Pram!$B$5 +Pram!$B$6)+Pram!$B$7,1/(F218+G218+Pram!$B$2))</f>
        <v>1.1425558312655086E-2</v>
      </c>
      <c r="M218">
        <f>(B218-J218-Pram!$I$2) * 2/120</f>
        <v>0.75902777777777775</v>
      </c>
      <c r="N218">
        <f>(1-L218-L218*Pram!$B$2)/L218</f>
        <v>100.3230752524704</v>
      </c>
      <c r="O218">
        <f>(M218-Pram!$B$17)/Pram!$B$16</f>
        <v>1.0015401645199849E-2</v>
      </c>
      <c r="P218">
        <f t="shared" si="9"/>
        <v>98.846220393894725</v>
      </c>
    </row>
    <row r="219" spans="1:16" hidden="1" x14ac:dyDescent="0.55000000000000004">
      <c r="A219" t="s">
        <v>240</v>
      </c>
      <c r="B219">
        <v>58</v>
      </c>
      <c r="C219">
        <v>637.5</v>
      </c>
      <c r="D219">
        <v>630.5</v>
      </c>
      <c r="E219">
        <v>6.9642900000000001</v>
      </c>
      <c r="F219">
        <v>106</v>
      </c>
      <c r="G219">
        <v>0</v>
      </c>
      <c r="H219">
        <v>1</v>
      </c>
      <c r="I219">
        <f>D219-Pram!$G$2</f>
        <v>0.5</v>
      </c>
      <c r="J219">
        <f>I219/Pram!$H$2</f>
        <v>4.1666666666666664E-2</v>
      </c>
      <c r="K219">
        <f t="shared" si="8"/>
        <v>9.433962264150943E-3</v>
      </c>
      <c r="L219">
        <f>IF(G219=0,1/(F219 - H219*Pram!$B$5 +Pram!$B$6)+Pram!$B$7,1/(F219+G219+Pram!$B$2))</f>
        <v>1.1626582278481012E-2</v>
      </c>
      <c r="M219">
        <f>(B219-J219-Pram!$I$2) * 2/120</f>
        <v>0.76597222222222228</v>
      </c>
      <c r="N219">
        <f>(1-L219-L219*Pram!$B$2)/L219</f>
        <v>98.809798584648888</v>
      </c>
      <c r="O219">
        <f>(M219-Pram!$B$17)/Pram!$B$16</f>
        <v>1.0125918617070186E-2</v>
      </c>
      <c r="P219">
        <f t="shared" si="9"/>
        <v>97.756472159889626</v>
      </c>
    </row>
    <row r="220" spans="1:16" hidden="1" x14ac:dyDescent="0.55000000000000004">
      <c r="A220" t="s">
        <v>241</v>
      </c>
      <c r="B220">
        <v>58</v>
      </c>
      <c r="C220">
        <v>645.44000000000005</v>
      </c>
      <c r="D220">
        <v>632</v>
      </c>
      <c r="E220">
        <v>12.59984</v>
      </c>
      <c r="F220">
        <v>106</v>
      </c>
      <c r="G220">
        <v>0</v>
      </c>
      <c r="H220">
        <v>1</v>
      </c>
      <c r="I220">
        <f>D220-Pram!$G$2</f>
        <v>2</v>
      </c>
      <c r="J220">
        <f>I220/Pram!$H$2</f>
        <v>0.16666666666666666</v>
      </c>
      <c r="K220">
        <f t="shared" si="8"/>
        <v>9.433962264150943E-3</v>
      </c>
      <c r="L220">
        <f>IF(G220=0,1/(F220 - H220*Pram!$B$5 +Pram!$B$6)+Pram!$B$7,1/(F220+G220+Pram!$B$2))</f>
        <v>1.1626582278481012E-2</v>
      </c>
      <c r="M220">
        <f>(B220-J220-Pram!$I$2) * 2/120</f>
        <v>0.76388888888888895</v>
      </c>
      <c r="N220">
        <f>(1-L220-L220*Pram!$B$2)/L220</f>
        <v>98.809798584648888</v>
      </c>
      <c r="O220">
        <f>(M220-Pram!$B$17)/Pram!$B$16</f>
        <v>1.0092763525509085E-2</v>
      </c>
      <c r="P220">
        <f t="shared" si="9"/>
        <v>98.080890726562373</v>
      </c>
    </row>
    <row r="221" spans="1:16" hidden="1" x14ac:dyDescent="0.55000000000000004">
      <c r="A221" t="s">
        <v>242</v>
      </c>
      <c r="B221">
        <v>58</v>
      </c>
      <c r="C221">
        <v>650</v>
      </c>
      <c r="D221">
        <v>634.5</v>
      </c>
      <c r="E221">
        <v>14.08023</v>
      </c>
      <c r="F221">
        <v>107</v>
      </c>
      <c r="G221">
        <v>0</v>
      </c>
      <c r="H221">
        <v>1</v>
      </c>
      <c r="I221">
        <f>D221-Pram!$G$2</f>
        <v>4.5</v>
      </c>
      <c r="J221">
        <f>I221/Pram!$H$2</f>
        <v>0.375</v>
      </c>
      <c r="K221">
        <f t="shared" si="8"/>
        <v>9.3457943925233638E-3</v>
      </c>
      <c r="L221">
        <f>IF(G221=0,1/(F221 - H221*Pram!$B$5 +Pram!$B$6)+Pram!$B$7,1/(F221+G221+Pram!$B$2))</f>
        <v>1.1525062656641603E-2</v>
      </c>
      <c r="M221">
        <f>(B221-J221-Pram!$I$2) * 2/120</f>
        <v>0.76041666666666663</v>
      </c>
      <c r="N221">
        <f>(1-L221-L221*Pram!$B$2)/L221</f>
        <v>99.567424160052198</v>
      </c>
      <c r="O221">
        <f>(M221-Pram!$B$17)/Pram!$B$16</f>
        <v>1.0037505039573916E-2</v>
      </c>
      <c r="P221">
        <f t="shared" si="9"/>
        <v>98.62635097640252</v>
      </c>
    </row>
    <row r="222" spans="1:16" hidden="1" x14ac:dyDescent="0.55000000000000004">
      <c r="A222" t="s">
        <v>243</v>
      </c>
      <c r="B222">
        <v>59</v>
      </c>
      <c r="C222">
        <v>633.5</v>
      </c>
      <c r="D222">
        <v>643.5</v>
      </c>
      <c r="E222">
        <v>14.57748</v>
      </c>
      <c r="F222">
        <v>107</v>
      </c>
      <c r="G222">
        <v>0</v>
      </c>
      <c r="H222">
        <v>1</v>
      </c>
      <c r="I222">
        <f>D222-Pram!$G$2</f>
        <v>13.5</v>
      </c>
      <c r="J222">
        <f>I222/Pram!$H$2</f>
        <v>1.125</v>
      </c>
      <c r="K222">
        <f t="shared" si="8"/>
        <v>9.3457943925233638E-3</v>
      </c>
      <c r="L222">
        <f>IF(G222=0,1/(F222 - H222*Pram!$B$5 +Pram!$B$6)+Pram!$B$7,1/(F222+G222+Pram!$B$2))</f>
        <v>1.1525062656641603E-2</v>
      </c>
      <c r="M222">
        <f>(B222-J222-Pram!$I$2) * 2/120</f>
        <v>0.76458333333333328</v>
      </c>
      <c r="N222">
        <f>(1-L222-L222*Pram!$B$2)/L222</f>
        <v>99.567424160052198</v>
      </c>
      <c r="O222">
        <f>(M222-Pram!$B$17)/Pram!$B$16</f>
        <v>1.0103815222696117E-2</v>
      </c>
      <c r="P222">
        <f t="shared" si="9"/>
        <v>97.972514635234845</v>
      </c>
    </row>
    <row r="223" spans="1:16" hidden="1" x14ac:dyDescent="0.55000000000000004">
      <c r="A223" t="s">
        <v>244</v>
      </c>
      <c r="B223">
        <v>58</v>
      </c>
      <c r="C223">
        <v>639</v>
      </c>
      <c r="D223">
        <v>630.5</v>
      </c>
      <c r="E223">
        <v>9.1242400000000004</v>
      </c>
      <c r="F223">
        <v>106</v>
      </c>
      <c r="G223">
        <v>0</v>
      </c>
      <c r="H223">
        <v>1</v>
      </c>
      <c r="I223">
        <f>D223-Pram!$G$2</f>
        <v>0.5</v>
      </c>
      <c r="J223">
        <f>I223/Pram!$H$2</f>
        <v>4.1666666666666664E-2</v>
      </c>
      <c r="K223">
        <f t="shared" si="8"/>
        <v>9.433962264150943E-3</v>
      </c>
      <c r="L223">
        <f>IF(G223=0,1/(F223 - H223*Pram!$B$5 +Pram!$B$6)+Pram!$B$7,1/(F223+G223+Pram!$B$2))</f>
        <v>1.1626582278481012E-2</v>
      </c>
      <c r="M223">
        <f>(B223-J223-Pram!$I$2) * 2/120</f>
        <v>0.76597222222222228</v>
      </c>
      <c r="N223">
        <f>(1-L223-L223*Pram!$B$2)/L223</f>
        <v>98.809798584648888</v>
      </c>
      <c r="O223">
        <f>(M223-Pram!$B$17)/Pram!$B$16</f>
        <v>1.0125918617070186E-2</v>
      </c>
      <c r="P223">
        <f t="shared" si="9"/>
        <v>97.756472159889626</v>
      </c>
    </row>
    <row r="224" spans="1:16" hidden="1" x14ac:dyDescent="0.55000000000000004">
      <c r="A224" t="s">
        <v>245</v>
      </c>
      <c r="B224">
        <v>58</v>
      </c>
      <c r="C224">
        <v>641</v>
      </c>
      <c r="D224">
        <v>631</v>
      </c>
      <c r="E224">
        <v>11.180440000000001</v>
      </c>
      <c r="F224">
        <v>106</v>
      </c>
      <c r="G224">
        <v>0</v>
      </c>
      <c r="H224">
        <v>1</v>
      </c>
      <c r="I224">
        <f>D224-Pram!$G$2</f>
        <v>1</v>
      </c>
      <c r="J224">
        <f>I224/Pram!$H$2</f>
        <v>8.3333333333333329E-2</v>
      </c>
      <c r="K224">
        <f t="shared" si="8"/>
        <v>9.433962264150943E-3</v>
      </c>
      <c r="L224">
        <f>IF(G224=0,1/(F224 - H224*Pram!$B$5 +Pram!$B$6)+Pram!$B$7,1/(F224+G224+Pram!$B$2))</f>
        <v>1.1626582278481012E-2</v>
      </c>
      <c r="M224">
        <f>(B224-J224-Pram!$I$2) * 2/120</f>
        <v>0.76527777777777772</v>
      </c>
      <c r="N224">
        <f>(1-L224-L224*Pram!$B$2)/L224</f>
        <v>98.809798584648888</v>
      </c>
      <c r="O224">
        <f>(M224-Pram!$B$17)/Pram!$B$16</f>
        <v>1.0114866919883151E-2</v>
      </c>
      <c r="P224">
        <f t="shared" si="9"/>
        <v>97.864375371490524</v>
      </c>
    </row>
    <row r="225" spans="1:16" hidden="1" x14ac:dyDescent="0.55000000000000004">
      <c r="A225" t="s">
        <v>246</v>
      </c>
      <c r="B225">
        <v>58</v>
      </c>
      <c r="C225">
        <v>633.5</v>
      </c>
      <c r="D225">
        <v>638</v>
      </c>
      <c r="E225">
        <v>7.7621900000000004</v>
      </c>
      <c r="F225">
        <v>108</v>
      </c>
      <c r="G225">
        <v>0</v>
      </c>
      <c r="H225">
        <v>1</v>
      </c>
      <c r="I225">
        <f>D225-Pram!$G$2</f>
        <v>8</v>
      </c>
      <c r="J225">
        <f>I225/Pram!$H$2</f>
        <v>0.66666666666666663</v>
      </c>
      <c r="K225">
        <f t="shared" si="8"/>
        <v>9.2592592592592587E-3</v>
      </c>
      <c r="L225">
        <f>IF(G225=0,1/(F225 - H225*Pram!$B$5 +Pram!$B$6)+Pram!$B$7,1/(F225+G225+Pram!$B$2))</f>
        <v>1.1425558312655086E-2</v>
      </c>
      <c r="M225">
        <f>(B225-J225-Pram!$I$2) * 2/120</f>
        <v>0.75555555555555565</v>
      </c>
      <c r="N225">
        <f>(1-L225-L225*Pram!$B$2)/L225</f>
        <v>100.3230752524704</v>
      </c>
      <c r="O225">
        <f>(M225-Pram!$B$17)/Pram!$B$16</f>
        <v>9.9601431592646825E-3</v>
      </c>
      <c r="P225">
        <f t="shared" si="9"/>
        <v>99.400163331972237</v>
      </c>
    </row>
    <row r="226" spans="1:16" hidden="1" x14ac:dyDescent="0.55000000000000004">
      <c r="A226" t="s">
        <v>247</v>
      </c>
      <c r="B226">
        <v>58</v>
      </c>
      <c r="C226">
        <v>641</v>
      </c>
      <c r="D226">
        <v>637</v>
      </c>
      <c r="E226">
        <v>15.0334</v>
      </c>
      <c r="F226">
        <v>108</v>
      </c>
      <c r="G226">
        <v>0</v>
      </c>
      <c r="H226">
        <v>1</v>
      </c>
      <c r="I226">
        <f>D226-Pram!$G$2</f>
        <v>7</v>
      </c>
      <c r="J226">
        <f>I226/Pram!$H$2</f>
        <v>0.58333333333333337</v>
      </c>
      <c r="K226">
        <f t="shared" si="8"/>
        <v>9.2592592592592587E-3</v>
      </c>
      <c r="L226">
        <f>IF(G226=0,1/(F226 - H226*Pram!$B$5 +Pram!$B$6)+Pram!$B$7,1/(F226+G226+Pram!$B$2))</f>
        <v>1.1425558312655086E-2</v>
      </c>
      <c r="M226">
        <f>(B226-J226-Pram!$I$2) * 2/120</f>
        <v>0.75694444444444442</v>
      </c>
      <c r="N226">
        <f>(1-L226-L226*Pram!$B$2)/L226</f>
        <v>100.3230752524704</v>
      </c>
      <c r="O226">
        <f>(M226-Pram!$B$17)/Pram!$B$16</f>
        <v>9.9822465536387479E-3</v>
      </c>
      <c r="P226">
        <f t="shared" si="9"/>
        <v>99.177850209027156</v>
      </c>
    </row>
    <row r="227" spans="1:16" hidden="1" x14ac:dyDescent="0.55000000000000004">
      <c r="A227" t="s">
        <v>248</v>
      </c>
      <c r="B227">
        <v>59</v>
      </c>
      <c r="C227">
        <v>642.5</v>
      </c>
      <c r="D227">
        <v>645.5</v>
      </c>
      <c r="E227">
        <v>13.58318</v>
      </c>
      <c r="F227">
        <v>108</v>
      </c>
      <c r="G227">
        <v>0</v>
      </c>
      <c r="H227">
        <v>1</v>
      </c>
      <c r="I227">
        <f>D227-Pram!$G$2</f>
        <v>15.5</v>
      </c>
      <c r="J227">
        <f>I227/Pram!$H$2</f>
        <v>1.2916666666666667</v>
      </c>
      <c r="K227">
        <f t="shared" si="8"/>
        <v>9.2592592592592587E-3</v>
      </c>
      <c r="L227">
        <f>IF(G227=0,1/(F227 - H227*Pram!$B$5 +Pram!$B$6)+Pram!$B$7,1/(F227+G227+Pram!$B$2))</f>
        <v>1.1425558312655086E-2</v>
      </c>
      <c r="M227">
        <f>(B227-J227-Pram!$I$2) * 2/120</f>
        <v>0.76180555555555562</v>
      </c>
      <c r="N227">
        <f>(1-L227-L227*Pram!$B$2)/L227</f>
        <v>100.3230752524704</v>
      </c>
      <c r="O227">
        <f>(M227-Pram!$B$17)/Pram!$B$16</f>
        <v>1.0059608433947985E-2</v>
      </c>
      <c r="P227">
        <f t="shared" si="9"/>
        <v>98.407447771557145</v>
      </c>
    </row>
    <row r="228" spans="1:16" hidden="1" x14ac:dyDescent="0.55000000000000004">
      <c r="A228" t="s">
        <v>249</v>
      </c>
      <c r="B228">
        <v>59</v>
      </c>
      <c r="C228">
        <v>639.5</v>
      </c>
      <c r="D228">
        <v>641</v>
      </c>
      <c r="E228">
        <v>14.53454</v>
      </c>
      <c r="F228">
        <v>106</v>
      </c>
      <c r="G228">
        <v>0</v>
      </c>
      <c r="H228">
        <v>1</v>
      </c>
      <c r="I228">
        <f>D228-Pram!$G$2</f>
        <v>11</v>
      </c>
      <c r="J228">
        <f>I228/Pram!$H$2</f>
        <v>0.91666666666666663</v>
      </c>
      <c r="K228">
        <f t="shared" si="8"/>
        <v>9.433962264150943E-3</v>
      </c>
      <c r="L228">
        <f>IF(G228=0,1/(F228 - H228*Pram!$B$5 +Pram!$B$6)+Pram!$B$7,1/(F228+G228+Pram!$B$2))</f>
        <v>1.1626582278481012E-2</v>
      </c>
      <c r="M228">
        <f>(B228-J228-Pram!$I$2) * 2/120</f>
        <v>0.7680555555555556</v>
      </c>
      <c r="N228">
        <f>(1-L228-L228*Pram!$B$2)/L228</f>
        <v>98.809798584648888</v>
      </c>
      <c r="O228">
        <f>(M228-Pram!$B$17)/Pram!$B$16</f>
        <v>1.0159073708631287E-2</v>
      </c>
      <c r="P228">
        <f t="shared" si="9"/>
        <v>97.434171134164174</v>
      </c>
    </row>
    <row r="229" spans="1:16" hidden="1" x14ac:dyDescent="0.55000000000000004">
      <c r="A229" t="s">
        <v>250</v>
      </c>
      <c r="B229">
        <v>59</v>
      </c>
      <c r="C229">
        <v>651.5</v>
      </c>
      <c r="D229">
        <v>630</v>
      </c>
      <c r="E229">
        <v>10.688879999999999</v>
      </c>
      <c r="F229">
        <v>102</v>
      </c>
      <c r="G229">
        <v>0</v>
      </c>
      <c r="H229">
        <v>1</v>
      </c>
      <c r="I229">
        <f>D229-Pram!$G$2</f>
        <v>0</v>
      </c>
      <c r="J229">
        <f>I229/Pram!$H$2</f>
        <v>0</v>
      </c>
      <c r="K229">
        <f t="shared" si="8"/>
        <v>9.8039215686274508E-3</v>
      </c>
      <c r="L229">
        <f>IF(G229=0,1/(F229 - H229*Pram!$B$5 +Pram!$B$6)+Pram!$B$7,1/(F229+G229+Pram!$B$2))</f>
        <v>1.2054089709762532E-2</v>
      </c>
      <c r="M229">
        <f>(B229-J229-Pram!$I$2) * 2/120</f>
        <v>0.78333333333333333</v>
      </c>
      <c r="N229">
        <f>(1-L229-L229*Pram!$B$2)/L229</f>
        <v>95.759395862974728</v>
      </c>
      <c r="O229">
        <f>(M229-Pram!$B$17)/Pram!$B$16</f>
        <v>1.0402211046746027E-2</v>
      </c>
      <c r="P229">
        <f t="shared" si="9"/>
        <v>95.133408128920394</v>
      </c>
    </row>
    <row r="230" spans="1:16" hidden="1" x14ac:dyDescent="0.55000000000000004">
      <c r="A230" t="s">
        <v>251</v>
      </c>
      <c r="B230">
        <v>59</v>
      </c>
      <c r="C230">
        <v>641.5</v>
      </c>
      <c r="D230">
        <v>631</v>
      </c>
      <c r="E230">
        <v>2.6926800000000002</v>
      </c>
      <c r="F230">
        <v>104</v>
      </c>
      <c r="G230">
        <v>0</v>
      </c>
      <c r="H230">
        <v>1</v>
      </c>
      <c r="I230">
        <f>D230-Pram!$G$2</f>
        <v>1</v>
      </c>
      <c r="J230">
        <f>I230/Pram!$H$2</f>
        <v>8.3333333333333329E-2</v>
      </c>
      <c r="K230">
        <f t="shared" si="8"/>
        <v>9.6153846153846159E-3</v>
      </c>
      <c r="L230">
        <f>IF(G230=0,1/(F230 - H230*Pram!$B$5 +Pram!$B$6)+Pram!$B$7,1/(F230+G230+Pram!$B$2))</f>
        <v>1.1835917312661499E-2</v>
      </c>
      <c r="M230">
        <f>(B230-J230-Pram!$I$2) * 2/120</f>
        <v>0.78194444444444444</v>
      </c>
      <c r="N230">
        <f>(1-L230-L230*Pram!$B$2)/L230</f>
        <v>97.288592948368077</v>
      </c>
      <c r="O230">
        <f>(M230-Pram!$B$17)/Pram!$B$16</f>
        <v>1.038010765237196E-2</v>
      </c>
      <c r="P230">
        <f t="shared" si="9"/>
        <v>95.338114544649244</v>
      </c>
    </row>
    <row r="231" spans="1:16" hidden="1" x14ac:dyDescent="0.55000000000000004">
      <c r="A231" t="s">
        <v>252</v>
      </c>
      <c r="B231">
        <v>60</v>
      </c>
      <c r="C231">
        <v>625.5</v>
      </c>
      <c r="D231">
        <v>638</v>
      </c>
      <c r="E231">
        <v>14.53454</v>
      </c>
      <c r="F231">
        <v>102</v>
      </c>
      <c r="G231">
        <v>0</v>
      </c>
      <c r="H231">
        <v>1</v>
      </c>
      <c r="I231">
        <f>D231-Pram!$G$2</f>
        <v>8</v>
      </c>
      <c r="J231">
        <f>I231/Pram!$H$2</f>
        <v>0.66666666666666663</v>
      </c>
      <c r="K231">
        <f t="shared" si="8"/>
        <v>9.8039215686274508E-3</v>
      </c>
      <c r="L231">
        <f>IF(G231=0,1/(F231 - H231*Pram!$B$5 +Pram!$B$6)+Pram!$B$7,1/(F231+G231+Pram!$B$2))</f>
        <v>1.2054089709762532E-2</v>
      </c>
      <c r="M231">
        <f>(B231-J231-Pram!$I$2) * 2/120</f>
        <v>0.78888888888888897</v>
      </c>
      <c r="N231">
        <f>(1-L231-L231*Pram!$B$2)/L231</f>
        <v>95.759395862974728</v>
      </c>
      <c r="O231">
        <f>(M231-Pram!$B$17)/Pram!$B$16</f>
        <v>1.0490624624242297E-2</v>
      </c>
      <c r="P231">
        <f t="shared" si="9"/>
        <v>94.323208657103834</v>
      </c>
    </row>
    <row r="232" spans="1:16" hidden="1" x14ac:dyDescent="0.55000000000000004">
      <c r="A232" t="s">
        <v>253</v>
      </c>
      <c r="B232">
        <v>61</v>
      </c>
      <c r="C232">
        <v>644.5</v>
      </c>
      <c r="D232">
        <v>646.5</v>
      </c>
      <c r="E232">
        <v>2.9155799999999998</v>
      </c>
      <c r="F232">
        <v>102</v>
      </c>
      <c r="G232">
        <v>0</v>
      </c>
      <c r="H232">
        <v>1</v>
      </c>
      <c r="I232">
        <f>D232-Pram!$G$2</f>
        <v>16.5</v>
      </c>
      <c r="J232">
        <f>I232/Pram!$H$2</f>
        <v>1.375</v>
      </c>
      <c r="K232">
        <f t="shared" si="8"/>
        <v>9.8039215686274508E-3</v>
      </c>
      <c r="L232">
        <f>IF(G232=0,1/(F232 - H232*Pram!$B$5 +Pram!$B$6)+Pram!$B$7,1/(F232+G232+Pram!$B$2))</f>
        <v>1.2054089709762532E-2</v>
      </c>
      <c r="M232">
        <f>(B232-J232-Pram!$I$2) * 2/120</f>
        <v>0.79374999999999996</v>
      </c>
      <c r="N232">
        <f>(1-L232-L232*Pram!$B$2)/L232</f>
        <v>95.759395862974728</v>
      </c>
      <c r="O232">
        <f>(M232-Pram!$B$17)/Pram!$B$16</f>
        <v>1.056798650455153E-2</v>
      </c>
      <c r="P232">
        <f t="shared" si="9"/>
        <v>93.625404713500501</v>
      </c>
    </row>
    <row r="233" spans="1:16" hidden="1" x14ac:dyDescent="0.55000000000000004">
      <c r="A233" t="s">
        <v>254</v>
      </c>
      <c r="B233">
        <v>60</v>
      </c>
      <c r="C233">
        <v>642.5</v>
      </c>
      <c r="D233">
        <v>636</v>
      </c>
      <c r="E233">
        <v>16.530370000000001</v>
      </c>
      <c r="F233">
        <v>102</v>
      </c>
      <c r="G233">
        <v>0</v>
      </c>
      <c r="H233">
        <v>1</v>
      </c>
      <c r="I233">
        <f>D233-Pram!$G$2</f>
        <v>6</v>
      </c>
      <c r="J233">
        <f>I233/Pram!$H$2</f>
        <v>0.5</v>
      </c>
      <c r="K233">
        <f t="shared" si="8"/>
        <v>9.8039215686274508E-3</v>
      </c>
      <c r="L233">
        <f>IF(G233=0,1/(F233 - H233*Pram!$B$5 +Pram!$B$6)+Pram!$B$7,1/(F233+G233+Pram!$B$2))</f>
        <v>1.2054089709762532E-2</v>
      </c>
      <c r="M233">
        <f>(B233-J233-Pram!$I$2) * 2/120</f>
        <v>0.79166666666666663</v>
      </c>
      <c r="N233">
        <f>(1-L233-L233*Pram!$B$2)/L233</f>
        <v>95.759395862974728</v>
      </c>
      <c r="O233">
        <f>(M233-Pram!$B$17)/Pram!$B$16</f>
        <v>1.053483141299043E-2</v>
      </c>
      <c r="P233">
        <f t="shared" si="9"/>
        <v>93.923208620776478</v>
      </c>
    </row>
    <row r="234" spans="1:16" hidden="1" x14ac:dyDescent="0.55000000000000004">
      <c r="A234" t="s">
        <v>255</v>
      </c>
      <c r="B234">
        <v>61</v>
      </c>
      <c r="C234">
        <v>639.5</v>
      </c>
      <c r="D234">
        <v>642</v>
      </c>
      <c r="E234">
        <v>14.53454</v>
      </c>
      <c r="F234">
        <v>101</v>
      </c>
      <c r="G234">
        <v>0</v>
      </c>
      <c r="H234">
        <v>1</v>
      </c>
      <c r="I234">
        <f>D234-Pram!$G$2</f>
        <v>12</v>
      </c>
      <c r="J234">
        <f>I234/Pram!$H$2</f>
        <v>1</v>
      </c>
      <c r="K234">
        <f t="shared" si="8"/>
        <v>9.9009900990099011E-3</v>
      </c>
      <c r="L234">
        <f>IF(G234=0,1/(F234 - H234*Pram!$B$5 +Pram!$B$6)+Pram!$B$7,1/(F234+G234+Pram!$B$2))</f>
        <v>1.2166666666666666E-2</v>
      </c>
      <c r="M234">
        <f>(B234-J234-Pram!$I$2) * 2/120</f>
        <v>0.8</v>
      </c>
      <c r="N234">
        <f>(1-L234-L234*Pram!$B$2)/L234</f>
        <v>94.991780821917814</v>
      </c>
      <c r="O234">
        <f>(M234-Pram!$B$17)/Pram!$B$16</f>
        <v>1.0667451779234834E-2</v>
      </c>
      <c r="P234">
        <f t="shared" si="9"/>
        <v>92.743100104430852</v>
      </c>
    </row>
    <row r="235" spans="1:16" hidden="1" x14ac:dyDescent="0.55000000000000004">
      <c r="A235" t="s">
        <v>256</v>
      </c>
      <c r="B235">
        <v>60</v>
      </c>
      <c r="C235">
        <v>636.5</v>
      </c>
      <c r="D235">
        <v>635.5</v>
      </c>
      <c r="E235">
        <v>4.3012600000000001</v>
      </c>
      <c r="F235">
        <v>102</v>
      </c>
      <c r="G235">
        <v>0</v>
      </c>
      <c r="H235">
        <v>1</v>
      </c>
      <c r="I235">
        <f>D235-Pram!$G$2</f>
        <v>5.5</v>
      </c>
      <c r="J235">
        <f>I235/Pram!$H$2</f>
        <v>0.45833333333333331</v>
      </c>
      <c r="K235">
        <f t="shared" si="8"/>
        <v>9.8039215686274508E-3</v>
      </c>
      <c r="L235">
        <f>IF(G235=0,1/(F235 - H235*Pram!$B$5 +Pram!$B$6)+Pram!$B$7,1/(F235+G235+Pram!$B$2))</f>
        <v>1.2054089709762532E-2</v>
      </c>
      <c r="M235">
        <f>(B235-J235-Pram!$I$2) * 2/120</f>
        <v>0.79236111111111107</v>
      </c>
      <c r="N235">
        <f>(1-L235-L235*Pram!$B$2)/L235</f>
        <v>95.759395862974728</v>
      </c>
      <c r="O235">
        <f>(M235-Pram!$B$17)/Pram!$B$16</f>
        <v>1.0545883110177463E-2</v>
      </c>
      <c r="P235">
        <f t="shared" si="9"/>
        <v>93.823732593331599</v>
      </c>
    </row>
    <row r="236" spans="1:16" hidden="1" x14ac:dyDescent="0.55000000000000004">
      <c r="A236" t="s">
        <v>257</v>
      </c>
      <c r="B236">
        <v>60</v>
      </c>
      <c r="C236">
        <v>648.5</v>
      </c>
      <c r="D236">
        <v>633</v>
      </c>
      <c r="E236">
        <v>9.7083399999999997</v>
      </c>
      <c r="F236">
        <v>101</v>
      </c>
      <c r="G236">
        <v>0</v>
      </c>
      <c r="H236">
        <v>1</v>
      </c>
      <c r="I236">
        <f>D236-Pram!$G$2</f>
        <v>3</v>
      </c>
      <c r="J236">
        <f>I236/Pram!$H$2</f>
        <v>0.25</v>
      </c>
      <c r="K236">
        <f t="shared" si="8"/>
        <v>9.9009900990099011E-3</v>
      </c>
      <c r="L236">
        <f>IF(G236=0,1/(F236 - H236*Pram!$B$5 +Pram!$B$6)+Pram!$B$7,1/(F236+G236+Pram!$B$2))</f>
        <v>1.2166666666666666E-2</v>
      </c>
      <c r="M236">
        <f>(B236-J236-Pram!$I$2) * 2/120</f>
        <v>0.79583333333333328</v>
      </c>
      <c r="N236">
        <f>(1-L236-L236*Pram!$B$2)/L236</f>
        <v>94.991780821917814</v>
      </c>
      <c r="O236">
        <f>(M236-Pram!$B$17)/Pram!$B$16</f>
        <v>1.0601141596112631E-2</v>
      </c>
      <c r="P236">
        <f t="shared" si="9"/>
        <v>93.329463570856689</v>
      </c>
    </row>
    <row r="237" spans="1:16" hidden="1" x14ac:dyDescent="0.55000000000000004">
      <c r="A237" t="s">
        <v>258</v>
      </c>
      <c r="B237">
        <v>61</v>
      </c>
      <c r="C237">
        <v>641.5</v>
      </c>
      <c r="D237">
        <v>642</v>
      </c>
      <c r="E237">
        <v>14.53454</v>
      </c>
      <c r="F237">
        <v>101</v>
      </c>
      <c r="G237">
        <v>0</v>
      </c>
      <c r="H237">
        <v>1</v>
      </c>
      <c r="I237">
        <f>D237-Pram!$G$2</f>
        <v>12</v>
      </c>
      <c r="J237">
        <f>I237/Pram!$H$2</f>
        <v>1</v>
      </c>
      <c r="K237">
        <f t="shared" si="8"/>
        <v>9.9009900990099011E-3</v>
      </c>
      <c r="L237">
        <f>IF(G237=0,1/(F237 - H237*Pram!$B$5 +Pram!$B$6)+Pram!$B$7,1/(F237+G237+Pram!$B$2))</f>
        <v>1.2166666666666666E-2</v>
      </c>
      <c r="M237">
        <f>(B237-J237-Pram!$I$2) * 2/120</f>
        <v>0.8</v>
      </c>
      <c r="N237">
        <f>(1-L237-L237*Pram!$B$2)/L237</f>
        <v>94.991780821917814</v>
      </c>
      <c r="O237">
        <f>(M237-Pram!$B$17)/Pram!$B$16</f>
        <v>1.0667451779234834E-2</v>
      </c>
      <c r="P237">
        <f t="shared" si="9"/>
        <v>92.743100104430852</v>
      </c>
    </row>
    <row r="238" spans="1:16" hidden="1" x14ac:dyDescent="0.55000000000000004">
      <c r="A238" t="s">
        <v>259</v>
      </c>
      <c r="B238">
        <v>61</v>
      </c>
      <c r="C238">
        <v>631.5</v>
      </c>
      <c r="D238">
        <v>644.5</v>
      </c>
      <c r="E238">
        <v>14.57748</v>
      </c>
      <c r="F238">
        <v>102</v>
      </c>
      <c r="G238">
        <v>0</v>
      </c>
      <c r="H238">
        <v>1</v>
      </c>
      <c r="I238">
        <f>D238-Pram!$G$2</f>
        <v>14.5</v>
      </c>
      <c r="J238">
        <f>I238/Pram!$H$2</f>
        <v>1.2083333333333333</v>
      </c>
      <c r="K238">
        <f t="shared" si="8"/>
        <v>9.8039215686274508E-3</v>
      </c>
      <c r="L238">
        <f>IF(G238=0,1/(F238 - H238*Pram!$B$5 +Pram!$B$6)+Pram!$B$7,1/(F238+G238+Pram!$B$2))</f>
        <v>1.2054089709762532E-2</v>
      </c>
      <c r="M238">
        <f>(B238-J238-Pram!$I$2) * 2/120</f>
        <v>0.79652777777777772</v>
      </c>
      <c r="N238">
        <f>(1-L238-L238*Pram!$B$2)/L238</f>
        <v>95.759395862974728</v>
      </c>
      <c r="O238">
        <f>(M238-Pram!$B$17)/Pram!$B$16</f>
        <v>1.0612193293299665E-2</v>
      </c>
      <c r="P238">
        <f t="shared" si="9"/>
        <v>93.231227453365449</v>
      </c>
    </row>
    <row r="239" spans="1:16" hidden="1" x14ac:dyDescent="0.55000000000000004">
      <c r="A239" t="s">
        <v>260</v>
      </c>
      <c r="B239">
        <v>60</v>
      </c>
      <c r="C239">
        <v>649.5</v>
      </c>
      <c r="D239">
        <v>637.5</v>
      </c>
      <c r="E239">
        <v>14.57748</v>
      </c>
      <c r="F239">
        <v>102</v>
      </c>
      <c r="G239">
        <v>0</v>
      </c>
      <c r="H239">
        <v>1</v>
      </c>
      <c r="I239">
        <f>D239-Pram!$G$2</f>
        <v>7.5</v>
      </c>
      <c r="J239">
        <f>I239/Pram!$H$2</f>
        <v>0.625</v>
      </c>
      <c r="K239">
        <f t="shared" si="8"/>
        <v>9.8039215686274508E-3</v>
      </c>
      <c r="L239">
        <f>IF(G239=0,1/(F239 - H239*Pram!$B$5 +Pram!$B$6)+Pram!$B$7,1/(F239+G239+Pram!$B$2))</f>
        <v>1.2054089709762532E-2</v>
      </c>
      <c r="M239">
        <f>(B239-J239-Pram!$I$2) * 2/120</f>
        <v>0.7895833333333333</v>
      </c>
      <c r="N239">
        <f>(1-L239-L239*Pram!$B$2)/L239</f>
        <v>95.759395862974728</v>
      </c>
      <c r="O239">
        <f>(M239-Pram!$B$17)/Pram!$B$16</f>
        <v>1.0501676321429329E-2</v>
      </c>
      <c r="P239">
        <f t="shared" si="9"/>
        <v>94.222892935619939</v>
      </c>
    </row>
    <row r="240" spans="1:16" hidden="1" x14ac:dyDescent="0.55000000000000004">
      <c r="A240" t="s">
        <v>261</v>
      </c>
      <c r="B240">
        <v>61</v>
      </c>
      <c r="C240">
        <v>639</v>
      </c>
      <c r="D240">
        <v>642</v>
      </c>
      <c r="E240">
        <v>15.0334</v>
      </c>
      <c r="F240">
        <v>101</v>
      </c>
      <c r="G240">
        <v>0</v>
      </c>
      <c r="H240">
        <v>1</v>
      </c>
      <c r="I240">
        <f>D240-Pram!$G$2</f>
        <v>12</v>
      </c>
      <c r="J240">
        <f>I240/Pram!$H$2</f>
        <v>1</v>
      </c>
      <c r="K240">
        <f t="shared" si="8"/>
        <v>9.9009900990099011E-3</v>
      </c>
      <c r="L240">
        <f>IF(G240=0,1/(F240 - H240*Pram!$B$5 +Pram!$B$6)+Pram!$B$7,1/(F240+G240+Pram!$B$2))</f>
        <v>1.2166666666666666E-2</v>
      </c>
      <c r="M240">
        <f>(B240-J240-Pram!$I$2) * 2/120</f>
        <v>0.8</v>
      </c>
      <c r="N240">
        <f>(1-L240-L240*Pram!$B$2)/L240</f>
        <v>94.991780821917814</v>
      </c>
      <c r="O240">
        <f>(M240-Pram!$B$17)/Pram!$B$16</f>
        <v>1.0667451779234834E-2</v>
      </c>
      <c r="P240">
        <f t="shared" si="9"/>
        <v>92.743100104430852</v>
      </c>
    </row>
    <row r="241" spans="1:16" hidden="1" x14ac:dyDescent="0.55000000000000004">
      <c r="A241" t="s">
        <v>262</v>
      </c>
      <c r="B241">
        <v>60</v>
      </c>
      <c r="C241">
        <v>650.5</v>
      </c>
      <c r="D241">
        <v>637.5</v>
      </c>
      <c r="E241">
        <v>14.57748</v>
      </c>
      <c r="F241">
        <v>102</v>
      </c>
      <c r="G241">
        <v>0</v>
      </c>
      <c r="H241">
        <v>1</v>
      </c>
      <c r="I241">
        <f>D241-Pram!$G$2</f>
        <v>7.5</v>
      </c>
      <c r="J241">
        <f>I241/Pram!$H$2</f>
        <v>0.625</v>
      </c>
      <c r="K241">
        <f t="shared" si="8"/>
        <v>9.8039215686274508E-3</v>
      </c>
      <c r="L241">
        <f>IF(G241=0,1/(F241 - H241*Pram!$B$5 +Pram!$B$6)+Pram!$B$7,1/(F241+G241+Pram!$B$2))</f>
        <v>1.2054089709762532E-2</v>
      </c>
      <c r="M241">
        <f>(B241-J241-Pram!$I$2) * 2/120</f>
        <v>0.7895833333333333</v>
      </c>
      <c r="N241">
        <f>(1-L241-L241*Pram!$B$2)/L241</f>
        <v>95.759395862974728</v>
      </c>
      <c r="O241">
        <f>(M241-Pram!$B$17)/Pram!$B$16</f>
        <v>1.0501676321429329E-2</v>
      </c>
      <c r="P241">
        <f t="shared" si="9"/>
        <v>94.222892935619939</v>
      </c>
    </row>
    <row r="242" spans="1:16" hidden="1" x14ac:dyDescent="0.55000000000000004">
      <c r="A242" t="s">
        <v>263</v>
      </c>
      <c r="B242">
        <v>62</v>
      </c>
      <c r="C242">
        <v>649</v>
      </c>
      <c r="D242">
        <v>645</v>
      </c>
      <c r="E242">
        <v>15.0334</v>
      </c>
      <c r="F242">
        <v>99</v>
      </c>
      <c r="G242">
        <v>0</v>
      </c>
      <c r="H242">
        <v>1</v>
      </c>
      <c r="I242">
        <f>D242-Pram!$G$2</f>
        <v>15</v>
      </c>
      <c r="J242">
        <f>I242/Pram!$H$2</f>
        <v>1.25</v>
      </c>
      <c r="K242">
        <f t="shared" si="8"/>
        <v>1.0101010101010102E-2</v>
      </c>
      <c r="L242">
        <f>IF(G242=0,1/(F242 - H242*Pram!$B$5 +Pram!$B$6)+Pram!$B$7,1/(F242+G242+Pram!$B$2))</f>
        <v>1.2399182561307901E-2</v>
      </c>
      <c r="M242">
        <f>(B242-J242-Pram!$I$2) * 2/120</f>
        <v>0.8125</v>
      </c>
      <c r="N242">
        <f>(1-L242-L242*Pram!$B$2)/L242</f>
        <v>93.450477969453914</v>
      </c>
      <c r="O242">
        <f>(M242-Pram!$B$17)/Pram!$B$16</f>
        <v>1.0866382328601439E-2</v>
      </c>
      <c r="P242">
        <f t="shared" si="9"/>
        <v>91.026947861745754</v>
      </c>
    </row>
    <row r="243" spans="1:16" hidden="1" x14ac:dyDescent="0.55000000000000004">
      <c r="A243" t="s">
        <v>264</v>
      </c>
      <c r="B243">
        <v>61</v>
      </c>
      <c r="C243">
        <v>658.5</v>
      </c>
      <c r="D243">
        <v>632</v>
      </c>
      <c r="E243">
        <v>14.53454</v>
      </c>
      <c r="F243">
        <v>98</v>
      </c>
      <c r="G243">
        <v>0</v>
      </c>
      <c r="H243">
        <v>1</v>
      </c>
      <c r="I243">
        <f>D243-Pram!$G$2</f>
        <v>2</v>
      </c>
      <c r="J243">
        <f>I243/Pram!$H$2</f>
        <v>0.16666666666666666</v>
      </c>
      <c r="K243">
        <f t="shared" si="8"/>
        <v>1.020408163265306E-2</v>
      </c>
      <c r="L243">
        <f>IF(G243=0,1/(F243 - H243*Pram!$B$5 +Pram!$B$6)+Pram!$B$7,1/(F243+G243+Pram!$B$2))</f>
        <v>1.2519283746556474E-2</v>
      </c>
      <c r="M243">
        <f>(B243-J243-Pram!$I$2) * 2/120</f>
        <v>0.81388888888888888</v>
      </c>
      <c r="N243">
        <f>(1-L243-L243*Pram!$B$2)/L243</f>
        <v>92.676774122565746</v>
      </c>
      <c r="O243">
        <f>(M243-Pram!$B$17)/Pram!$B$16</f>
        <v>1.0888485722975506E-2</v>
      </c>
      <c r="P243">
        <f t="shared" si="9"/>
        <v>90.840135115383987</v>
      </c>
    </row>
    <row r="244" spans="1:16" hidden="1" x14ac:dyDescent="0.55000000000000004">
      <c r="A244" t="s">
        <v>265</v>
      </c>
      <c r="B244">
        <v>62</v>
      </c>
      <c r="C244">
        <v>639.5</v>
      </c>
      <c r="D244">
        <v>640</v>
      </c>
      <c r="E244">
        <v>14.53454</v>
      </c>
      <c r="F244">
        <v>98</v>
      </c>
      <c r="G244">
        <v>0</v>
      </c>
      <c r="H244">
        <v>1</v>
      </c>
      <c r="I244">
        <f>D244-Pram!$G$2</f>
        <v>10</v>
      </c>
      <c r="J244">
        <f>I244/Pram!$H$2</f>
        <v>0.83333333333333337</v>
      </c>
      <c r="K244">
        <f t="shared" si="8"/>
        <v>1.020408163265306E-2</v>
      </c>
      <c r="L244">
        <f>IF(G244=0,1/(F244 - H244*Pram!$B$5 +Pram!$B$6)+Pram!$B$7,1/(F244+G244+Pram!$B$2))</f>
        <v>1.2519283746556474E-2</v>
      </c>
      <c r="M244">
        <f>(B244-J244-Pram!$I$2) * 2/120</f>
        <v>0.81944444444444442</v>
      </c>
      <c r="N244">
        <f>(1-L244-L244*Pram!$B$2)/L244</f>
        <v>92.676774122565746</v>
      </c>
      <c r="O244">
        <f>(M244-Pram!$B$17)/Pram!$B$16</f>
        <v>1.0976899300471774E-2</v>
      </c>
      <c r="P244">
        <f t="shared" si="9"/>
        <v>90.100407558354959</v>
      </c>
    </row>
    <row r="245" spans="1:16" hidden="1" x14ac:dyDescent="0.55000000000000004">
      <c r="A245" t="s">
        <v>266</v>
      </c>
      <c r="B245">
        <v>62</v>
      </c>
      <c r="C245">
        <v>624.5</v>
      </c>
      <c r="D245">
        <v>646</v>
      </c>
      <c r="E245">
        <v>13.537089999999999</v>
      </c>
      <c r="F245">
        <v>100</v>
      </c>
      <c r="G245">
        <v>0</v>
      </c>
      <c r="H245">
        <v>1</v>
      </c>
      <c r="I245">
        <f>D245-Pram!$G$2</f>
        <v>16</v>
      </c>
      <c r="J245">
        <f>I245/Pram!$H$2</f>
        <v>1.3333333333333333</v>
      </c>
      <c r="K245">
        <f t="shared" si="8"/>
        <v>0.01</v>
      </c>
      <c r="L245">
        <f>IF(G245=0,1/(F245 - H245*Pram!$B$5 +Pram!$B$6)+Pram!$B$7,1/(F245+G245+Pram!$B$2))</f>
        <v>1.228167115902965E-2</v>
      </c>
      <c r="M245">
        <f>(B245-J245-Pram!$I$2) * 2/120</f>
        <v>0.81111111111111112</v>
      </c>
      <c r="N245">
        <f>(1-L245-L245*Pram!$B$2)/L245</f>
        <v>94.222144189619229</v>
      </c>
      <c r="O245">
        <f>(M245-Pram!$B$17)/Pram!$B$16</f>
        <v>1.0844278934227371E-2</v>
      </c>
      <c r="P245">
        <f t="shared" si="9"/>
        <v>91.214522151743935</v>
      </c>
    </row>
    <row r="246" spans="1:16" hidden="1" x14ac:dyDescent="0.55000000000000004">
      <c r="A246" t="s">
        <v>267</v>
      </c>
      <c r="B246">
        <v>62</v>
      </c>
      <c r="C246">
        <v>631.5</v>
      </c>
      <c r="D246">
        <v>642</v>
      </c>
      <c r="E246">
        <v>8.5587199999999992</v>
      </c>
      <c r="F246">
        <v>99</v>
      </c>
      <c r="G246">
        <v>0</v>
      </c>
      <c r="H246">
        <v>1</v>
      </c>
      <c r="I246">
        <f>D246-Pram!$G$2</f>
        <v>12</v>
      </c>
      <c r="J246">
        <f>I246/Pram!$H$2</f>
        <v>1</v>
      </c>
      <c r="K246">
        <f t="shared" si="8"/>
        <v>1.0101010101010102E-2</v>
      </c>
      <c r="L246">
        <f>IF(G246=0,1/(F246 - H246*Pram!$B$5 +Pram!$B$6)+Pram!$B$7,1/(F246+G246+Pram!$B$2))</f>
        <v>1.2399182561307901E-2</v>
      </c>
      <c r="M246">
        <f>(B246-J246-Pram!$I$2) * 2/120</f>
        <v>0.81666666666666665</v>
      </c>
      <c r="N246">
        <f>(1-L246-L246*Pram!$B$2)/L246</f>
        <v>93.450477969453914</v>
      </c>
      <c r="O246">
        <f>(M246-Pram!$B$17)/Pram!$B$16</f>
        <v>1.093269251172364E-2</v>
      </c>
      <c r="P246">
        <f t="shared" si="9"/>
        <v>90.468775777572901</v>
      </c>
    </row>
    <row r="247" spans="1:16" hidden="1" x14ac:dyDescent="0.55000000000000004">
      <c r="A247" t="s">
        <v>268</v>
      </c>
      <c r="B247">
        <v>61</v>
      </c>
      <c r="C247">
        <v>651</v>
      </c>
      <c r="D247">
        <v>633</v>
      </c>
      <c r="E247">
        <v>14.035769999999999</v>
      </c>
      <c r="F247">
        <v>98</v>
      </c>
      <c r="G247">
        <v>0</v>
      </c>
      <c r="H247">
        <v>1</v>
      </c>
      <c r="I247">
        <f>D247-Pram!$G$2</f>
        <v>3</v>
      </c>
      <c r="J247">
        <f>I247/Pram!$H$2</f>
        <v>0.25</v>
      </c>
      <c r="K247">
        <f t="shared" si="8"/>
        <v>1.020408163265306E-2</v>
      </c>
      <c r="L247">
        <f>IF(G247=0,1/(F247 - H247*Pram!$B$5 +Pram!$B$6)+Pram!$B$7,1/(F247+G247+Pram!$B$2))</f>
        <v>1.2519283746556474E-2</v>
      </c>
      <c r="M247">
        <f>(B247-J247-Pram!$I$2) * 2/120</f>
        <v>0.8125</v>
      </c>
      <c r="N247">
        <f>(1-L247-L247*Pram!$B$2)/L247</f>
        <v>92.676774122565746</v>
      </c>
      <c r="O247">
        <f>(M247-Pram!$B$17)/Pram!$B$16</f>
        <v>1.0866382328601439E-2</v>
      </c>
      <c r="P247">
        <f t="shared" si="9"/>
        <v>91.026947861745754</v>
      </c>
    </row>
    <row r="248" spans="1:16" hidden="1" x14ac:dyDescent="0.55000000000000004">
      <c r="A248" t="s">
        <v>269</v>
      </c>
      <c r="B248">
        <v>61</v>
      </c>
      <c r="C248">
        <v>641.5</v>
      </c>
      <c r="D248">
        <v>631</v>
      </c>
      <c r="E248">
        <v>11.67272</v>
      </c>
      <c r="F248">
        <v>97</v>
      </c>
      <c r="G248">
        <v>0</v>
      </c>
      <c r="H248">
        <v>1</v>
      </c>
      <c r="I248">
        <f>D248-Pram!$G$2</f>
        <v>1</v>
      </c>
      <c r="J248">
        <f>I248/Pram!$H$2</f>
        <v>8.3333333333333329E-2</v>
      </c>
      <c r="K248">
        <f t="shared" si="8"/>
        <v>1.0309278350515464E-2</v>
      </c>
      <c r="L248">
        <f>IF(G248=0,1/(F248 - H248*Pram!$B$5 +Pram!$B$6)+Pram!$B$7,1/(F248+G248+Pram!$B$2))</f>
        <v>1.2642061281337047E-2</v>
      </c>
      <c r="M248">
        <f>(B248-J248-Pram!$I$2) * 2/120</f>
        <v>0.81527777777777777</v>
      </c>
      <c r="N248">
        <f>(1-L248-L248*Pram!$B$2)/L248</f>
        <v>91.901024567588422</v>
      </c>
      <c r="O248">
        <f>(M248-Pram!$B$17)/Pram!$B$16</f>
        <v>1.0910589117349573E-2</v>
      </c>
      <c r="P248">
        <f t="shared" si="9"/>
        <v>90.654079284301972</v>
      </c>
    </row>
    <row r="249" spans="1:16" hidden="1" x14ac:dyDescent="0.55000000000000004">
      <c r="A249" t="s">
        <v>270</v>
      </c>
      <c r="B249">
        <v>62</v>
      </c>
      <c r="C249">
        <v>628.5</v>
      </c>
      <c r="D249">
        <v>638</v>
      </c>
      <c r="E249">
        <v>14.53454</v>
      </c>
      <c r="F249">
        <v>97</v>
      </c>
      <c r="G249">
        <v>0</v>
      </c>
      <c r="H249">
        <v>1</v>
      </c>
      <c r="I249">
        <f>D249-Pram!$G$2</f>
        <v>8</v>
      </c>
      <c r="J249">
        <f>I249/Pram!$H$2</f>
        <v>0.66666666666666663</v>
      </c>
      <c r="K249">
        <f t="shared" si="8"/>
        <v>1.0309278350515464E-2</v>
      </c>
      <c r="L249">
        <f>IF(G249=0,1/(F249 - H249*Pram!$B$5 +Pram!$B$6)+Pram!$B$7,1/(F249+G249+Pram!$B$2))</f>
        <v>1.2642061281337047E-2</v>
      </c>
      <c r="M249">
        <f>(B249-J249-Pram!$I$2) * 2/120</f>
        <v>0.8222222222222223</v>
      </c>
      <c r="N249">
        <f>(1-L249-L249*Pram!$B$2)/L249</f>
        <v>91.901024567588422</v>
      </c>
      <c r="O249">
        <f>(M249-Pram!$B$17)/Pram!$B$16</f>
        <v>1.102110608921991E-2</v>
      </c>
      <c r="P249">
        <f t="shared" si="9"/>
        <v>89.734994464678223</v>
      </c>
    </row>
    <row r="250" spans="1:16" hidden="1" x14ac:dyDescent="0.55000000000000004">
      <c r="A250" t="s">
        <v>271</v>
      </c>
      <c r="B250">
        <v>62</v>
      </c>
      <c r="C250">
        <v>635.5</v>
      </c>
      <c r="D250">
        <v>639.5</v>
      </c>
      <c r="E250">
        <v>14.57748</v>
      </c>
      <c r="F250">
        <v>98</v>
      </c>
      <c r="G250">
        <v>0</v>
      </c>
      <c r="H250">
        <v>1</v>
      </c>
      <c r="I250">
        <f>D250-Pram!$G$2</f>
        <v>9.5</v>
      </c>
      <c r="J250">
        <f>I250/Pram!$H$2</f>
        <v>0.79166666666666663</v>
      </c>
      <c r="K250">
        <f t="shared" si="8"/>
        <v>1.020408163265306E-2</v>
      </c>
      <c r="L250">
        <f>IF(G250=0,1/(F250 - H250*Pram!$B$5 +Pram!$B$6)+Pram!$B$7,1/(F250+G250+Pram!$B$2))</f>
        <v>1.2519283746556474E-2</v>
      </c>
      <c r="M250">
        <f>(B250-J250-Pram!$I$2) * 2/120</f>
        <v>0.82013888888888897</v>
      </c>
      <c r="N250">
        <f>(1-L250-L250*Pram!$B$2)/L250</f>
        <v>92.676774122565746</v>
      </c>
      <c r="O250">
        <f>(M250-Pram!$B$17)/Pram!$B$16</f>
        <v>1.098795099765881E-2</v>
      </c>
      <c r="P250">
        <f t="shared" si="9"/>
        <v>90.008778635167644</v>
      </c>
    </row>
    <row r="251" spans="1:16" hidden="1" x14ac:dyDescent="0.55000000000000004">
      <c r="A251" t="s">
        <v>272</v>
      </c>
      <c r="B251">
        <v>62</v>
      </c>
      <c r="C251">
        <v>656</v>
      </c>
      <c r="D251">
        <v>641</v>
      </c>
      <c r="E251">
        <v>15.0334</v>
      </c>
      <c r="F251">
        <v>98</v>
      </c>
      <c r="G251">
        <v>0</v>
      </c>
      <c r="H251">
        <v>1</v>
      </c>
      <c r="I251">
        <f>D251-Pram!$G$2</f>
        <v>11</v>
      </c>
      <c r="J251">
        <f>I251/Pram!$H$2</f>
        <v>0.91666666666666663</v>
      </c>
      <c r="K251">
        <f t="shared" si="8"/>
        <v>1.020408163265306E-2</v>
      </c>
      <c r="L251">
        <f>IF(G251=0,1/(F251 - H251*Pram!$B$5 +Pram!$B$6)+Pram!$B$7,1/(F251+G251+Pram!$B$2))</f>
        <v>1.2519283746556474E-2</v>
      </c>
      <c r="M251">
        <f>(B251-J251-Pram!$I$2) * 2/120</f>
        <v>0.81805555555555565</v>
      </c>
      <c r="N251">
        <f>(1-L251-L251*Pram!$B$2)/L251</f>
        <v>92.676774122565746</v>
      </c>
      <c r="O251">
        <f>(M251-Pram!$B$17)/Pram!$B$16</f>
        <v>1.0954795906097709E-2</v>
      </c>
      <c r="P251">
        <f t="shared" si="9"/>
        <v>90.2842200413223</v>
      </c>
    </row>
    <row r="252" spans="1:16" hidden="1" x14ac:dyDescent="0.55000000000000004">
      <c r="A252" t="s">
        <v>273</v>
      </c>
      <c r="B252">
        <v>62</v>
      </c>
      <c r="C252">
        <v>638.5</v>
      </c>
      <c r="D252">
        <v>644</v>
      </c>
      <c r="E252">
        <v>15.53232</v>
      </c>
      <c r="F252">
        <v>99</v>
      </c>
      <c r="G252">
        <v>0</v>
      </c>
      <c r="H252">
        <v>1</v>
      </c>
      <c r="I252">
        <f>D252-Pram!$G$2</f>
        <v>14</v>
      </c>
      <c r="J252">
        <f>I252/Pram!$H$2</f>
        <v>1.1666666666666667</v>
      </c>
      <c r="K252">
        <f t="shared" si="8"/>
        <v>1.0101010101010102E-2</v>
      </c>
      <c r="L252">
        <f>IF(G252=0,1/(F252 - H252*Pram!$B$5 +Pram!$B$6)+Pram!$B$7,1/(F252+G252+Pram!$B$2))</f>
        <v>1.2399182561307901E-2</v>
      </c>
      <c r="M252">
        <f>(B252-J252-Pram!$I$2) * 2/120</f>
        <v>0.81388888888888888</v>
      </c>
      <c r="N252">
        <f>(1-L252-L252*Pram!$B$2)/L252</f>
        <v>93.450477969453914</v>
      </c>
      <c r="O252">
        <f>(M252-Pram!$B$17)/Pram!$B$16</f>
        <v>1.0888485722975506E-2</v>
      </c>
      <c r="P252">
        <f t="shared" si="9"/>
        <v>90.840135115383987</v>
      </c>
    </row>
    <row r="253" spans="1:16" hidden="1" x14ac:dyDescent="0.55000000000000004">
      <c r="A253" t="s">
        <v>274</v>
      </c>
      <c r="B253">
        <v>61</v>
      </c>
      <c r="C253">
        <v>652</v>
      </c>
      <c r="D253">
        <v>635.5</v>
      </c>
      <c r="E253">
        <v>3.3542000000000001</v>
      </c>
      <c r="F253">
        <v>99</v>
      </c>
      <c r="G253">
        <v>0</v>
      </c>
      <c r="H253">
        <v>1</v>
      </c>
      <c r="I253">
        <f>D253-Pram!$G$2</f>
        <v>5.5</v>
      </c>
      <c r="J253">
        <f>I253/Pram!$H$2</f>
        <v>0.45833333333333331</v>
      </c>
      <c r="K253">
        <f t="shared" si="8"/>
        <v>1.0101010101010102E-2</v>
      </c>
      <c r="L253">
        <f>IF(G253=0,1/(F253 - H253*Pram!$B$5 +Pram!$B$6)+Pram!$B$7,1/(F253+G253+Pram!$B$2))</f>
        <v>1.2399182561307901E-2</v>
      </c>
      <c r="M253">
        <f>(B253-J253-Pram!$I$2) * 2/120</f>
        <v>0.80902777777777779</v>
      </c>
      <c r="N253">
        <f>(1-L253-L253*Pram!$B$2)/L253</f>
        <v>93.450477969453914</v>
      </c>
      <c r="O253">
        <f>(M253-Pram!$B$17)/Pram!$B$16</f>
        <v>1.0811123842666271E-2</v>
      </c>
      <c r="P253">
        <f t="shared" si="9"/>
        <v>91.497321698738133</v>
      </c>
    </row>
    <row r="254" spans="1:16" hidden="1" x14ac:dyDescent="0.55000000000000004">
      <c r="A254" t="s">
        <v>275</v>
      </c>
      <c r="B254">
        <v>61</v>
      </c>
      <c r="C254">
        <v>644.90002000000004</v>
      </c>
      <c r="D254">
        <v>634.5</v>
      </c>
      <c r="E254">
        <v>10.210850000000001</v>
      </c>
      <c r="F254">
        <v>99</v>
      </c>
      <c r="G254">
        <v>0</v>
      </c>
      <c r="H254">
        <v>1</v>
      </c>
      <c r="I254">
        <f>D254-Pram!$G$2</f>
        <v>4.5</v>
      </c>
      <c r="J254">
        <f>I254/Pram!$H$2</f>
        <v>0.375</v>
      </c>
      <c r="K254">
        <f t="shared" si="8"/>
        <v>1.0101010101010102E-2</v>
      </c>
      <c r="L254">
        <f>IF(G254=0,1/(F254 - H254*Pram!$B$5 +Pram!$B$6)+Pram!$B$7,1/(F254+G254+Pram!$B$2))</f>
        <v>1.2399182561307901E-2</v>
      </c>
      <c r="M254">
        <f>(B254-J254-Pram!$I$2) * 2/120</f>
        <v>0.81041666666666667</v>
      </c>
      <c r="N254">
        <f>(1-L254-L254*Pram!$B$2)/L254</f>
        <v>93.450477969453914</v>
      </c>
      <c r="O254">
        <f>(M254-Pram!$B$17)/Pram!$B$16</f>
        <v>1.0833227237040338E-2</v>
      </c>
      <c r="P254">
        <f t="shared" si="9"/>
        <v>91.308596332296844</v>
      </c>
    </row>
    <row r="255" spans="1:16" hidden="1" x14ac:dyDescent="0.55000000000000004">
      <c r="A255" t="s">
        <v>276</v>
      </c>
      <c r="B255">
        <v>62</v>
      </c>
      <c r="C255">
        <v>654.5</v>
      </c>
      <c r="D255">
        <v>633</v>
      </c>
      <c r="E255">
        <v>14.53454</v>
      </c>
      <c r="F255">
        <v>95</v>
      </c>
      <c r="G255">
        <v>0</v>
      </c>
      <c r="H255">
        <v>1</v>
      </c>
      <c r="I255">
        <f>D255-Pram!$G$2</f>
        <v>3</v>
      </c>
      <c r="J255">
        <f>I255/Pram!$H$2</f>
        <v>0.25</v>
      </c>
      <c r="K255">
        <f t="shared" si="8"/>
        <v>1.0526315789473684E-2</v>
      </c>
      <c r="L255">
        <f>IF(G255=0,1/(F255 - H255*Pram!$B$5 +Pram!$B$6)+Pram!$B$7,1/(F255+G255+Pram!$B$2))</f>
        <v>1.2896011396011396E-2</v>
      </c>
      <c r="M255">
        <f>(B255-J255-Pram!$I$2) * 2/120</f>
        <v>0.82916666666666672</v>
      </c>
      <c r="N255">
        <f>(1-L255-L255*Pram!$B$2)/L255</f>
        <v>90.343355793659555</v>
      </c>
      <c r="O255">
        <f>(M255-Pram!$B$17)/Pram!$B$16</f>
        <v>1.1131623061090246E-2</v>
      </c>
      <c r="P255">
        <f t="shared" si="9"/>
        <v>88.834159359512</v>
      </c>
    </row>
    <row r="256" spans="1:16" hidden="1" x14ac:dyDescent="0.55000000000000004">
      <c r="A256" t="s">
        <v>277</v>
      </c>
      <c r="B256">
        <v>64</v>
      </c>
      <c r="C256">
        <v>631.5</v>
      </c>
      <c r="D256">
        <v>642.5</v>
      </c>
      <c r="E256">
        <v>14.57748</v>
      </c>
      <c r="F256">
        <v>93</v>
      </c>
      <c r="G256">
        <v>0</v>
      </c>
      <c r="H256">
        <v>1</v>
      </c>
      <c r="I256">
        <f>D256-Pram!$G$2</f>
        <v>12.5</v>
      </c>
      <c r="J256">
        <f>I256/Pram!$H$2</f>
        <v>1.0416666666666667</v>
      </c>
      <c r="K256">
        <f t="shared" si="8"/>
        <v>1.0752688172043012E-2</v>
      </c>
      <c r="L256">
        <f>IF(G256=0,1/(F256 - H256*Pram!$B$5 +Pram!$B$6)+Pram!$B$7,1/(F256+G256+Pram!$B$2))</f>
        <v>1.3161807580174927E-2</v>
      </c>
      <c r="M256">
        <f>(B256-J256-Pram!$I$2) * 2/120</f>
        <v>0.84930555555555565</v>
      </c>
      <c r="N256">
        <f>(1-L256-L256*Pram!$B$2)/L256</f>
        <v>88.777406135784702</v>
      </c>
      <c r="O256">
        <f>(M256-Pram!$B$17)/Pram!$B$16</f>
        <v>1.1452122279514221E-2</v>
      </c>
      <c r="P256">
        <f t="shared" si="9"/>
        <v>86.320059600552767</v>
      </c>
    </row>
    <row r="257" spans="1:16" hidden="1" x14ac:dyDescent="0.55000000000000004">
      <c r="A257" t="s">
        <v>278</v>
      </c>
      <c r="B257">
        <v>63</v>
      </c>
      <c r="C257">
        <v>655</v>
      </c>
      <c r="D257">
        <v>634</v>
      </c>
      <c r="E257">
        <v>14.035769999999999</v>
      </c>
      <c r="F257">
        <v>93</v>
      </c>
      <c r="G257">
        <v>0</v>
      </c>
      <c r="H257">
        <v>1</v>
      </c>
      <c r="I257">
        <f>D257-Pram!$G$2</f>
        <v>4</v>
      </c>
      <c r="J257">
        <f>I257/Pram!$H$2</f>
        <v>0.33333333333333331</v>
      </c>
      <c r="K257">
        <f t="shared" si="8"/>
        <v>1.0752688172043012E-2</v>
      </c>
      <c r="L257">
        <f>IF(G257=0,1/(F257 - H257*Pram!$B$5 +Pram!$B$6)+Pram!$B$7,1/(F257+G257+Pram!$B$2))</f>
        <v>1.3161807580174927E-2</v>
      </c>
      <c r="M257">
        <f>(B257-J257-Pram!$I$2) * 2/120</f>
        <v>0.84444444444444444</v>
      </c>
      <c r="N257">
        <f>(1-L257-L257*Pram!$B$2)/L257</f>
        <v>88.777406135784702</v>
      </c>
      <c r="O257">
        <f>(M257-Pram!$B$17)/Pram!$B$16</f>
        <v>1.1374760399204984E-2</v>
      </c>
      <c r="P257">
        <f t="shared" si="9"/>
        <v>86.913939714272402</v>
      </c>
    </row>
    <row r="258" spans="1:16" hidden="1" x14ac:dyDescent="0.55000000000000004">
      <c r="A258" t="s">
        <v>279</v>
      </c>
      <c r="B258">
        <v>68</v>
      </c>
      <c r="C258">
        <v>634.5</v>
      </c>
      <c r="D258">
        <v>683</v>
      </c>
      <c r="E258">
        <v>16.530370000000001</v>
      </c>
      <c r="F258">
        <v>94</v>
      </c>
      <c r="G258">
        <v>0</v>
      </c>
      <c r="H258">
        <v>1</v>
      </c>
      <c r="I258">
        <f>D258-Pram!$G$2</f>
        <v>53</v>
      </c>
      <c r="J258">
        <f>I258/Pram!$H$2</f>
        <v>4.416666666666667</v>
      </c>
      <c r="K258">
        <f t="shared" si="8"/>
        <v>1.0638297872340425E-2</v>
      </c>
      <c r="L258">
        <f>IF(G258=0,1/(F258 - H258*Pram!$B$5 +Pram!$B$6)+Pram!$B$7,1/(F258+G258+Pram!$B$2))</f>
        <v>1.3027377521613832E-2</v>
      </c>
      <c r="M258">
        <f>(B258-J258-Pram!$I$2) * 2/120</f>
        <v>0.85972222222222228</v>
      </c>
      <c r="N258">
        <f>(1-L258-L258*Pram!$B$2)/L258</f>
        <v>89.561420196880889</v>
      </c>
      <c r="O258">
        <f>(M258-Pram!$B$17)/Pram!$B$16</f>
        <v>1.1617897737319725E-2</v>
      </c>
      <c r="P258">
        <f t="shared" si="9"/>
        <v>85.074092112873274</v>
      </c>
    </row>
    <row r="259" spans="1:16" hidden="1" x14ac:dyDescent="0.55000000000000004">
      <c r="A259" t="s">
        <v>280</v>
      </c>
      <c r="B259">
        <v>64</v>
      </c>
      <c r="C259">
        <v>628.5</v>
      </c>
      <c r="D259">
        <v>640.5</v>
      </c>
      <c r="E259">
        <v>14.57748</v>
      </c>
      <c r="F259">
        <v>93</v>
      </c>
      <c r="G259">
        <v>0</v>
      </c>
      <c r="H259">
        <v>1</v>
      </c>
      <c r="I259">
        <f>D259-Pram!$G$2</f>
        <v>10.5</v>
      </c>
      <c r="J259">
        <f>I259/Pram!$H$2</f>
        <v>0.875</v>
      </c>
      <c r="K259">
        <f t="shared" si="8"/>
        <v>1.0752688172043012E-2</v>
      </c>
      <c r="L259">
        <f>IF(G259=0,1/(F259 - H259*Pram!$B$5 +Pram!$B$6)+Pram!$B$7,1/(F259+G259+Pram!$B$2))</f>
        <v>1.3161807580174927E-2</v>
      </c>
      <c r="M259">
        <f>(B259-J259-Pram!$I$2) * 2/120</f>
        <v>0.8520833333333333</v>
      </c>
      <c r="N259">
        <f>(1-L259-L259*Pram!$B$2)/L259</f>
        <v>88.777406135784702</v>
      </c>
      <c r="O259">
        <f>(M259-Pram!$B$17)/Pram!$B$16</f>
        <v>1.1496329068262354E-2</v>
      </c>
      <c r="P259">
        <f t="shared" si="9"/>
        <v>85.984288120342399</v>
      </c>
    </row>
    <row r="260" spans="1:16" hidden="1" x14ac:dyDescent="0.55000000000000004">
      <c r="A260" t="s">
        <v>281</v>
      </c>
      <c r="B260">
        <v>64</v>
      </c>
      <c r="C260">
        <v>638.5</v>
      </c>
      <c r="D260">
        <v>645</v>
      </c>
      <c r="E260">
        <v>11.5435</v>
      </c>
      <c r="F260">
        <v>94</v>
      </c>
      <c r="G260">
        <v>0</v>
      </c>
      <c r="H260">
        <v>1</v>
      </c>
      <c r="I260">
        <f>D260-Pram!$G$2</f>
        <v>15</v>
      </c>
      <c r="J260">
        <f>I260/Pram!$H$2</f>
        <v>1.25</v>
      </c>
      <c r="K260">
        <f t="shared" si="8"/>
        <v>1.0638297872340425E-2</v>
      </c>
      <c r="L260">
        <f>IF(G260=0,1/(F260 - H260*Pram!$B$5 +Pram!$B$6)+Pram!$B$7,1/(F260+G260+Pram!$B$2))</f>
        <v>1.3027377521613832E-2</v>
      </c>
      <c r="M260">
        <f>(B260-J260-Pram!$I$2) * 2/120</f>
        <v>0.84583333333333333</v>
      </c>
      <c r="N260">
        <f>(1-L260-L260*Pram!$B$2)/L260</f>
        <v>89.561420196880889</v>
      </c>
      <c r="O260">
        <f>(M260-Pram!$B$17)/Pram!$B$16</f>
        <v>1.1396863793579052E-2</v>
      </c>
      <c r="P260">
        <f t="shared" si="9"/>
        <v>86.743436976354502</v>
      </c>
    </row>
    <row r="261" spans="1:16" hidden="1" x14ac:dyDescent="0.55000000000000004">
      <c r="A261" t="s">
        <v>282</v>
      </c>
      <c r="B261">
        <v>63</v>
      </c>
      <c r="C261">
        <v>635</v>
      </c>
      <c r="D261">
        <v>638</v>
      </c>
      <c r="E261">
        <v>15.0334</v>
      </c>
      <c r="F261">
        <v>95</v>
      </c>
      <c r="G261">
        <v>0</v>
      </c>
      <c r="H261">
        <v>1</v>
      </c>
      <c r="I261">
        <f>D261-Pram!$G$2</f>
        <v>8</v>
      </c>
      <c r="J261">
        <f>I261/Pram!$H$2</f>
        <v>0.66666666666666663</v>
      </c>
      <c r="K261">
        <f t="shared" si="8"/>
        <v>1.0526315789473684E-2</v>
      </c>
      <c r="L261">
        <f>IF(G261=0,1/(F261 - H261*Pram!$B$5 +Pram!$B$6)+Pram!$B$7,1/(F261+G261+Pram!$B$2))</f>
        <v>1.2896011396011396E-2</v>
      </c>
      <c r="M261">
        <f>(B261-J261-Pram!$I$2) * 2/120</f>
        <v>0.83888888888888891</v>
      </c>
      <c r="N261">
        <f>(1-L261-L261*Pram!$B$2)/L261</f>
        <v>90.343355793659555</v>
      </c>
      <c r="O261">
        <f>(M261-Pram!$B$17)/Pram!$B$16</f>
        <v>1.1286346821708716E-2</v>
      </c>
      <c r="P261">
        <f t="shared" si="9"/>
        <v>87.602628981465529</v>
      </c>
    </row>
    <row r="262" spans="1:16" hidden="1" x14ac:dyDescent="0.55000000000000004">
      <c r="A262" t="s">
        <v>283</v>
      </c>
      <c r="B262">
        <v>63</v>
      </c>
      <c r="C262">
        <v>639.5</v>
      </c>
      <c r="D262">
        <v>640</v>
      </c>
      <c r="E262">
        <v>14.53454</v>
      </c>
      <c r="F262">
        <v>95</v>
      </c>
      <c r="G262">
        <v>0</v>
      </c>
      <c r="H262">
        <v>1</v>
      </c>
      <c r="I262">
        <f>D262-Pram!$G$2</f>
        <v>10</v>
      </c>
      <c r="J262">
        <f>I262/Pram!$H$2</f>
        <v>0.83333333333333337</v>
      </c>
      <c r="K262">
        <f t="shared" si="8"/>
        <v>1.0526315789473684E-2</v>
      </c>
      <c r="L262">
        <f>IF(G262=0,1/(F262 - H262*Pram!$B$5 +Pram!$B$6)+Pram!$B$7,1/(F262+G262+Pram!$B$2))</f>
        <v>1.2896011396011396E-2</v>
      </c>
      <c r="M262">
        <f>(B262-J262-Pram!$I$2) * 2/120</f>
        <v>0.83611111111111103</v>
      </c>
      <c r="N262">
        <f>(1-L262-L262*Pram!$B$2)/L262</f>
        <v>90.343355793659555</v>
      </c>
      <c r="O262">
        <f>(M262-Pram!$B$17)/Pram!$B$16</f>
        <v>1.124214003296058E-2</v>
      </c>
      <c r="P262">
        <f t="shared" si="9"/>
        <v>87.951035751922888</v>
      </c>
    </row>
    <row r="263" spans="1:16" hidden="1" x14ac:dyDescent="0.55000000000000004">
      <c r="A263" t="s">
        <v>284</v>
      </c>
      <c r="B263">
        <v>63</v>
      </c>
      <c r="C263">
        <v>640.5</v>
      </c>
      <c r="D263">
        <v>632.5</v>
      </c>
      <c r="E263">
        <v>14.57748</v>
      </c>
      <c r="F263">
        <v>93</v>
      </c>
      <c r="G263">
        <v>0</v>
      </c>
      <c r="H263">
        <v>1</v>
      </c>
      <c r="I263">
        <f>D263-Pram!$G$2</f>
        <v>2.5</v>
      </c>
      <c r="J263">
        <f>I263/Pram!$H$2</f>
        <v>0.20833333333333334</v>
      </c>
      <c r="K263">
        <f t="shared" si="8"/>
        <v>1.0752688172043012E-2</v>
      </c>
      <c r="L263">
        <f>IF(G263=0,1/(F263 - H263*Pram!$B$5 +Pram!$B$6)+Pram!$B$7,1/(F263+G263+Pram!$B$2))</f>
        <v>1.3161807580174927E-2</v>
      </c>
      <c r="M263">
        <f>(B263-J263-Pram!$I$2) * 2/120</f>
        <v>0.84652777777777777</v>
      </c>
      <c r="N263">
        <f>(1-L263-L263*Pram!$B$2)/L263</f>
        <v>88.777406135784702</v>
      </c>
      <c r="O263">
        <f>(M263-Pram!$B$17)/Pram!$B$16</f>
        <v>1.1407915490766085E-2</v>
      </c>
      <c r="P263">
        <f t="shared" si="9"/>
        <v>86.65843337544274</v>
      </c>
    </row>
    <row r="264" spans="1:16" hidden="1" x14ac:dyDescent="0.55000000000000004">
      <c r="A264" t="s">
        <v>285</v>
      </c>
      <c r="B264">
        <v>63</v>
      </c>
      <c r="C264">
        <v>643.5</v>
      </c>
      <c r="D264">
        <v>632</v>
      </c>
      <c r="E264">
        <v>14.53454</v>
      </c>
      <c r="F264">
        <v>93</v>
      </c>
      <c r="G264">
        <v>0</v>
      </c>
      <c r="H264">
        <v>1</v>
      </c>
      <c r="I264">
        <f>D264-Pram!$G$2</f>
        <v>2</v>
      </c>
      <c r="J264">
        <f>I264/Pram!$H$2</f>
        <v>0.16666666666666666</v>
      </c>
      <c r="K264">
        <f t="shared" si="8"/>
        <v>1.0752688172043012E-2</v>
      </c>
      <c r="L264">
        <f>IF(G264=0,1/(F264 - H264*Pram!$B$5 +Pram!$B$6)+Pram!$B$7,1/(F264+G264+Pram!$B$2))</f>
        <v>1.3161807580174927E-2</v>
      </c>
      <c r="M264">
        <f>(B264-J264-Pram!$I$2) * 2/120</f>
        <v>0.84722222222222221</v>
      </c>
      <c r="N264">
        <f>(1-L264-L264*Pram!$B$2)/L264</f>
        <v>88.777406135784702</v>
      </c>
      <c r="O264">
        <f>(M264-Pram!$B$17)/Pram!$B$16</f>
        <v>1.1418967187953119E-2</v>
      </c>
      <c r="P264">
        <f t="shared" si="9"/>
        <v>86.573594313764971</v>
      </c>
    </row>
    <row r="265" spans="1:16" hidden="1" x14ac:dyDescent="0.55000000000000004">
      <c r="A265" t="s">
        <v>286</v>
      </c>
      <c r="B265">
        <v>63</v>
      </c>
      <c r="C265">
        <v>655.5</v>
      </c>
      <c r="D265">
        <v>637</v>
      </c>
      <c r="E265">
        <v>14.53454</v>
      </c>
      <c r="F265">
        <v>94</v>
      </c>
      <c r="G265">
        <v>0</v>
      </c>
      <c r="H265">
        <v>1</v>
      </c>
      <c r="I265">
        <f>D265-Pram!$G$2</f>
        <v>7</v>
      </c>
      <c r="J265">
        <f>I265/Pram!$H$2</f>
        <v>0.58333333333333337</v>
      </c>
      <c r="K265">
        <f t="shared" si="8"/>
        <v>1.0638297872340425E-2</v>
      </c>
      <c r="L265">
        <f>IF(G265=0,1/(F265 - H265*Pram!$B$5 +Pram!$B$6)+Pram!$B$7,1/(F265+G265+Pram!$B$2))</f>
        <v>1.3027377521613832E-2</v>
      </c>
      <c r="M265">
        <f>(B265-J265-Pram!$I$2) * 2/120</f>
        <v>0.84027777777777779</v>
      </c>
      <c r="N265">
        <f>(1-L265-L265*Pram!$B$2)/L265</f>
        <v>89.561420196880889</v>
      </c>
      <c r="O265">
        <f>(M265-Pram!$B$17)/Pram!$B$16</f>
        <v>1.1308450216082783E-2</v>
      </c>
      <c r="P265">
        <f t="shared" si="9"/>
        <v>87.429447085313996</v>
      </c>
    </row>
    <row r="266" spans="1:16" hidden="1" x14ac:dyDescent="0.55000000000000004">
      <c r="A266" t="s">
        <v>287</v>
      </c>
      <c r="B266">
        <v>64</v>
      </c>
      <c r="C266">
        <v>643.5</v>
      </c>
      <c r="D266">
        <v>632</v>
      </c>
      <c r="E266">
        <v>14.53454</v>
      </c>
      <c r="F266">
        <v>90</v>
      </c>
      <c r="G266">
        <v>0</v>
      </c>
      <c r="H266">
        <v>1</v>
      </c>
      <c r="I266">
        <f>D266-Pram!$G$2</f>
        <v>2</v>
      </c>
      <c r="J266">
        <f>I266/Pram!$H$2</f>
        <v>0.16666666666666666</v>
      </c>
      <c r="K266">
        <f t="shared" si="8"/>
        <v>1.1111111111111112E-2</v>
      </c>
      <c r="L266">
        <f>IF(G266=0,1/(F266 - H266*Pram!$B$5 +Pram!$B$6)+Pram!$B$7,1/(F266+G266+Pram!$B$2))</f>
        <v>1.3584592145015105E-2</v>
      </c>
      <c r="M266">
        <f>(B266-J266-Pram!$I$2) * 2/120</f>
        <v>0.86388888888888893</v>
      </c>
      <c r="N266">
        <f>(1-L266-L266*Pram!$B$2)/L266</f>
        <v>86.412809963304809</v>
      </c>
      <c r="O266">
        <f>(M266-Pram!$B$17)/Pram!$B$16</f>
        <v>1.1684207920441926E-2</v>
      </c>
      <c r="P266">
        <f t="shared" si="9"/>
        <v>84.585604673335666</v>
      </c>
    </row>
    <row r="267" spans="1:16" hidden="1" x14ac:dyDescent="0.55000000000000004">
      <c r="A267" t="s">
        <v>288</v>
      </c>
      <c r="B267">
        <v>68</v>
      </c>
      <c r="C267">
        <v>628</v>
      </c>
      <c r="D267">
        <v>662.5</v>
      </c>
      <c r="E267">
        <v>15.074909999999999</v>
      </c>
      <c r="F267">
        <v>90</v>
      </c>
      <c r="G267">
        <v>0</v>
      </c>
      <c r="H267">
        <v>1</v>
      </c>
      <c r="I267">
        <f>D267-Pram!$G$2</f>
        <v>32.5</v>
      </c>
      <c r="J267">
        <f>I267/Pram!$H$2</f>
        <v>2.7083333333333335</v>
      </c>
      <c r="K267">
        <f t="shared" si="8"/>
        <v>1.1111111111111112E-2</v>
      </c>
      <c r="L267">
        <f>IF(G267=0,1/(F267 - H267*Pram!$B$5 +Pram!$B$6)+Pram!$B$7,1/(F267+G267+Pram!$B$2))</f>
        <v>1.3584592145015105E-2</v>
      </c>
      <c r="M267">
        <f>(B267-J267-Pram!$I$2) * 2/120</f>
        <v>0.88819444444444451</v>
      </c>
      <c r="N267">
        <f>(1-L267-L267*Pram!$B$2)/L267</f>
        <v>86.412809963304809</v>
      </c>
      <c r="O267">
        <f>(M267-Pram!$B$17)/Pram!$B$16</f>
        <v>1.2071017321988104E-2</v>
      </c>
      <c r="P267">
        <f t="shared" si="9"/>
        <v>81.843058983805633</v>
      </c>
    </row>
    <row r="268" spans="1:16" hidden="1" x14ac:dyDescent="0.55000000000000004">
      <c r="A268" t="s">
        <v>289</v>
      </c>
      <c r="B268">
        <v>65</v>
      </c>
      <c r="C268">
        <v>630.5</v>
      </c>
      <c r="D268">
        <v>641.5</v>
      </c>
      <c r="E268">
        <v>14.57748</v>
      </c>
      <c r="F268">
        <v>91</v>
      </c>
      <c r="G268">
        <v>0</v>
      </c>
      <c r="H268">
        <v>1</v>
      </c>
      <c r="I268">
        <f>D268-Pram!$G$2</f>
        <v>11.5</v>
      </c>
      <c r="J268">
        <f>I268/Pram!$H$2</f>
        <v>0.95833333333333337</v>
      </c>
      <c r="K268">
        <f t="shared" si="8"/>
        <v>1.098901098901099E-2</v>
      </c>
      <c r="L268">
        <f>IF(G268=0,1/(F268 - H268*Pram!$B$5 +Pram!$B$6)+Pram!$B$7,1/(F268+G268+Pram!$B$2))</f>
        <v>1.3440298507462686E-2</v>
      </c>
      <c r="M268">
        <f>(B268-J268-Pram!$I$2) * 2/120</f>
        <v>0.86736111111111114</v>
      </c>
      <c r="N268">
        <f>(1-L268-L268*Pram!$B$2)/L268</f>
        <v>87.203109383675738</v>
      </c>
      <c r="O268">
        <f>(M268-Pram!$B$17)/Pram!$B$16</f>
        <v>1.1739466406377094E-2</v>
      </c>
      <c r="P268">
        <f t="shared" si="9"/>
        <v>84.182747271782432</v>
      </c>
    </row>
    <row r="269" spans="1:16" hidden="1" x14ac:dyDescent="0.55000000000000004">
      <c r="A269" t="s">
        <v>290</v>
      </c>
      <c r="B269">
        <v>64</v>
      </c>
      <c r="C269">
        <v>627.5</v>
      </c>
      <c r="D269">
        <v>635</v>
      </c>
      <c r="E269">
        <v>14.53454</v>
      </c>
      <c r="F269">
        <v>91</v>
      </c>
      <c r="G269">
        <v>0</v>
      </c>
      <c r="H269">
        <v>1</v>
      </c>
      <c r="I269">
        <f>D269-Pram!$G$2</f>
        <v>5</v>
      </c>
      <c r="J269">
        <f>I269/Pram!$H$2</f>
        <v>0.41666666666666669</v>
      </c>
      <c r="K269">
        <f t="shared" si="8"/>
        <v>1.098901098901099E-2</v>
      </c>
      <c r="L269">
        <f>IF(G269=0,1/(F269 - H269*Pram!$B$5 +Pram!$B$6)+Pram!$B$7,1/(F269+G269+Pram!$B$2))</f>
        <v>1.3440298507462686E-2</v>
      </c>
      <c r="M269">
        <f>(B269-J269-Pram!$I$2) * 2/120</f>
        <v>0.85972222222222228</v>
      </c>
      <c r="N269">
        <f>(1-L269-L269*Pram!$B$2)/L269</f>
        <v>87.203109383675738</v>
      </c>
      <c r="O269">
        <f>(M269-Pram!$B$17)/Pram!$B$16</f>
        <v>1.1617897737319725E-2</v>
      </c>
      <c r="P269">
        <f t="shared" si="9"/>
        <v>85.074092112873274</v>
      </c>
    </row>
    <row r="270" spans="1:16" hidden="1" x14ac:dyDescent="0.55000000000000004">
      <c r="A270" t="s">
        <v>291</v>
      </c>
      <c r="B270">
        <v>65</v>
      </c>
      <c r="C270">
        <v>649</v>
      </c>
      <c r="D270">
        <v>644</v>
      </c>
      <c r="E270">
        <v>11.180440000000001</v>
      </c>
      <c r="F270">
        <v>92</v>
      </c>
      <c r="G270">
        <v>0</v>
      </c>
      <c r="H270">
        <v>1</v>
      </c>
      <c r="I270">
        <f>D270-Pram!$G$2</f>
        <v>14</v>
      </c>
      <c r="J270">
        <f>I270/Pram!$H$2</f>
        <v>1.1666666666666667</v>
      </c>
      <c r="K270">
        <f t="shared" si="8"/>
        <v>1.0869565217391304E-2</v>
      </c>
      <c r="L270">
        <f>IF(G270=0,1/(F270 - H270*Pram!$B$5 +Pram!$B$6)+Pram!$B$7,1/(F270+G270+Pram!$B$2))</f>
        <v>1.3299410029498525E-2</v>
      </c>
      <c r="M270">
        <f>(B270-J270-Pram!$I$2) * 2/120</f>
        <v>0.86388888888888893</v>
      </c>
      <c r="N270">
        <f>(1-L270-L270*Pram!$B$2)/L270</f>
        <v>87.991305312188103</v>
      </c>
      <c r="O270">
        <f>(M270-Pram!$B$17)/Pram!$B$16</f>
        <v>1.1684207920441926E-2</v>
      </c>
      <c r="P270">
        <f t="shared" si="9"/>
        <v>84.585604673335666</v>
      </c>
    </row>
    <row r="271" spans="1:16" hidden="1" x14ac:dyDescent="0.55000000000000004">
      <c r="A271" t="s">
        <v>292</v>
      </c>
      <c r="B271">
        <v>64</v>
      </c>
      <c r="C271">
        <v>653</v>
      </c>
      <c r="D271">
        <v>630.5</v>
      </c>
      <c r="E271">
        <v>14.08023</v>
      </c>
      <c r="F271">
        <v>90</v>
      </c>
      <c r="G271">
        <v>0</v>
      </c>
      <c r="H271">
        <v>1</v>
      </c>
      <c r="I271">
        <f>D271-Pram!$G$2</f>
        <v>0.5</v>
      </c>
      <c r="J271">
        <f>I271/Pram!$H$2</f>
        <v>4.1666666666666664E-2</v>
      </c>
      <c r="K271">
        <f t="shared" si="8"/>
        <v>1.1111111111111112E-2</v>
      </c>
      <c r="L271">
        <f>IF(G271=0,1/(F271 - H271*Pram!$B$5 +Pram!$B$6)+Pram!$B$7,1/(F271+G271+Pram!$B$2))</f>
        <v>1.3584592145015105E-2</v>
      </c>
      <c r="M271">
        <f>(B271-J271-Pram!$I$2) * 2/120</f>
        <v>0.86597222222222225</v>
      </c>
      <c r="N271">
        <f>(1-L271-L271*Pram!$B$2)/L271</f>
        <v>86.412809963304809</v>
      </c>
      <c r="O271">
        <f>(M271-Pram!$B$17)/Pram!$B$16</f>
        <v>1.1717363012003027E-2</v>
      </c>
      <c r="P271">
        <f t="shared" si="9"/>
        <v>84.343434267216992</v>
      </c>
    </row>
    <row r="272" spans="1:16" hidden="1" x14ac:dyDescent="0.55000000000000004">
      <c r="A272" t="s">
        <v>293</v>
      </c>
      <c r="B272">
        <v>65</v>
      </c>
      <c r="C272">
        <v>648.5</v>
      </c>
      <c r="D272">
        <v>638</v>
      </c>
      <c r="E272">
        <v>14.53454</v>
      </c>
      <c r="F272">
        <v>90</v>
      </c>
      <c r="G272">
        <v>0</v>
      </c>
      <c r="H272">
        <v>1</v>
      </c>
      <c r="I272">
        <f>D272-Pram!$G$2</f>
        <v>8</v>
      </c>
      <c r="J272">
        <f>I272/Pram!$H$2</f>
        <v>0.66666666666666663</v>
      </c>
      <c r="K272">
        <f t="shared" si="8"/>
        <v>1.1111111111111112E-2</v>
      </c>
      <c r="L272">
        <f>IF(G272=0,1/(F272 - H272*Pram!$B$5 +Pram!$B$6)+Pram!$B$7,1/(F272+G272+Pram!$B$2))</f>
        <v>1.3584592145015105E-2</v>
      </c>
      <c r="M272">
        <f>(B272-J272-Pram!$I$2) * 2/120</f>
        <v>0.87222222222222212</v>
      </c>
      <c r="N272">
        <f>(1-L272-L272*Pram!$B$2)/L272</f>
        <v>86.412809963304809</v>
      </c>
      <c r="O272">
        <f>(M272-Pram!$B$17)/Pram!$B$16</f>
        <v>1.1816828286686327E-2</v>
      </c>
      <c r="P272">
        <f t="shared" si="9"/>
        <v>83.625076690559226</v>
      </c>
    </row>
    <row r="273" spans="1:16" hidden="1" x14ac:dyDescent="0.55000000000000004">
      <c r="A273" t="s">
        <v>294</v>
      </c>
      <c r="B273">
        <v>66</v>
      </c>
      <c r="C273">
        <v>645</v>
      </c>
      <c r="D273">
        <v>644</v>
      </c>
      <c r="E273">
        <v>11.180440000000001</v>
      </c>
      <c r="F273">
        <v>89</v>
      </c>
      <c r="G273">
        <v>0</v>
      </c>
      <c r="H273">
        <v>1</v>
      </c>
      <c r="I273">
        <f>D273-Pram!$G$2</f>
        <v>14</v>
      </c>
      <c r="J273">
        <f>I273/Pram!$H$2</f>
        <v>1.1666666666666667</v>
      </c>
      <c r="K273">
        <f t="shared" si="8"/>
        <v>1.1235955056179775E-2</v>
      </c>
      <c r="L273">
        <f>IF(G273=0,1/(F273 - H273*Pram!$B$5 +Pram!$B$6)+Pram!$B$7,1/(F273+G273+Pram!$B$2))</f>
        <v>1.3732415902140672E-2</v>
      </c>
      <c r="M273">
        <f>(B273-J273-Pram!$I$2) * 2/120</f>
        <v>0.88055555555555542</v>
      </c>
      <c r="N273">
        <f>(1-L273-L273*Pram!$B$2)/L273</f>
        <v>85.620398619307437</v>
      </c>
      <c r="O273">
        <f>(M273-Pram!$B$17)/Pram!$B$16</f>
        <v>1.1949448652930732E-2</v>
      </c>
      <c r="P273">
        <f t="shared" si="9"/>
        <v>82.685869452624431</v>
      </c>
    </row>
    <row r="274" spans="1:16" hidden="1" x14ac:dyDescent="0.55000000000000004">
      <c r="A274" t="s">
        <v>295</v>
      </c>
      <c r="B274">
        <v>65</v>
      </c>
      <c r="C274">
        <v>641.5</v>
      </c>
      <c r="D274">
        <v>635.5</v>
      </c>
      <c r="E274">
        <v>14.57748</v>
      </c>
      <c r="F274">
        <v>89</v>
      </c>
      <c r="G274">
        <v>0</v>
      </c>
      <c r="H274">
        <v>1</v>
      </c>
      <c r="I274">
        <f>D274-Pram!$G$2</f>
        <v>5.5</v>
      </c>
      <c r="J274">
        <f>I274/Pram!$H$2</f>
        <v>0.45833333333333331</v>
      </c>
      <c r="K274">
        <f t="shared" si="8"/>
        <v>1.1235955056179775E-2</v>
      </c>
      <c r="L274">
        <f>IF(G274=0,1/(F274 - H274*Pram!$B$5 +Pram!$B$6)+Pram!$B$7,1/(F274+G274+Pram!$B$2))</f>
        <v>1.3732415902140672E-2</v>
      </c>
      <c r="M274">
        <f>(B274-J274-Pram!$I$2) * 2/120</f>
        <v>0.87569444444444455</v>
      </c>
      <c r="N274">
        <f>(1-L274-L274*Pram!$B$2)/L274</f>
        <v>85.620398619307437</v>
      </c>
      <c r="O274">
        <f>(M274-Pram!$B$17)/Pram!$B$16</f>
        <v>1.18720867726215E-2</v>
      </c>
      <c r="P274">
        <f t="shared" si="9"/>
        <v>83.231190282918377</v>
      </c>
    </row>
    <row r="275" spans="1:16" hidden="1" x14ac:dyDescent="0.55000000000000004">
      <c r="A275" t="s">
        <v>296</v>
      </c>
      <c r="B275">
        <v>65</v>
      </c>
      <c r="C275">
        <v>634.5</v>
      </c>
      <c r="D275">
        <v>640</v>
      </c>
      <c r="E275">
        <v>9.7083399999999997</v>
      </c>
      <c r="F275">
        <v>90</v>
      </c>
      <c r="G275">
        <v>0</v>
      </c>
      <c r="H275">
        <v>1</v>
      </c>
      <c r="I275">
        <f>D275-Pram!$G$2</f>
        <v>10</v>
      </c>
      <c r="J275">
        <f>I275/Pram!$H$2</f>
        <v>0.83333333333333337</v>
      </c>
      <c r="K275">
        <f t="shared" ref="K275:K338" si="10">1/(F275+G275)</f>
        <v>1.1111111111111112E-2</v>
      </c>
      <c r="L275">
        <f>IF(G275=0,1/(F275 - H275*Pram!$B$5 +Pram!$B$6)+Pram!$B$7,1/(F275+G275+Pram!$B$2))</f>
        <v>1.3584592145015105E-2</v>
      </c>
      <c r="M275">
        <f>(B275-J275-Pram!$I$2) * 2/120</f>
        <v>0.86944444444444458</v>
      </c>
      <c r="N275">
        <f>(1-L275-L275*Pram!$B$2)/L275</f>
        <v>86.412809963304809</v>
      </c>
      <c r="O275">
        <f>(M275-Pram!$B$17)/Pram!$B$16</f>
        <v>1.1772621497938196E-2</v>
      </c>
      <c r="P275">
        <f t="shared" ref="P275:P338" si="11">(1-O275)/O275</f>
        <v>83.942848130735825</v>
      </c>
    </row>
    <row r="276" spans="1:16" hidden="1" x14ac:dyDescent="0.55000000000000004">
      <c r="A276" t="s">
        <v>297</v>
      </c>
      <c r="B276">
        <v>68</v>
      </c>
      <c r="C276">
        <v>629.5</v>
      </c>
      <c r="D276">
        <v>662</v>
      </c>
      <c r="E276">
        <v>15.53232</v>
      </c>
      <c r="F276">
        <v>90</v>
      </c>
      <c r="G276">
        <v>0</v>
      </c>
      <c r="H276">
        <v>1</v>
      </c>
      <c r="I276">
        <f>D276-Pram!$G$2</f>
        <v>32</v>
      </c>
      <c r="J276">
        <f>I276/Pram!$H$2</f>
        <v>2.6666666666666665</v>
      </c>
      <c r="K276">
        <f t="shared" si="10"/>
        <v>1.1111111111111112E-2</v>
      </c>
      <c r="L276">
        <f>IF(G276=0,1/(F276 - H276*Pram!$B$5 +Pram!$B$6)+Pram!$B$7,1/(F276+G276+Pram!$B$2))</f>
        <v>1.3584592145015105E-2</v>
      </c>
      <c r="M276">
        <f>(B276-J276-Pram!$I$2) * 2/120</f>
        <v>0.88888888888888884</v>
      </c>
      <c r="N276">
        <f>(1-L276-L276*Pram!$B$2)/L276</f>
        <v>86.412809963304809</v>
      </c>
      <c r="O276">
        <f>(M276-Pram!$B$17)/Pram!$B$16</f>
        <v>1.2082069019175136E-2</v>
      </c>
      <c r="P276">
        <f t="shared" si="11"/>
        <v>81.767280869934282</v>
      </c>
    </row>
    <row r="277" spans="1:16" hidden="1" x14ac:dyDescent="0.55000000000000004">
      <c r="A277" t="s">
        <v>301</v>
      </c>
      <c r="B277">
        <v>53</v>
      </c>
      <c r="C277">
        <v>634.5</v>
      </c>
      <c r="D277">
        <v>645</v>
      </c>
      <c r="E277">
        <v>5.5902700000000003</v>
      </c>
      <c r="F277">
        <v>131</v>
      </c>
      <c r="G277">
        <v>0</v>
      </c>
      <c r="H277">
        <v>1</v>
      </c>
      <c r="I277">
        <f>D277-Pram!$G$2</f>
        <v>15</v>
      </c>
      <c r="J277">
        <f>I277/Pram!$H$2</f>
        <v>1.25</v>
      </c>
      <c r="K277">
        <f t="shared" si="10"/>
        <v>7.6335877862595417E-3</v>
      </c>
      <c r="L277">
        <f>IF(G277=0,1/(F277 - H277*Pram!$B$5 +Pram!$B$6)+Pram!$B$7,1/(F277+G277+Pram!$B$2))</f>
        <v>9.5808080808080804E-3</v>
      </c>
      <c r="M277">
        <f>(B277-J277-Pram!$I$2) * 2/120</f>
        <v>0.66249999999999998</v>
      </c>
      <c r="N277">
        <f>(1-L277-L277*Pram!$B$2)/L277</f>
        <v>117.17532946758038</v>
      </c>
      <c r="O277">
        <f>(M277-Pram!$B$17)/Pram!$B$16</f>
        <v>8.4792157362021756E-3</v>
      </c>
      <c r="P277">
        <f t="shared" si="11"/>
        <v>116.93543543543547</v>
      </c>
    </row>
    <row r="278" spans="1:16" hidden="1" x14ac:dyDescent="0.55000000000000004">
      <c r="A278" t="s">
        <v>302</v>
      </c>
      <c r="B278">
        <v>53</v>
      </c>
      <c r="C278">
        <v>625.5</v>
      </c>
      <c r="D278">
        <v>647.5</v>
      </c>
      <c r="E278">
        <v>2.9155799999999998</v>
      </c>
      <c r="F278">
        <v>132</v>
      </c>
      <c r="G278">
        <v>0</v>
      </c>
      <c r="H278">
        <v>1</v>
      </c>
      <c r="I278">
        <f>D278-Pram!$G$2</f>
        <v>17.5</v>
      </c>
      <c r="J278">
        <f>I278/Pram!$H$2</f>
        <v>1.4583333333333333</v>
      </c>
      <c r="K278">
        <f t="shared" si="10"/>
        <v>7.575757575757576E-3</v>
      </c>
      <c r="L278">
        <f>IF(G278=0,1/(F278 - H278*Pram!$B$5 +Pram!$B$6)+Pram!$B$7,1/(F278+G278+Pram!$B$2))</f>
        <v>9.5160320641282554E-3</v>
      </c>
      <c r="M278">
        <f>(B278-J278-Pram!$I$2) * 2/120</f>
        <v>0.65902777777777777</v>
      </c>
      <c r="N278">
        <f>(1-L278-L278*Pram!$B$2)/L278</f>
        <v>117.88581657365486</v>
      </c>
      <c r="O278">
        <f>(M278-Pram!$B$17)/Pram!$B$16</f>
        <v>8.4239572502670078E-3</v>
      </c>
      <c r="P278">
        <f t="shared" si="11"/>
        <v>117.70905446110898</v>
      </c>
    </row>
    <row r="279" spans="1:16" hidden="1" x14ac:dyDescent="0.55000000000000004">
      <c r="A279" t="s">
        <v>303</v>
      </c>
      <c r="B279">
        <v>52</v>
      </c>
      <c r="C279">
        <v>650.5</v>
      </c>
      <c r="D279">
        <v>636.5</v>
      </c>
      <c r="E279">
        <v>11.59751</v>
      </c>
      <c r="F279">
        <v>132</v>
      </c>
      <c r="G279">
        <v>0</v>
      </c>
      <c r="H279">
        <v>1</v>
      </c>
      <c r="I279">
        <f>D279-Pram!$G$2</f>
        <v>6.5</v>
      </c>
      <c r="J279">
        <f>I279/Pram!$H$2</f>
        <v>0.54166666666666663</v>
      </c>
      <c r="K279">
        <f t="shared" si="10"/>
        <v>7.575757575757576E-3</v>
      </c>
      <c r="L279">
        <f>IF(G279=0,1/(F279 - H279*Pram!$B$5 +Pram!$B$6)+Pram!$B$7,1/(F279+G279+Pram!$B$2))</f>
        <v>9.5160320641282554E-3</v>
      </c>
      <c r="M279">
        <f>(B279-J279-Pram!$I$2) * 2/120</f>
        <v>0.65763888888888888</v>
      </c>
      <c r="N279">
        <f>(1-L279-L279*Pram!$B$2)/L279</f>
        <v>117.88581657365486</v>
      </c>
      <c r="O279">
        <f>(M279-Pram!$B$17)/Pram!$B$16</f>
        <v>8.4018538558929406E-3</v>
      </c>
      <c r="P279">
        <f t="shared" si="11"/>
        <v>118.0213513769481</v>
      </c>
    </row>
    <row r="280" spans="1:16" hidden="1" x14ac:dyDescent="0.55000000000000004">
      <c r="A280" t="s">
        <v>304</v>
      </c>
      <c r="B280">
        <v>52</v>
      </c>
      <c r="C280">
        <v>649.5</v>
      </c>
      <c r="D280">
        <v>640.5</v>
      </c>
      <c r="E280">
        <v>14.57748</v>
      </c>
      <c r="F280">
        <v>133</v>
      </c>
      <c r="G280">
        <v>0</v>
      </c>
      <c r="H280">
        <v>1</v>
      </c>
      <c r="I280">
        <f>D280-Pram!$G$2</f>
        <v>10.5</v>
      </c>
      <c r="J280">
        <f>I280/Pram!$H$2</f>
        <v>0.875</v>
      </c>
      <c r="K280">
        <f t="shared" si="10"/>
        <v>7.5187969924812026E-3</v>
      </c>
      <c r="L280">
        <f>IF(G280=0,1/(F280 - H280*Pram!$B$5 +Pram!$B$6)+Pram!$B$7,1/(F280+G280+Pram!$B$2))</f>
        <v>9.4522862823061618E-3</v>
      </c>
      <c r="M280">
        <f>(B280-J280-Pram!$I$2) * 2/120</f>
        <v>0.65208333333333335</v>
      </c>
      <c r="N280">
        <f>(1-L280-L280*Pram!$B$2)/L280</f>
        <v>118.59451046377117</v>
      </c>
      <c r="O280">
        <f>(M280-Pram!$B$17)/Pram!$B$16</f>
        <v>8.3134402783966721E-3</v>
      </c>
      <c r="P280">
        <f t="shared" si="11"/>
        <v>119.28714545512555</v>
      </c>
    </row>
    <row r="281" spans="1:16" hidden="1" x14ac:dyDescent="0.55000000000000004">
      <c r="A281" t="s">
        <v>305</v>
      </c>
      <c r="B281">
        <v>51</v>
      </c>
      <c r="C281">
        <v>635.5</v>
      </c>
      <c r="D281">
        <v>630.5</v>
      </c>
      <c r="E281">
        <v>14.57748</v>
      </c>
      <c r="F281">
        <v>134</v>
      </c>
      <c r="G281">
        <v>0</v>
      </c>
      <c r="H281">
        <v>1</v>
      </c>
      <c r="I281">
        <f>D281-Pram!$G$2</f>
        <v>0.5</v>
      </c>
      <c r="J281">
        <f>I281/Pram!$H$2</f>
        <v>4.1666666666666664E-2</v>
      </c>
      <c r="K281">
        <f t="shared" si="10"/>
        <v>7.462686567164179E-3</v>
      </c>
      <c r="L281">
        <f>IF(G281=0,1/(F281 - H281*Pram!$B$5 +Pram!$B$6)+Pram!$B$7,1/(F281+G281+Pram!$B$2))</f>
        <v>9.3895463510848126E-3</v>
      </c>
      <c r="M281">
        <f>(B281-J281-Pram!$I$2) * 2/120</f>
        <v>0.64930555555555558</v>
      </c>
      <c r="N281">
        <f>(1-L281-L281*Pram!$B$2)/L281</f>
        <v>119.30141791828591</v>
      </c>
      <c r="O281">
        <f>(M281-Pram!$B$17)/Pram!$B$16</f>
        <v>8.2692334896485378E-3</v>
      </c>
      <c r="P281">
        <f t="shared" si="11"/>
        <v>119.93019277443361</v>
      </c>
    </row>
    <row r="282" spans="1:16" hidden="1" x14ac:dyDescent="0.55000000000000004">
      <c r="A282" t="s">
        <v>306</v>
      </c>
      <c r="B282">
        <v>51</v>
      </c>
      <c r="C282">
        <v>654.5</v>
      </c>
      <c r="D282">
        <v>630.5</v>
      </c>
      <c r="E282">
        <v>14.57748</v>
      </c>
      <c r="F282">
        <v>134</v>
      </c>
      <c r="G282">
        <v>0</v>
      </c>
      <c r="H282">
        <v>1</v>
      </c>
      <c r="I282">
        <f>D282-Pram!$G$2</f>
        <v>0.5</v>
      </c>
      <c r="J282">
        <f>I282/Pram!$H$2</f>
        <v>4.1666666666666664E-2</v>
      </c>
      <c r="K282">
        <f t="shared" si="10"/>
        <v>7.462686567164179E-3</v>
      </c>
      <c r="L282">
        <f>IF(G282=0,1/(F282 - H282*Pram!$B$5 +Pram!$B$6)+Pram!$B$7,1/(F282+G282+Pram!$B$2))</f>
        <v>9.3895463510848126E-3</v>
      </c>
      <c r="M282">
        <f>(B282-J282-Pram!$I$2) * 2/120</f>
        <v>0.64930555555555558</v>
      </c>
      <c r="N282">
        <f>(1-L282-L282*Pram!$B$2)/L282</f>
        <v>119.30141791828591</v>
      </c>
      <c r="O282">
        <f>(M282-Pram!$B$17)/Pram!$B$16</f>
        <v>8.2692334896485378E-3</v>
      </c>
      <c r="P282">
        <f t="shared" si="11"/>
        <v>119.93019277443361</v>
      </c>
    </row>
    <row r="283" spans="1:16" hidden="1" x14ac:dyDescent="0.55000000000000004">
      <c r="A283" t="s">
        <v>307</v>
      </c>
      <c r="B283">
        <v>55</v>
      </c>
      <c r="C283">
        <v>621.5</v>
      </c>
      <c r="D283">
        <v>673.5</v>
      </c>
      <c r="E283">
        <v>5.7009800000000004</v>
      </c>
      <c r="F283">
        <v>132</v>
      </c>
      <c r="G283">
        <v>0</v>
      </c>
      <c r="H283">
        <v>1</v>
      </c>
      <c r="I283">
        <f>D283-Pram!$G$2</f>
        <v>43.5</v>
      </c>
      <c r="J283">
        <f>I283/Pram!$H$2</f>
        <v>3.625</v>
      </c>
      <c r="K283">
        <f t="shared" si="10"/>
        <v>7.575757575757576E-3</v>
      </c>
      <c r="L283">
        <f>IF(G283=0,1/(F283 - H283*Pram!$B$5 +Pram!$B$6)+Pram!$B$7,1/(F283+G283+Pram!$B$2))</f>
        <v>9.5160320641282554E-3</v>
      </c>
      <c r="M283">
        <f>(B283-J283-Pram!$I$2) * 2/120</f>
        <v>0.65625</v>
      </c>
      <c r="N283">
        <f>(1-L283-L283*Pram!$B$2)/L283</f>
        <v>117.88581657365486</v>
      </c>
      <c r="O283">
        <f>(M283-Pram!$B$17)/Pram!$B$16</f>
        <v>8.3797504615188735E-3</v>
      </c>
      <c r="P283">
        <f t="shared" si="11"/>
        <v>118.33529579337197</v>
      </c>
    </row>
    <row r="284" spans="1:16" hidden="1" x14ac:dyDescent="0.55000000000000004">
      <c r="A284" t="s">
        <v>308</v>
      </c>
      <c r="B284">
        <v>52</v>
      </c>
      <c r="C284">
        <v>642</v>
      </c>
      <c r="D284">
        <v>641</v>
      </c>
      <c r="E284">
        <v>15.0334</v>
      </c>
      <c r="F284">
        <v>134</v>
      </c>
      <c r="G284">
        <v>0</v>
      </c>
      <c r="H284">
        <v>1</v>
      </c>
      <c r="I284">
        <f>D284-Pram!$G$2</f>
        <v>11</v>
      </c>
      <c r="J284">
        <f>I284/Pram!$H$2</f>
        <v>0.91666666666666663</v>
      </c>
      <c r="K284">
        <f t="shared" si="10"/>
        <v>7.462686567164179E-3</v>
      </c>
      <c r="L284">
        <f>IF(G284=0,1/(F284 - H284*Pram!$B$5 +Pram!$B$6)+Pram!$B$7,1/(F284+G284+Pram!$B$2))</f>
        <v>9.3895463510848126E-3</v>
      </c>
      <c r="M284">
        <f>(B284-J284-Pram!$I$2) * 2/120</f>
        <v>0.65138888888888891</v>
      </c>
      <c r="N284">
        <f>(1-L284-L284*Pram!$B$2)/L284</f>
        <v>119.30141791828591</v>
      </c>
      <c r="O284">
        <f>(M284-Pram!$B$17)/Pram!$B$16</f>
        <v>8.3023885812096385E-3</v>
      </c>
      <c r="P284">
        <f t="shared" si="11"/>
        <v>119.44726529221333</v>
      </c>
    </row>
    <row r="285" spans="1:16" hidden="1" x14ac:dyDescent="0.55000000000000004">
      <c r="A285" t="s">
        <v>309</v>
      </c>
      <c r="B285">
        <v>52</v>
      </c>
      <c r="C285">
        <v>637.5</v>
      </c>
      <c r="D285">
        <v>637</v>
      </c>
      <c r="E285">
        <v>14.53454</v>
      </c>
      <c r="F285">
        <v>132</v>
      </c>
      <c r="G285">
        <v>0</v>
      </c>
      <c r="H285">
        <v>1</v>
      </c>
      <c r="I285">
        <f>D285-Pram!$G$2</f>
        <v>7</v>
      </c>
      <c r="J285">
        <f>I285/Pram!$H$2</f>
        <v>0.58333333333333337</v>
      </c>
      <c r="K285">
        <f t="shared" si="10"/>
        <v>7.575757575757576E-3</v>
      </c>
      <c r="L285">
        <f>IF(G285=0,1/(F285 - H285*Pram!$B$5 +Pram!$B$6)+Pram!$B$7,1/(F285+G285+Pram!$B$2))</f>
        <v>9.5160320641282554E-3</v>
      </c>
      <c r="M285">
        <f>(B285-J285-Pram!$I$2) * 2/120</f>
        <v>0.65694444444444444</v>
      </c>
      <c r="N285">
        <f>(1-L285-L285*Pram!$B$2)/L285</f>
        <v>117.88581657365486</v>
      </c>
      <c r="O285">
        <f>(M285-Pram!$B$17)/Pram!$B$16</f>
        <v>8.3908021587059071E-3</v>
      </c>
      <c r="P285">
        <f t="shared" si="11"/>
        <v>118.17811683385317</v>
      </c>
    </row>
    <row r="286" spans="1:16" hidden="1" x14ac:dyDescent="0.55000000000000004">
      <c r="A286" t="s">
        <v>310</v>
      </c>
      <c r="B286">
        <v>53</v>
      </c>
      <c r="C286">
        <v>633</v>
      </c>
      <c r="D286">
        <v>649.5</v>
      </c>
      <c r="E286">
        <v>2.5001000000000002</v>
      </c>
      <c r="F286">
        <v>133</v>
      </c>
      <c r="G286">
        <v>0</v>
      </c>
      <c r="H286">
        <v>1</v>
      </c>
      <c r="I286">
        <f>D286-Pram!$G$2</f>
        <v>19.5</v>
      </c>
      <c r="J286">
        <f>I286/Pram!$H$2</f>
        <v>1.625</v>
      </c>
      <c r="K286">
        <f t="shared" si="10"/>
        <v>7.5187969924812026E-3</v>
      </c>
      <c r="L286">
        <f>IF(G286=0,1/(F286 - H286*Pram!$B$5 +Pram!$B$6)+Pram!$B$7,1/(F286+G286+Pram!$B$2))</f>
        <v>9.4522862823061618E-3</v>
      </c>
      <c r="M286">
        <f>(B286-J286-Pram!$I$2) * 2/120</f>
        <v>0.65625</v>
      </c>
      <c r="N286">
        <f>(1-L286-L286*Pram!$B$2)/L286</f>
        <v>118.59451046377117</v>
      </c>
      <c r="O286">
        <f>(M286-Pram!$B$17)/Pram!$B$16</f>
        <v>8.3797504615188735E-3</v>
      </c>
      <c r="P286">
        <f t="shared" si="11"/>
        <v>118.33529579337197</v>
      </c>
    </row>
    <row r="287" spans="1:16" hidden="1" x14ac:dyDescent="0.55000000000000004">
      <c r="A287" t="s">
        <v>311</v>
      </c>
      <c r="B287">
        <v>52</v>
      </c>
      <c r="C287">
        <v>634.5</v>
      </c>
      <c r="D287">
        <v>634</v>
      </c>
      <c r="E287">
        <v>14.53454</v>
      </c>
      <c r="F287">
        <v>130</v>
      </c>
      <c r="G287">
        <v>0</v>
      </c>
      <c r="H287">
        <v>1</v>
      </c>
      <c r="I287">
        <f>D287-Pram!$G$2</f>
        <v>4</v>
      </c>
      <c r="J287">
        <f>I287/Pram!$H$2</f>
        <v>0.33333333333333331</v>
      </c>
      <c r="K287">
        <f t="shared" si="10"/>
        <v>7.6923076923076927E-3</v>
      </c>
      <c r="L287">
        <f>IF(G287=0,1/(F287 - H287*Pram!$B$5 +Pram!$B$6)+Pram!$B$7,1/(F287+G287+Pram!$B$2))</f>
        <v>9.6466395112016282E-3</v>
      </c>
      <c r="M287">
        <f>(B287-J287-Pram!$I$2) * 2/120</f>
        <v>0.66111111111111109</v>
      </c>
      <c r="N287">
        <f>(1-L287-L287*Pram!$B$2)/L287</f>
        <v>116.46304233083502</v>
      </c>
      <c r="O287">
        <f>(M287-Pram!$B$17)/Pram!$B$16</f>
        <v>8.4571123418281085E-3</v>
      </c>
      <c r="P287">
        <f t="shared" si="11"/>
        <v>117.24366989357478</v>
      </c>
    </row>
    <row r="288" spans="1:16" hidden="1" x14ac:dyDescent="0.55000000000000004">
      <c r="A288" t="s">
        <v>312</v>
      </c>
      <c r="B288">
        <v>52</v>
      </c>
      <c r="C288">
        <v>650</v>
      </c>
      <c r="D288">
        <v>633.5</v>
      </c>
      <c r="E288">
        <v>14.08023</v>
      </c>
      <c r="F288">
        <v>130</v>
      </c>
      <c r="G288">
        <v>0</v>
      </c>
      <c r="H288">
        <v>1</v>
      </c>
      <c r="I288">
        <f>D288-Pram!$G$2</f>
        <v>3.5</v>
      </c>
      <c r="J288">
        <f>I288/Pram!$H$2</f>
        <v>0.29166666666666669</v>
      </c>
      <c r="K288">
        <f t="shared" si="10"/>
        <v>7.6923076923076927E-3</v>
      </c>
      <c r="L288">
        <f>IF(G288=0,1/(F288 - H288*Pram!$B$5 +Pram!$B$6)+Pram!$B$7,1/(F288+G288+Pram!$B$2))</f>
        <v>9.6466395112016282E-3</v>
      </c>
      <c r="M288">
        <f>(B288-J288-Pram!$I$2) * 2/120</f>
        <v>0.66180555555555565</v>
      </c>
      <c r="N288">
        <f>(1-L288-L288*Pram!$B$2)/L288</f>
        <v>116.46304233083502</v>
      </c>
      <c r="O288">
        <f>(M288-Pram!$B$17)/Pram!$B$16</f>
        <v>8.4681640390151438E-3</v>
      </c>
      <c r="P288">
        <f t="shared" si="11"/>
        <v>117.08935152799674</v>
      </c>
    </row>
    <row r="289" spans="1:16" hidden="1" x14ac:dyDescent="0.55000000000000004">
      <c r="A289" t="s">
        <v>313</v>
      </c>
      <c r="B289">
        <v>52</v>
      </c>
      <c r="C289">
        <v>671</v>
      </c>
      <c r="D289">
        <v>635.5</v>
      </c>
      <c r="E289">
        <v>3.3542000000000001</v>
      </c>
      <c r="F289">
        <v>131</v>
      </c>
      <c r="G289">
        <v>0</v>
      </c>
      <c r="H289">
        <v>1</v>
      </c>
      <c r="I289">
        <f>D289-Pram!$G$2</f>
        <v>5.5</v>
      </c>
      <c r="J289">
        <f>I289/Pram!$H$2</f>
        <v>0.45833333333333331</v>
      </c>
      <c r="K289">
        <f t="shared" si="10"/>
        <v>7.6335877862595417E-3</v>
      </c>
      <c r="L289">
        <f>IF(G289=0,1/(F289 - H289*Pram!$B$5 +Pram!$B$6)+Pram!$B$7,1/(F289+G289+Pram!$B$2))</f>
        <v>9.5808080808080804E-3</v>
      </c>
      <c r="M289">
        <f>(B289-J289-Pram!$I$2) * 2/120</f>
        <v>0.65902777777777777</v>
      </c>
      <c r="N289">
        <f>(1-L289-L289*Pram!$B$2)/L289</f>
        <v>117.17532946758038</v>
      </c>
      <c r="O289">
        <f>(M289-Pram!$B$17)/Pram!$B$16</f>
        <v>8.4239572502670078E-3</v>
      </c>
      <c r="P289">
        <f t="shared" si="11"/>
        <v>117.70905446110898</v>
      </c>
    </row>
    <row r="290" spans="1:16" hidden="1" x14ac:dyDescent="0.55000000000000004">
      <c r="A290" t="s">
        <v>314</v>
      </c>
      <c r="B290">
        <v>52</v>
      </c>
      <c r="C290">
        <v>640.5</v>
      </c>
      <c r="D290">
        <v>641</v>
      </c>
      <c r="E290">
        <v>14.53454</v>
      </c>
      <c r="F290">
        <v>134</v>
      </c>
      <c r="G290">
        <v>0</v>
      </c>
      <c r="H290">
        <v>1</v>
      </c>
      <c r="I290">
        <f>D290-Pram!$G$2</f>
        <v>11</v>
      </c>
      <c r="J290">
        <f>I290/Pram!$H$2</f>
        <v>0.91666666666666663</v>
      </c>
      <c r="K290">
        <f t="shared" si="10"/>
        <v>7.462686567164179E-3</v>
      </c>
      <c r="L290">
        <f>IF(G290=0,1/(F290 - H290*Pram!$B$5 +Pram!$B$6)+Pram!$B$7,1/(F290+G290+Pram!$B$2))</f>
        <v>9.3895463510848126E-3</v>
      </c>
      <c r="M290">
        <f>(B290-J290-Pram!$I$2) * 2/120</f>
        <v>0.65138888888888891</v>
      </c>
      <c r="N290">
        <f>(1-L290-L290*Pram!$B$2)/L290</f>
        <v>119.30141791828591</v>
      </c>
      <c r="O290">
        <f>(M290-Pram!$B$17)/Pram!$B$16</f>
        <v>8.3023885812096385E-3</v>
      </c>
      <c r="P290">
        <f t="shared" si="11"/>
        <v>119.44726529221333</v>
      </c>
    </row>
    <row r="291" spans="1:16" hidden="1" x14ac:dyDescent="0.55000000000000004">
      <c r="A291" t="s">
        <v>315</v>
      </c>
      <c r="B291">
        <v>53</v>
      </c>
      <c r="C291">
        <v>657</v>
      </c>
      <c r="D291">
        <v>635</v>
      </c>
      <c r="E291">
        <v>15.0334</v>
      </c>
      <c r="F291">
        <v>126</v>
      </c>
      <c r="G291">
        <v>0</v>
      </c>
      <c r="H291">
        <v>1</v>
      </c>
      <c r="I291">
        <f>D291-Pram!$G$2</f>
        <v>5</v>
      </c>
      <c r="J291">
        <f>I291/Pram!$H$2</f>
        <v>0.41666666666666669</v>
      </c>
      <c r="K291">
        <f t="shared" si="10"/>
        <v>7.9365079365079361E-3</v>
      </c>
      <c r="L291">
        <f>IF(G291=0,1/(F291 - H291*Pram!$B$5 +Pram!$B$6)+Pram!$B$7,1/(F291+G291+Pram!$B$2))</f>
        <v>9.9210526315789468E-3</v>
      </c>
      <c r="M291">
        <f>(B291-J291-Pram!$I$2) * 2/120</f>
        <v>0.67638888888888893</v>
      </c>
      <c r="N291">
        <f>(1-L291-L291*Pram!$B$2)/L291</f>
        <v>113.59575596816977</v>
      </c>
      <c r="O291">
        <f>(M291-Pram!$B$17)/Pram!$B$16</f>
        <v>8.7002496799428505E-3</v>
      </c>
      <c r="P291">
        <f t="shared" si="11"/>
        <v>113.93923011259703</v>
      </c>
    </row>
    <row r="292" spans="1:16" hidden="1" x14ac:dyDescent="0.55000000000000004">
      <c r="A292" t="s">
        <v>316</v>
      </c>
      <c r="B292">
        <v>53</v>
      </c>
      <c r="C292">
        <v>641</v>
      </c>
      <c r="D292">
        <v>636</v>
      </c>
      <c r="E292">
        <v>15.0334</v>
      </c>
      <c r="F292">
        <v>127</v>
      </c>
      <c r="G292">
        <v>0</v>
      </c>
      <c r="H292">
        <v>1</v>
      </c>
      <c r="I292">
        <f>D292-Pram!$G$2</f>
        <v>6</v>
      </c>
      <c r="J292">
        <f>I292/Pram!$H$2</f>
        <v>0.5</v>
      </c>
      <c r="K292">
        <f t="shared" si="10"/>
        <v>7.874015748031496E-3</v>
      </c>
      <c r="L292">
        <f>IF(G292=0,1/(F292 - H292*Pram!$B$5 +Pram!$B$6)+Pram!$B$7,1/(F292+G292+Pram!$B$2))</f>
        <v>9.8507306889352806E-3</v>
      </c>
      <c r="M292">
        <f>(B292-J292-Pram!$I$2) * 2/120</f>
        <v>0.67500000000000004</v>
      </c>
      <c r="N292">
        <f>(1-L292-L292*Pram!$B$2)/L292</f>
        <v>114.31531206951362</v>
      </c>
      <c r="O292">
        <f>(M292-Pram!$B$17)/Pram!$B$16</f>
        <v>8.6781462855687833E-3</v>
      </c>
      <c r="P292">
        <f t="shared" si="11"/>
        <v>114.23198239501191</v>
      </c>
    </row>
    <row r="293" spans="1:16" hidden="1" x14ac:dyDescent="0.55000000000000004">
      <c r="A293" t="s">
        <v>317</v>
      </c>
      <c r="B293">
        <v>54</v>
      </c>
      <c r="C293">
        <v>628.5</v>
      </c>
      <c r="D293">
        <v>645</v>
      </c>
      <c r="E293">
        <v>2.5001000000000002</v>
      </c>
      <c r="F293">
        <v>127</v>
      </c>
      <c r="G293">
        <v>0</v>
      </c>
      <c r="H293">
        <v>1</v>
      </c>
      <c r="I293">
        <f>D293-Pram!$G$2</f>
        <v>15</v>
      </c>
      <c r="J293">
        <f>I293/Pram!$H$2</f>
        <v>1.25</v>
      </c>
      <c r="K293">
        <f t="shared" si="10"/>
        <v>7.874015748031496E-3</v>
      </c>
      <c r="L293">
        <f>IF(G293=0,1/(F293 - H293*Pram!$B$5 +Pram!$B$6)+Pram!$B$7,1/(F293+G293+Pram!$B$2))</f>
        <v>9.8507306889352806E-3</v>
      </c>
      <c r="M293">
        <f>(B293-J293-Pram!$I$2) * 2/120</f>
        <v>0.6791666666666667</v>
      </c>
      <c r="N293">
        <f>(1-L293-L293*Pram!$B$2)/L293</f>
        <v>114.31531206951362</v>
      </c>
      <c r="O293">
        <f>(M293-Pram!$B$17)/Pram!$B$16</f>
        <v>8.7444564686909847E-3</v>
      </c>
      <c r="P293">
        <f t="shared" si="11"/>
        <v>113.35816549381218</v>
      </c>
    </row>
    <row r="294" spans="1:16" hidden="1" x14ac:dyDescent="0.55000000000000004">
      <c r="A294" t="s">
        <v>318</v>
      </c>
      <c r="B294">
        <v>53</v>
      </c>
      <c r="C294">
        <v>654</v>
      </c>
      <c r="D294">
        <v>634.5</v>
      </c>
      <c r="E294">
        <v>14.08023</v>
      </c>
      <c r="F294">
        <v>126</v>
      </c>
      <c r="G294">
        <v>0</v>
      </c>
      <c r="H294">
        <v>1</v>
      </c>
      <c r="I294">
        <f>D294-Pram!$G$2</f>
        <v>4.5</v>
      </c>
      <c r="J294">
        <f>I294/Pram!$H$2</f>
        <v>0.375</v>
      </c>
      <c r="K294">
        <f t="shared" si="10"/>
        <v>7.9365079365079361E-3</v>
      </c>
      <c r="L294">
        <f>IF(G294=0,1/(F294 - H294*Pram!$B$5 +Pram!$B$6)+Pram!$B$7,1/(F294+G294+Pram!$B$2))</f>
        <v>9.9210526315789468E-3</v>
      </c>
      <c r="M294">
        <f>(B294-J294-Pram!$I$2) * 2/120</f>
        <v>0.67708333333333337</v>
      </c>
      <c r="N294">
        <f>(1-L294-L294*Pram!$B$2)/L294</f>
        <v>113.59575596816977</v>
      </c>
      <c r="O294">
        <f>(M294-Pram!$B$17)/Pram!$B$16</f>
        <v>8.711301377129884E-3</v>
      </c>
      <c r="P294">
        <f t="shared" si="11"/>
        <v>113.79341107694181</v>
      </c>
    </row>
    <row r="295" spans="1:16" hidden="1" x14ac:dyDescent="0.55000000000000004">
      <c r="A295" t="s">
        <v>319</v>
      </c>
      <c r="B295">
        <v>53</v>
      </c>
      <c r="C295">
        <v>643</v>
      </c>
      <c r="D295">
        <v>641.5</v>
      </c>
      <c r="E295">
        <v>14.08023</v>
      </c>
      <c r="F295">
        <v>129</v>
      </c>
      <c r="G295">
        <v>0</v>
      </c>
      <c r="H295">
        <v>1</v>
      </c>
      <c r="I295">
        <f>D295-Pram!$G$2</f>
        <v>11.5</v>
      </c>
      <c r="J295">
        <f>I295/Pram!$H$2</f>
        <v>0.95833333333333337</v>
      </c>
      <c r="K295">
        <f t="shared" si="10"/>
        <v>7.7519379844961239E-3</v>
      </c>
      <c r="L295">
        <f>IF(G295=0,1/(F295 - H295*Pram!$B$5 +Pram!$B$6)+Pram!$B$7,1/(F295+G295+Pram!$B$2))</f>
        <v>9.7135523613963038E-3</v>
      </c>
      <c r="M295">
        <f>(B295-J295-Pram!$I$2) * 2/120</f>
        <v>0.66736111111111107</v>
      </c>
      <c r="N295">
        <f>(1-L295-L295*Pram!$B$2)/L295</f>
        <v>115.7489483141317</v>
      </c>
      <c r="O295">
        <f>(M295-Pram!$B$17)/Pram!$B$16</f>
        <v>8.5565776165114106E-3</v>
      </c>
      <c r="P295">
        <f t="shared" si="11"/>
        <v>115.86915549861025</v>
      </c>
    </row>
    <row r="296" spans="1:16" hidden="1" x14ac:dyDescent="0.55000000000000004">
      <c r="A296" t="s">
        <v>320</v>
      </c>
      <c r="B296">
        <v>54</v>
      </c>
      <c r="C296">
        <v>630</v>
      </c>
      <c r="D296">
        <v>644</v>
      </c>
      <c r="E296">
        <v>15.0334</v>
      </c>
      <c r="F296">
        <v>126</v>
      </c>
      <c r="G296">
        <v>0</v>
      </c>
      <c r="H296">
        <v>1</v>
      </c>
      <c r="I296">
        <f>D296-Pram!$G$2</f>
        <v>14</v>
      </c>
      <c r="J296">
        <f>I296/Pram!$H$2</f>
        <v>1.1666666666666667</v>
      </c>
      <c r="K296">
        <f t="shared" si="10"/>
        <v>7.9365079365079361E-3</v>
      </c>
      <c r="L296">
        <f>IF(G296=0,1/(F296 - H296*Pram!$B$5 +Pram!$B$6)+Pram!$B$7,1/(F296+G296+Pram!$B$2))</f>
        <v>9.9210526315789468E-3</v>
      </c>
      <c r="M296">
        <f>(B296-J296-Pram!$I$2) * 2/120</f>
        <v>0.68055555555555558</v>
      </c>
      <c r="N296">
        <f>(1-L296-L296*Pram!$B$2)/L296</f>
        <v>113.59575596816977</v>
      </c>
      <c r="O296">
        <f>(M296-Pram!$B$17)/Pram!$B$16</f>
        <v>8.7665598630650519E-3</v>
      </c>
      <c r="P296">
        <f t="shared" si="11"/>
        <v>113.06983076829981</v>
      </c>
    </row>
    <row r="297" spans="1:16" hidden="1" x14ac:dyDescent="0.55000000000000004">
      <c r="A297" t="s">
        <v>321</v>
      </c>
      <c r="B297">
        <v>56</v>
      </c>
      <c r="C297">
        <v>624.5</v>
      </c>
      <c r="D297">
        <v>671.5</v>
      </c>
      <c r="E297">
        <v>15.572509999999999</v>
      </c>
      <c r="F297">
        <v>128</v>
      </c>
      <c r="G297">
        <v>0</v>
      </c>
      <c r="H297">
        <v>1</v>
      </c>
      <c r="I297">
        <f>D297-Pram!$G$2</f>
        <v>41.5</v>
      </c>
      <c r="J297">
        <f>I297/Pram!$H$2</f>
        <v>3.4583333333333335</v>
      </c>
      <c r="K297">
        <f t="shared" si="10"/>
        <v>7.8125E-3</v>
      </c>
      <c r="L297">
        <f>IF(G297=0,1/(F297 - H297*Pram!$B$5 +Pram!$B$6)+Pram!$B$7,1/(F297+G297+Pram!$B$2))</f>
        <v>9.7815734989648035E-3</v>
      </c>
      <c r="M297">
        <f>(B297-J297-Pram!$I$2) * 2/120</f>
        <v>0.67569444444444438</v>
      </c>
      <c r="N297">
        <f>(1-L297-L297*Pram!$B$2)/L297</f>
        <v>115.03304053338977</v>
      </c>
      <c r="O297">
        <f>(M297-Pram!$B$17)/Pram!$B$16</f>
        <v>8.6891979827558152E-3</v>
      </c>
      <c r="P297">
        <f t="shared" si="11"/>
        <v>114.0854200795694</v>
      </c>
    </row>
    <row r="298" spans="1:16" hidden="1" x14ac:dyDescent="0.55000000000000004">
      <c r="A298" t="s">
        <v>322</v>
      </c>
      <c r="B298">
        <v>56</v>
      </c>
      <c r="C298">
        <v>607.5</v>
      </c>
      <c r="D298">
        <v>674</v>
      </c>
      <c r="E298">
        <v>16.530370000000001</v>
      </c>
      <c r="F298">
        <v>128</v>
      </c>
      <c r="G298">
        <v>0</v>
      </c>
      <c r="H298">
        <v>1</v>
      </c>
      <c r="I298">
        <f>D298-Pram!$G$2</f>
        <v>44</v>
      </c>
      <c r="J298">
        <f>I298/Pram!$H$2</f>
        <v>3.6666666666666665</v>
      </c>
      <c r="K298">
        <f t="shared" si="10"/>
        <v>7.8125E-3</v>
      </c>
      <c r="L298">
        <f>IF(G298=0,1/(F298 - H298*Pram!$B$5 +Pram!$B$6)+Pram!$B$7,1/(F298+G298+Pram!$B$2))</f>
        <v>9.7815734989648035E-3</v>
      </c>
      <c r="M298">
        <f>(B298-J298-Pram!$I$2) * 2/120</f>
        <v>0.67222222222222228</v>
      </c>
      <c r="N298">
        <f>(1-L298-L298*Pram!$B$2)/L298</f>
        <v>115.03304053338977</v>
      </c>
      <c r="O298">
        <f>(M298-Pram!$B$17)/Pram!$B$16</f>
        <v>8.6339394968206491E-3</v>
      </c>
      <c r="P298">
        <f t="shared" si="11"/>
        <v>114.82198373850531</v>
      </c>
    </row>
    <row r="299" spans="1:16" hidden="1" x14ac:dyDescent="0.55000000000000004">
      <c r="A299" t="s">
        <v>323</v>
      </c>
      <c r="B299">
        <v>53</v>
      </c>
      <c r="C299">
        <v>640</v>
      </c>
      <c r="D299">
        <v>638</v>
      </c>
      <c r="E299">
        <v>15.0334</v>
      </c>
      <c r="F299">
        <v>128</v>
      </c>
      <c r="G299">
        <v>0</v>
      </c>
      <c r="H299">
        <v>1</v>
      </c>
      <c r="I299">
        <f>D299-Pram!$G$2</f>
        <v>8</v>
      </c>
      <c r="J299">
        <f>I299/Pram!$H$2</f>
        <v>0.66666666666666663</v>
      </c>
      <c r="K299">
        <f t="shared" si="10"/>
        <v>7.8125E-3</v>
      </c>
      <c r="L299">
        <f>IF(G299=0,1/(F299 - H299*Pram!$B$5 +Pram!$B$6)+Pram!$B$7,1/(F299+G299+Pram!$B$2))</f>
        <v>9.7815734989648035E-3</v>
      </c>
      <c r="M299">
        <f>(B299-J299-Pram!$I$2) * 2/120</f>
        <v>0.67222222222222228</v>
      </c>
      <c r="N299">
        <f>(1-L299-L299*Pram!$B$2)/L299</f>
        <v>115.03304053338977</v>
      </c>
      <c r="O299">
        <f>(M299-Pram!$B$17)/Pram!$B$16</f>
        <v>8.6339394968206491E-3</v>
      </c>
      <c r="P299">
        <f t="shared" si="11"/>
        <v>114.82198373850531</v>
      </c>
    </row>
    <row r="300" spans="1:16" hidden="1" x14ac:dyDescent="0.55000000000000004">
      <c r="A300" t="s">
        <v>324</v>
      </c>
      <c r="B300">
        <v>53</v>
      </c>
      <c r="C300">
        <v>641.5</v>
      </c>
      <c r="D300">
        <v>635</v>
      </c>
      <c r="E300">
        <v>8.5587199999999992</v>
      </c>
      <c r="F300">
        <v>127</v>
      </c>
      <c r="G300">
        <v>0</v>
      </c>
      <c r="H300">
        <v>1</v>
      </c>
      <c r="I300">
        <f>D300-Pram!$G$2</f>
        <v>5</v>
      </c>
      <c r="J300">
        <f>I300/Pram!$H$2</f>
        <v>0.41666666666666669</v>
      </c>
      <c r="K300">
        <f t="shared" si="10"/>
        <v>7.874015748031496E-3</v>
      </c>
      <c r="L300">
        <f>IF(G300=0,1/(F300 - H300*Pram!$B$5 +Pram!$B$6)+Pram!$B$7,1/(F300+G300+Pram!$B$2))</f>
        <v>9.8507306889352806E-3</v>
      </c>
      <c r="M300">
        <f>(B300-J300-Pram!$I$2) * 2/120</f>
        <v>0.67638888888888893</v>
      </c>
      <c r="N300">
        <f>(1-L300-L300*Pram!$B$2)/L300</f>
        <v>114.31531206951362</v>
      </c>
      <c r="O300">
        <f>(M300-Pram!$B$17)/Pram!$B$16</f>
        <v>8.7002496799428505E-3</v>
      </c>
      <c r="P300">
        <f t="shared" si="11"/>
        <v>113.93923011259703</v>
      </c>
    </row>
    <row r="301" spans="1:16" hidden="1" x14ac:dyDescent="0.55000000000000004">
      <c r="A301" t="s">
        <v>325</v>
      </c>
      <c r="B301">
        <v>52</v>
      </c>
      <c r="C301">
        <v>648</v>
      </c>
      <c r="D301">
        <v>632</v>
      </c>
      <c r="E301">
        <v>14.035769999999999</v>
      </c>
      <c r="F301">
        <v>130</v>
      </c>
      <c r="G301">
        <v>0</v>
      </c>
      <c r="H301">
        <v>1</v>
      </c>
      <c r="I301">
        <f>D301-Pram!$G$2</f>
        <v>2</v>
      </c>
      <c r="J301">
        <f>I301/Pram!$H$2</f>
        <v>0.16666666666666666</v>
      </c>
      <c r="K301">
        <f t="shared" si="10"/>
        <v>7.6923076923076927E-3</v>
      </c>
      <c r="L301">
        <f>IF(G301=0,1/(F301 - H301*Pram!$B$5 +Pram!$B$6)+Pram!$B$7,1/(F301+G301+Pram!$B$2))</f>
        <v>9.6466395112016282E-3</v>
      </c>
      <c r="M301">
        <f>(B301-J301-Pram!$I$2) * 2/120</f>
        <v>0.66388888888888897</v>
      </c>
      <c r="N301">
        <f>(1-L301-L301*Pram!$B$2)/L301</f>
        <v>116.46304233083502</v>
      </c>
      <c r="O301">
        <f>(M301-Pram!$B$17)/Pram!$B$16</f>
        <v>8.5013191305762445E-3</v>
      </c>
      <c r="P301">
        <f t="shared" si="11"/>
        <v>116.62880379391392</v>
      </c>
    </row>
    <row r="302" spans="1:16" hidden="1" x14ac:dyDescent="0.55000000000000004">
      <c r="A302" t="s">
        <v>326</v>
      </c>
      <c r="B302">
        <v>53</v>
      </c>
      <c r="C302">
        <v>640.5</v>
      </c>
      <c r="D302">
        <v>642</v>
      </c>
      <c r="E302">
        <v>14.53454</v>
      </c>
      <c r="F302">
        <v>129</v>
      </c>
      <c r="G302">
        <v>0</v>
      </c>
      <c r="H302">
        <v>1</v>
      </c>
      <c r="I302">
        <f>D302-Pram!$G$2</f>
        <v>12</v>
      </c>
      <c r="J302">
        <f>I302/Pram!$H$2</f>
        <v>1</v>
      </c>
      <c r="K302">
        <f t="shared" si="10"/>
        <v>7.7519379844961239E-3</v>
      </c>
      <c r="L302">
        <f>IF(G302=0,1/(F302 - H302*Pram!$B$5 +Pram!$B$6)+Pram!$B$7,1/(F302+G302+Pram!$B$2))</f>
        <v>9.7135523613963038E-3</v>
      </c>
      <c r="M302">
        <f>(B302-J302-Pram!$I$2) * 2/120</f>
        <v>0.66666666666666663</v>
      </c>
      <c r="N302">
        <f>(1-L302-L302*Pram!$B$2)/L302</f>
        <v>115.7489483141317</v>
      </c>
      <c r="O302">
        <f>(M302-Pram!$B$17)/Pram!$B$16</f>
        <v>8.545525919324377E-3</v>
      </c>
      <c r="P302">
        <f t="shared" si="11"/>
        <v>116.02029921162087</v>
      </c>
    </row>
    <row r="303" spans="1:16" hidden="1" x14ac:dyDescent="0.55000000000000004">
      <c r="A303" t="s">
        <v>327</v>
      </c>
      <c r="B303">
        <v>54</v>
      </c>
      <c r="C303">
        <v>651</v>
      </c>
      <c r="D303">
        <v>636.5</v>
      </c>
      <c r="E303">
        <v>13.086349999999999</v>
      </c>
      <c r="F303">
        <v>122</v>
      </c>
      <c r="G303">
        <v>0</v>
      </c>
      <c r="H303">
        <v>1</v>
      </c>
      <c r="I303">
        <f>D303-Pram!$G$2</f>
        <v>6.5</v>
      </c>
      <c r="J303">
        <f>I303/Pram!$H$2</f>
        <v>0.54166666666666663</v>
      </c>
      <c r="K303">
        <f t="shared" si="10"/>
        <v>8.1967213114754103E-3</v>
      </c>
      <c r="L303">
        <f>IF(G303=0,1/(F303 - H303*Pram!$B$5 +Pram!$B$6)+Pram!$B$7,1/(F303+G303+Pram!$B$2))</f>
        <v>1.0214596949891068E-2</v>
      </c>
      <c r="M303">
        <f>(B303-J303-Pram!$I$2) * 2/120</f>
        <v>0.69097222222222221</v>
      </c>
      <c r="N303">
        <f>(1-L303-L303*Pram!$B$2)/L303</f>
        <v>110.69911485549748</v>
      </c>
      <c r="O303">
        <f>(M303-Pram!$B$17)/Pram!$B$16</f>
        <v>8.9323353208705554E-3</v>
      </c>
      <c r="P303">
        <f t="shared" si="11"/>
        <v>110.95280563006662</v>
      </c>
    </row>
    <row r="304" spans="1:16" hidden="1" x14ac:dyDescent="0.55000000000000004">
      <c r="A304" t="s">
        <v>328</v>
      </c>
      <c r="B304">
        <v>55</v>
      </c>
      <c r="C304">
        <v>642.5</v>
      </c>
      <c r="D304">
        <v>644.5</v>
      </c>
      <c r="E304">
        <v>13.58318</v>
      </c>
      <c r="F304">
        <v>122</v>
      </c>
      <c r="G304">
        <v>0</v>
      </c>
      <c r="H304">
        <v>1</v>
      </c>
      <c r="I304">
        <f>D304-Pram!$G$2</f>
        <v>14.5</v>
      </c>
      <c r="J304">
        <f>I304/Pram!$H$2</f>
        <v>1.2083333333333333</v>
      </c>
      <c r="K304">
        <f t="shared" si="10"/>
        <v>8.1967213114754103E-3</v>
      </c>
      <c r="L304">
        <f>IF(G304=0,1/(F304 - H304*Pram!$B$5 +Pram!$B$6)+Pram!$B$7,1/(F304+G304+Pram!$B$2))</f>
        <v>1.0214596949891068E-2</v>
      </c>
      <c r="M304">
        <f>(B304-J304-Pram!$I$2) * 2/120</f>
        <v>0.69652777777777775</v>
      </c>
      <c r="N304">
        <f>(1-L304-L304*Pram!$B$2)/L304</f>
        <v>110.69911485549748</v>
      </c>
      <c r="O304">
        <f>(M304-Pram!$B$17)/Pram!$B$16</f>
        <v>9.0207488983668239E-3</v>
      </c>
      <c r="P304">
        <f t="shared" si="11"/>
        <v>109.85554107165611</v>
      </c>
    </row>
    <row r="305" spans="1:16" hidden="1" x14ac:dyDescent="0.55000000000000004">
      <c r="A305" t="s">
        <v>329</v>
      </c>
      <c r="B305">
        <v>55</v>
      </c>
      <c r="C305">
        <v>636</v>
      </c>
      <c r="D305">
        <v>644.5</v>
      </c>
      <c r="E305">
        <v>14.08023</v>
      </c>
      <c r="F305">
        <v>122</v>
      </c>
      <c r="G305">
        <v>0</v>
      </c>
      <c r="H305">
        <v>1</v>
      </c>
      <c r="I305">
        <f>D305-Pram!$G$2</f>
        <v>14.5</v>
      </c>
      <c r="J305">
        <f>I305/Pram!$H$2</f>
        <v>1.2083333333333333</v>
      </c>
      <c r="K305">
        <f t="shared" si="10"/>
        <v>8.1967213114754103E-3</v>
      </c>
      <c r="L305">
        <f>IF(G305=0,1/(F305 - H305*Pram!$B$5 +Pram!$B$6)+Pram!$B$7,1/(F305+G305+Pram!$B$2))</f>
        <v>1.0214596949891068E-2</v>
      </c>
      <c r="M305">
        <f>(B305-J305-Pram!$I$2) * 2/120</f>
        <v>0.69652777777777775</v>
      </c>
      <c r="N305">
        <f>(1-L305-L305*Pram!$B$2)/L305</f>
        <v>110.69911485549748</v>
      </c>
      <c r="O305">
        <f>(M305-Pram!$B$17)/Pram!$B$16</f>
        <v>9.0207488983668239E-3</v>
      </c>
      <c r="P305">
        <f t="shared" si="11"/>
        <v>109.85554107165611</v>
      </c>
    </row>
    <row r="306" spans="1:16" hidden="1" x14ac:dyDescent="0.55000000000000004">
      <c r="A306" t="s">
        <v>330</v>
      </c>
      <c r="B306">
        <v>54</v>
      </c>
      <c r="C306">
        <v>632.5</v>
      </c>
      <c r="D306">
        <v>641.5</v>
      </c>
      <c r="E306">
        <v>5.1479200000000001</v>
      </c>
      <c r="F306">
        <v>125</v>
      </c>
      <c r="G306">
        <v>0</v>
      </c>
      <c r="H306">
        <v>1</v>
      </c>
      <c r="I306">
        <f>D306-Pram!$G$2</f>
        <v>11.5</v>
      </c>
      <c r="J306">
        <f>I306/Pram!$H$2</f>
        <v>0.95833333333333337</v>
      </c>
      <c r="K306">
        <f t="shared" si="10"/>
        <v>8.0000000000000002E-3</v>
      </c>
      <c r="L306">
        <f>IF(G306=0,1/(F306 - H306*Pram!$B$5 +Pram!$B$6)+Pram!$B$7,1/(F306+G306+Pram!$B$2))</f>
        <v>9.9925690021231417E-3</v>
      </c>
      <c r="M306">
        <f>(B306-J306-Pram!$I$2) * 2/120</f>
        <v>0.68402777777777779</v>
      </c>
      <c r="N306">
        <f>(1-L306-L306*Pram!$B$2)/L306</f>
        <v>112.87436523956229</v>
      </c>
      <c r="O306">
        <f>(M306-Pram!$B$17)/Pram!$B$16</f>
        <v>8.8218183490002197E-3</v>
      </c>
      <c r="P306">
        <f t="shared" si="11"/>
        <v>112.3553152466952</v>
      </c>
    </row>
    <row r="307" spans="1:16" hidden="1" x14ac:dyDescent="0.55000000000000004">
      <c r="A307" t="s">
        <v>331</v>
      </c>
      <c r="B307">
        <v>54</v>
      </c>
      <c r="C307">
        <v>639</v>
      </c>
      <c r="D307">
        <v>643.5</v>
      </c>
      <c r="E307">
        <v>6.1847599999999998</v>
      </c>
      <c r="F307">
        <v>125</v>
      </c>
      <c r="G307">
        <v>0</v>
      </c>
      <c r="H307">
        <v>1</v>
      </c>
      <c r="I307">
        <f>D307-Pram!$G$2</f>
        <v>13.5</v>
      </c>
      <c r="J307">
        <f>I307/Pram!$H$2</f>
        <v>1.125</v>
      </c>
      <c r="K307">
        <f t="shared" si="10"/>
        <v>8.0000000000000002E-3</v>
      </c>
      <c r="L307">
        <f>IF(G307=0,1/(F307 - H307*Pram!$B$5 +Pram!$B$6)+Pram!$B$7,1/(F307+G307+Pram!$B$2))</f>
        <v>9.9925690021231417E-3</v>
      </c>
      <c r="M307">
        <f>(B307-J307-Pram!$I$2) * 2/120</f>
        <v>0.68125000000000002</v>
      </c>
      <c r="N307">
        <f>(1-L307-L307*Pram!$B$2)/L307</f>
        <v>112.87436523956229</v>
      </c>
      <c r="O307">
        <f>(M307-Pram!$B$17)/Pram!$B$16</f>
        <v>8.7776115602520854E-3</v>
      </c>
      <c r="P307">
        <f t="shared" si="11"/>
        <v>112.92620795938718</v>
      </c>
    </row>
    <row r="308" spans="1:16" hidden="1" x14ac:dyDescent="0.55000000000000004">
      <c r="A308" t="s">
        <v>332</v>
      </c>
      <c r="B308">
        <v>54</v>
      </c>
      <c r="C308">
        <v>649.5</v>
      </c>
      <c r="D308">
        <v>637.5</v>
      </c>
      <c r="E308">
        <v>14.57748</v>
      </c>
      <c r="F308">
        <v>123</v>
      </c>
      <c r="G308">
        <v>0</v>
      </c>
      <c r="H308">
        <v>1</v>
      </c>
      <c r="I308">
        <f>D308-Pram!$G$2</f>
        <v>7.5</v>
      </c>
      <c r="J308">
        <f>I308/Pram!$H$2</f>
        <v>0.625</v>
      </c>
      <c r="K308">
        <f t="shared" si="10"/>
        <v>8.130081300813009E-3</v>
      </c>
      <c r="L308">
        <f>IF(G308=0,1/(F308 - H308*Pram!$B$5 +Pram!$B$6)+Pram!$B$7,1/(F308+G308+Pram!$B$2))</f>
        <v>1.0139308855291577E-2</v>
      </c>
      <c r="M308">
        <f>(B308-J308-Pram!$I$2) * 2/120</f>
        <v>0.68958333333333333</v>
      </c>
      <c r="N308">
        <f>(1-L308-L308*Pram!$B$2)/L308</f>
        <v>111.42605176270104</v>
      </c>
      <c r="O308">
        <f>(M308-Pram!$B$17)/Pram!$B$16</f>
        <v>8.9102319264964883E-3</v>
      </c>
      <c r="P308">
        <f t="shared" si="11"/>
        <v>111.2305242163546</v>
      </c>
    </row>
    <row r="309" spans="1:16" hidden="1" x14ac:dyDescent="0.55000000000000004">
      <c r="A309" t="s">
        <v>333</v>
      </c>
      <c r="B309">
        <v>54</v>
      </c>
      <c r="C309">
        <v>654.5</v>
      </c>
      <c r="D309">
        <v>640</v>
      </c>
      <c r="E309">
        <v>14.53454</v>
      </c>
      <c r="F309">
        <v>124</v>
      </c>
      <c r="G309">
        <v>0</v>
      </c>
      <c r="H309">
        <v>1</v>
      </c>
      <c r="I309">
        <f>D309-Pram!$G$2</f>
        <v>10</v>
      </c>
      <c r="J309">
        <f>I309/Pram!$H$2</f>
        <v>0.83333333333333337</v>
      </c>
      <c r="K309">
        <f t="shared" si="10"/>
        <v>8.0645161290322578E-3</v>
      </c>
      <c r="L309">
        <f>IF(G309=0,1/(F309 - H309*Pram!$B$5 +Pram!$B$6)+Pram!$B$7,1/(F309+G309+Pram!$B$2))</f>
        <v>1.0065310492505353E-2</v>
      </c>
      <c r="M309">
        <f>(B309-J309-Pram!$I$2) * 2/120</f>
        <v>0.68611111111111112</v>
      </c>
      <c r="N309">
        <f>(1-L309-L309*Pram!$B$2)/L309</f>
        <v>112.15113285820658</v>
      </c>
      <c r="O309">
        <f>(M309-Pram!$B$17)/Pram!$B$16</f>
        <v>8.8549734405613204E-3</v>
      </c>
      <c r="P309">
        <f t="shared" si="11"/>
        <v>111.93088643489027</v>
      </c>
    </row>
    <row r="310" spans="1:16" hidden="1" x14ac:dyDescent="0.55000000000000004">
      <c r="A310" t="s">
        <v>334</v>
      </c>
      <c r="B310">
        <v>54</v>
      </c>
      <c r="C310">
        <v>653</v>
      </c>
      <c r="D310">
        <v>635.5</v>
      </c>
      <c r="E310">
        <v>3.3542000000000001</v>
      </c>
      <c r="F310">
        <v>122</v>
      </c>
      <c r="G310">
        <v>0</v>
      </c>
      <c r="H310">
        <v>1</v>
      </c>
      <c r="I310">
        <f>D310-Pram!$G$2</f>
        <v>5.5</v>
      </c>
      <c r="J310">
        <f>I310/Pram!$H$2</f>
        <v>0.45833333333333331</v>
      </c>
      <c r="K310">
        <f t="shared" si="10"/>
        <v>8.1967213114754103E-3</v>
      </c>
      <c r="L310">
        <f>IF(G310=0,1/(F310 - H310*Pram!$B$5 +Pram!$B$6)+Pram!$B$7,1/(F310+G310+Pram!$B$2))</f>
        <v>1.0214596949891068E-2</v>
      </c>
      <c r="M310">
        <f>(B310-J310-Pram!$I$2) * 2/120</f>
        <v>0.69236111111111109</v>
      </c>
      <c r="N310">
        <f>(1-L310-L310*Pram!$B$2)/L310</f>
        <v>110.69911485549748</v>
      </c>
      <c r="O310">
        <f>(M310-Pram!$B$17)/Pram!$B$16</f>
        <v>8.9544387152446225E-3</v>
      </c>
      <c r="P310">
        <f t="shared" si="11"/>
        <v>110.67645810088963</v>
      </c>
    </row>
    <row r="311" spans="1:16" hidden="1" x14ac:dyDescent="0.55000000000000004">
      <c r="A311" t="s">
        <v>335</v>
      </c>
      <c r="B311">
        <v>54</v>
      </c>
      <c r="C311">
        <v>652.5</v>
      </c>
      <c r="D311">
        <v>636</v>
      </c>
      <c r="E311">
        <v>14.53454</v>
      </c>
      <c r="F311">
        <v>123</v>
      </c>
      <c r="G311">
        <v>0</v>
      </c>
      <c r="H311">
        <v>1</v>
      </c>
      <c r="I311">
        <f>D311-Pram!$G$2</f>
        <v>6</v>
      </c>
      <c r="J311">
        <f>I311/Pram!$H$2</f>
        <v>0.5</v>
      </c>
      <c r="K311">
        <f t="shared" si="10"/>
        <v>8.130081300813009E-3</v>
      </c>
      <c r="L311">
        <f>IF(G311=0,1/(F311 - H311*Pram!$B$5 +Pram!$B$6)+Pram!$B$7,1/(F311+G311+Pram!$B$2))</f>
        <v>1.0139308855291577E-2</v>
      </c>
      <c r="M311">
        <f>(B311-J311-Pram!$I$2) * 2/120</f>
        <v>0.69166666666666665</v>
      </c>
      <c r="N311">
        <f>(1-L311-L311*Pram!$B$2)/L311</f>
        <v>111.42605176270104</v>
      </c>
      <c r="O311">
        <f>(M311-Pram!$B$17)/Pram!$B$16</f>
        <v>8.943387018057589E-3</v>
      </c>
      <c r="P311">
        <f t="shared" si="11"/>
        <v>110.8144611186903</v>
      </c>
    </row>
    <row r="312" spans="1:16" hidden="1" x14ac:dyDescent="0.55000000000000004">
      <c r="A312" t="s">
        <v>336</v>
      </c>
      <c r="B312">
        <v>53</v>
      </c>
      <c r="C312">
        <v>650.5</v>
      </c>
      <c r="D312">
        <v>632</v>
      </c>
      <c r="E312">
        <v>14.53454</v>
      </c>
      <c r="F312">
        <v>125</v>
      </c>
      <c r="G312">
        <v>0</v>
      </c>
      <c r="H312">
        <v>1</v>
      </c>
      <c r="I312">
        <f>D312-Pram!$G$2</f>
        <v>2</v>
      </c>
      <c r="J312">
        <f>I312/Pram!$H$2</f>
        <v>0.16666666666666666</v>
      </c>
      <c r="K312">
        <f t="shared" si="10"/>
        <v>8.0000000000000002E-3</v>
      </c>
      <c r="L312">
        <f>IF(G312=0,1/(F312 - H312*Pram!$B$5 +Pram!$B$6)+Pram!$B$7,1/(F312+G312+Pram!$B$2))</f>
        <v>9.9925690021231417E-3</v>
      </c>
      <c r="M312">
        <f>(B312-J312-Pram!$I$2) * 2/120</f>
        <v>0.68055555555555558</v>
      </c>
      <c r="N312">
        <f>(1-L312-L312*Pram!$B$2)/L312</f>
        <v>112.87436523956229</v>
      </c>
      <c r="O312">
        <f>(M312-Pram!$B$17)/Pram!$B$16</f>
        <v>8.7665598630650519E-3</v>
      </c>
      <c r="P312">
        <f t="shared" si="11"/>
        <v>113.06983076829981</v>
      </c>
    </row>
    <row r="313" spans="1:16" hidden="1" x14ac:dyDescent="0.55000000000000004">
      <c r="A313" t="s">
        <v>337</v>
      </c>
      <c r="B313">
        <v>54</v>
      </c>
      <c r="C313">
        <v>653</v>
      </c>
      <c r="D313">
        <v>643.5</v>
      </c>
      <c r="E313">
        <v>3.3542000000000001</v>
      </c>
      <c r="F313">
        <v>126</v>
      </c>
      <c r="G313">
        <v>0</v>
      </c>
      <c r="H313">
        <v>1</v>
      </c>
      <c r="I313">
        <f>D313-Pram!$G$2</f>
        <v>13.5</v>
      </c>
      <c r="J313">
        <f>I313/Pram!$H$2</f>
        <v>1.125</v>
      </c>
      <c r="K313">
        <f t="shared" si="10"/>
        <v>7.9365079365079361E-3</v>
      </c>
      <c r="L313">
        <f>IF(G313=0,1/(F313 - H313*Pram!$B$5 +Pram!$B$6)+Pram!$B$7,1/(F313+G313+Pram!$B$2))</f>
        <v>9.9210526315789468E-3</v>
      </c>
      <c r="M313">
        <f>(B313-J313-Pram!$I$2) * 2/120</f>
        <v>0.68125000000000002</v>
      </c>
      <c r="N313">
        <f>(1-L313-L313*Pram!$B$2)/L313</f>
        <v>113.59575596816977</v>
      </c>
      <c r="O313">
        <f>(M313-Pram!$B$17)/Pram!$B$16</f>
        <v>8.7776115602520854E-3</v>
      </c>
      <c r="P313">
        <f t="shared" si="11"/>
        <v>112.92620795938718</v>
      </c>
    </row>
    <row r="314" spans="1:16" hidden="1" x14ac:dyDescent="0.55000000000000004">
      <c r="A314" t="s">
        <v>548</v>
      </c>
      <c r="B314">
        <v>58</v>
      </c>
      <c r="C314">
        <v>656.5</v>
      </c>
      <c r="D314">
        <v>635</v>
      </c>
      <c r="E314">
        <v>14.53454</v>
      </c>
      <c r="F314">
        <v>133</v>
      </c>
      <c r="G314">
        <v>0</v>
      </c>
      <c r="H314">
        <v>15</v>
      </c>
      <c r="I314">
        <f>D314-Pram!$G$2</f>
        <v>5</v>
      </c>
      <c r="J314">
        <f>I314/Pram!$H$2</f>
        <v>0.41666666666666669</v>
      </c>
      <c r="K314">
        <f t="shared" si="10"/>
        <v>7.5187969924812026E-3</v>
      </c>
      <c r="L314">
        <f>IF(G314=0,1/(F314 - H314*Pram!$B$5 +Pram!$B$6)+Pram!$B$7,1/(F314+G314+Pram!$B$2))</f>
        <v>1.1376543209876543E-2</v>
      </c>
      <c r="M314">
        <f>(B314-J314-Pram!$I$2) * 2/120</f>
        <v>0.7597222222222223</v>
      </c>
      <c r="N314">
        <f>(1-L314-L314*Pram!$B$2)/L314</f>
        <v>100.70016277807923</v>
      </c>
      <c r="O314">
        <f>(M314-Pram!$B$17)/Pram!$B$16</f>
        <v>1.0026453342386884E-2</v>
      </c>
      <c r="P314">
        <f t="shared" si="11"/>
        <v>98.736164509188399</v>
      </c>
    </row>
    <row r="315" spans="1:16" hidden="1" x14ac:dyDescent="0.55000000000000004">
      <c r="A315" t="s">
        <v>549</v>
      </c>
      <c r="B315">
        <v>59</v>
      </c>
      <c r="C315">
        <v>639.5</v>
      </c>
      <c r="D315">
        <v>637</v>
      </c>
      <c r="E315">
        <v>14.53454</v>
      </c>
      <c r="F315">
        <v>130</v>
      </c>
      <c r="G315">
        <v>0</v>
      </c>
      <c r="H315">
        <v>15</v>
      </c>
      <c r="I315">
        <f>D315-Pram!$G$2</f>
        <v>7</v>
      </c>
      <c r="J315">
        <f>I315/Pram!$H$2</f>
        <v>0.58333333333333337</v>
      </c>
      <c r="K315">
        <f t="shared" si="10"/>
        <v>7.6923076923076927E-3</v>
      </c>
      <c r="L315">
        <f>IF(G315=0,1/(F315 - H315*Pram!$B$5 +Pram!$B$6)+Pram!$B$7,1/(F315+G315+Pram!$B$2))</f>
        <v>1.1678117048346056E-2</v>
      </c>
      <c r="M315">
        <f>(B315-J315-Pram!$I$2) * 2/120</f>
        <v>0.77361111111111103</v>
      </c>
      <c r="N315">
        <f>(1-L315-L315*Pram!$B$2)/L315</f>
        <v>98.430242945854658</v>
      </c>
      <c r="O315">
        <f>(M315-Pram!$B$17)/Pram!$B$16</f>
        <v>1.0247487286127554E-2</v>
      </c>
      <c r="P315">
        <f t="shared" si="11"/>
        <v>96.584897846493675</v>
      </c>
    </row>
    <row r="316" spans="1:16" hidden="1" x14ac:dyDescent="0.55000000000000004">
      <c r="A316" t="s">
        <v>550</v>
      </c>
      <c r="B316">
        <v>58</v>
      </c>
      <c r="C316">
        <v>635</v>
      </c>
      <c r="D316">
        <v>631.5</v>
      </c>
      <c r="E316">
        <v>9.1242400000000004</v>
      </c>
      <c r="F316">
        <v>132</v>
      </c>
      <c r="G316">
        <v>0</v>
      </c>
      <c r="H316">
        <v>15</v>
      </c>
      <c r="I316">
        <f>D316-Pram!$G$2</f>
        <v>1.5</v>
      </c>
      <c r="J316">
        <f>I316/Pram!$H$2</f>
        <v>0.125</v>
      </c>
      <c r="K316">
        <f t="shared" si="10"/>
        <v>7.575757575757576E-3</v>
      </c>
      <c r="L316">
        <f>IF(G316=0,1/(F316 - H316*Pram!$B$5 +Pram!$B$6)+Pram!$B$7,1/(F316+G316+Pram!$B$2))</f>
        <v>1.147506234413965E-2</v>
      </c>
      <c r="M316">
        <f>(B316-J316-Pram!$I$2) * 2/120</f>
        <v>0.76458333333333328</v>
      </c>
      <c r="N316">
        <f>(1-L316-L316*Pram!$B$2)/L316</f>
        <v>99.945496033901989</v>
      </c>
      <c r="O316">
        <f>(M316-Pram!$B$17)/Pram!$B$16</f>
        <v>1.0103815222696117E-2</v>
      </c>
      <c r="P316">
        <f t="shared" si="11"/>
        <v>97.972514635234845</v>
      </c>
    </row>
    <row r="317" spans="1:16" hidden="1" x14ac:dyDescent="0.55000000000000004">
      <c r="A317" t="s">
        <v>551</v>
      </c>
      <c r="B317">
        <v>59</v>
      </c>
      <c r="C317">
        <v>636.5</v>
      </c>
      <c r="D317">
        <v>640</v>
      </c>
      <c r="E317">
        <v>14.53454</v>
      </c>
      <c r="F317">
        <v>131</v>
      </c>
      <c r="G317">
        <v>0</v>
      </c>
      <c r="H317">
        <v>15</v>
      </c>
      <c r="I317">
        <f>D317-Pram!$G$2</f>
        <v>10</v>
      </c>
      <c r="J317">
        <f>I317/Pram!$H$2</f>
        <v>0.83333333333333337</v>
      </c>
      <c r="K317">
        <f t="shared" si="10"/>
        <v>7.6335877862595417E-3</v>
      </c>
      <c r="L317">
        <f>IF(G317=0,1/(F317 - H317*Pram!$B$5 +Pram!$B$6)+Pram!$B$7,1/(F317+G317+Pram!$B$2))</f>
        <v>1.1575566750629722E-2</v>
      </c>
      <c r="M317">
        <f>(B317-J317-Pram!$I$2) * 2/120</f>
        <v>0.76944444444444438</v>
      </c>
      <c r="N317">
        <f>(1-L317-L317*Pram!$B$2)/L317</f>
        <v>99.188858666086389</v>
      </c>
      <c r="O317">
        <f>(M317-Pram!$B$17)/Pram!$B$16</f>
        <v>1.0181177103005352E-2</v>
      </c>
      <c r="P317">
        <f t="shared" si="11"/>
        <v>97.220469979332051</v>
      </c>
    </row>
    <row r="318" spans="1:16" hidden="1" x14ac:dyDescent="0.55000000000000004">
      <c r="A318" t="s">
        <v>552</v>
      </c>
      <c r="B318">
        <v>59</v>
      </c>
      <c r="C318">
        <v>636.5</v>
      </c>
      <c r="D318">
        <v>636</v>
      </c>
      <c r="E318">
        <v>3.6401500000000002</v>
      </c>
      <c r="F318">
        <v>132</v>
      </c>
      <c r="G318">
        <v>0</v>
      </c>
      <c r="H318">
        <v>15</v>
      </c>
      <c r="I318">
        <f>D318-Pram!$G$2</f>
        <v>6</v>
      </c>
      <c r="J318">
        <f>I318/Pram!$H$2</f>
        <v>0.5</v>
      </c>
      <c r="K318">
        <f t="shared" si="10"/>
        <v>7.575757575757576E-3</v>
      </c>
      <c r="L318">
        <f>IF(G318=0,1/(F318 - H318*Pram!$B$5 +Pram!$B$6)+Pram!$B$7,1/(F318+G318+Pram!$B$2))</f>
        <v>1.147506234413965E-2</v>
      </c>
      <c r="M318">
        <f>(B318-J318-Pram!$I$2) * 2/120</f>
        <v>0.77500000000000002</v>
      </c>
      <c r="N318">
        <f>(1-L318-L318*Pram!$B$2)/L318</f>
        <v>99.945496033901989</v>
      </c>
      <c r="O318">
        <f>(M318-Pram!$B$17)/Pram!$B$16</f>
        <v>1.0269590680501624E-2</v>
      </c>
      <c r="P318">
        <f t="shared" si="11"/>
        <v>96.374864404153101</v>
      </c>
    </row>
    <row r="319" spans="1:16" hidden="1" x14ac:dyDescent="0.55000000000000004">
      <c r="A319" t="s">
        <v>553</v>
      </c>
      <c r="B319">
        <v>60</v>
      </c>
      <c r="C319">
        <v>641.5</v>
      </c>
      <c r="D319">
        <v>638</v>
      </c>
      <c r="E319">
        <v>14.53454</v>
      </c>
      <c r="F319">
        <v>128</v>
      </c>
      <c r="G319">
        <v>0</v>
      </c>
      <c r="H319">
        <v>15</v>
      </c>
      <c r="I319">
        <f>D319-Pram!$G$2</f>
        <v>8</v>
      </c>
      <c r="J319">
        <f>I319/Pram!$H$2</f>
        <v>0.66666666666666663</v>
      </c>
      <c r="K319">
        <f t="shared" si="10"/>
        <v>7.8125E-3</v>
      </c>
      <c r="L319">
        <f>IF(G319=0,1/(F319 - H319*Pram!$B$5 +Pram!$B$6)+Pram!$B$7,1/(F319+G319+Pram!$B$2))</f>
        <v>1.1889610389610389E-2</v>
      </c>
      <c r="M319">
        <f>(B319-J319-Pram!$I$2) * 2/120</f>
        <v>0.78888888888888897</v>
      </c>
      <c r="N319">
        <f>(1-L319-L319*Pram!$B$2)/L319</f>
        <v>96.907045330420544</v>
      </c>
      <c r="O319">
        <f>(M319-Pram!$B$17)/Pram!$B$16</f>
        <v>1.0490624624242297E-2</v>
      </c>
      <c r="P319">
        <f t="shared" si="11"/>
        <v>94.323208657103834</v>
      </c>
    </row>
    <row r="320" spans="1:16" hidden="1" x14ac:dyDescent="0.55000000000000004">
      <c r="A320" t="s">
        <v>554</v>
      </c>
      <c r="B320">
        <v>59</v>
      </c>
      <c r="C320">
        <v>651.5</v>
      </c>
      <c r="D320">
        <v>633</v>
      </c>
      <c r="E320">
        <v>14.53454</v>
      </c>
      <c r="F320">
        <v>127</v>
      </c>
      <c r="G320">
        <v>0</v>
      </c>
      <c r="H320">
        <v>15</v>
      </c>
      <c r="I320">
        <f>D320-Pram!$G$2</f>
        <v>3</v>
      </c>
      <c r="J320">
        <f>I320/Pram!$H$2</f>
        <v>0.25</v>
      </c>
      <c r="K320">
        <f t="shared" si="10"/>
        <v>7.874015748031496E-3</v>
      </c>
      <c r="L320">
        <f>IF(G320=0,1/(F320 - H320*Pram!$B$5 +Pram!$B$6)+Pram!$B$7,1/(F320+G320+Pram!$B$2))</f>
        <v>1.1998687664041994E-2</v>
      </c>
      <c r="M320">
        <f>(B320-J320-Pram!$I$2) * 2/120</f>
        <v>0.77916666666666667</v>
      </c>
      <c r="N320">
        <f>(1-L320-L320*Pram!$B$2)/L320</f>
        <v>96.14244777425354</v>
      </c>
      <c r="O320">
        <f>(M320-Pram!$B$17)/Pram!$B$16</f>
        <v>1.0335900863623826E-2</v>
      </c>
      <c r="P320">
        <f t="shared" si="11"/>
        <v>95.750153972490253</v>
      </c>
    </row>
    <row r="321" spans="1:16" hidden="1" x14ac:dyDescent="0.55000000000000004">
      <c r="A321" t="s">
        <v>555</v>
      </c>
      <c r="B321">
        <v>59</v>
      </c>
      <c r="C321">
        <v>623.5</v>
      </c>
      <c r="D321">
        <v>632</v>
      </c>
      <c r="E321">
        <v>14.53454</v>
      </c>
      <c r="F321">
        <v>127</v>
      </c>
      <c r="G321">
        <v>0</v>
      </c>
      <c r="H321">
        <v>15</v>
      </c>
      <c r="I321">
        <f>D321-Pram!$G$2</f>
        <v>2</v>
      </c>
      <c r="J321">
        <f>I321/Pram!$H$2</f>
        <v>0.16666666666666666</v>
      </c>
      <c r="K321">
        <f t="shared" si="10"/>
        <v>7.874015748031496E-3</v>
      </c>
      <c r="L321">
        <f>IF(G321=0,1/(F321 - H321*Pram!$B$5 +Pram!$B$6)+Pram!$B$7,1/(F321+G321+Pram!$B$2))</f>
        <v>1.1998687664041994E-2</v>
      </c>
      <c r="M321">
        <f>(B321-J321-Pram!$I$2) * 2/120</f>
        <v>0.78055555555555556</v>
      </c>
      <c r="N321">
        <f>(1-L321-L321*Pram!$B$2)/L321</f>
        <v>96.14244777425354</v>
      </c>
      <c r="O321">
        <f>(M321-Pram!$B$17)/Pram!$B$16</f>
        <v>1.0358004257997893E-2</v>
      </c>
      <c r="P321">
        <f t="shared" si="11"/>
        <v>95.543694624169888</v>
      </c>
    </row>
    <row r="322" spans="1:16" hidden="1" x14ac:dyDescent="0.55000000000000004">
      <c r="A322" t="s">
        <v>556</v>
      </c>
      <c r="B322">
        <v>59</v>
      </c>
      <c r="C322">
        <v>624</v>
      </c>
      <c r="D322">
        <v>634.5</v>
      </c>
      <c r="E322">
        <v>14.08023</v>
      </c>
      <c r="F322">
        <v>129</v>
      </c>
      <c r="G322">
        <v>0</v>
      </c>
      <c r="H322">
        <v>15</v>
      </c>
      <c r="I322">
        <f>D322-Pram!$G$2</f>
        <v>4.5</v>
      </c>
      <c r="J322">
        <f>I322/Pram!$H$2</f>
        <v>0.375</v>
      </c>
      <c r="K322">
        <f t="shared" si="10"/>
        <v>7.7519379844961239E-3</v>
      </c>
      <c r="L322">
        <f>IF(G322=0,1/(F322 - H322*Pram!$B$5 +Pram!$B$6)+Pram!$B$7,1/(F322+G322+Pram!$B$2))</f>
        <v>1.1782776349614395E-2</v>
      </c>
      <c r="M322">
        <f>(B322-J322-Pram!$I$2) * 2/120</f>
        <v>0.77708333333333335</v>
      </c>
      <c r="N322">
        <f>(1-L322-L322*Pram!$B$2)/L322</f>
        <v>97.669641103959862</v>
      </c>
      <c r="O322">
        <f>(M322-Pram!$B$17)/Pram!$B$16</f>
        <v>1.0302745772062725E-2</v>
      </c>
      <c r="P322">
        <f t="shared" si="11"/>
        <v>96.061504003295312</v>
      </c>
    </row>
    <row r="323" spans="1:16" hidden="1" x14ac:dyDescent="0.55000000000000004">
      <c r="A323" t="s">
        <v>557</v>
      </c>
      <c r="B323">
        <v>59</v>
      </c>
      <c r="C323">
        <v>637.5</v>
      </c>
      <c r="D323">
        <v>633</v>
      </c>
      <c r="E323">
        <v>14.53454</v>
      </c>
      <c r="F323">
        <v>127</v>
      </c>
      <c r="G323">
        <v>0</v>
      </c>
      <c r="H323">
        <v>15</v>
      </c>
      <c r="I323">
        <f>D323-Pram!$G$2</f>
        <v>3</v>
      </c>
      <c r="J323">
        <f>I323/Pram!$H$2</f>
        <v>0.25</v>
      </c>
      <c r="K323">
        <f t="shared" si="10"/>
        <v>7.874015748031496E-3</v>
      </c>
      <c r="L323">
        <f>IF(G323=0,1/(F323 - H323*Pram!$B$5 +Pram!$B$6)+Pram!$B$7,1/(F323+G323+Pram!$B$2))</f>
        <v>1.1998687664041994E-2</v>
      </c>
      <c r="M323">
        <f>(B323-J323-Pram!$I$2) * 2/120</f>
        <v>0.77916666666666667</v>
      </c>
      <c r="N323">
        <f>(1-L323-L323*Pram!$B$2)/L323</f>
        <v>96.14244777425354</v>
      </c>
      <c r="O323">
        <f>(M323-Pram!$B$17)/Pram!$B$16</f>
        <v>1.0335900863623826E-2</v>
      </c>
      <c r="P323">
        <f t="shared" si="11"/>
        <v>95.750153972490253</v>
      </c>
    </row>
    <row r="324" spans="1:16" hidden="1" x14ac:dyDescent="0.55000000000000004">
      <c r="A324" t="s">
        <v>558</v>
      </c>
      <c r="B324">
        <v>60</v>
      </c>
      <c r="C324">
        <v>621.5</v>
      </c>
      <c r="D324">
        <v>639.5</v>
      </c>
      <c r="E324">
        <v>14.57748</v>
      </c>
      <c r="F324">
        <v>129</v>
      </c>
      <c r="G324">
        <v>0</v>
      </c>
      <c r="H324">
        <v>15</v>
      </c>
      <c r="I324">
        <f>D324-Pram!$G$2</f>
        <v>9.5</v>
      </c>
      <c r="J324">
        <f>I324/Pram!$H$2</f>
        <v>0.79166666666666663</v>
      </c>
      <c r="K324">
        <f t="shared" si="10"/>
        <v>7.7519379844961239E-3</v>
      </c>
      <c r="L324">
        <f>IF(G324=0,1/(F324 - H324*Pram!$B$5 +Pram!$B$6)+Pram!$B$7,1/(F324+G324+Pram!$B$2))</f>
        <v>1.1782776349614395E-2</v>
      </c>
      <c r="M324">
        <f>(B324-J324-Pram!$I$2) * 2/120</f>
        <v>0.78680555555555565</v>
      </c>
      <c r="N324">
        <f>(1-L324-L324*Pram!$B$2)/L324</f>
        <v>97.669641103959862</v>
      </c>
      <c r="O324">
        <f>(M324-Pram!$B$17)/Pram!$B$16</f>
        <v>1.0457469532681197E-2</v>
      </c>
      <c r="P324">
        <f t="shared" si="11"/>
        <v>94.625428013425861</v>
      </c>
    </row>
    <row r="325" spans="1:16" hidden="1" x14ac:dyDescent="0.55000000000000004">
      <c r="A325" t="s">
        <v>559</v>
      </c>
      <c r="B325">
        <v>60</v>
      </c>
      <c r="C325">
        <v>629</v>
      </c>
      <c r="D325">
        <v>634.5</v>
      </c>
      <c r="E325">
        <v>14.08023</v>
      </c>
      <c r="F325">
        <v>127</v>
      </c>
      <c r="G325">
        <v>0</v>
      </c>
      <c r="H325">
        <v>15</v>
      </c>
      <c r="I325">
        <f>D325-Pram!$G$2</f>
        <v>4.5</v>
      </c>
      <c r="J325">
        <f>I325/Pram!$H$2</f>
        <v>0.375</v>
      </c>
      <c r="K325">
        <f t="shared" si="10"/>
        <v>7.874015748031496E-3</v>
      </c>
      <c r="L325">
        <f>IF(G325=0,1/(F325 - H325*Pram!$B$5 +Pram!$B$6)+Pram!$B$7,1/(F325+G325+Pram!$B$2))</f>
        <v>1.1998687664041994E-2</v>
      </c>
      <c r="M325">
        <f>(B325-J325-Pram!$I$2) * 2/120</f>
        <v>0.79374999999999996</v>
      </c>
      <c r="N325">
        <f>(1-L325-L325*Pram!$B$2)/L325</f>
        <v>96.14244777425354</v>
      </c>
      <c r="O325">
        <f>(M325-Pram!$B$17)/Pram!$B$16</f>
        <v>1.056798650455153E-2</v>
      </c>
      <c r="P325">
        <f t="shared" si="11"/>
        <v>93.625404713500501</v>
      </c>
    </row>
    <row r="326" spans="1:16" hidden="1" x14ac:dyDescent="0.55000000000000004">
      <c r="A326" t="s">
        <v>560</v>
      </c>
      <c r="B326">
        <v>61</v>
      </c>
      <c r="C326">
        <v>641</v>
      </c>
      <c r="D326">
        <v>634.5</v>
      </c>
      <c r="E326">
        <v>14.22156</v>
      </c>
      <c r="F326">
        <v>122</v>
      </c>
      <c r="G326">
        <v>0</v>
      </c>
      <c r="H326">
        <v>15</v>
      </c>
      <c r="I326">
        <f>D326-Pram!$G$2</f>
        <v>4.5</v>
      </c>
      <c r="J326">
        <f>I326/Pram!$H$2</f>
        <v>0.375</v>
      </c>
      <c r="K326">
        <f t="shared" si="10"/>
        <v>8.1967213114754103E-3</v>
      </c>
      <c r="L326">
        <f>IF(G326=0,1/(F326 - H326*Pram!$B$5 +Pram!$B$6)+Pram!$B$7,1/(F326+G326+Pram!$B$2))</f>
        <v>1.2580332409972299E-2</v>
      </c>
      <c r="M326">
        <f>(B326-J326-Pram!$I$2) * 2/120</f>
        <v>0.81041666666666667</v>
      </c>
      <c r="N326">
        <f>(1-L326-L326*Pram!$B$2)/L326</f>
        <v>92.289155565341858</v>
      </c>
      <c r="O326">
        <f>(M326-Pram!$B$17)/Pram!$B$16</f>
        <v>1.0833227237040338E-2</v>
      </c>
      <c r="P326">
        <f t="shared" si="11"/>
        <v>91.308596332296844</v>
      </c>
    </row>
    <row r="327" spans="1:16" hidden="1" x14ac:dyDescent="0.55000000000000004">
      <c r="A327" t="s">
        <v>561</v>
      </c>
      <c r="B327">
        <v>62</v>
      </c>
      <c r="C327">
        <v>639</v>
      </c>
      <c r="D327">
        <v>637.5</v>
      </c>
      <c r="E327">
        <v>10.111969999999999</v>
      </c>
      <c r="F327">
        <v>122</v>
      </c>
      <c r="G327">
        <v>0</v>
      </c>
      <c r="H327">
        <v>15</v>
      </c>
      <c r="I327">
        <f>D327-Pram!$G$2</f>
        <v>7.5</v>
      </c>
      <c r="J327">
        <f>I327/Pram!$H$2</f>
        <v>0.625</v>
      </c>
      <c r="K327">
        <f t="shared" si="10"/>
        <v>8.1967213114754103E-3</v>
      </c>
      <c r="L327">
        <f>IF(G327=0,1/(F327 - H327*Pram!$B$5 +Pram!$B$6)+Pram!$B$7,1/(F327+G327+Pram!$B$2))</f>
        <v>1.2580332409972299E-2</v>
      </c>
      <c r="M327">
        <f>(B327-J327-Pram!$I$2) * 2/120</f>
        <v>0.82291666666666663</v>
      </c>
      <c r="N327">
        <f>(1-L327-L327*Pram!$B$2)/L327</f>
        <v>92.289155565341858</v>
      </c>
      <c r="O327">
        <f>(M327-Pram!$B$17)/Pram!$B$16</f>
        <v>1.1032157786406942E-2</v>
      </c>
      <c r="P327">
        <f t="shared" si="11"/>
        <v>89.644098766619393</v>
      </c>
    </row>
    <row r="328" spans="1:16" hidden="1" x14ac:dyDescent="0.55000000000000004">
      <c r="A328" t="s">
        <v>562</v>
      </c>
      <c r="B328">
        <v>61</v>
      </c>
      <c r="C328">
        <v>635</v>
      </c>
      <c r="D328">
        <v>636</v>
      </c>
      <c r="E328">
        <v>15.0334</v>
      </c>
      <c r="F328">
        <v>123</v>
      </c>
      <c r="G328">
        <v>0</v>
      </c>
      <c r="H328">
        <v>15</v>
      </c>
      <c r="I328">
        <f>D328-Pram!$G$2</f>
        <v>6</v>
      </c>
      <c r="J328">
        <f>I328/Pram!$H$2</f>
        <v>0.5</v>
      </c>
      <c r="K328">
        <f t="shared" si="10"/>
        <v>8.130081300813009E-3</v>
      </c>
      <c r="L328">
        <f>IF(G328=0,1/(F328 - H328*Pram!$B$5 +Pram!$B$6)+Pram!$B$7,1/(F328+G328+Pram!$B$2))</f>
        <v>1.2458904109589041E-2</v>
      </c>
      <c r="M328">
        <f>(B328-J328-Pram!$I$2) * 2/120</f>
        <v>0.80833333333333335</v>
      </c>
      <c r="N328">
        <f>(1-L328-L328*Pram!$B$2)/L328</f>
        <v>93.063881253435952</v>
      </c>
      <c r="O328">
        <f>(M328-Pram!$B$17)/Pram!$B$16</f>
        <v>1.0800072145479237E-2</v>
      </c>
      <c r="P328">
        <f t="shared" si="11"/>
        <v>91.591974065523843</v>
      </c>
    </row>
    <row r="329" spans="1:16" hidden="1" x14ac:dyDescent="0.55000000000000004">
      <c r="A329" t="s">
        <v>563</v>
      </c>
      <c r="B329">
        <v>60</v>
      </c>
      <c r="C329">
        <v>653.5</v>
      </c>
      <c r="D329">
        <v>633</v>
      </c>
      <c r="E329">
        <v>14.53454</v>
      </c>
      <c r="F329">
        <v>125</v>
      </c>
      <c r="G329">
        <v>0</v>
      </c>
      <c r="H329">
        <v>15</v>
      </c>
      <c r="I329">
        <f>D329-Pram!$G$2</f>
        <v>3</v>
      </c>
      <c r="J329">
        <f>I329/Pram!$H$2</f>
        <v>0.25</v>
      </c>
      <c r="K329">
        <f t="shared" si="10"/>
        <v>8.0000000000000002E-3</v>
      </c>
      <c r="L329">
        <f>IF(G329=0,1/(F329 - H329*Pram!$B$5 +Pram!$B$6)+Pram!$B$7,1/(F329+G329+Pram!$B$2))</f>
        <v>1.2223860589812332E-2</v>
      </c>
      <c r="M329">
        <f>(B329-J329-Pram!$I$2) * 2/120</f>
        <v>0.79583333333333328</v>
      </c>
      <c r="N329">
        <f>(1-L329-L329*Pram!$B$2)/L329</f>
        <v>94.607215703476271</v>
      </c>
      <c r="O329">
        <f>(M329-Pram!$B$17)/Pram!$B$16</f>
        <v>1.0601141596112631E-2</v>
      </c>
      <c r="P329">
        <f t="shared" si="11"/>
        <v>93.329463570856689</v>
      </c>
    </row>
    <row r="330" spans="1:16" hidden="1" x14ac:dyDescent="0.55000000000000004">
      <c r="A330" t="s">
        <v>564</v>
      </c>
      <c r="B330">
        <v>60</v>
      </c>
      <c r="C330">
        <v>634.5</v>
      </c>
      <c r="D330">
        <v>633</v>
      </c>
      <c r="E330">
        <v>9.7083399999999997</v>
      </c>
      <c r="F330">
        <v>125</v>
      </c>
      <c r="G330">
        <v>0</v>
      </c>
      <c r="H330">
        <v>15</v>
      </c>
      <c r="I330">
        <f>D330-Pram!$G$2</f>
        <v>3</v>
      </c>
      <c r="J330">
        <f>I330/Pram!$H$2</f>
        <v>0.25</v>
      </c>
      <c r="K330">
        <f t="shared" si="10"/>
        <v>8.0000000000000002E-3</v>
      </c>
      <c r="L330">
        <f>IF(G330=0,1/(F330 - H330*Pram!$B$5 +Pram!$B$6)+Pram!$B$7,1/(F330+G330+Pram!$B$2))</f>
        <v>1.2223860589812332E-2</v>
      </c>
      <c r="M330">
        <f>(B330-J330-Pram!$I$2) * 2/120</f>
        <v>0.79583333333333328</v>
      </c>
      <c r="N330">
        <f>(1-L330-L330*Pram!$B$2)/L330</f>
        <v>94.607215703476271</v>
      </c>
      <c r="O330">
        <f>(M330-Pram!$B$17)/Pram!$B$16</f>
        <v>1.0601141596112631E-2</v>
      </c>
      <c r="P330">
        <f t="shared" si="11"/>
        <v>93.329463570856689</v>
      </c>
    </row>
    <row r="331" spans="1:16" hidden="1" x14ac:dyDescent="0.55000000000000004">
      <c r="A331" t="s">
        <v>565</v>
      </c>
      <c r="B331">
        <v>60</v>
      </c>
      <c r="C331">
        <v>625.5</v>
      </c>
      <c r="D331">
        <v>633</v>
      </c>
      <c r="E331">
        <v>14.53454</v>
      </c>
      <c r="F331">
        <v>125</v>
      </c>
      <c r="G331">
        <v>0</v>
      </c>
      <c r="H331">
        <v>15</v>
      </c>
      <c r="I331">
        <f>D331-Pram!$G$2</f>
        <v>3</v>
      </c>
      <c r="J331">
        <f>I331/Pram!$H$2</f>
        <v>0.25</v>
      </c>
      <c r="K331">
        <f t="shared" si="10"/>
        <v>8.0000000000000002E-3</v>
      </c>
      <c r="L331">
        <f>IF(G331=0,1/(F331 - H331*Pram!$B$5 +Pram!$B$6)+Pram!$B$7,1/(F331+G331+Pram!$B$2))</f>
        <v>1.2223860589812332E-2</v>
      </c>
      <c r="M331">
        <f>(B331-J331-Pram!$I$2) * 2/120</f>
        <v>0.79583333333333328</v>
      </c>
      <c r="N331">
        <f>(1-L331-L331*Pram!$B$2)/L331</f>
        <v>94.607215703476271</v>
      </c>
      <c r="O331">
        <f>(M331-Pram!$B$17)/Pram!$B$16</f>
        <v>1.0601141596112631E-2</v>
      </c>
      <c r="P331">
        <f t="shared" si="11"/>
        <v>93.329463570856689</v>
      </c>
    </row>
    <row r="332" spans="1:16" hidden="1" x14ac:dyDescent="0.55000000000000004">
      <c r="A332" t="s">
        <v>566</v>
      </c>
      <c r="B332">
        <v>60</v>
      </c>
      <c r="C332">
        <v>649.5</v>
      </c>
      <c r="D332">
        <v>634</v>
      </c>
      <c r="E332">
        <v>14.53454</v>
      </c>
      <c r="F332">
        <v>126</v>
      </c>
      <c r="G332">
        <v>0</v>
      </c>
      <c r="H332">
        <v>15</v>
      </c>
      <c r="I332">
        <f>D332-Pram!$G$2</f>
        <v>4</v>
      </c>
      <c r="J332">
        <f>I332/Pram!$H$2</f>
        <v>0.33333333333333331</v>
      </c>
      <c r="K332">
        <f t="shared" si="10"/>
        <v>7.9365079365079361E-3</v>
      </c>
      <c r="L332">
        <f>IF(G332=0,1/(F332 - H332*Pram!$B$5 +Pram!$B$6)+Pram!$B$7,1/(F332+G332+Pram!$B$2))</f>
        <v>1.2110079575596816E-2</v>
      </c>
      <c r="M332">
        <f>(B332-J332-Pram!$I$2) * 2/120</f>
        <v>0.7944444444444444</v>
      </c>
      <c r="N332">
        <f>(1-L332-L332*Pram!$B$2)/L332</f>
        <v>95.375840543204461</v>
      </c>
      <c r="O332">
        <f>(M332-Pram!$B$17)/Pram!$B$16</f>
        <v>1.0579038201738564E-2</v>
      </c>
      <c r="P332">
        <f t="shared" si="11"/>
        <v>93.526551556989318</v>
      </c>
    </row>
    <row r="333" spans="1:16" hidden="1" x14ac:dyDescent="0.55000000000000004">
      <c r="A333" t="s">
        <v>567</v>
      </c>
      <c r="B333">
        <v>62</v>
      </c>
      <c r="C333">
        <v>640.5</v>
      </c>
      <c r="D333">
        <v>638.5</v>
      </c>
      <c r="E333">
        <v>14.57748</v>
      </c>
      <c r="F333">
        <v>124</v>
      </c>
      <c r="G333">
        <v>0</v>
      </c>
      <c r="H333">
        <v>15</v>
      </c>
      <c r="I333">
        <f>D333-Pram!$G$2</f>
        <v>8.5</v>
      </c>
      <c r="J333">
        <f>I333/Pram!$H$2</f>
        <v>0.70833333333333337</v>
      </c>
      <c r="K333">
        <f t="shared" si="10"/>
        <v>8.0645161290322578E-3</v>
      </c>
      <c r="L333">
        <f>IF(G333=0,1/(F333 - H333*Pram!$B$5 +Pram!$B$6)+Pram!$B$7,1/(F333+G333+Pram!$B$2))</f>
        <v>1.234010840108401E-2</v>
      </c>
      <c r="M333">
        <f>(B333-J333-Pram!$I$2) * 2/120</f>
        <v>0.82152777777777775</v>
      </c>
      <c r="N333">
        <f>(1-L333-L333*Pram!$B$2)/L333</f>
        <v>93.836565279455357</v>
      </c>
      <c r="O333">
        <f>(M333-Pram!$B$17)/Pram!$B$16</f>
        <v>1.1010054392032875E-2</v>
      </c>
      <c r="P333">
        <f t="shared" si="11"/>
        <v>89.826072641713992</v>
      </c>
    </row>
    <row r="334" spans="1:16" hidden="1" x14ac:dyDescent="0.55000000000000004">
      <c r="A334" t="s">
        <v>568</v>
      </c>
      <c r="B334">
        <v>62</v>
      </c>
      <c r="C334">
        <v>624</v>
      </c>
      <c r="D334">
        <v>634.5</v>
      </c>
      <c r="E334">
        <v>7.4331300000000002</v>
      </c>
      <c r="F334">
        <v>120</v>
      </c>
      <c r="G334">
        <v>0</v>
      </c>
      <c r="H334">
        <v>15</v>
      </c>
      <c r="I334">
        <f>D334-Pram!$G$2</f>
        <v>4.5</v>
      </c>
      <c r="J334">
        <f>I334/Pram!$H$2</f>
        <v>0.375</v>
      </c>
      <c r="K334">
        <f t="shared" si="10"/>
        <v>8.3333333333333332E-3</v>
      </c>
      <c r="L334">
        <f>IF(G334=0,1/(F334 - H334*Pram!$B$5 +Pram!$B$6)+Pram!$B$7,1/(F334+G334+Pram!$B$2))</f>
        <v>1.2831444759206799E-2</v>
      </c>
      <c r="M334">
        <f>(B334-J334-Pram!$I$2) * 2/120</f>
        <v>0.82708333333333328</v>
      </c>
      <c r="N334">
        <f>(1-L334-L334*Pram!$B$2)/L334</f>
        <v>90.7335467490893</v>
      </c>
      <c r="O334">
        <f>(M334-Pram!$B$17)/Pram!$B$16</f>
        <v>1.1098467969529143E-2</v>
      </c>
      <c r="P334">
        <f t="shared" si="11"/>
        <v>89.102526109504581</v>
      </c>
    </row>
    <row r="335" spans="1:16" hidden="1" x14ac:dyDescent="0.55000000000000004">
      <c r="A335" t="s">
        <v>569</v>
      </c>
      <c r="B335">
        <v>64</v>
      </c>
      <c r="C335">
        <v>636.5</v>
      </c>
      <c r="D335">
        <v>638</v>
      </c>
      <c r="E335">
        <v>14.53454</v>
      </c>
      <c r="F335">
        <v>118</v>
      </c>
      <c r="G335">
        <v>0</v>
      </c>
      <c r="H335">
        <v>15</v>
      </c>
      <c r="I335">
        <f>D335-Pram!$G$2</f>
        <v>8</v>
      </c>
      <c r="J335">
        <f>I335/Pram!$H$2</f>
        <v>0.66666666666666663</v>
      </c>
      <c r="K335">
        <f t="shared" si="10"/>
        <v>8.4745762711864406E-3</v>
      </c>
      <c r="L335">
        <f>IF(G335=0,1/(F335 - H335*Pram!$B$5 +Pram!$B$6)+Pram!$B$7,1/(F335+G335+Pram!$B$2))</f>
        <v>1.3094202898550724E-2</v>
      </c>
      <c r="M335">
        <f>(B335-J335-Pram!$I$2) * 2/120</f>
        <v>0.85555555555555562</v>
      </c>
      <c r="N335">
        <f>(1-L335-L335*Pram!$B$2)/L335</f>
        <v>89.169673491975658</v>
      </c>
      <c r="O335">
        <f>(M335-Pram!$B$17)/Pram!$B$16</f>
        <v>1.1551587554197523E-2</v>
      </c>
      <c r="P335">
        <f t="shared" si="11"/>
        <v>85.568187732484276</v>
      </c>
    </row>
    <row r="336" spans="1:16" hidden="1" x14ac:dyDescent="0.55000000000000004">
      <c r="A336" t="s">
        <v>570</v>
      </c>
      <c r="B336">
        <v>63</v>
      </c>
      <c r="C336">
        <v>642</v>
      </c>
      <c r="D336">
        <v>636</v>
      </c>
      <c r="E336">
        <v>15.0334</v>
      </c>
      <c r="F336">
        <v>119</v>
      </c>
      <c r="G336">
        <v>0</v>
      </c>
      <c r="H336">
        <v>15</v>
      </c>
      <c r="I336">
        <f>D336-Pram!$G$2</f>
        <v>6</v>
      </c>
      <c r="J336">
        <f>I336/Pram!$H$2</f>
        <v>0.5</v>
      </c>
      <c r="K336">
        <f t="shared" si="10"/>
        <v>8.4033613445378148E-3</v>
      </c>
      <c r="L336">
        <f>IF(G336=0,1/(F336 - H336*Pram!$B$5 +Pram!$B$6)+Pram!$B$7,1/(F336+G336+Pram!$B$2))</f>
        <v>1.296131805157593E-2</v>
      </c>
      <c r="M336">
        <f>(B336-J336-Pram!$I$2) * 2/120</f>
        <v>0.84166666666666667</v>
      </c>
      <c r="N336">
        <f>(1-L336-L336*Pram!$B$2)/L336</f>
        <v>89.952647286393272</v>
      </c>
      <c r="O336">
        <f>(M336-Pram!$B$17)/Pram!$B$16</f>
        <v>1.133055361045685E-2</v>
      </c>
      <c r="P336">
        <f t="shared" si="11"/>
        <v>87.256940868018162</v>
      </c>
    </row>
    <row r="337" spans="1:16" hidden="1" x14ac:dyDescent="0.55000000000000004">
      <c r="A337" t="s">
        <v>571</v>
      </c>
      <c r="B337">
        <v>63</v>
      </c>
      <c r="C337">
        <v>633</v>
      </c>
      <c r="D337">
        <v>638</v>
      </c>
      <c r="E337">
        <v>9.2196400000000001</v>
      </c>
      <c r="F337">
        <v>121</v>
      </c>
      <c r="G337">
        <v>0</v>
      </c>
      <c r="H337">
        <v>15</v>
      </c>
      <c r="I337">
        <f>D337-Pram!$G$2</f>
        <v>8</v>
      </c>
      <c r="J337">
        <f>I337/Pram!$H$2</f>
        <v>0.66666666666666663</v>
      </c>
      <c r="K337">
        <f t="shared" si="10"/>
        <v>8.2644628099173556E-3</v>
      </c>
      <c r="L337">
        <f>IF(G337=0,1/(F337 - H337*Pram!$B$5 +Pram!$B$6)+Pram!$B$7,1/(F337+G337+Pram!$B$2))</f>
        <v>1.2704481792717087E-2</v>
      </c>
      <c r="M337">
        <f>(B337-J337-Pram!$I$2) * 2/120</f>
        <v>0.83888888888888891</v>
      </c>
      <c r="N337">
        <f>(1-L337-L337*Pram!$B$2)/L337</f>
        <v>91.512380112446266</v>
      </c>
      <c r="O337">
        <f>(M337-Pram!$B$17)/Pram!$B$16</f>
        <v>1.1286346821708716E-2</v>
      </c>
      <c r="P337">
        <f t="shared" si="11"/>
        <v>87.602628981465529</v>
      </c>
    </row>
    <row r="338" spans="1:16" hidden="1" x14ac:dyDescent="0.55000000000000004">
      <c r="A338" t="s">
        <v>572</v>
      </c>
      <c r="B338">
        <v>63</v>
      </c>
      <c r="C338">
        <v>643</v>
      </c>
      <c r="D338">
        <v>633.5</v>
      </c>
      <c r="E338">
        <v>10.111969999999999</v>
      </c>
      <c r="F338">
        <v>118</v>
      </c>
      <c r="G338">
        <v>0</v>
      </c>
      <c r="H338">
        <v>15</v>
      </c>
      <c r="I338">
        <f>D338-Pram!$G$2</f>
        <v>3.5</v>
      </c>
      <c r="J338">
        <f>I338/Pram!$H$2</f>
        <v>0.29166666666666669</v>
      </c>
      <c r="K338">
        <f t="shared" si="10"/>
        <v>8.4745762711864406E-3</v>
      </c>
      <c r="L338">
        <f>IF(G338=0,1/(F338 - H338*Pram!$B$5 +Pram!$B$6)+Pram!$B$7,1/(F338+G338+Pram!$B$2))</f>
        <v>1.3094202898550724E-2</v>
      </c>
      <c r="M338">
        <f>(B338-J338-Pram!$I$2) * 2/120</f>
        <v>0.84513888888888888</v>
      </c>
      <c r="N338">
        <f>(1-L338-L338*Pram!$B$2)/L338</f>
        <v>89.169673491975658</v>
      </c>
      <c r="O338">
        <f>(M338-Pram!$B$17)/Pram!$B$16</f>
        <v>1.1385812096392018E-2</v>
      </c>
      <c r="P338">
        <f t="shared" si="11"/>
        <v>86.828605595632837</v>
      </c>
    </row>
    <row r="339" spans="1:16" hidden="1" x14ac:dyDescent="0.55000000000000004">
      <c r="A339" t="s">
        <v>573</v>
      </c>
      <c r="B339">
        <v>63</v>
      </c>
      <c r="C339">
        <v>630.5</v>
      </c>
      <c r="D339">
        <v>639</v>
      </c>
      <c r="E339">
        <v>14.53454</v>
      </c>
      <c r="F339">
        <v>121</v>
      </c>
      <c r="G339">
        <v>0</v>
      </c>
      <c r="H339">
        <v>15</v>
      </c>
      <c r="I339">
        <f>D339-Pram!$G$2</f>
        <v>9</v>
      </c>
      <c r="J339">
        <f>I339/Pram!$H$2</f>
        <v>0.75</v>
      </c>
      <c r="K339">
        <f t="shared" ref="K339:K402" si="12">1/(F339+G339)</f>
        <v>8.2644628099173556E-3</v>
      </c>
      <c r="L339">
        <f>IF(G339=0,1/(F339 - H339*Pram!$B$5 +Pram!$B$6)+Pram!$B$7,1/(F339+G339+Pram!$B$2))</f>
        <v>1.2704481792717087E-2</v>
      </c>
      <c r="M339">
        <f>(B339-J339-Pram!$I$2) * 2/120</f>
        <v>0.83750000000000002</v>
      </c>
      <c r="N339">
        <f>(1-L339-L339*Pram!$B$2)/L339</f>
        <v>91.512380112446266</v>
      </c>
      <c r="O339">
        <f>(M339-Pram!$B$17)/Pram!$B$16</f>
        <v>1.1264243427334649E-2</v>
      </c>
      <c r="P339">
        <f t="shared" ref="P339:P402" si="13">(1-O339)/O339</f>
        <v>87.776490534049159</v>
      </c>
    </row>
    <row r="340" spans="1:16" hidden="1" x14ac:dyDescent="0.55000000000000004">
      <c r="A340" t="s">
        <v>574</v>
      </c>
      <c r="B340">
        <v>62</v>
      </c>
      <c r="C340">
        <v>654</v>
      </c>
      <c r="D340">
        <v>632</v>
      </c>
      <c r="E340">
        <v>15.0334</v>
      </c>
      <c r="F340">
        <v>120</v>
      </c>
      <c r="G340">
        <v>0</v>
      </c>
      <c r="H340">
        <v>15</v>
      </c>
      <c r="I340">
        <f>D340-Pram!$G$2</f>
        <v>2</v>
      </c>
      <c r="J340">
        <f>I340/Pram!$H$2</f>
        <v>0.16666666666666666</v>
      </c>
      <c r="K340">
        <f t="shared" si="12"/>
        <v>8.3333333333333332E-3</v>
      </c>
      <c r="L340">
        <f>IF(G340=0,1/(F340 - H340*Pram!$B$5 +Pram!$B$6)+Pram!$B$7,1/(F340+G340+Pram!$B$2))</f>
        <v>1.2831444759206799E-2</v>
      </c>
      <c r="M340">
        <f>(B340-J340-Pram!$I$2) * 2/120</f>
        <v>0.8305555555555556</v>
      </c>
      <c r="N340">
        <f>(1-L340-L340*Pram!$B$2)/L340</f>
        <v>90.7335467490893</v>
      </c>
      <c r="O340">
        <f>(M340-Pram!$B$17)/Pram!$B$16</f>
        <v>1.1153726455464313E-2</v>
      </c>
      <c r="P340">
        <f t="shared" si="13"/>
        <v>88.656134565689555</v>
      </c>
    </row>
    <row r="341" spans="1:16" hidden="1" x14ac:dyDescent="0.55000000000000004">
      <c r="A341" t="s">
        <v>575</v>
      </c>
      <c r="B341">
        <v>63</v>
      </c>
      <c r="C341">
        <v>633.5</v>
      </c>
      <c r="D341">
        <v>636</v>
      </c>
      <c r="E341">
        <v>14.53454</v>
      </c>
      <c r="F341">
        <v>119</v>
      </c>
      <c r="G341">
        <v>0</v>
      </c>
      <c r="H341">
        <v>15</v>
      </c>
      <c r="I341">
        <f>D341-Pram!$G$2</f>
        <v>6</v>
      </c>
      <c r="J341">
        <f>I341/Pram!$H$2</f>
        <v>0.5</v>
      </c>
      <c r="K341">
        <f t="shared" si="12"/>
        <v>8.4033613445378148E-3</v>
      </c>
      <c r="L341">
        <f>IF(G341=0,1/(F341 - H341*Pram!$B$5 +Pram!$B$6)+Pram!$B$7,1/(F341+G341+Pram!$B$2))</f>
        <v>1.296131805157593E-2</v>
      </c>
      <c r="M341">
        <f>(B341-J341-Pram!$I$2) * 2/120</f>
        <v>0.84166666666666667</v>
      </c>
      <c r="N341">
        <f>(1-L341-L341*Pram!$B$2)/L341</f>
        <v>89.952647286393272</v>
      </c>
      <c r="O341">
        <f>(M341-Pram!$B$17)/Pram!$B$16</f>
        <v>1.133055361045685E-2</v>
      </c>
      <c r="P341">
        <f t="shared" si="13"/>
        <v>87.256940868018162</v>
      </c>
    </row>
    <row r="342" spans="1:16" hidden="1" x14ac:dyDescent="0.55000000000000004">
      <c r="A342" t="s">
        <v>576</v>
      </c>
      <c r="B342">
        <v>62</v>
      </c>
      <c r="C342">
        <v>623.5</v>
      </c>
      <c r="D342">
        <v>635</v>
      </c>
      <c r="E342">
        <v>14.53454</v>
      </c>
      <c r="F342">
        <v>121</v>
      </c>
      <c r="G342">
        <v>0</v>
      </c>
      <c r="H342">
        <v>15</v>
      </c>
      <c r="I342">
        <f>D342-Pram!$G$2</f>
        <v>5</v>
      </c>
      <c r="J342">
        <f>I342/Pram!$H$2</f>
        <v>0.41666666666666669</v>
      </c>
      <c r="K342">
        <f t="shared" si="12"/>
        <v>8.2644628099173556E-3</v>
      </c>
      <c r="L342">
        <f>IF(G342=0,1/(F342 - H342*Pram!$B$5 +Pram!$B$6)+Pram!$B$7,1/(F342+G342+Pram!$B$2))</f>
        <v>1.2704481792717087E-2</v>
      </c>
      <c r="M342">
        <f>(B342-J342-Pram!$I$2) * 2/120</f>
        <v>0.82638888888888895</v>
      </c>
      <c r="N342">
        <f>(1-L342-L342*Pram!$B$2)/L342</f>
        <v>91.512380112446266</v>
      </c>
      <c r="O342">
        <f>(M342-Pram!$B$17)/Pram!$B$16</f>
        <v>1.1087416272342112E-2</v>
      </c>
      <c r="P342">
        <f t="shared" si="13"/>
        <v>89.192338362412684</v>
      </c>
    </row>
    <row r="343" spans="1:16" hidden="1" x14ac:dyDescent="0.55000000000000004">
      <c r="A343" t="s">
        <v>577</v>
      </c>
      <c r="B343">
        <v>62</v>
      </c>
      <c r="C343">
        <v>644</v>
      </c>
      <c r="D343">
        <v>633.5</v>
      </c>
      <c r="E343">
        <v>14.08023</v>
      </c>
      <c r="F343">
        <v>121</v>
      </c>
      <c r="G343">
        <v>0</v>
      </c>
      <c r="H343">
        <v>15</v>
      </c>
      <c r="I343">
        <f>D343-Pram!$G$2</f>
        <v>3.5</v>
      </c>
      <c r="J343">
        <f>I343/Pram!$H$2</f>
        <v>0.29166666666666669</v>
      </c>
      <c r="K343">
        <f t="shared" si="12"/>
        <v>8.2644628099173556E-3</v>
      </c>
      <c r="L343">
        <f>IF(G343=0,1/(F343 - H343*Pram!$B$5 +Pram!$B$6)+Pram!$B$7,1/(F343+G343+Pram!$B$2))</f>
        <v>1.2704481792717087E-2</v>
      </c>
      <c r="M343">
        <f>(B343-J343-Pram!$I$2) * 2/120</f>
        <v>0.82847222222222228</v>
      </c>
      <c r="N343">
        <f>(1-L343-L343*Pram!$B$2)/L343</f>
        <v>91.512380112446266</v>
      </c>
      <c r="O343">
        <f>(M343-Pram!$B$17)/Pram!$B$16</f>
        <v>1.1120571363903212E-2</v>
      </c>
      <c r="P343">
        <f t="shared" si="13"/>
        <v>88.923437139745104</v>
      </c>
    </row>
    <row r="344" spans="1:16" hidden="1" x14ac:dyDescent="0.55000000000000004">
      <c r="A344" t="s">
        <v>578</v>
      </c>
      <c r="B344">
        <v>63</v>
      </c>
      <c r="C344">
        <v>635.5</v>
      </c>
      <c r="D344">
        <v>635</v>
      </c>
      <c r="E344">
        <v>14.53454</v>
      </c>
      <c r="F344">
        <v>119</v>
      </c>
      <c r="G344">
        <v>0</v>
      </c>
      <c r="H344">
        <v>15</v>
      </c>
      <c r="I344">
        <f>D344-Pram!$G$2</f>
        <v>5</v>
      </c>
      <c r="J344">
        <f>I344/Pram!$H$2</f>
        <v>0.41666666666666669</v>
      </c>
      <c r="K344">
        <f t="shared" si="12"/>
        <v>8.4033613445378148E-3</v>
      </c>
      <c r="L344">
        <f>IF(G344=0,1/(F344 - H344*Pram!$B$5 +Pram!$B$6)+Pram!$B$7,1/(F344+G344+Pram!$B$2))</f>
        <v>1.296131805157593E-2</v>
      </c>
      <c r="M344">
        <f>(B344-J344-Pram!$I$2) * 2/120</f>
        <v>0.84305555555555556</v>
      </c>
      <c r="N344">
        <f>(1-L344-L344*Pram!$B$2)/L344</f>
        <v>89.952647286393272</v>
      </c>
      <c r="O344">
        <f>(M344-Pram!$B$17)/Pram!$B$16</f>
        <v>1.1352657004830917E-2</v>
      </c>
      <c r="P344">
        <f t="shared" si="13"/>
        <v>87.085106382978736</v>
      </c>
    </row>
    <row r="345" spans="1:16" hidden="1" x14ac:dyDescent="0.55000000000000004">
      <c r="A345" t="s">
        <v>579</v>
      </c>
      <c r="B345">
        <v>62</v>
      </c>
      <c r="C345">
        <v>663</v>
      </c>
      <c r="D345">
        <v>635.5</v>
      </c>
      <c r="E345">
        <v>4.2721</v>
      </c>
      <c r="F345">
        <v>121</v>
      </c>
      <c r="G345">
        <v>0</v>
      </c>
      <c r="H345">
        <v>15</v>
      </c>
      <c r="I345">
        <f>D345-Pram!$G$2</f>
        <v>5.5</v>
      </c>
      <c r="J345">
        <f>I345/Pram!$H$2</f>
        <v>0.45833333333333331</v>
      </c>
      <c r="K345">
        <f t="shared" si="12"/>
        <v>8.2644628099173556E-3</v>
      </c>
      <c r="L345">
        <f>IF(G345=0,1/(F345 - H345*Pram!$B$5 +Pram!$B$6)+Pram!$B$7,1/(F345+G345+Pram!$B$2))</f>
        <v>1.2704481792717087E-2</v>
      </c>
      <c r="M345">
        <f>(B345-J345-Pram!$I$2) * 2/120</f>
        <v>0.8256944444444444</v>
      </c>
      <c r="N345">
        <f>(1-L345-L345*Pram!$B$2)/L345</f>
        <v>91.512380112446266</v>
      </c>
      <c r="O345">
        <f>(M345-Pram!$B$17)/Pram!$B$16</f>
        <v>1.1076364575155076E-2</v>
      </c>
      <c r="P345">
        <f t="shared" si="13"/>
        <v>89.282329839797583</v>
      </c>
    </row>
    <row r="346" spans="1:16" hidden="1" x14ac:dyDescent="0.55000000000000004">
      <c r="A346" t="s">
        <v>580</v>
      </c>
      <c r="B346">
        <v>65</v>
      </c>
      <c r="C346">
        <v>641</v>
      </c>
      <c r="D346">
        <v>637</v>
      </c>
      <c r="E346">
        <v>15.0334</v>
      </c>
      <c r="F346">
        <v>115</v>
      </c>
      <c r="G346">
        <v>0</v>
      </c>
      <c r="H346">
        <v>15</v>
      </c>
      <c r="I346">
        <f>D346-Pram!$G$2</f>
        <v>7</v>
      </c>
      <c r="J346">
        <f>I346/Pram!$H$2</f>
        <v>0.58333333333333337</v>
      </c>
      <c r="K346">
        <f t="shared" si="12"/>
        <v>8.6956521739130436E-3</v>
      </c>
      <c r="L346">
        <f>IF(G346=0,1/(F346 - H346*Pram!$B$5 +Pram!$B$6)+Pram!$B$7,1/(F346+G346+Pram!$B$2))</f>
        <v>1.3512012012012012E-2</v>
      </c>
      <c r="M346">
        <f>(B346-J346-Pram!$I$2) * 2/120</f>
        <v>0.87361111111111123</v>
      </c>
      <c r="N346">
        <f>(1-L346-L346*Pram!$B$2)/L346</f>
        <v>86.808223135904001</v>
      </c>
      <c r="O346">
        <f>(M346-Pram!$B$17)/Pram!$B$16</f>
        <v>1.1838931681060398E-2</v>
      </c>
      <c r="P346">
        <f t="shared" si="13"/>
        <v>83.467080893774636</v>
      </c>
    </row>
    <row r="347" spans="1:16" x14ac:dyDescent="0.55000000000000004">
      <c r="A347" t="s">
        <v>581</v>
      </c>
      <c r="B347">
        <v>65</v>
      </c>
      <c r="C347">
        <v>643.38463999999999</v>
      </c>
      <c r="D347">
        <v>635</v>
      </c>
      <c r="E347">
        <v>6.6906100000000004</v>
      </c>
      <c r="F347">
        <v>113</v>
      </c>
      <c r="G347">
        <v>0</v>
      </c>
      <c r="H347">
        <v>15</v>
      </c>
      <c r="I347">
        <f>D347-Pram!$G$2</f>
        <v>5</v>
      </c>
      <c r="J347">
        <f>I347/Pram!$H$2</f>
        <v>0.41666666666666669</v>
      </c>
      <c r="K347">
        <f t="shared" si="12"/>
        <v>8.8495575221238937E-3</v>
      </c>
      <c r="L347">
        <f>IF(G347=0,1/(F347 - H347*Pram!$B$5 +Pram!$B$6)+Pram!$B$7,1/(F347+G347+Pram!$B$2))</f>
        <v>1.3807692307692307E-2</v>
      </c>
      <c r="M347">
        <f>(B347-J347-Pram!$I$2) * 2/120</f>
        <v>0.87638888888888877</v>
      </c>
      <c r="N347">
        <f>(1-L347-L347*Pram!$B$2)/L347</f>
        <v>85.223398328690806</v>
      </c>
      <c r="O347">
        <f>(M347-Pram!$B$17)/Pram!$B$16</f>
        <v>1.1883138469808529E-2</v>
      </c>
      <c r="P347">
        <f t="shared" si="13"/>
        <v>83.152852593672833</v>
      </c>
    </row>
    <row r="348" spans="1:16" x14ac:dyDescent="0.55000000000000004">
      <c r="A348" t="s">
        <v>582</v>
      </c>
      <c r="B348">
        <v>65</v>
      </c>
      <c r="C348">
        <v>646.5</v>
      </c>
      <c r="D348">
        <v>634.5</v>
      </c>
      <c r="E348">
        <v>14.57748</v>
      </c>
      <c r="F348">
        <v>113</v>
      </c>
      <c r="G348">
        <v>0</v>
      </c>
      <c r="H348">
        <v>15</v>
      </c>
      <c r="I348">
        <f>D348-Pram!$G$2</f>
        <v>4.5</v>
      </c>
      <c r="J348">
        <f>I348/Pram!$H$2</f>
        <v>0.375</v>
      </c>
      <c r="K348">
        <f t="shared" si="12"/>
        <v>8.8495575221238937E-3</v>
      </c>
      <c r="L348">
        <f>IF(G348=0,1/(F348 - H348*Pram!$B$5 +Pram!$B$6)+Pram!$B$7,1/(F348+G348+Pram!$B$2))</f>
        <v>1.3807692307692307E-2</v>
      </c>
      <c r="M348">
        <f>(B348-J348-Pram!$I$2) * 2/120</f>
        <v>0.87708333333333333</v>
      </c>
      <c r="N348">
        <f>(1-L348-L348*Pram!$B$2)/L348</f>
        <v>85.223398328690806</v>
      </c>
      <c r="O348">
        <f>(M348-Pram!$B$17)/Pram!$B$16</f>
        <v>1.1894190166995564E-2</v>
      </c>
      <c r="P348">
        <f t="shared" si="13"/>
        <v>83.074660482126546</v>
      </c>
    </row>
    <row r="349" spans="1:16" hidden="1" x14ac:dyDescent="0.55000000000000004">
      <c r="A349" t="s">
        <v>583</v>
      </c>
      <c r="B349">
        <v>64</v>
      </c>
      <c r="C349">
        <v>633.5</v>
      </c>
      <c r="D349">
        <v>633</v>
      </c>
      <c r="E349">
        <v>10.688879999999999</v>
      </c>
      <c r="F349">
        <v>115</v>
      </c>
      <c r="G349">
        <v>0</v>
      </c>
      <c r="H349">
        <v>15</v>
      </c>
      <c r="I349">
        <f>D349-Pram!$G$2</f>
        <v>3</v>
      </c>
      <c r="J349">
        <f>I349/Pram!$H$2</f>
        <v>0.25</v>
      </c>
      <c r="K349">
        <f t="shared" si="12"/>
        <v>8.6956521739130436E-3</v>
      </c>
      <c r="L349">
        <f>IF(G349=0,1/(F349 - H349*Pram!$B$5 +Pram!$B$6)+Pram!$B$7,1/(F349+G349+Pram!$B$2))</f>
        <v>1.3512012012012012E-2</v>
      </c>
      <c r="M349">
        <f>(B349-J349-Pram!$I$2) * 2/120</f>
        <v>0.86250000000000004</v>
      </c>
      <c r="N349">
        <f>(1-L349-L349*Pram!$B$2)/L349</f>
        <v>86.808223135904001</v>
      </c>
      <c r="O349">
        <f>(M349-Pram!$B$17)/Pram!$B$16</f>
        <v>1.1662104526067859E-2</v>
      </c>
      <c r="P349">
        <f t="shared" si="13"/>
        <v>84.747816593886469</v>
      </c>
    </row>
    <row r="350" spans="1:16" hidden="1" x14ac:dyDescent="0.55000000000000004">
      <c r="A350" t="s">
        <v>584</v>
      </c>
      <c r="B350">
        <v>64</v>
      </c>
      <c r="C350">
        <v>631</v>
      </c>
      <c r="D350">
        <v>631.5</v>
      </c>
      <c r="E350">
        <v>14.08023</v>
      </c>
      <c r="F350">
        <v>115</v>
      </c>
      <c r="G350">
        <v>0</v>
      </c>
      <c r="H350">
        <v>15</v>
      </c>
      <c r="I350">
        <f>D350-Pram!$G$2</f>
        <v>1.5</v>
      </c>
      <c r="J350">
        <f>I350/Pram!$H$2</f>
        <v>0.125</v>
      </c>
      <c r="K350">
        <f t="shared" si="12"/>
        <v>8.6956521739130436E-3</v>
      </c>
      <c r="L350">
        <f>IF(G350=0,1/(F350 - H350*Pram!$B$5 +Pram!$B$6)+Pram!$B$7,1/(F350+G350+Pram!$B$2))</f>
        <v>1.3512012012012012E-2</v>
      </c>
      <c r="M350">
        <f>(B350-J350-Pram!$I$2) * 2/120</f>
        <v>0.86458333333333337</v>
      </c>
      <c r="N350">
        <f>(1-L350-L350*Pram!$B$2)/L350</f>
        <v>86.808223135904001</v>
      </c>
      <c r="O350">
        <f>(M350-Pram!$B$17)/Pram!$B$16</f>
        <v>1.169525961762896E-2</v>
      </c>
      <c r="P350">
        <f t="shared" si="13"/>
        <v>84.504728641734516</v>
      </c>
    </row>
    <row r="351" spans="1:16" hidden="1" x14ac:dyDescent="0.55000000000000004">
      <c r="A351" t="s">
        <v>585</v>
      </c>
      <c r="B351">
        <v>64</v>
      </c>
      <c r="C351">
        <v>641</v>
      </c>
      <c r="D351">
        <v>633</v>
      </c>
      <c r="E351">
        <v>15.0334</v>
      </c>
      <c r="F351">
        <v>114</v>
      </c>
      <c r="G351">
        <v>0</v>
      </c>
      <c r="H351">
        <v>15</v>
      </c>
      <c r="I351">
        <f>D351-Pram!$G$2</f>
        <v>3</v>
      </c>
      <c r="J351">
        <f>I351/Pram!$H$2</f>
        <v>0.25</v>
      </c>
      <c r="K351">
        <f t="shared" si="12"/>
        <v>8.771929824561403E-3</v>
      </c>
      <c r="L351">
        <f>IF(G351=0,1/(F351 - H351*Pram!$B$5 +Pram!$B$6)+Pram!$B$7,1/(F351+G351+Pram!$B$2))</f>
        <v>1.36580547112462E-2</v>
      </c>
      <c r="M351">
        <f>(B351-J351-Pram!$I$2) * 2/120</f>
        <v>0.86250000000000004</v>
      </c>
      <c r="N351">
        <f>(1-L351-L351*Pram!$B$2)/L351</f>
        <v>86.016868810504064</v>
      </c>
      <c r="O351">
        <f>(M351-Pram!$B$17)/Pram!$B$16</f>
        <v>1.1662104526067859E-2</v>
      </c>
      <c r="P351">
        <f t="shared" si="13"/>
        <v>84.747816593886469</v>
      </c>
    </row>
    <row r="352" spans="1:16" hidden="1" x14ac:dyDescent="0.55000000000000004">
      <c r="A352" t="s">
        <v>586</v>
      </c>
      <c r="B352">
        <v>63</v>
      </c>
      <c r="C352">
        <v>625</v>
      </c>
      <c r="D352">
        <v>632</v>
      </c>
      <c r="E352">
        <v>14.035769999999999</v>
      </c>
      <c r="F352">
        <v>116</v>
      </c>
      <c r="G352">
        <v>0</v>
      </c>
      <c r="H352">
        <v>15</v>
      </c>
      <c r="I352">
        <f>D352-Pram!$G$2</f>
        <v>2</v>
      </c>
      <c r="J352">
        <f>I352/Pram!$H$2</f>
        <v>0.16666666666666666</v>
      </c>
      <c r="K352">
        <f t="shared" si="12"/>
        <v>8.6206896551724137E-3</v>
      </c>
      <c r="L352">
        <f>IF(G352=0,1/(F352 - H352*Pram!$B$5 +Pram!$B$6)+Pram!$B$7,1/(F352+G352+Pram!$B$2))</f>
        <v>1.3369436201780415E-2</v>
      </c>
      <c r="M352">
        <f>(B352-J352-Pram!$I$2) * 2/120</f>
        <v>0.84722222222222221</v>
      </c>
      <c r="N352">
        <f>(1-L352-L352*Pram!$B$2)/L352</f>
        <v>87.597469759183213</v>
      </c>
      <c r="O352">
        <f>(M352-Pram!$B$17)/Pram!$B$16</f>
        <v>1.1418967187953119E-2</v>
      </c>
      <c r="P352">
        <f t="shared" si="13"/>
        <v>86.573594313764971</v>
      </c>
    </row>
    <row r="353" spans="1:16" hidden="1" x14ac:dyDescent="0.55000000000000004">
      <c r="A353" t="s">
        <v>587</v>
      </c>
      <c r="B353">
        <v>65</v>
      </c>
      <c r="C353">
        <v>627.5</v>
      </c>
      <c r="D353">
        <v>638</v>
      </c>
      <c r="E353">
        <v>14.53454</v>
      </c>
      <c r="F353">
        <v>116</v>
      </c>
      <c r="G353">
        <v>0</v>
      </c>
      <c r="H353">
        <v>15</v>
      </c>
      <c r="I353">
        <f>D353-Pram!$G$2</f>
        <v>8</v>
      </c>
      <c r="J353">
        <f>I353/Pram!$H$2</f>
        <v>0.66666666666666663</v>
      </c>
      <c r="K353">
        <f t="shared" si="12"/>
        <v>8.6206896551724137E-3</v>
      </c>
      <c r="L353">
        <f>IF(G353=0,1/(F353 - H353*Pram!$B$5 +Pram!$B$6)+Pram!$B$7,1/(F353+G353+Pram!$B$2))</f>
        <v>1.3369436201780415E-2</v>
      </c>
      <c r="M353">
        <f>(B353-J353-Pram!$I$2) * 2/120</f>
        <v>0.87222222222222212</v>
      </c>
      <c r="N353">
        <f>(1-L353-L353*Pram!$B$2)/L353</f>
        <v>87.597469759183213</v>
      </c>
      <c r="O353">
        <f>(M353-Pram!$B$17)/Pram!$B$16</f>
        <v>1.1816828286686327E-2</v>
      </c>
      <c r="P353">
        <f t="shared" si="13"/>
        <v>83.625076690559226</v>
      </c>
    </row>
    <row r="354" spans="1:16" hidden="1" x14ac:dyDescent="0.55000000000000004">
      <c r="A354" t="s">
        <v>588</v>
      </c>
      <c r="B354">
        <v>65</v>
      </c>
      <c r="C354">
        <v>660</v>
      </c>
      <c r="D354">
        <v>635.5</v>
      </c>
      <c r="E354">
        <v>3.3542000000000001</v>
      </c>
      <c r="F354">
        <v>115</v>
      </c>
      <c r="G354">
        <v>0</v>
      </c>
      <c r="H354">
        <v>15</v>
      </c>
      <c r="I354">
        <f>D354-Pram!$G$2</f>
        <v>5.5</v>
      </c>
      <c r="J354">
        <f>I354/Pram!$H$2</f>
        <v>0.45833333333333331</v>
      </c>
      <c r="K354">
        <f t="shared" si="12"/>
        <v>8.6956521739130436E-3</v>
      </c>
      <c r="L354">
        <f>IF(G354=0,1/(F354 - H354*Pram!$B$5 +Pram!$B$6)+Pram!$B$7,1/(F354+G354+Pram!$B$2))</f>
        <v>1.3512012012012012E-2</v>
      </c>
      <c r="M354">
        <f>(B354-J354-Pram!$I$2) * 2/120</f>
        <v>0.87569444444444455</v>
      </c>
      <c r="N354">
        <f>(1-L354-L354*Pram!$B$2)/L354</f>
        <v>86.808223135904001</v>
      </c>
      <c r="O354">
        <f>(M354-Pram!$B$17)/Pram!$B$16</f>
        <v>1.18720867726215E-2</v>
      </c>
      <c r="P354">
        <f t="shared" si="13"/>
        <v>83.231190282918377</v>
      </c>
    </row>
    <row r="355" spans="1:16" hidden="1" x14ac:dyDescent="0.55000000000000004">
      <c r="A355" t="s">
        <v>589</v>
      </c>
      <c r="B355">
        <v>64</v>
      </c>
      <c r="C355">
        <v>634</v>
      </c>
      <c r="D355">
        <v>636.5</v>
      </c>
      <c r="E355">
        <v>5.2202500000000001</v>
      </c>
      <c r="F355">
        <v>116</v>
      </c>
      <c r="G355">
        <v>0</v>
      </c>
      <c r="H355">
        <v>15</v>
      </c>
      <c r="I355">
        <f>D355-Pram!$G$2</f>
        <v>6.5</v>
      </c>
      <c r="J355">
        <f>I355/Pram!$H$2</f>
        <v>0.54166666666666663</v>
      </c>
      <c r="K355">
        <f t="shared" si="12"/>
        <v>8.6206896551724137E-3</v>
      </c>
      <c r="L355">
        <f>IF(G355=0,1/(F355 - H355*Pram!$B$5 +Pram!$B$6)+Pram!$B$7,1/(F355+G355+Pram!$B$2))</f>
        <v>1.3369436201780415E-2</v>
      </c>
      <c r="M355">
        <f>(B355-J355-Pram!$I$2) * 2/120</f>
        <v>0.85763888888888895</v>
      </c>
      <c r="N355">
        <f>(1-L355-L355*Pram!$B$2)/L355</f>
        <v>87.597469759183213</v>
      </c>
      <c r="O355">
        <f>(M355-Pram!$B$17)/Pram!$B$16</f>
        <v>1.1584742645758624E-2</v>
      </c>
      <c r="P355">
        <f t="shared" si="13"/>
        <v>85.320432881270563</v>
      </c>
    </row>
    <row r="356" spans="1:16" hidden="1" x14ac:dyDescent="0.55000000000000004">
      <c r="A356" t="s">
        <v>590</v>
      </c>
      <c r="B356">
        <v>63</v>
      </c>
      <c r="C356">
        <v>637.5</v>
      </c>
      <c r="D356">
        <v>633</v>
      </c>
      <c r="E356">
        <v>14.53454</v>
      </c>
      <c r="F356">
        <v>116</v>
      </c>
      <c r="G356">
        <v>0</v>
      </c>
      <c r="H356">
        <v>15</v>
      </c>
      <c r="I356">
        <f>D356-Pram!$G$2</f>
        <v>3</v>
      </c>
      <c r="J356">
        <f>I356/Pram!$H$2</f>
        <v>0.25</v>
      </c>
      <c r="K356">
        <f t="shared" si="12"/>
        <v>8.6206896551724137E-3</v>
      </c>
      <c r="L356">
        <f>IF(G356=0,1/(F356 - H356*Pram!$B$5 +Pram!$B$6)+Pram!$B$7,1/(F356+G356+Pram!$B$2))</f>
        <v>1.3369436201780415E-2</v>
      </c>
      <c r="M356">
        <f>(B356-J356-Pram!$I$2) * 2/120</f>
        <v>0.84583333333333333</v>
      </c>
      <c r="N356">
        <f>(1-L356-L356*Pram!$B$2)/L356</f>
        <v>87.597469759183213</v>
      </c>
      <c r="O356">
        <f>(M356-Pram!$B$17)/Pram!$B$16</f>
        <v>1.1396863793579052E-2</v>
      </c>
      <c r="P356">
        <f t="shared" si="13"/>
        <v>86.743436976354502</v>
      </c>
    </row>
    <row r="357" spans="1:16" hidden="1" x14ac:dyDescent="0.55000000000000004">
      <c r="A357" t="s">
        <v>591</v>
      </c>
      <c r="B357">
        <v>63</v>
      </c>
      <c r="C357">
        <v>637.5</v>
      </c>
      <c r="D357">
        <v>631</v>
      </c>
      <c r="E357">
        <v>14.53454</v>
      </c>
      <c r="F357">
        <v>116</v>
      </c>
      <c r="G357">
        <v>0</v>
      </c>
      <c r="H357">
        <v>15</v>
      </c>
      <c r="I357">
        <f>D357-Pram!$G$2</f>
        <v>1</v>
      </c>
      <c r="J357">
        <f>I357/Pram!$H$2</f>
        <v>8.3333333333333329E-2</v>
      </c>
      <c r="K357">
        <f t="shared" si="12"/>
        <v>8.6206896551724137E-3</v>
      </c>
      <c r="L357">
        <f>IF(G357=0,1/(F357 - H357*Pram!$B$5 +Pram!$B$6)+Pram!$B$7,1/(F357+G357+Pram!$B$2))</f>
        <v>1.3369436201780415E-2</v>
      </c>
      <c r="M357">
        <f>(B357-J357-Pram!$I$2) * 2/120</f>
        <v>0.84861111111111109</v>
      </c>
      <c r="N357">
        <f>(1-L357-L357*Pram!$B$2)/L357</f>
        <v>87.597469759183213</v>
      </c>
      <c r="O357">
        <f>(M357-Pram!$B$17)/Pram!$B$16</f>
        <v>1.1441070582327186E-2</v>
      </c>
      <c r="P357">
        <f t="shared" si="13"/>
        <v>86.404407900837683</v>
      </c>
    </row>
    <row r="358" spans="1:16" hidden="1" x14ac:dyDescent="0.55000000000000004">
      <c r="A358" t="s">
        <v>592</v>
      </c>
      <c r="B358">
        <v>64</v>
      </c>
      <c r="C358">
        <v>637</v>
      </c>
      <c r="D358">
        <v>634</v>
      </c>
      <c r="E358">
        <v>15.0334</v>
      </c>
      <c r="F358">
        <v>116</v>
      </c>
      <c r="G358">
        <v>0</v>
      </c>
      <c r="H358">
        <v>15</v>
      </c>
      <c r="I358">
        <f>D358-Pram!$G$2</f>
        <v>4</v>
      </c>
      <c r="J358">
        <f>I358/Pram!$H$2</f>
        <v>0.33333333333333331</v>
      </c>
      <c r="K358">
        <f t="shared" si="12"/>
        <v>8.6206896551724137E-3</v>
      </c>
      <c r="L358">
        <f>IF(G358=0,1/(F358 - H358*Pram!$B$5 +Pram!$B$6)+Pram!$B$7,1/(F358+G358+Pram!$B$2))</f>
        <v>1.3369436201780415E-2</v>
      </c>
      <c r="M358">
        <f>(B358-J358-Pram!$I$2) * 2/120</f>
        <v>0.86111111111111105</v>
      </c>
      <c r="N358">
        <f>(1-L358-L358*Pram!$B$2)/L358</f>
        <v>87.597469759183213</v>
      </c>
      <c r="O358">
        <f>(M358-Pram!$B$17)/Pram!$B$16</f>
        <v>1.164000113169379E-2</v>
      </c>
      <c r="P358">
        <f t="shared" si="13"/>
        <v>84.910644568338228</v>
      </c>
    </row>
    <row r="359" spans="1:16" hidden="1" x14ac:dyDescent="0.55000000000000004">
      <c r="A359" t="s">
        <v>593</v>
      </c>
      <c r="B359">
        <v>64</v>
      </c>
      <c r="C359">
        <v>633.5</v>
      </c>
      <c r="D359">
        <v>633</v>
      </c>
      <c r="E359">
        <v>10.688879999999999</v>
      </c>
      <c r="F359">
        <v>115</v>
      </c>
      <c r="G359">
        <v>0</v>
      </c>
      <c r="H359">
        <v>15</v>
      </c>
      <c r="I359">
        <f>D359-Pram!$G$2</f>
        <v>3</v>
      </c>
      <c r="J359">
        <f>I359/Pram!$H$2</f>
        <v>0.25</v>
      </c>
      <c r="K359">
        <f t="shared" si="12"/>
        <v>8.6956521739130436E-3</v>
      </c>
      <c r="L359">
        <f>IF(G359=0,1/(F359 - H359*Pram!$B$5 +Pram!$B$6)+Pram!$B$7,1/(F359+G359+Pram!$B$2))</f>
        <v>1.3512012012012012E-2</v>
      </c>
      <c r="M359">
        <f>(B359-J359-Pram!$I$2) * 2/120</f>
        <v>0.86250000000000004</v>
      </c>
      <c r="N359">
        <f>(1-L359-L359*Pram!$B$2)/L359</f>
        <v>86.808223135904001</v>
      </c>
      <c r="O359">
        <f>(M359-Pram!$B$17)/Pram!$B$16</f>
        <v>1.1662104526067859E-2</v>
      </c>
      <c r="P359">
        <f t="shared" si="13"/>
        <v>84.747816593886469</v>
      </c>
    </row>
    <row r="360" spans="1:16" x14ac:dyDescent="0.55000000000000004">
      <c r="A360" t="s">
        <v>594</v>
      </c>
      <c r="B360">
        <v>64</v>
      </c>
      <c r="C360">
        <v>634.5</v>
      </c>
      <c r="D360">
        <v>631</v>
      </c>
      <c r="E360">
        <v>14.53454</v>
      </c>
      <c r="F360">
        <v>113</v>
      </c>
      <c r="G360">
        <v>0</v>
      </c>
      <c r="H360">
        <v>15</v>
      </c>
      <c r="I360">
        <f>D360-Pram!$G$2</f>
        <v>1</v>
      </c>
      <c r="J360">
        <f>I360/Pram!$H$2</f>
        <v>8.3333333333333329E-2</v>
      </c>
      <c r="K360">
        <f t="shared" si="12"/>
        <v>8.8495575221238937E-3</v>
      </c>
      <c r="L360">
        <f>IF(G360=0,1/(F360 - H360*Pram!$B$5 +Pram!$B$6)+Pram!$B$7,1/(F360+G360+Pram!$B$2))</f>
        <v>1.3807692307692307E-2</v>
      </c>
      <c r="M360">
        <f>(B360-J360-Pram!$I$2) * 2/120</f>
        <v>0.8652777777777777</v>
      </c>
      <c r="N360">
        <f>(1-L360-L360*Pram!$B$2)/L360</f>
        <v>85.223398328690806</v>
      </c>
      <c r="O360">
        <f>(M360-Pram!$B$17)/Pram!$B$16</f>
        <v>1.1706311314815991E-2</v>
      </c>
      <c r="P360">
        <f t="shared" si="13"/>
        <v>84.424005317059923</v>
      </c>
    </row>
    <row r="361" spans="1:16" x14ac:dyDescent="0.55000000000000004">
      <c r="A361" t="s">
        <v>595</v>
      </c>
      <c r="B361">
        <v>66</v>
      </c>
      <c r="C361">
        <v>621.5</v>
      </c>
      <c r="D361">
        <v>636.5</v>
      </c>
      <c r="E361">
        <v>14.57748</v>
      </c>
      <c r="F361">
        <v>111</v>
      </c>
      <c r="G361">
        <v>0</v>
      </c>
      <c r="H361">
        <v>15</v>
      </c>
      <c r="I361">
        <f>D361-Pram!$G$2</f>
        <v>6.5</v>
      </c>
      <c r="J361">
        <f>I361/Pram!$H$2</f>
        <v>0.54166666666666663</v>
      </c>
      <c r="K361">
        <f t="shared" si="12"/>
        <v>9.0090090090090089E-3</v>
      </c>
      <c r="L361">
        <f>IF(G361=0,1/(F361 - H361*Pram!$B$5 +Pram!$B$6)+Pram!$B$7,1/(F361+G361+Pram!$B$2))</f>
        <v>1.4118296529968453E-2</v>
      </c>
      <c r="M361">
        <f>(B361-J361-Pram!$I$2) * 2/120</f>
        <v>0.89097222222222217</v>
      </c>
      <c r="N361">
        <f>(1-L361-L361*Pram!$B$2)/L361</f>
        <v>83.630074851971855</v>
      </c>
      <c r="O361">
        <f>(M361-Pram!$B$17)/Pram!$B$16</f>
        <v>1.2115224110736237E-2</v>
      </c>
      <c r="P361">
        <f t="shared" si="13"/>
        <v>81.540776040108298</v>
      </c>
    </row>
    <row r="362" spans="1:16" x14ac:dyDescent="0.55000000000000004">
      <c r="A362" t="s">
        <v>596</v>
      </c>
      <c r="B362">
        <v>67</v>
      </c>
      <c r="C362">
        <v>631.5</v>
      </c>
      <c r="D362">
        <v>638</v>
      </c>
      <c r="E362">
        <v>14.53454</v>
      </c>
      <c r="F362">
        <v>112</v>
      </c>
      <c r="G362">
        <v>0</v>
      </c>
      <c r="H362">
        <v>15</v>
      </c>
      <c r="I362">
        <f>D362-Pram!$G$2</f>
        <v>8</v>
      </c>
      <c r="J362">
        <f>I362/Pram!$H$2</f>
        <v>0.66666666666666663</v>
      </c>
      <c r="K362">
        <f t="shared" si="12"/>
        <v>8.9285714285714281E-3</v>
      </c>
      <c r="L362">
        <f>IF(G362=0,1/(F362 - H362*Pram!$B$5 +Pram!$B$6)+Pram!$B$7,1/(F362+G362+Pram!$B$2))</f>
        <v>1.3961059190031152E-2</v>
      </c>
      <c r="M362">
        <f>(B362-J362-Pram!$I$2) * 2/120</f>
        <v>0.90555555555555545</v>
      </c>
      <c r="N362">
        <f>(1-L362-L362*Pram!$B$2)/L362</f>
        <v>84.427803190895901</v>
      </c>
      <c r="O362">
        <f>(M362-Pram!$B$17)/Pram!$B$16</f>
        <v>1.2347309751663942E-2</v>
      </c>
      <c r="P362">
        <f t="shared" si="13"/>
        <v>79.989302132412973</v>
      </c>
    </row>
    <row r="363" spans="1:16" x14ac:dyDescent="0.55000000000000004">
      <c r="A363" t="s">
        <v>597</v>
      </c>
      <c r="B363">
        <v>65</v>
      </c>
      <c r="C363">
        <v>634.5</v>
      </c>
      <c r="D363">
        <v>632</v>
      </c>
      <c r="E363">
        <v>14.53454</v>
      </c>
      <c r="F363">
        <v>113</v>
      </c>
      <c r="G363">
        <v>0</v>
      </c>
      <c r="H363">
        <v>15</v>
      </c>
      <c r="I363">
        <f>D363-Pram!$G$2</f>
        <v>2</v>
      </c>
      <c r="J363">
        <f>I363/Pram!$H$2</f>
        <v>0.16666666666666666</v>
      </c>
      <c r="K363">
        <f t="shared" si="12"/>
        <v>8.8495575221238937E-3</v>
      </c>
      <c r="L363">
        <f>IF(G363=0,1/(F363 - H363*Pram!$B$5 +Pram!$B$6)+Pram!$B$7,1/(F363+G363+Pram!$B$2))</f>
        <v>1.3807692307692307E-2</v>
      </c>
      <c r="M363">
        <f>(B363-J363-Pram!$I$2) * 2/120</f>
        <v>0.88055555555555542</v>
      </c>
      <c r="N363">
        <f>(1-L363-L363*Pram!$B$2)/L363</f>
        <v>85.223398328690806</v>
      </c>
      <c r="O363">
        <f>(M363-Pram!$B$17)/Pram!$B$16</f>
        <v>1.1949448652930732E-2</v>
      </c>
      <c r="P363">
        <f t="shared" si="13"/>
        <v>82.685869452624431</v>
      </c>
    </row>
    <row r="364" spans="1:16" x14ac:dyDescent="0.55000000000000004">
      <c r="A364" t="s">
        <v>598</v>
      </c>
      <c r="B364">
        <v>66</v>
      </c>
      <c r="C364">
        <v>634.5</v>
      </c>
      <c r="D364">
        <v>634.5</v>
      </c>
      <c r="E364">
        <v>14.57748</v>
      </c>
      <c r="F364">
        <v>112</v>
      </c>
      <c r="G364">
        <v>0</v>
      </c>
      <c r="H364">
        <v>15</v>
      </c>
      <c r="I364">
        <f>D364-Pram!$G$2</f>
        <v>4.5</v>
      </c>
      <c r="J364">
        <f>I364/Pram!$H$2</f>
        <v>0.375</v>
      </c>
      <c r="K364">
        <f t="shared" si="12"/>
        <v>8.9285714285714281E-3</v>
      </c>
      <c r="L364">
        <f>IF(G364=0,1/(F364 - H364*Pram!$B$5 +Pram!$B$6)+Pram!$B$7,1/(F364+G364+Pram!$B$2))</f>
        <v>1.3961059190031152E-2</v>
      </c>
      <c r="M364">
        <f>(B364-J364-Pram!$I$2) * 2/120</f>
        <v>0.89375000000000004</v>
      </c>
      <c r="N364">
        <f>(1-L364-L364*Pram!$B$2)/L364</f>
        <v>84.427803190895901</v>
      </c>
      <c r="O364">
        <f>(M364-Pram!$B$17)/Pram!$B$16</f>
        <v>1.2159430899484373E-2</v>
      </c>
      <c r="P364">
        <f t="shared" si="13"/>
        <v>81.240691054250377</v>
      </c>
    </row>
    <row r="365" spans="1:16" x14ac:dyDescent="0.55000000000000004">
      <c r="A365" t="s">
        <v>599</v>
      </c>
      <c r="B365">
        <v>73</v>
      </c>
      <c r="C365">
        <v>635</v>
      </c>
      <c r="D365">
        <v>666</v>
      </c>
      <c r="E365">
        <v>16.031320000000001</v>
      </c>
      <c r="F365">
        <v>112</v>
      </c>
      <c r="G365">
        <v>0</v>
      </c>
      <c r="H365">
        <v>15</v>
      </c>
      <c r="I365">
        <f>D365-Pram!$G$2</f>
        <v>36</v>
      </c>
      <c r="J365">
        <f>I365/Pram!$H$2</f>
        <v>3</v>
      </c>
      <c r="K365">
        <f t="shared" si="12"/>
        <v>8.9285714285714281E-3</v>
      </c>
      <c r="L365">
        <f>IF(G365=0,1/(F365 - H365*Pram!$B$5 +Pram!$B$6)+Pram!$B$7,1/(F365+G365+Pram!$B$2))</f>
        <v>1.3961059190031152E-2</v>
      </c>
      <c r="M365">
        <f>(B365-J365-Pram!$I$2) * 2/120</f>
        <v>0.96666666666666667</v>
      </c>
      <c r="N365">
        <f>(1-L365-L365*Pram!$B$2)/L365</f>
        <v>84.427803190895901</v>
      </c>
      <c r="O365">
        <f>(M365-Pram!$B$17)/Pram!$B$16</f>
        <v>1.3319859104122901E-2</v>
      </c>
      <c r="P365">
        <f t="shared" si="13"/>
        <v>74.07586921024334</v>
      </c>
    </row>
    <row r="366" spans="1:16" x14ac:dyDescent="0.55000000000000004">
      <c r="A366" t="s">
        <v>600</v>
      </c>
      <c r="B366">
        <v>68</v>
      </c>
      <c r="C366">
        <v>634.5</v>
      </c>
      <c r="D366">
        <v>639</v>
      </c>
      <c r="E366">
        <v>14.53454</v>
      </c>
      <c r="F366">
        <v>110</v>
      </c>
      <c r="G366">
        <v>0</v>
      </c>
      <c r="H366">
        <v>15</v>
      </c>
      <c r="I366">
        <f>D366-Pram!$G$2</f>
        <v>9</v>
      </c>
      <c r="J366">
        <f>I366/Pram!$H$2</f>
        <v>0.75</v>
      </c>
      <c r="K366">
        <f t="shared" si="12"/>
        <v>9.0909090909090905E-3</v>
      </c>
      <c r="L366">
        <f>IF(G366=0,1/(F366 - H366*Pram!$B$5 +Pram!$B$6)+Pram!$B$7,1/(F366+G366+Pram!$B$2))</f>
        <v>1.4279552715654951E-2</v>
      </c>
      <c r="M366">
        <f>(B366-J366-Pram!$I$2) * 2/120</f>
        <v>0.92083333333333328</v>
      </c>
      <c r="N366">
        <f>(1-L366-L366*Pram!$B$2)/L366</f>
        <v>82.830204720886016</v>
      </c>
      <c r="O366">
        <f>(M366-Pram!$B$17)/Pram!$B$16</f>
        <v>1.2590447089778682E-2</v>
      </c>
      <c r="P366">
        <f t="shared" si="13"/>
        <v>78.42529704221792</v>
      </c>
    </row>
    <row r="367" spans="1:16" x14ac:dyDescent="0.55000000000000004">
      <c r="A367" t="s">
        <v>601</v>
      </c>
      <c r="B367">
        <v>66</v>
      </c>
      <c r="C367">
        <v>629</v>
      </c>
      <c r="D367">
        <v>632.5</v>
      </c>
      <c r="E367">
        <v>14.08023</v>
      </c>
      <c r="F367">
        <v>110</v>
      </c>
      <c r="G367">
        <v>0</v>
      </c>
      <c r="H367">
        <v>15</v>
      </c>
      <c r="I367">
        <f>D367-Pram!$G$2</f>
        <v>2.5</v>
      </c>
      <c r="J367">
        <f>I367/Pram!$H$2</f>
        <v>0.20833333333333334</v>
      </c>
      <c r="K367">
        <f t="shared" si="12"/>
        <v>9.0909090909090905E-3</v>
      </c>
      <c r="L367">
        <f>IF(G367=0,1/(F367 - H367*Pram!$B$5 +Pram!$B$6)+Pram!$B$7,1/(F367+G367+Pram!$B$2))</f>
        <v>1.4279552715654951E-2</v>
      </c>
      <c r="M367">
        <f>(B367-J367-Pram!$I$2) * 2/120</f>
        <v>0.89652777777777781</v>
      </c>
      <c r="N367">
        <f>(1-L367-L367*Pram!$B$2)/L367</f>
        <v>82.830204720886016</v>
      </c>
      <c r="O367">
        <f>(M367-Pram!$B$17)/Pram!$B$16</f>
        <v>1.2203637688232507E-2</v>
      </c>
      <c r="P367">
        <f t="shared" si="13"/>
        <v>80.942780140405276</v>
      </c>
    </row>
    <row r="368" spans="1:16" x14ac:dyDescent="0.55000000000000004">
      <c r="A368" t="s">
        <v>602</v>
      </c>
      <c r="B368">
        <v>67</v>
      </c>
      <c r="C368">
        <v>650.5</v>
      </c>
      <c r="D368">
        <v>636.5</v>
      </c>
      <c r="E368">
        <v>14.57748</v>
      </c>
      <c r="F368">
        <v>110</v>
      </c>
      <c r="G368">
        <v>0</v>
      </c>
      <c r="H368">
        <v>15</v>
      </c>
      <c r="I368">
        <f>D368-Pram!$G$2</f>
        <v>6.5</v>
      </c>
      <c r="J368">
        <f>I368/Pram!$H$2</f>
        <v>0.54166666666666663</v>
      </c>
      <c r="K368">
        <f t="shared" si="12"/>
        <v>9.0909090909090905E-3</v>
      </c>
      <c r="L368">
        <f>IF(G368=0,1/(F368 - H368*Pram!$B$5 +Pram!$B$6)+Pram!$B$7,1/(F368+G368+Pram!$B$2))</f>
        <v>1.4279552715654951E-2</v>
      </c>
      <c r="M368">
        <f>(B368-J368-Pram!$I$2) * 2/120</f>
        <v>0.90763888888888877</v>
      </c>
      <c r="N368">
        <f>(1-L368-L368*Pram!$B$2)/L368</f>
        <v>82.830204720886016</v>
      </c>
      <c r="O368">
        <f>(M368-Pram!$B$17)/Pram!$B$16</f>
        <v>1.2380464843225043E-2</v>
      </c>
      <c r="P368">
        <f t="shared" si="13"/>
        <v>79.772411429061137</v>
      </c>
    </row>
    <row r="369" spans="1:16" x14ac:dyDescent="0.55000000000000004">
      <c r="A369" t="s">
        <v>603</v>
      </c>
      <c r="B369">
        <v>67</v>
      </c>
      <c r="C369">
        <v>651.5</v>
      </c>
      <c r="D369">
        <v>636.5</v>
      </c>
      <c r="E369">
        <v>14.57748</v>
      </c>
      <c r="F369">
        <v>111</v>
      </c>
      <c r="G369">
        <v>0</v>
      </c>
      <c r="H369">
        <v>15</v>
      </c>
      <c r="I369">
        <f>D369-Pram!$G$2</f>
        <v>6.5</v>
      </c>
      <c r="J369">
        <f>I369/Pram!$H$2</f>
        <v>0.54166666666666663</v>
      </c>
      <c r="K369">
        <f t="shared" si="12"/>
        <v>9.0090090090090089E-3</v>
      </c>
      <c r="L369">
        <f>IF(G369=0,1/(F369 - H369*Pram!$B$5 +Pram!$B$6)+Pram!$B$7,1/(F369+G369+Pram!$B$2))</f>
        <v>1.4118296529968453E-2</v>
      </c>
      <c r="M369">
        <f>(B369-J369-Pram!$I$2) * 2/120</f>
        <v>0.90763888888888877</v>
      </c>
      <c r="N369">
        <f>(1-L369-L369*Pram!$B$2)/L369</f>
        <v>83.630074851971855</v>
      </c>
      <c r="O369">
        <f>(M369-Pram!$B$17)/Pram!$B$16</f>
        <v>1.2380464843225043E-2</v>
      </c>
      <c r="P369">
        <f t="shared" si="13"/>
        <v>79.772411429061137</v>
      </c>
    </row>
    <row r="370" spans="1:16" x14ac:dyDescent="0.55000000000000004">
      <c r="A370" t="s">
        <v>604</v>
      </c>
      <c r="B370">
        <v>67</v>
      </c>
      <c r="C370">
        <v>650</v>
      </c>
      <c r="D370">
        <v>636</v>
      </c>
      <c r="E370">
        <v>15.0334</v>
      </c>
      <c r="F370">
        <v>110</v>
      </c>
      <c r="G370">
        <v>0</v>
      </c>
      <c r="H370">
        <v>15</v>
      </c>
      <c r="I370">
        <f>D370-Pram!$G$2</f>
        <v>6</v>
      </c>
      <c r="J370">
        <f>I370/Pram!$H$2</f>
        <v>0.5</v>
      </c>
      <c r="K370">
        <f t="shared" si="12"/>
        <v>9.0909090909090905E-3</v>
      </c>
      <c r="L370">
        <f>IF(G370=0,1/(F370 - H370*Pram!$B$5 +Pram!$B$6)+Pram!$B$7,1/(F370+G370+Pram!$B$2))</f>
        <v>1.4279552715654951E-2</v>
      </c>
      <c r="M370">
        <f>(B370-J370-Pram!$I$2) * 2/120</f>
        <v>0.90833333333333333</v>
      </c>
      <c r="N370">
        <f>(1-L370-L370*Pram!$B$2)/L370</f>
        <v>82.830204720886016</v>
      </c>
      <c r="O370">
        <f>(M370-Pram!$B$17)/Pram!$B$16</f>
        <v>1.2391516540412078E-2</v>
      </c>
      <c r="P370">
        <f t="shared" si="13"/>
        <v>79.700372447450661</v>
      </c>
    </row>
    <row r="371" spans="1:16" x14ac:dyDescent="0.55000000000000004">
      <c r="A371" t="s">
        <v>605</v>
      </c>
      <c r="B371">
        <v>65</v>
      </c>
      <c r="C371">
        <v>623.5</v>
      </c>
      <c r="D371">
        <v>632</v>
      </c>
      <c r="E371">
        <v>8.7322199999999999</v>
      </c>
      <c r="F371">
        <v>111</v>
      </c>
      <c r="G371">
        <v>0</v>
      </c>
      <c r="H371">
        <v>15</v>
      </c>
      <c r="I371">
        <f>D371-Pram!$G$2</f>
        <v>2</v>
      </c>
      <c r="J371">
        <f>I371/Pram!$H$2</f>
        <v>0.16666666666666666</v>
      </c>
      <c r="K371">
        <f t="shared" si="12"/>
        <v>9.0090090090090089E-3</v>
      </c>
      <c r="L371">
        <f>IF(G371=0,1/(F371 - H371*Pram!$B$5 +Pram!$B$6)+Pram!$B$7,1/(F371+G371+Pram!$B$2))</f>
        <v>1.4118296529968453E-2</v>
      </c>
      <c r="M371">
        <f>(B371-J371-Pram!$I$2) * 2/120</f>
        <v>0.88055555555555542</v>
      </c>
      <c r="N371">
        <f>(1-L371-L371*Pram!$B$2)/L371</f>
        <v>83.630074851971855</v>
      </c>
      <c r="O371">
        <f>(M371-Pram!$B$17)/Pram!$B$16</f>
        <v>1.1949448652930732E-2</v>
      </c>
      <c r="P371">
        <f t="shared" si="13"/>
        <v>82.685869452624431</v>
      </c>
    </row>
    <row r="372" spans="1:16" x14ac:dyDescent="0.55000000000000004">
      <c r="A372" t="s">
        <v>606</v>
      </c>
      <c r="B372">
        <v>68</v>
      </c>
      <c r="C372">
        <v>637.5</v>
      </c>
      <c r="D372">
        <v>639.5</v>
      </c>
      <c r="E372">
        <v>14.57748</v>
      </c>
      <c r="F372">
        <v>110</v>
      </c>
      <c r="G372">
        <v>0</v>
      </c>
      <c r="H372">
        <v>15</v>
      </c>
      <c r="I372">
        <f>D372-Pram!$G$2</f>
        <v>9.5</v>
      </c>
      <c r="J372">
        <f>I372/Pram!$H$2</f>
        <v>0.79166666666666663</v>
      </c>
      <c r="K372">
        <f t="shared" si="12"/>
        <v>9.0909090909090905E-3</v>
      </c>
      <c r="L372">
        <f>IF(G372=0,1/(F372 - H372*Pram!$B$5 +Pram!$B$6)+Pram!$B$7,1/(F372+G372+Pram!$B$2))</f>
        <v>1.4279552715654951E-2</v>
      </c>
      <c r="M372">
        <f>(B372-J372-Pram!$I$2) * 2/120</f>
        <v>0.92013888888888884</v>
      </c>
      <c r="N372">
        <f>(1-L372-L372*Pram!$B$2)/L372</f>
        <v>82.830204720886016</v>
      </c>
      <c r="O372">
        <f>(M372-Pram!$B$17)/Pram!$B$16</f>
        <v>1.2579395392591649E-2</v>
      </c>
      <c r="P372">
        <f t="shared" si="13"/>
        <v>78.495076574898619</v>
      </c>
    </row>
    <row r="373" spans="1:16" x14ac:dyDescent="0.55000000000000004">
      <c r="A373" t="s">
        <v>607</v>
      </c>
      <c r="B373">
        <v>66</v>
      </c>
      <c r="C373">
        <v>649.5</v>
      </c>
      <c r="D373">
        <v>635.5</v>
      </c>
      <c r="E373">
        <v>14.57748</v>
      </c>
      <c r="F373">
        <v>111</v>
      </c>
      <c r="G373">
        <v>0</v>
      </c>
      <c r="H373">
        <v>15</v>
      </c>
      <c r="I373">
        <f>D373-Pram!$G$2</f>
        <v>5.5</v>
      </c>
      <c r="J373">
        <f>I373/Pram!$H$2</f>
        <v>0.45833333333333331</v>
      </c>
      <c r="K373">
        <f t="shared" si="12"/>
        <v>9.0090090090090089E-3</v>
      </c>
      <c r="L373">
        <f>IF(G373=0,1/(F373 - H373*Pram!$B$5 +Pram!$B$6)+Pram!$B$7,1/(F373+G373+Pram!$B$2))</f>
        <v>1.4118296529968453E-2</v>
      </c>
      <c r="M373">
        <f>(B373-J373-Pram!$I$2) * 2/120</f>
        <v>0.89236111111111116</v>
      </c>
      <c r="N373">
        <f>(1-L373-L373*Pram!$B$2)/L373</f>
        <v>83.630074851971855</v>
      </c>
      <c r="O373">
        <f>(M373-Pram!$B$17)/Pram!$B$16</f>
        <v>1.2137327505110306E-2</v>
      </c>
      <c r="P373">
        <f t="shared" si="13"/>
        <v>81.390460303469567</v>
      </c>
    </row>
    <row r="374" spans="1:16" hidden="1" x14ac:dyDescent="0.55000000000000004">
      <c r="A374" t="s">
        <v>608</v>
      </c>
      <c r="B374">
        <v>69</v>
      </c>
      <c r="C374">
        <v>633</v>
      </c>
      <c r="D374">
        <v>636</v>
      </c>
      <c r="E374">
        <v>15.0334</v>
      </c>
      <c r="F374">
        <v>106</v>
      </c>
      <c r="G374">
        <v>0</v>
      </c>
      <c r="H374">
        <v>15</v>
      </c>
      <c r="I374">
        <f>D374-Pram!$G$2</f>
        <v>6</v>
      </c>
      <c r="J374">
        <f>I374/Pram!$H$2</f>
        <v>0.5</v>
      </c>
      <c r="K374">
        <f t="shared" si="12"/>
        <v>9.433962264150943E-3</v>
      </c>
      <c r="L374">
        <f>IF(G374=0,1/(F374 - H374*Pram!$B$5 +Pram!$B$6)+Pram!$B$7,1/(F374+G374+Pram!$B$2))</f>
        <v>1.4968013468013467E-2</v>
      </c>
      <c r="M374">
        <f>(B374-J374-Pram!$I$2) * 2/120</f>
        <v>0.94166666666666665</v>
      </c>
      <c r="N374">
        <f>(1-L374-L374*Pram!$B$2)/L374</f>
        <v>79.60913283095266</v>
      </c>
      <c r="O374">
        <f>(M374-Pram!$B$17)/Pram!$B$16</f>
        <v>1.2921998005389691E-2</v>
      </c>
      <c r="P374">
        <f t="shared" si="13"/>
        <v>76.387413276407074</v>
      </c>
    </row>
    <row r="375" spans="1:16" hidden="1" x14ac:dyDescent="0.55000000000000004">
      <c r="A375" t="s">
        <v>609</v>
      </c>
      <c r="B375">
        <v>69</v>
      </c>
      <c r="C375">
        <v>644</v>
      </c>
      <c r="D375">
        <v>634</v>
      </c>
      <c r="E375">
        <v>6.0828600000000002</v>
      </c>
      <c r="F375">
        <v>106</v>
      </c>
      <c r="G375">
        <v>0</v>
      </c>
      <c r="H375">
        <v>15</v>
      </c>
      <c r="I375">
        <f>D375-Pram!$G$2</f>
        <v>4</v>
      </c>
      <c r="J375">
        <f>I375/Pram!$H$2</f>
        <v>0.33333333333333331</v>
      </c>
      <c r="K375">
        <f t="shared" si="12"/>
        <v>9.433962264150943E-3</v>
      </c>
      <c r="L375">
        <f>IF(G375=0,1/(F375 - H375*Pram!$B$5 +Pram!$B$6)+Pram!$B$7,1/(F375+G375+Pram!$B$2))</f>
        <v>1.4968013468013467E-2</v>
      </c>
      <c r="M375">
        <f>(B375-J375-Pram!$I$2) * 2/120</f>
        <v>0.94444444444444453</v>
      </c>
      <c r="N375">
        <f>(1-L375-L375*Pram!$B$2)/L375</f>
        <v>79.60913283095266</v>
      </c>
      <c r="O375">
        <f>(M375-Pram!$B$17)/Pram!$B$16</f>
        <v>1.2966204794137827E-2</v>
      </c>
      <c r="P375">
        <f t="shared" si="13"/>
        <v>76.123569762843147</v>
      </c>
    </row>
    <row r="376" spans="1:16" hidden="1" x14ac:dyDescent="0.55000000000000004">
      <c r="A376" t="s">
        <v>610</v>
      </c>
      <c r="B376">
        <v>67</v>
      </c>
      <c r="C376">
        <v>649.5</v>
      </c>
      <c r="D376">
        <v>632</v>
      </c>
      <c r="E376">
        <v>14.53454</v>
      </c>
      <c r="F376">
        <v>108</v>
      </c>
      <c r="G376">
        <v>0</v>
      </c>
      <c r="H376">
        <v>15</v>
      </c>
      <c r="I376">
        <f>D376-Pram!$G$2</f>
        <v>2</v>
      </c>
      <c r="J376">
        <f>I376/Pram!$H$2</f>
        <v>0.16666666666666666</v>
      </c>
      <c r="K376">
        <f t="shared" si="12"/>
        <v>9.2592592592592587E-3</v>
      </c>
      <c r="L376">
        <f>IF(G376=0,1/(F376 - H376*Pram!$B$5 +Pram!$B$6)+Pram!$B$7,1/(F376+G376+Pram!$B$2))</f>
        <v>1.4614754098360655E-2</v>
      </c>
      <c r="M376">
        <f>(B376-J376-Pram!$I$2) * 2/120</f>
        <v>0.91388888888888886</v>
      </c>
      <c r="N376">
        <f>(1-L376-L376*Pram!$B$2)/L376</f>
        <v>81.224004486819965</v>
      </c>
      <c r="O376">
        <f>(M376-Pram!$B$17)/Pram!$B$16</f>
        <v>1.2479930117908346E-2</v>
      </c>
      <c r="P376">
        <f t="shared" si="13"/>
        <v>79.128653810731535</v>
      </c>
    </row>
    <row r="377" spans="1:16" x14ac:dyDescent="0.55000000000000004">
      <c r="A377" t="s">
        <v>611</v>
      </c>
      <c r="B377">
        <v>66</v>
      </c>
      <c r="C377">
        <v>631.5</v>
      </c>
      <c r="D377">
        <v>631</v>
      </c>
      <c r="E377">
        <v>14.53454</v>
      </c>
      <c r="F377">
        <v>109</v>
      </c>
      <c r="G377">
        <v>0</v>
      </c>
      <c r="H377">
        <v>15</v>
      </c>
      <c r="I377">
        <f>D377-Pram!$G$2</f>
        <v>1</v>
      </c>
      <c r="J377">
        <f>I377/Pram!$H$2</f>
        <v>8.3333333333333329E-2</v>
      </c>
      <c r="K377">
        <f t="shared" si="12"/>
        <v>9.1743119266055051E-3</v>
      </c>
      <c r="L377">
        <f>IF(G377=0,1/(F377 - H377*Pram!$B$5 +Pram!$B$6)+Pram!$B$7,1/(F377+G377+Pram!$B$2))</f>
        <v>1.4444983818770227E-2</v>
      </c>
      <c r="M377">
        <f>(B377-J377-Pram!$I$2) * 2/120</f>
        <v>0.89861111111111114</v>
      </c>
      <c r="N377">
        <f>(1-L377-L377*Pram!$B$2)/L377</f>
        <v>82.028184160412223</v>
      </c>
      <c r="O377">
        <f>(M377-Pram!$B$17)/Pram!$B$16</f>
        <v>1.2236792779793608E-2</v>
      </c>
      <c r="P377">
        <f t="shared" si="13"/>
        <v>80.720759515620927</v>
      </c>
    </row>
    <row r="378" spans="1:16" hidden="1" x14ac:dyDescent="0.55000000000000004">
      <c r="A378" t="s">
        <v>612</v>
      </c>
      <c r="B378">
        <v>68</v>
      </c>
      <c r="C378">
        <v>641</v>
      </c>
      <c r="D378">
        <v>634</v>
      </c>
      <c r="E378">
        <v>15.0334</v>
      </c>
      <c r="F378">
        <v>106</v>
      </c>
      <c r="G378">
        <v>0</v>
      </c>
      <c r="H378">
        <v>15</v>
      </c>
      <c r="I378">
        <f>D378-Pram!$G$2</f>
        <v>4</v>
      </c>
      <c r="J378">
        <f>I378/Pram!$H$2</f>
        <v>0.33333333333333331</v>
      </c>
      <c r="K378">
        <f t="shared" si="12"/>
        <v>9.433962264150943E-3</v>
      </c>
      <c r="L378">
        <f>IF(G378=0,1/(F378 - H378*Pram!$B$5 +Pram!$B$6)+Pram!$B$7,1/(F378+G378+Pram!$B$2))</f>
        <v>1.4968013468013467E-2</v>
      </c>
      <c r="M378">
        <f>(B378-J378-Pram!$I$2) * 2/120</f>
        <v>0.92777777777777781</v>
      </c>
      <c r="N378">
        <f>(1-L378-L378*Pram!$B$2)/L378</f>
        <v>79.60913283095266</v>
      </c>
      <c r="O378">
        <f>(M378-Pram!$B$17)/Pram!$B$16</f>
        <v>1.270096406164902E-2</v>
      </c>
      <c r="P378">
        <f t="shared" si="13"/>
        <v>77.734180739833207</v>
      </c>
    </row>
    <row r="379" spans="1:16" hidden="1" x14ac:dyDescent="0.55000000000000004">
      <c r="A379" t="s">
        <v>613</v>
      </c>
      <c r="B379">
        <v>69</v>
      </c>
      <c r="C379">
        <v>637.5</v>
      </c>
      <c r="D379">
        <v>636</v>
      </c>
      <c r="E379">
        <v>14.53454</v>
      </c>
      <c r="F379">
        <v>106</v>
      </c>
      <c r="G379">
        <v>0</v>
      </c>
      <c r="H379">
        <v>15</v>
      </c>
      <c r="I379">
        <f>D379-Pram!$G$2</f>
        <v>6</v>
      </c>
      <c r="J379">
        <f>I379/Pram!$H$2</f>
        <v>0.5</v>
      </c>
      <c r="K379">
        <f t="shared" si="12"/>
        <v>9.433962264150943E-3</v>
      </c>
      <c r="L379">
        <f>IF(G379=0,1/(F379 - H379*Pram!$B$5 +Pram!$B$6)+Pram!$B$7,1/(F379+G379+Pram!$B$2))</f>
        <v>1.4968013468013467E-2</v>
      </c>
      <c r="M379">
        <f>(B379-J379-Pram!$I$2) * 2/120</f>
        <v>0.94166666666666665</v>
      </c>
      <c r="N379">
        <f>(1-L379-L379*Pram!$B$2)/L379</f>
        <v>79.60913283095266</v>
      </c>
      <c r="O379">
        <f>(M379-Pram!$B$17)/Pram!$B$16</f>
        <v>1.2921998005389691E-2</v>
      </c>
      <c r="P379">
        <f t="shared" si="13"/>
        <v>76.387413276407074</v>
      </c>
    </row>
    <row r="380" spans="1:16" hidden="1" x14ac:dyDescent="0.55000000000000004">
      <c r="A380" t="s">
        <v>614</v>
      </c>
      <c r="B380">
        <v>68</v>
      </c>
      <c r="C380">
        <v>646</v>
      </c>
      <c r="D380">
        <v>632</v>
      </c>
      <c r="E380">
        <v>14.035769999999999</v>
      </c>
      <c r="F380">
        <v>106</v>
      </c>
      <c r="G380">
        <v>0</v>
      </c>
      <c r="H380">
        <v>15</v>
      </c>
      <c r="I380">
        <f>D380-Pram!$G$2</f>
        <v>2</v>
      </c>
      <c r="J380">
        <f>I380/Pram!$H$2</f>
        <v>0.16666666666666666</v>
      </c>
      <c r="K380">
        <f t="shared" si="12"/>
        <v>9.433962264150943E-3</v>
      </c>
      <c r="L380">
        <f>IF(G380=0,1/(F380 - H380*Pram!$B$5 +Pram!$B$6)+Pram!$B$7,1/(F380+G380+Pram!$B$2))</f>
        <v>1.4968013468013467E-2</v>
      </c>
      <c r="M380">
        <f>(B380-J380-Pram!$I$2) * 2/120</f>
        <v>0.93055555555555547</v>
      </c>
      <c r="N380">
        <f>(1-L380-L380*Pram!$B$2)/L380</f>
        <v>79.60913283095266</v>
      </c>
      <c r="O380">
        <f>(M380-Pram!$B$17)/Pram!$B$16</f>
        <v>1.2745170850397152E-2</v>
      </c>
      <c r="P380">
        <f t="shared" si="13"/>
        <v>77.461090222956017</v>
      </c>
    </row>
    <row r="381" spans="1:16" hidden="1" x14ac:dyDescent="0.55000000000000004">
      <c r="A381" t="s">
        <v>615</v>
      </c>
      <c r="B381">
        <v>69</v>
      </c>
      <c r="C381">
        <v>637.5</v>
      </c>
      <c r="D381">
        <v>636</v>
      </c>
      <c r="E381">
        <v>14.53454</v>
      </c>
      <c r="F381">
        <v>106</v>
      </c>
      <c r="G381">
        <v>0</v>
      </c>
      <c r="H381">
        <v>15</v>
      </c>
      <c r="I381">
        <f>D381-Pram!$G$2</f>
        <v>6</v>
      </c>
      <c r="J381">
        <f>I381/Pram!$H$2</f>
        <v>0.5</v>
      </c>
      <c r="K381">
        <f t="shared" si="12"/>
        <v>9.433962264150943E-3</v>
      </c>
      <c r="L381">
        <f>IF(G381=0,1/(F381 - H381*Pram!$B$5 +Pram!$B$6)+Pram!$B$7,1/(F381+G381+Pram!$B$2))</f>
        <v>1.4968013468013467E-2</v>
      </c>
      <c r="M381">
        <f>(B381-J381-Pram!$I$2) * 2/120</f>
        <v>0.94166666666666665</v>
      </c>
      <c r="N381">
        <f>(1-L381-L381*Pram!$B$2)/L381</f>
        <v>79.60913283095266</v>
      </c>
      <c r="O381">
        <f>(M381-Pram!$B$17)/Pram!$B$16</f>
        <v>1.2921998005389691E-2</v>
      </c>
      <c r="P381">
        <f t="shared" si="13"/>
        <v>76.387413276407074</v>
      </c>
    </row>
    <row r="382" spans="1:16" hidden="1" x14ac:dyDescent="0.55000000000000004">
      <c r="A382" t="s">
        <v>616</v>
      </c>
      <c r="B382">
        <v>68</v>
      </c>
      <c r="C382">
        <v>649.5</v>
      </c>
      <c r="D382">
        <v>632.5</v>
      </c>
      <c r="E382">
        <v>2.9155799999999998</v>
      </c>
      <c r="F382">
        <v>106</v>
      </c>
      <c r="G382">
        <v>0</v>
      </c>
      <c r="H382">
        <v>15</v>
      </c>
      <c r="I382">
        <f>D382-Pram!$G$2</f>
        <v>2.5</v>
      </c>
      <c r="J382">
        <f>I382/Pram!$H$2</f>
        <v>0.20833333333333334</v>
      </c>
      <c r="K382">
        <f t="shared" si="12"/>
        <v>9.433962264150943E-3</v>
      </c>
      <c r="L382">
        <f>IF(G382=0,1/(F382 - H382*Pram!$B$5 +Pram!$B$6)+Pram!$B$7,1/(F382+G382+Pram!$B$2))</f>
        <v>1.4968013468013467E-2</v>
      </c>
      <c r="M382">
        <f>(B382-J382-Pram!$I$2) * 2/120</f>
        <v>0.92986111111111114</v>
      </c>
      <c r="N382">
        <f>(1-L382-L382*Pram!$B$2)/L382</f>
        <v>79.60913283095266</v>
      </c>
      <c r="O382">
        <f>(M382-Pram!$B$17)/Pram!$B$16</f>
        <v>1.273411915321012E-2</v>
      </c>
      <c r="P382">
        <f t="shared" si="13"/>
        <v>77.529185094668435</v>
      </c>
    </row>
    <row r="383" spans="1:16" x14ac:dyDescent="0.55000000000000004">
      <c r="A383" t="s">
        <v>617</v>
      </c>
      <c r="B383">
        <v>67</v>
      </c>
      <c r="C383">
        <v>650.5</v>
      </c>
      <c r="D383">
        <v>635</v>
      </c>
      <c r="E383">
        <v>14.53454</v>
      </c>
      <c r="F383">
        <v>109</v>
      </c>
      <c r="G383">
        <v>0</v>
      </c>
      <c r="H383">
        <v>15</v>
      </c>
      <c r="I383">
        <f>D383-Pram!$G$2</f>
        <v>5</v>
      </c>
      <c r="J383">
        <f>I383/Pram!$H$2</f>
        <v>0.41666666666666669</v>
      </c>
      <c r="K383">
        <f t="shared" si="12"/>
        <v>9.1743119266055051E-3</v>
      </c>
      <c r="L383">
        <f>IF(G383=0,1/(F383 - H383*Pram!$B$5 +Pram!$B$6)+Pram!$B$7,1/(F383+G383+Pram!$B$2))</f>
        <v>1.4444983818770227E-2</v>
      </c>
      <c r="M383">
        <f>(B383-J383-Pram!$I$2) * 2/120</f>
        <v>0.9097222222222221</v>
      </c>
      <c r="N383">
        <f>(1-L383-L383*Pram!$B$2)/L383</f>
        <v>82.028184160412223</v>
      </c>
      <c r="O383">
        <f>(M383-Pram!$B$17)/Pram!$B$16</f>
        <v>1.2413619934786143E-2</v>
      </c>
      <c r="P383">
        <f t="shared" si="13"/>
        <v>79.556679296886145</v>
      </c>
    </row>
    <row r="384" spans="1:16" hidden="1" x14ac:dyDescent="0.55000000000000004">
      <c r="A384" t="s">
        <v>618</v>
      </c>
      <c r="B384">
        <v>70</v>
      </c>
      <c r="C384">
        <v>635</v>
      </c>
      <c r="D384">
        <v>635</v>
      </c>
      <c r="E384">
        <v>15.0334</v>
      </c>
      <c r="F384">
        <v>104</v>
      </c>
      <c r="G384">
        <v>0</v>
      </c>
      <c r="H384">
        <v>15</v>
      </c>
      <c r="I384">
        <f>D384-Pram!$G$2</f>
        <v>5</v>
      </c>
      <c r="J384">
        <f>I384/Pram!$H$2</f>
        <v>0.41666666666666669</v>
      </c>
      <c r="K384">
        <f t="shared" si="12"/>
        <v>9.6153846153846159E-3</v>
      </c>
      <c r="L384">
        <f>IF(G384=0,1/(F384 - H384*Pram!$B$5 +Pram!$B$6)+Pram!$B$7,1/(F384+G384+Pram!$B$2))</f>
        <v>1.534083044982699E-2</v>
      </c>
      <c r="M384">
        <f>(B384-J384-Pram!$I$2) * 2/120</f>
        <v>0.95972222222222214</v>
      </c>
      <c r="N384">
        <f>(1-L384-L384*Pram!$B$2)/L384</f>
        <v>77.985519341378136</v>
      </c>
      <c r="O384">
        <f>(M384-Pram!$B$17)/Pram!$B$16</f>
        <v>1.3209342132252564E-2</v>
      </c>
      <c r="P384">
        <f t="shared" si="13"/>
        <v>74.703997215603337</v>
      </c>
    </row>
    <row r="385" spans="1:16" hidden="1" x14ac:dyDescent="0.55000000000000004">
      <c r="A385" t="s">
        <v>619</v>
      </c>
      <c r="B385">
        <v>71</v>
      </c>
      <c r="C385">
        <v>662.5</v>
      </c>
      <c r="D385">
        <v>634.5</v>
      </c>
      <c r="E385">
        <v>3.8079900000000002</v>
      </c>
      <c r="F385">
        <v>102</v>
      </c>
      <c r="G385">
        <v>0</v>
      </c>
      <c r="H385">
        <v>15</v>
      </c>
      <c r="I385">
        <f>D385-Pram!$G$2</f>
        <v>4.5</v>
      </c>
      <c r="J385">
        <f>I385/Pram!$H$2</f>
        <v>0.375</v>
      </c>
      <c r="K385">
        <f t="shared" si="12"/>
        <v>9.8039215686274508E-3</v>
      </c>
      <c r="L385">
        <f>IF(G385=0,1/(F385 - H385*Pram!$B$5 +Pram!$B$6)+Pram!$B$7,1/(F385+G385+Pram!$B$2))</f>
        <v>1.5734875444839858E-2</v>
      </c>
      <c r="M385">
        <f>(B385-J385-Pram!$I$2) * 2/120</f>
        <v>0.9770833333333333</v>
      </c>
      <c r="N385">
        <f>(1-L385-L385*Pram!$B$2)/L385</f>
        <v>76.353092841795771</v>
      </c>
      <c r="O385">
        <f>(M385-Pram!$B$17)/Pram!$B$16</f>
        <v>1.3485634561928405E-2</v>
      </c>
      <c r="P385">
        <f t="shared" si="13"/>
        <v>73.152980744645291</v>
      </c>
    </row>
    <row r="386" spans="1:16" hidden="1" x14ac:dyDescent="0.55000000000000004">
      <c r="A386" t="s">
        <v>620</v>
      </c>
      <c r="B386">
        <v>69</v>
      </c>
      <c r="C386">
        <v>624</v>
      </c>
      <c r="D386">
        <v>631</v>
      </c>
      <c r="E386">
        <v>14.035769999999999</v>
      </c>
      <c r="F386">
        <v>103</v>
      </c>
      <c r="G386">
        <v>0</v>
      </c>
      <c r="H386">
        <v>15</v>
      </c>
      <c r="I386">
        <f>D386-Pram!$G$2</f>
        <v>1</v>
      </c>
      <c r="J386">
        <f>I386/Pram!$H$2</f>
        <v>8.3333333333333329E-2</v>
      </c>
      <c r="K386">
        <f t="shared" si="12"/>
        <v>9.7087378640776691E-3</v>
      </c>
      <c r="L386">
        <f>IF(G386=0,1/(F386 - H386*Pram!$B$5 +Pram!$B$6)+Pram!$B$7,1/(F386+G386+Pram!$B$2))</f>
        <v>1.5535087719298245E-2</v>
      </c>
      <c r="M386">
        <f>(B386-J386-Pram!$I$2) * 2/120</f>
        <v>0.94861111111111118</v>
      </c>
      <c r="N386">
        <f>(1-L386-L386*Pram!$B$2)/L386</f>
        <v>77.170412196499157</v>
      </c>
      <c r="O386">
        <f>(M386-Pram!$B$17)/Pram!$B$16</f>
        <v>1.3032514977260028E-2</v>
      </c>
      <c r="P386">
        <f t="shared" si="13"/>
        <v>75.731160619793215</v>
      </c>
    </row>
    <row r="387" spans="1:16" hidden="1" x14ac:dyDescent="0.55000000000000004">
      <c r="A387" t="s">
        <v>621</v>
      </c>
      <c r="B387">
        <v>71</v>
      </c>
      <c r="C387">
        <v>642.5</v>
      </c>
      <c r="D387">
        <v>631</v>
      </c>
      <c r="E387">
        <v>14.53454</v>
      </c>
      <c r="F387">
        <v>101</v>
      </c>
      <c r="G387">
        <v>0</v>
      </c>
      <c r="H387">
        <v>15</v>
      </c>
      <c r="I387">
        <f>D387-Pram!$G$2</f>
        <v>1</v>
      </c>
      <c r="J387">
        <f>I387/Pram!$H$2</f>
        <v>8.3333333333333329E-2</v>
      </c>
      <c r="K387">
        <f t="shared" si="12"/>
        <v>9.9009900990099011E-3</v>
      </c>
      <c r="L387">
        <f>IF(G387=0,1/(F387 - H387*Pram!$B$5 +Pram!$B$6)+Pram!$B$7,1/(F387+G387+Pram!$B$2))</f>
        <v>1.5940433212996392E-2</v>
      </c>
      <c r="M387">
        <f>(B387-J387-Pram!$I$2) * 2/120</f>
        <v>0.98194444444444451</v>
      </c>
      <c r="N387">
        <f>(1-L387-L387*Pram!$B$2)/L387</f>
        <v>75.533552259087301</v>
      </c>
      <c r="O387">
        <f>(M387-Pram!$B$17)/Pram!$B$16</f>
        <v>1.3562996442237643E-2</v>
      </c>
      <c r="P387">
        <f t="shared" si="13"/>
        <v>72.730020077703301</v>
      </c>
    </row>
    <row r="388" spans="1:16" hidden="1" x14ac:dyDescent="0.55000000000000004">
      <c r="A388" t="s">
        <v>622</v>
      </c>
      <c r="B388">
        <v>71</v>
      </c>
      <c r="C388">
        <v>647.5</v>
      </c>
      <c r="D388">
        <v>635</v>
      </c>
      <c r="E388">
        <v>14.53454</v>
      </c>
      <c r="F388">
        <v>102</v>
      </c>
      <c r="G388">
        <v>0</v>
      </c>
      <c r="H388">
        <v>15</v>
      </c>
      <c r="I388">
        <f>D388-Pram!$G$2</f>
        <v>5</v>
      </c>
      <c r="J388">
        <f>I388/Pram!$H$2</f>
        <v>0.41666666666666669</v>
      </c>
      <c r="K388">
        <f t="shared" si="12"/>
        <v>9.8039215686274508E-3</v>
      </c>
      <c r="L388">
        <f>IF(G388=0,1/(F388 - H388*Pram!$B$5 +Pram!$B$6)+Pram!$B$7,1/(F388+G388+Pram!$B$2))</f>
        <v>1.5734875444839858E-2</v>
      </c>
      <c r="M388">
        <f>(B388-J388-Pram!$I$2) * 2/120</f>
        <v>0.97638888888888886</v>
      </c>
      <c r="N388">
        <f>(1-L388-L388*Pram!$B$2)/L388</f>
        <v>76.353092841795771</v>
      </c>
      <c r="O388">
        <f>(M388-Pram!$B$17)/Pram!$B$16</f>
        <v>1.3474582864741371E-2</v>
      </c>
      <c r="P388">
        <f t="shared" si="13"/>
        <v>73.213800162725391</v>
      </c>
    </row>
    <row r="389" spans="1:16" hidden="1" x14ac:dyDescent="0.55000000000000004">
      <c r="A389" t="s">
        <v>623</v>
      </c>
      <c r="B389">
        <v>72</v>
      </c>
      <c r="C389">
        <v>639</v>
      </c>
      <c r="D389">
        <v>636</v>
      </c>
      <c r="E389">
        <v>15.0334</v>
      </c>
      <c r="F389">
        <v>102</v>
      </c>
      <c r="G389">
        <v>0</v>
      </c>
      <c r="H389">
        <v>15</v>
      </c>
      <c r="I389">
        <f>D389-Pram!$G$2</f>
        <v>6</v>
      </c>
      <c r="J389">
        <f>I389/Pram!$H$2</f>
        <v>0.5</v>
      </c>
      <c r="K389">
        <f t="shared" si="12"/>
        <v>9.8039215686274508E-3</v>
      </c>
      <c r="L389">
        <f>IF(G389=0,1/(F389 - H389*Pram!$B$5 +Pram!$B$6)+Pram!$B$7,1/(F389+G389+Pram!$B$2))</f>
        <v>1.5734875444839858E-2</v>
      </c>
      <c r="M389">
        <f>(B389-J389-Pram!$I$2) * 2/120</f>
        <v>0.9916666666666667</v>
      </c>
      <c r="N389">
        <f>(1-L389-L389*Pram!$B$2)/L389</f>
        <v>76.353092841795771</v>
      </c>
      <c r="O389">
        <f>(M389-Pram!$B$17)/Pram!$B$16</f>
        <v>1.3717720202856113E-2</v>
      </c>
      <c r="P389">
        <f t="shared" si="13"/>
        <v>71.898410611392549</v>
      </c>
    </row>
    <row r="390" spans="1:16" hidden="1" x14ac:dyDescent="0.55000000000000004">
      <c r="A390" t="s">
        <v>624</v>
      </c>
      <c r="B390">
        <v>73</v>
      </c>
      <c r="C390">
        <v>638.5</v>
      </c>
      <c r="D390">
        <v>635</v>
      </c>
      <c r="E390">
        <v>14.53454</v>
      </c>
      <c r="F390">
        <v>99</v>
      </c>
      <c r="G390">
        <v>0</v>
      </c>
      <c r="H390">
        <v>15</v>
      </c>
      <c r="I390">
        <f>D390-Pram!$G$2</f>
        <v>5</v>
      </c>
      <c r="J390">
        <f>I390/Pram!$H$2</f>
        <v>0.41666666666666669</v>
      </c>
      <c r="K390">
        <f t="shared" si="12"/>
        <v>1.0101010101010102E-2</v>
      </c>
      <c r="L390">
        <f>IF(G390=0,1/(F390 - H390*Pram!$B$5 +Pram!$B$6)+Pram!$B$7,1/(F390+G390+Pram!$B$2))</f>
        <v>1.6369888475836432E-2</v>
      </c>
      <c r="M390">
        <f>(B390-J390-Pram!$I$2) * 2/120</f>
        <v>1.0097222222222222</v>
      </c>
      <c r="N390">
        <f>(1-L390-L390*Pram!$B$2)/L390</f>
        <v>73.88777109117747</v>
      </c>
      <c r="O390">
        <f>(M390-Pram!$B$17)/Pram!$B$16</f>
        <v>1.4005064329718986E-2</v>
      </c>
      <c r="P390">
        <f t="shared" si="13"/>
        <v>70.402742354991048</v>
      </c>
    </row>
    <row r="391" spans="1:16" hidden="1" x14ac:dyDescent="0.55000000000000004">
      <c r="A391" t="s">
        <v>625</v>
      </c>
      <c r="B391">
        <v>72</v>
      </c>
      <c r="C391">
        <v>655.5</v>
      </c>
      <c r="D391">
        <v>631</v>
      </c>
      <c r="E391">
        <v>5.8524500000000002</v>
      </c>
      <c r="F391">
        <v>99</v>
      </c>
      <c r="G391">
        <v>0</v>
      </c>
      <c r="H391">
        <v>15</v>
      </c>
      <c r="I391">
        <f>D391-Pram!$G$2</f>
        <v>1</v>
      </c>
      <c r="J391">
        <f>I391/Pram!$H$2</f>
        <v>8.3333333333333329E-2</v>
      </c>
      <c r="K391">
        <f t="shared" si="12"/>
        <v>1.0101010101010102E-2</v>
      </c>
      <c r="L391">
        <f>IF(G391=0,1/(F391 - H391*Pram!$B$5 +Pram!$B$6)+Pram!$B$7,1/(F391+G391+Pram!$B$2))</f>
        <v>1.6369888475836432E-2</v>
      </c>
      <c r="M391">
        <f>(B391-J391-Pram!$I$2) * 2/120</f>
        <v>0.99861111111111123</v>
      </c>
      <c r="N391">
        <f>(1-L391-L391*Pram!$B$2)/L391</f>
        <v>73.88777109117747</v>
      </c>
      <c r="O391">
        <f>(M391-Pram!$B$17)/Pram!$B$16</f>
        <v>1.382823717472645E-2</v>
      </c>
      <c r="P391">
        <f t="shared" si="13"/>
        <v>71.315797549934771</v>
      </c>
    </row>
    <row r="392" spans="1:16" hidden="1" x14ac:dyDescent="0.55000000000000004">
      <c r="A392" t="s">
        <v>626</v>
      </c>
      <c r="B392">
        <v>73</v>
      </c>
      <c r="C392">
        <v>626.5</v>
      </c>
      <c r="D392">
        <v>632</v>
      </c>
      <c r="E392">
        <v>14.53454</v>
      </c>
      <c r="F392">
        <v>97</v>
      </c>
      <c r="G392">
        <v>0</v>
      </c>
      <c r="H392">
        <v>15</v>
      </c>
      <c r="I392">
        <f>D392-Pram!$G$2</f>
        <v>2</v>
      </c>
      <c r="J392">
        <f>I392/Pram!$H$2</f>
        <v>0.16666666666666666</v>
      </c>
      <c r="K392">
        <f t="shared" si="12"/>
        <v>1.0309278350515464E-2</v>
      </c>
      <c r="L392">
        <f>IF(G392=0,1/(F392 - H392*Pram!$B$5 +Pram!$B$6)+Pram!$B$7,1/(F392+G392+Pram!$B$2))</f>
        <v>1.682567049808429E-2</v>
      </c>
      <c r="M392">
        <f>(B392-J392-Pram!$I$2) * 2/120</f>
        <v>1.0138888888888888</v>
      </c>
      <c r="N392">
        <f>(1-L392-L392*Pram!$B$2)/L392</f>
        <v>72.232995559603793</v>
      </c>
      <c r="O392">
        <f>(M392-Pram!$B$17)/Pram!$B$16</f>
        <v>1.4071374512841187E-2</v>
      </c>
      <c r="P392">
        <f t="shared" si="13"/>
        <v>70.06626286489815</v>
      </c>
    </row>
    <row r="393" spans="1:16" hidden="1" x14ac:dyDescent="0.55000000000000004">
      <c r="A393" t="s">
        <v>627</v>
      </c>
      <c r="B393">
        <v>75</v>
      </c>
      <c r="C393">
        <v>640</v>
      </c>
      <c r="D393">
        <v>636</v>
      </c>
      <c r="E393">
        <v>15.0334</v>
      </c>
      <c r="F393">
        <v>97</v>
      </c>
      <c r="G393">
        <v>0</v>
      </c>
      <c r="H393">
        <v>15</v>
      </c>
      <c r="I393">
        <f>D393-Pram!$G$2</f>
        <v>6</v>
      </c>
      <c r="J393">
        <f>I393/Pram!$H$2</f>
        <v>0.5</v>
      </c>
      <c r="K393">
        <f t="shared" si="12"/>
        <v>1.0309278350515464E-2</v>
      </c>
      <c r="L393">
        <f>IF(G393=0,1/(F393 - H393*Pram!$B$5 +Pram!$B$6)+Pram!$B$7,1/(F393+G393+Pram!$B$2))</f>
        <v>1.682567049808429E-2</v>
      </c>
      <c r="M393">
        <f>(B393-J393-Pram!$I$2) * 2/120</f>
        <v>1.0416666666666667</v>
      </c>
      <c r="N393">
        <f>(1-L393-L393*Pram!$B$2)/L393</f>
        <v>72.232995559603793</v>
      </c>
      <c r="O393">
        <f>(M393-Pram!$B$17)/Pram!$B$16</f>
        <v>1.4513442400322533E-2</v>
      </c>
      <c r="P393">
        <f t="shared" si="13"/>
        <v>67.901641141854597</v>
      </c>
    </row>
    <row r="394" spans="1:16" hidden="1" x14ac:dyDescent="0.55000000000000004">
      <c r="A394" t="s">
        <v>628</v>
      </c>
      <c r="B394">
        <v>73</v>
      </c>
      <c r="C394">
        <v>636.5</v>
      </c>
      <c r="D394">
        <v>635</v>
      </c>
      <c r="E394">
        <v>14.53454</v>
      </c>
      <c r="F394">
        <v>98</v>
      </c>
      <c r="G394">
        <v>0</v>
      </c>
      <c r="H394">
        <v>15</v>
      </c>
      <c r="I394">
        <f>D394-Pram!$G$2</f>
        <v>5</v>
      </c>
      <c r="J394">
        <f>I394/Pram!$H$2</f>
        <v>0.41666666666666669</v>
      </c>
      <c r="K394">
        <f t="shared" si="12"/>
        <v>1.020408163265306E-2</v>
      </c>
      <c r="L394">
        <f>IF(G394=0,1/(F394 - H394*Pram!$B$5 +Pram!$B$6)+Pram!$B$7,1/(F394+G394+Pram!$B$2))</f>
        <v>1.6594339622641511E-2</v>
      </c>
      <c r="M394">
        <f>(B394-J394-Pram!$I$2) * 2/120</f>
        <v>1.0097222222222222</v>
      </c>
      <c r="N394">
        <f>(1-L394-L394*Pram!$B$2)/L394</f>
        <v>73.061512222853878</v>
      </c>
      <c r="O394">
        <f>(M394-Pram!$B$17)/Pram!$B$16</f>
        <v>1.4005064329718986E-2</v>
      </c>
      <c r="P394">
        <f t="shared" si="13"/>
        <v>70.402742354991048</v>
      </c>
    </row>
    <row r="395" spans="1:16" hidden="1" x14ac:dyDescent="0.55000000000000004">
      <c r="A395" t="s">
        <v>629</v>
      </c>
      <c r="B395">
        <v>73</v>
      </c>
      <c r="C395">
        <v>640</v>
      </c>
      <c r="D395">
        <v>631.5</v>
      </c>
      <c r="E395">
        <v>14.08023</v>
      </c>
      <c r="F395">
        <v>98</v>
      </c>
      <c r="G395">
        <v>0</v>
      </c>
      <c r="H395">
        <v>15</v>
      </c>
      <c r="I395">
        <f>D395-Pram!$G$2</f>
        <v>1.5</v>
      </c>
      <c r="J395">
        <f>I395/Pram!$H$2</f>
        <v>0.125</v>
      </c>
      <c r="K395">
        <f t="shared" si="12"/>
        <v>1.020408163265306E-2</v>
      </c>
      <c r="L395">
        <f>IF(G395=0,1/(F395 - H395*Pram!$B$5 +Pram!$B$6)+Pram!$B$7,1/(F395+G395+Pram!$B$2))</f>
        <v>1.6594339622641511E-2</v>
      </c>
      <c r="M395">
        <f>(B395-J395-Pram!$I$2) * 2/120</f>
        <v>1.0145833333333334</v>
      </c>
      <c r="N395">
        <f>(1-L395-L395*Pram!$B$2)/L395</f>
        <v>73.061512222853878</v>
      </c>
      <c r="O395">
        <f>(M395-Pram!$B$17)/Pram!$B$16</f>
        <v>1.4082426210028223E-2</v>
      </c>
      <c r="P395">
        <f t="shared" si="13"/>
        <v>70.010491025182219</v>
      </c>
    </row>
    <row r="396" spans="1:16" hidden="1" x14ac:dyDescent="0.55000000000000004">
      <c r="A396" t="s">
        <v>630</v>
      </c>
      <c r="B396">
        <v>73</v>
      </c>
      <c r="C396">
        <v>635</v>
      </c>
      <c r="D396">
        <v>633.5</v>
      </c>
      <c r="E396">
        <v>11.101900000000001</v>
      </c>
      <c r="F396">
        <v>98</v>
      </c>
      <c r="G396">
        <v>0</v>
      </c>
      <c r="H396">
        <v>15</v>
      </c>
      <c r="I396">
        <f>D396-Pram!$G$2</f>
        <v>3.5</v>
      </c>
      <c r="J396">
        <f>I396/Pram!$H$2</f>
        <v>0.29166666666666669</v>
      </c>
      <c r="K396">
        <f t="shared" si="12"/>
        <v>1.020408163265306E-2</v>
      </c>
      <c r="L396">
        <f>IF(G396=0,1/(F396 - H396*Pram!$B$5 +Pram!$B$6)+Pram!$B$7,1/(F396+G396+Pram!$B$2))</f>
        <v>1.6594339622641511E-2</v>
      </c>
      <c r="M396">
        <f>(B396-J396-Pram!$I$2) * 2/120</f>
        <v>1.0118055555555554</v>
      </c>
      <c r="N396">
        <f>(1-L396-L396*Pram!$B$2)/L396</f>
        <v>73.061512222853878</v>
      </c>
      <c r="O396">
        <f>(M396-Pram!$B$17)/Pram!$B$16</f>
        <v>1.4038219421280085E-2</v>
      </c>
      <c r="P396">
        <f t="shared" si="13"/>
        <v>70.234105265809731</v>
      </c>
    </row>
    <row r="397" spans="1:16" hidden="1" x14ac:dyDescent="0.55000000000000004">
      <c r="A397" t="s">
        <v>631</v>
      </c>
      <c r="B397">
        <v>73</v>
      </c>
      <c r="C397">
        <v>653</v>
      </c>
      <c r="D397">
        <v>634</v>
      </c>
      <c r="E397">
        <v>3.1623800000000002</v>
      </c>
      <c r="F397">
        <v>99</v>
      </c>
      <c r="G397">
        <v>0</v>
      </c>
      <c r="H397">
        <v>15</v>
      </c>
      <c r="I397">
        <f>D397-Pram!$G$2</f>
        <v>4</v>
      </c>
      <c r="J397">
        <f>I397/Pram!$H$2</f>
        <v>0.33333333333333331</v>
      </c>
      <c r="K397">
        <f t="shared" si="12"/>
        <v>1.0101010101010102E-2</v>
      </c>
      <c r="L397">
        <f>IF(G397=0,1/(F397 - H397*Pram!$B$5 +Pram!$B$6)+Pram!$B$7,1/(F397+G397+Pram!$B$2))</f>
        <v>1.6369888475836432E-2</v>
      </c>
      <c r="M397">
        <f>(B397-J397-Pram!$I$2) * 2/120</f>
        <v>1.0111111111111113</v>
      </c>
      <c r="N397">
        <f>(1-L397-L397*Pram!$B$2)/L397</f>
        <v>73.88777109117747</v>
      </c>
      <c r="O397">
        <f>(M397-Pram!$B$17)/Pram!$B$16</f>
        <v>1.4027167724093056E-2</v>
      </c>
      <c r="P397">
        <f t="shared" si="13"/>
        <v>70.29022905189909</v>
      </c>
    </row>
    <row r="398" spans="1:16" hidden="1" x14ac:dyDescent="0.55000000000000004">
      <c r="A398" t="s">
        <v>632</v>
      </c>
      <c r="B398">
        <v>73</v>
      </c>
      <c r="C398">
        <v>640</v>
      </c>
      <c r="D398">
        <v>632</v>
      </c>
      <c r="E398">
        <v>14.035769999999999</v>
      </c>
      <c r="F398">
        <v>99</v>
      </c>
      <c r="G398">
        <v>0</v>
      </c>
      <c r="H398">
        <v>15</v>
      </c>
      <c r="I398">
        <f>D398-Pram!$G$2</f>
        <v>2</v>
      </c>
      <c r="J398">
        <f>I398/Pram!$H$2</f>
        <v>0.16666666666666666</v>
      </c>
      <c r="K398">
        <f t="shared" si="12"/>
        <v>1.0101010101010102E-2</v>
      </c>
      <c r="L398">
        <f>IF(G398=0,1/(F398 - H398*Pram!$B$5 +Pram!$B$6)+Pram!$B$7,1/(F398+G398+Pram!$B$2))</f>
        <v>1.6369888475836432E-2</v>
      </c>
      <c r="M398">
        <f>(B398-J398-Pram!$I$2) * 2/120</f>
        <v>1.0138888888888888</v>
      </c>
      <c r="N398">
        <f>(1-L398-L398*Pram!$B$2)/L398</f>
        <v>73.88777109117747</v>
      </c>
      <c r="O398">
        <f>(M398-Pram!$B$17)/Pram!$B$16</f>
        <v>1.4071374512841187E-2</v>
      </c>
      <c r="P398">
        <f t="shared" si="13"/>
        <v>70.06626286489815</v>
      </c>
    </row>
    <row r="399" spans="1:16" hidden="1" x14ac:dyDescent="0.55000000000000004">
      <c r="A399" t="s">
        <v>633</v>
      </c>
      <c r="B399">
        <v>72</v>
      </c>
      <c r="C399">
        <v>635.5</v>
      </c>
      <c r="D399">
        <v>631</v>
      </c>
      <c r="E399">
        <v>14.53454</v>
      </c>
      <c r="F399">
        <v>98</v>
      </c>
      <c r="G399">
        <v>0</v>
      </c>
      <c r="H399">
        <v>15</v>
      </c>
      <c r="I399">
        <f>D399-Pram!$G$2</f>
        <v>1</v>
      </c>
      <c r="J399">
        <f>I399/Pram!$H$2</f>
        <v>8.3333333333333329E-2</v>
      </c>
      <c r="K399">
        <f t="shared" si="12"/>
        <v>1.020408163265306E-2</v>
      </c>
      <c r="L399">
        <f>IF(G399=0,1/(F399 - H399*Pram!$B$5 +Pram!$B$6)+Pram!$B$7,1/(F399+G399+Pram!$B$2))</f>
        <v>1.6594339622641511E-2</v>
      </c>
      <c r="M399">
        <f>(B399-J399-Pram!$I$2) * 2/120</f>
        <v>0.99861111111111123</v>
      </c>
      <c r="N399">
        <f>(1-L399-L399*Pram!$B$2)/L399</f>
        <v>73.061512222853878</v>
      </c>
      <c r="O399">
        <f>(M399-Pram!$B$17)/Pram!$B$16</f>
        <v>1.382823717472645E-2</v>
      </c>
      <c r="P399">
        <f t="shared" si="13"/>
        <v>71.315797549934771</v>
      </c>
    </row>
    <row r="400" spans="1:16" hidden="1" x14ac:dyDescent="0.55000000000000004">
      <c r="A400" t="s">
        <v>634</v>
      </c>
      <c r="B400">
        <v>75</v>
      </c>
      <c r="C400">
        <v>643</v>
      </c>
      <c r="D400">
        <v>636</v>
      </c>
      <c r="E400">
        <v>16.031320000000001</v>
      </c>
      <c r="F400">
        <v>97</v>
      </c>
      <c r="G400">
        <v>0</v>
      </c>
      <c r="H400">
        <v>15</v>
      </c>
      <c r="I400">
        <f>D400-Pram!$G$2</f>
        <v>6</v>
      </c>
      <c r="J400">
        <f>I400/Pram!$H$2</f>
        <v>0.5</v>
      </c>
      <c r="K400">
        <f t="shared" si="12"/>
        <v>1.0309278350515464E-2</v>
      </c>
      <c r="L400">
        <f>IF(G400=0,1/(F400 - H400*Pram!$B$5 +Pram!$B$6)+Pram!$B$7,1/(F400+G400+Pram!$B$2))</f>
        <v>1.682567049808429E-2</v>
      </c>
      <c r="M400">
        <f>(B400-J400-Pram!$I$2) * 2/120</f>
        <v>1.0416666666666667</v>
      </c>
      <c r="N400">
        <f>(1-L400-L400*Pram!$B$2)/L400</f>
        <v>72.232995559603793</v>
      </c>
      <c r="O400">
        <f>(M400-Pram!$B$17)/Pram!$B$16</f>
        <v>1.4513442400322533E-2</v>
      </c>
      <c r="P400">
        <f t="shared" si="13"/>
        <v>67.901641141854597</v>
      </c>
    </row>
    <row r="401" spans="1:16" hidden="1" x14ac:dyDescent="0.55000000000000004">
      <c r="A401" t="s">
        <v>635</v>
      </c>
      <c r="B401">
        <v>75</v>
      </c>
      <c r="C401">
        <v>649</v>
      </c>
      <c r="D401">
        <v>632.5</v>
      </c>
      <c r="E401">
        <v>2.5001000000000002</v>
      </c>
      <c r="F401">
        <v>94</v>
      </c>
      <c r="G401">
        <v>0</v>
      </c>
      <c r="H401">
        <v>15</v>
      </c>
      <c r="I401">
        <f>D401-Pram!$G$2</f>
        <v>2.5</v>
      </c>
      <c r="J401">
        <f>I401/Pram!$H$2</f>
        <v>0.20833333333333334</v>
      </c>
      <c r="K401">
        <f t="shared" si="12"/>
        <v>1.0638297872340425E-2</v>
      </c>
      <c r="L401">
        <f>IF(G401=0,1/(F401 - H401*Pram!$B$5 +Pram!$B$6)+Pram!$B$7,1/(F401+G401+Pram!$B$2))</f>
        <v>1.756425702811245E-2</v>
      </c>
      <c r="M401">
        <f>(B401-J401-Pram!$I$2) * 2/120</f>
        <v>1.0465277777777779</v>
      </c>
      <c r="N401">
        <f>(1-L401-L401*Pram!$B$2)/L401</f>
        <v>69.733805876300451</v>
      </c>
      <c r="O401">
        <f>(M401-Pram!$B$17)/Pram!$B$16</f>
        <v>1.459080428063177E-2</v>
      </c>
      <c r="P401">
        <f t="shared" si="13"/>
        <v>67.536317859285333</v>
      </c>
    </row>
    <row r="402" spans="1:16" hidden="1" x14ac:dyDescent="0.55000000000000004">
      <c r="A402" t="s">
        <v>636</v>
      </c>
      <c r="B402">
        <v>77</v>
      </c>
      <c r="C402">
        <v>640</v>
      </c>
      <c r="D402">
        <v>635.5</v>
      </c>
      <c r="E402">
        <v>15.074909999999999</v>
      </c>
      <c r="F402">
        <v>94</v>
      </c>
      <c r="G402">
        <v>0</v>
      </c>
      <c r="H402">
        <v>15</v>
      </c>
      <c r="I402">
        <f>D402-Pram!$G$2</f>
        <v>5.5</v>
      </c>
      <c r="J402">
        <f>I402/Pram!$H$2</f>
        <v>0.45833333333333331</v>
      </c>
      <c r="K402">
        <f t="shared" si="12"/>
        <v>1.0638297872340425E-2</v>
      </c>
      <c r="L402">
        <f>IF(G402=0,1/(F402 - H402*Pram!$B$5 +Pram!$B$6)+Pram!$B$7,1/(F402+G402+Pram!$B$2))</f>
        <v>1.756425702811245E-2</v>
      </c>
      <c r="M402">
        <f>(B402-J402-Pram!$I$2) * 2/120</f>
        <v>1.0756944444444445</v>
      </c>
      <c r="N402">
        <f>(1-L402-L402*Pram!$B$2)/L402</f>
        <v>69.733805876300451</v>
      </c>
      <c r="O402">
        <f>(M402-Pram!$B$17)/Pram!$B$16</f>
        <v>1.505497556248718E-2</v>
      </c>
      <c r="P402">
        <f t="shared" si="13"/>
        <v>65.42322306332548</v>
      </c>
    </row>
    <row r="403" spans="1:16" hidden="1" x14ac:dyDescent="0.55000000000000004">
      <c r="A403" t="s">
        <v>637</v>
      </c>
      <c r="B403">
        <v>75</v>
      </c>
      <c r="C403">
        <v>634.5</v>
      </c>
      <c r="D403">
        <v>631</v>
      </c>
      <c r="E403">
        <v>14.53454</v>
      </c>
      <c r="F403">
        <v>94</v>
      </c>
      <c r="G403">
        <v>0</v>
      </c>
      <c r="H403">
        <v>15</v>
      </c>
      <c r="I403">
        <f>D403-Pram!$G$2</f>
        <v>1</v>
      </c>
      <c r="J403">
        <f>I403/Pram!$H$2</f>
        <v>8.3333333333333329E-2</v>
      </c>
      <c r="K403">
        <f t="shared" ref="K403:K431" si="14">1/(F403+G403)</f>
        <v>1.0638297872340425E-2</v>
      </c>
      <c r="L403">
        <f>IF(G403=0,1/(F403 - H403*Pram!$B$5 +Pram!$B$6)+Pram!$B$7,1/(F403+G403+Pram!$B$2))</f>
        <v>1.756425702811245E-2</v>
      </c>
      <c r="M403">
        <f>(B403-J403-Pram!$I$2) * 2/120</f>
        <v>1.0486111111111112</v>
      </c>
      <c r="N403">
        <f>(1-L403-L403*Pram!$B$2)/L403</f>
        <v>69.733805876300451</v>
      </c>
      <c r="O403">
        <f>(M403-Pram!$B$17)/Pram!$B$16</f>
        <v>1.4623959372192869E-2</v>
      </c>
      <c r="P403">
        <f t="shared" ref="P403:P441" si="15">(1-O403)/O403</f>
        <v>67.38093395564799</v>
      </c>
    </row>
    <row r="404" spans="1:16" hidden="1" x14ac:dyDescent="0.55000000000000004">
      <c r="A404" t="s">
        <v>638</v>
      </c>
      <c r="B404">
        <v>75</v>
      </c>
      <c r="C404">
        <v>629</v>
      </c>
      <c r="D404">
        <v>634.5</v>
      </c>
      <c r="E404">
        <v>14.08023</v>
      </c>
      <c r="F404">
        <v>96</v>
      </c>
      <c r="G404">
        <v>0</v>
      </c>
      <c r="H404">
        <v>15</v>
      </c>
      <c r="I404">
        <f>D404-Pram!$G$2</f>
        <v>4.5</v>
      </c>
      <c r="J404">
        <f>I404/Pram!$H$2</f>
        <v>0.375</v>
      </c>
      <c r="K404">
        <f t="shared" si="14"/>
        <v>1.0416666666666666E-2</v>
      </c>
      <c r="L404">
        <f>IF(G404=0,1/(F404 - H404*Pram!$B$5 +Pram!$B$6)+Pram!$B$7,1/(F404+G404+Pram!$B$2))</f>
        <v>1.7064202334630352E-2</v>
      </c>
      <c r="M404">
        <f>(B404-J404-Pram!$I$2) * 2/120</f>
        <v>1.04375</v>
      </c>
      <c r="N404">
        <f>(1-L404-L404*Pram!$B$2)/L404</f>
        <v>71.402211834454448</v>
      </c>
      <c r="O404">
        <f>(M404-Pram!$B$17)/Pram!$B$16</f>
        <v>1.4546597491883632E-2</v>
      </c>
      <c r="P404">
        <f t="shared" si="15"/>
        <v>67.744598216727752</v>
      </c>
    </row>
    <row r="405" spans="1:16" hidden="1" x14ac:dyDescent="0.55000000000000004">
      <c r="A405" t="s">
        <v>639</v>
      </c>
      <c r="B405">
        <v>75</v>
      </c>
      <c r="C405">
        <v>651.5</v>
      </c>
      <c r="D405">
        <v>632.5</v>
      </c>
      <c r="E405">
        <v>5.1479200000000001</v>
      </c>
      <c r="F405">
        <v>94</v>
      </c>
      <c r="G405">
        <v>0</v>
      </c>
      <c r="H405">
        <v>15</v>
      </c>
      <c r="I405">
        <f>D405-Pram!$G$2</f>
        <v>2.5</v>
      </c>
      <c r="J405">
        <f>I405/Pram!$H$2</f>
        <v>0.20833333333333334</v>
      </c>
      <c r="K405">
        <f t="shared" si="14"/>
        <v>1.0638297872340425E-2</v>
      </c>
      <c r="L405">
        <f>IF(G405=0,1/(F405 - H405*Pram!$B$5 +Pram!$B$6)+Pram!$B$7,1/(F405+G405+Pram!$B$2))</f>
        <v>1.756425702811245E-2</v>
      </c>
      <c r="M405">
        <f>(B405-J405-Pram!$I$2) * 2/120</f>
        <v>1.0465277777777779</v>
      </c>
      <c r="N405">
        <f>(1-L405-L405*Pram!$B$2)/L405</f>
        <v>69.733805876300451</v>
      </c>
      <c r="O405">
        <f>(M405-Pram!$B$17)/Pram!$B$16</f>
        <v>1.459080428063177E-2</v>
      </c>
      <c r="P405">
        <f t="shared" si="15"/>
        <v>67.536317859285333</v>
      </c>
    </row>
    <row r="406" spans="1:16" hidden="1" x14ac:dyDescent="0.55000000000000004">
      <c r="A406" t="s">
        <v>640</v>
      </c>
      <c r="B406">
        <v>76</v>
      </c>
      <c r="C406">
        <v>637.5</v>
      </c>
      <c r="D406">
        <v>634.5</v>
      </c>
      <c r="E406">
        <v>14.57748</v>
      </c>
      <c r="F406">
        <v>95</v>
      </c>
      <c r="G406">
        <v>0</v>
      </c>
      <c r="H406">
        <v>15</v>
      </c>
      <c r="I406">
        <f>D406-Pram!$G$2</f>
        <v>4.5</v>
      </c>
      <c r="J406">
        <f>I406/Pram!$H$2</f>
        <v>0.375</v>
      </c>
      <c r="K406">
        <f t="shared" si="14"/>
        <v>1.0526315789473684E-2</v>
      </c>
      <c r="L406">
        <f>IF(G406=0,1/(F406 - H406*Pram!$B$5 +Pram!$B$6)+Pram!$B$7,1/(F406+G406+Pram!$B$2))</f>
        <v>1.7310276679841897E-2</v>
      </c>
      <c r="M406">
        <f>(B406-J406-Pram!$I$2) * 2/120</f>
        <v>1.0604166666666666</v>
      </c>
      <c r="N406">
        <f>(1-L406-L406*Pram!$B$2)/L406</f>
        <v>70.569151729649505</v>
      </c>
      <c r="O406">
        <f>(M406-Pram!$B$17)/Pram!$B$16</f>
        <v>1.4811838224372438E-2</v>
      </c>
      <c r="P406">
        <f t="shared" si="15"/>
        <v>66.513564815643861</v>
      </c>
    </row>
    <row r="407" spans="1:16" hidden="1" x14ac:dyDescent="0.55000000000000004">
      <c r="A407" t="s">
        <v>641</v>
      </c>
      <c r="B407">
        <v>75</v>
      </c>
      <c r="C407">
        <v>644.5</v>
      </c>
      <c r="D407">
        <v>631</v>
      </c>
      <c r="E407">
        <v>14.53454</v>
      </c>
      <c r="F407">
        <v>94</v>
      </c>
      <c r="G407">
        <v>0</v>
      </c>
      <c r="H407">
        <v>15</v>
      </c>
      <c r="I407">
        <f>D407-Pram!$G$2</f>
        <v>1</v>
      </c>
      <c r="J407">
        <f>I407/Pram!$H$2</f>
        <v>8.3333333333333329E-2</v>
      </c>
      <c r="K407">
        <f t="shared" si="14"/>
        <v>1.0638297872340425E-2</v>
      </c>
      <c r="L407">
        <f>IF(G407=0,1/(F407 - H407*Pram!$B$5 +Pram!$B$6)+Pram!$B$7,1/(F407+G407+Pram!$B$2))</f>
        <v>1.756425702811245E-2</v>
      </c>
      <c r="M407">
        <f>(B407-J407-Pram!$I$2) * 2/120</f>
        <v>1.0486111111111112</v>
      </c>
      <c r="N407">
        <f>(1-L407-L407*Pram!$B$2)/L407</f>
        <v>69.733805876300451</v>
      </c>
      <c r="O407">
        <f>(M407-Pram!$B$17)/Pram!$B$16</f>
        <v>1.4623959372192869E-2</v>
      </c>
      <c r="P407">
        <f t="shared" si="15"/>
        <v>67.38093395564799</v>
      </c>
    </row>
    <row r="408" spans="1:16" hidden="1" x14ac:dyDescent="0.55000000000000004">
      <c r="A408" t="s">
        <v>642</v>
      </c>
      <c r="B408">
        <v>76</v>
      </c>
      <c r="C408">
        <v>651</v>
      </c>
      <c r="D408">
        <v>630.5</v>
      </c>
      <c r="E408">
        <v>14.08023</v>
      </c>
      <c r="F408">
        <v>93</v>
      </c>
      <c r="G408">
        <v>0</v>
      </c>
      <c r="H408">
        <v>15</v>
      </c>
      <c r="I408">
        <f>D408-Pram!$G$2</f>
        <v>0.5</v>
      </c>
      <c r="J408">
        <f>I408/Pram!$H$2</f>
        <v>4.1666666666666664E-2</v>
      </c>
      <c r="K408">
        <f t="shared" si="14"/>
        <v>1.0752688172043012E-2</v>
      </c>
      <c r="L408">
        <f>IF(G408=0,1/(F408 - H408*Pram!$B$5 +Pram!$B$6)+Pram!$B$7,1/(F408+G408+Pram!$B$2))</f>
        <v>1.7826530612244901E-2</v>
      </c>
      <c r="M408">
        <f>(B408-J408-Pram!$I$2) * 2/120</f>
        <v>1.0659722222222221</v>
      </c>
      <c r="N408">
        <f>(1-L408-L408*Pram!$B$2)/L408</f>
        <v>68.896164854035476</v>
      </c>
      <c r="O408">
        <f>(M408-Pram!$B$17)/Pram!$B$16</f>
        <v>1.4900251801868707E-2</v>
      </c>
      <c r="P408">
        <f t="shared" si="15"/>
        <v>66.112959787336322</v>
      </c>
    </row>
    <row r="409" spans="1:16" hidden="1" x14ac:dyDescent="0.55000000000000004">
      <c r="A409" t="s">
        <v>643</v>
      </c>
      <c r="B409">
        <v>76</v>
      </c>
      <c r="C409">
        <v>644.5</v>
      </c>
      <c r="D409">
        <v>635.5</v>
      </c>
      <c r="E409">
        <v>7.6486299999999998</v>
      </c>
      <c r="F409">
        <v>94</v>
      </c>
      <c r="G409">
        <v>0</v>
      </c>
      <c r="H409">
        <v>15</v>
      </c>
      <c r="I409">
        <f>D409-Pram!$G$2</f>
        <v>5.5</v>
      </c>
      <c r="J409">
        <f>I409/Pram!$H$2</f>
        <v>0.45833333333333331</v>
      </c>
      <c r="K409">
        <f t="shared" si="14"/>
        <v>1.0638297872340425E-2</v>
      </c>
      <c r="L409">
        <f>IF(G409=0,1/(F409 - H409*Pram!$B$5 +Pram!$B$6)+Pram!$B$7,1/(F409+G409+Pram!$B$2))</f>
        <v>1.756425702811245E-2</v>
      </c>
      <c r="M409">
        <f>(B409-J409-Pram!$I$2) * 2/120</f>
        <v>1.0590277777777779</v>
      </c>
      <c r="N409">
        <f>(1-L409-L409*Pram!$B$2)/L409</f>
        <v>69.733805876300451</v>
      </c>
      <c r="O409">
        <f>(M409-Pram!$B$17)/Pram!$B$16</f>
        <v>1.4789734829998374E-2</v>
      </c>
      <c r="P409">
        <f t="shared" si="15"/>
        <v>66.614464457582841</v>
      </c>
    </row>
    <row r="410" spans="1:16" hidden="1" x14ac:dyDescent="0.55000000000000004">
      <c r="A410" t="s">
        <v>644</v>
      </c>
      <c r="B410">
        <v>75</v>
      </c>
      <c r="C410">
        <v>625.5</v>
      </c>
      <c r="D410">
        <v>633.5</v>
      </c>
      <c r="E410">
        <v>14.57748</v>
      </c>
      <c r="F410">
        <v>95</v>
      </c>
      <c r="G410">
        <v>0</v>
      </c>
      <c r="H410">
        <v>15</v>
      </c>
      <c r="I410">
        <f>D410-Pram!$G$2</f>
        <v>3.5</v>
      </c>
      <c r="J410">
        <f>I410/Pram!$H$2</f>
        <v>0.29166666666666669</v>
      </c>
      <c r="K410">
        <f t="shared" si="14"/>
        <v>1.0526315789473684E-2</v>
      </c>
      <c r="L410">
        <f>IF(G410=0,1/(F410 - H410*Pram!$B$5 +Pram!$B$6)+Pram!$B$7,1/(F410+G410+Pram!$B$2))</f>
        <v>1.7310276679841897E-2</v>
      </c>
      <c r="M410">
        <f>(B410-J410-Pram!$I$2) * 2/120</f>
        <v>1.0451388888888888</v>
      </c>
      <c r="N410">
        <f>(1-L410-L410*Pram!$B$2)/L410</f>
        <v>70.569151729649505</v>
      </c>
      <c r="O410">
        <f>(M410-Pram!$B$17)/Pram!$B$16</f>
        <v>1.45687008862577E-2</v>
      </c>
      <c r="P410">
        <f t="shared" si="15"/>
        <v>67.640300038233036</v>
      </c>
    </row>
    <row r="411" spans="1:16" hidden="1" x14ac:dyDescent="0.55000000000000004">
      <c r="A411" t="s">
        <v>645</v>
      </c>
      <c r="B411">
        <v>76</v>
      </c>
      <c r="C411">
        <v>651.5</v>
      </c>
      <c r="D411">
        <v>633.5</v>
      </c>
      <c r="E411">
        <v>5.7009800000000004</v>
      </c>
      <c r="F411">
        <v>94</v>
      </c>
      <c r="G411">
        <v>0</v>
      </c>
      <c r="H411">
        <v>15</v>
      </c>
      <c r="I411">
        <f>D411-Pram!$G$2</f>
        <v>3.5</v>
      </c>
      <c r="J411">
        <f>I411/Pram!$H$2</f>
        <v>0.29166666666666669</v>
      </c>
      <c r="K411">
        <f t="shared" si="14"/>
        <v>1.0638297872340425E-2</v>
      </c>
      <c r="L411">
        <f>IF(G411=0,1/(F411 - H411*Pram!$B$5 +Pram!$B$6)+Pram!$B$7,1/(F411+G411+Pram!$B$2))</f>
        <v>1.756425702811245E-2</v>
      </c>
      <c r="M411">
        <f>(B411-J411-Pram!$I$2) * 2/120</f>
        <v>1.0618055555555554</v>
      </c>
      <c r="N411">
        <f>(1-L411-L411*Pram!$B$2)/L411</f>
        <v>69.733805876300451</v>
      </c>
      <c r="O411">
        <f>(M411-Pram!$B$17)/Pram!$B$16</f>
        <v>1.4833941618746505E-2</v>
      </c>
      <c r="P411">
        <f t="shared" si="15"/>
        <v>66.412965865811586</v>
      </c>
    </row>
    <row r="412" spans="1:16" hidden="1" x14ac:dyDescent="0.55000000000000004">
      <c r="A412" t="s">
        <v>646</v>
      </c>
      <c r="B412">
        <v>77</v>
      </c>
      <c r="C412">
        <v>640</v>
      </c>
      <c r="D412">
        <v>636</v>
      </c>
      <c r="E412">
        <v>15.0334</v>
      </c>
      <c r="F412">
        <v>95</v>
      </c>
      <c r="G412">
        <v>0</v>
      </c>
      <c r="H412">
        <v>15</v>
      </c>
      <c r="I412">
        <f>D412-Pram!$G$2</f>
        <v>6</v>
      </c>
      <c r="J412">
        <f>I412/Pram!$H$2</f>
        <v>0.5</v>
      </c>
      <c r="K412">
        <f t="shared" si="14"/>
        <v>1.0526315789473684E-2</v>
      </c>
      <c r="L412">
        <f>IF(G412=0,1/(F412 - H412*Pram!$B$5 +Pram!$B$6)+Pram!$B$7,1/(F412+G412+Pram!$B$2))</f>
        <v>1.7310276679841897E-2</v>
      </c>
      <c r="M412">
        <f>(B412-J412-Pram!$I$2) * 2/120</f>
        <v>1.075</v>
      </c>
      <c r="N412">
        <f>(1-L412-L412*Pram!$B$2)/L412</f>
        <v>70.569151729649505</v>
      </c>
      <c r="O412">
        <f>(M412-Pram!$B$17)/Pram!$B$16</f>
        <v>1.5043923865300145E-2</v>
      </c>
      <c r="P412">
        <f t="shared" si="15"/>
        <v>65.472019464720205</v>
      </c>
    </row>
    <row r="413" spans="1:16" hidden="1" x14ac:dyDescent="0.55000000000000004">
      <c r="A413" t="s">
        <v>647</v>
      </c>
      <c r="B413">
        <v>75</v>
      </c>
      <c r="C413">
        <v>629.5</v>
      </c>
      <c r="D413">
        <v>634</v>
      </c>
      <c r="E413">
        <v>14.53454</v>
      </c>
      <c r="F413">
        <v>96</v>
      </c>
      <c r="G413">
        <v>0</v>
      </c>
      <c r="H413">
        <v>15</v>
      </c>
      <c r="I413">
        <f>D413-Pram!$G$2</f>
        <v>4</v>
      </c>
      <c r="J413">
        <f>I413/Pram!$H$2</f>
        <v>0.33333333333333331</v>
      </c>
      <c r="K413">
        <f t="shared" si="14"/>
        <v>1.0416666666666666E-2</v>
      </c>
      <c r="L413">
        <f>IF(G413=0,1/(F413 - H413*Pram!$B$5 +Pram!$B$6)+Pram!$B$7,1/(F413+G413+Pram!$B$2))</f>
        <v>1.7064202334630352E-2</v>
      </c>
      <c r="M413">
        <f>(B413-J413-Pram!$I$2) * 2/120</f>
        <v>1.0444444444444445</v>
      </c>
      <c r="N413">
        <f>(1-L413-L413*Pram!$B$2)/L413</f>
        <v>71.402211834454448</v>
      </c>
      <c r="O413">
        <f>(M413-Pram!$B$17)/Pram!$B$16</f>
        <v>1.4557649189070668E-2</v>
      </c>
      <c r="P413">
        <f t="shared" si="15"/>
        <v>67.69240953757577</v>
      </c>
    </row>
    <row r="414" spans="1:16" hidden="1" x14ac:dyDescent="0.55000000000000004">
      <c r="A414" t="s">
        <v>648</v>
      </c>
      <c r="B414">
        <v>77</v>
      </c>
      <c r="C414">
        <v>641.5</v>
      </c>
      <c r="D414">
        <v>632</v>
      </c>
      <c r="E414">
        <v>14.53454</v>
      </c>
      <c r="F414">
        <v>91</v>
      </c>
      <c r="G414">
        <v>0</v>
      </c>
      <c r="H414">
        <v>15</v>
      </c>
      <c r="I414">
        <f>D414-Pram!$G$2</f>
        <v>2</v>
      </c>
      <c r="J414">
        <f>I414/Pram!$H$2</f>
        <v>0.16666666666666666</v>
      </c>
      <c r="K414">
        <f t="shared" si="14"/>
        <v>1.098901098901099E-2</v>
      </c>
      <c r="L414">
        <f>IF(G414=0,1/(F414 - H414*Pram!$B$5 +Pram!$B$6)+Pram!$B$7,1/(F414+G414+Pram!$B$2))</f>
        <v>1.8377637130801688E-2</v>
      </c>
      <c r="M414">
        <f>(B414-J414-Pram!$I$2) * 2/120</f>
        <v>1.0805555555555555</v>
      </c>
      <c r="N414">
        <f>(1-L414-L414*Pram!$B$2)/L414</f>
        <v>67.213959361726552</v>
      </c>
      <c r="O414">
        <f>(M414-Pram!$B$17)/Pram!$B$16</f>
        <v>1.5132337442796413E-2</v>
      </c>
      <c r="P414">
        <f t="shared" si="15"/>
        <v>65.083643969758242</v>
      </c>
    </row>
    <row r="415" spans="1:16" hidden="1" x14ac:dyDescent="0.55000000000000004">
      <c r="A415" t="s">
        <v>649</v>
      </c>
      <c r="B415">
        <v>78</v>
      </c>
      <c r="C415">
        <v>647</v>
      </c>
      <c r="D415">
        <v>632.5</v>
      </c>
      <c r="E415">
        <v>2.5001000000000002</v>
      </c>
      <c r="F415">
        <v>90</v>
      </c>
      <c r="G415">
        <v>0</v>
      </c>
      <c r="H415">
        <v>15</v>
      </c>
      <c r="I415">
        <f>D415-Pram!$G$2</f>
        <v>2.5</v>
      </c>
      <c r="J415">
        <f>I415/Pram!$H$2</f>
        <v>0.20833333333333334</v>
      </c>
      <c r="K415">
        <f t="shared" si="14"/>
        <v>1.1111111111111112E-2</v>
      </c>
      <c r="L415">
        <f>IF(G415=0,1/(F415 - H415*Pram!$B$5 +Pram!$B$6)+Pram!$B$7,1/(F415+G415+Pram!$B$2))</f>
        <v>1.8667381974248928E-2</v>
      </c>
      <c r="M415">
        <f>(B415-J415-Pram!$I$2) * 2/120</f>
        <v>1.0965277777777778</v>
      </c>
      <c r="N415">
        <f>(1-L415-L415*Pram!$B$2)/L415</f>
        <v>66.369375790320731</v>
      </c>
      <c r="O415">
        <f>(M415-Pram!$B$17)/Pram!$B$16</f>
        <v>1.5386526478098189E-2</v>
      </c>
      <c r="P415">
        <f t="shared" si="15"/>
        <v>63.991926632917497</v>
      </c>
    </row>
    <row r="416" spans="1:16" hidden="1" x14ac:dyDescent="0.55000000000000004">
      <c r="A416" t="s">
        <v>650</v>
      </c>
      <c r="B416">
        <v>79</v>
      </c>
      <c r="C416">
        <v>638.5</v>
      </c>
      <c r="D416">
        <v>632</v>
      </c>
      <c r="E416">
        <v>14.53454</v>
      </c>
      <c r="F416">
        <v>90</v>
      </c>
      <c r="G416">
        <v>0</v>
      </c>
      <c r="H416">
        <v>15</v>
      </c>
      <c r="I416">
        <f>D416-Pram!$G$2</f>
        <v>2</v>
      </c>
      <c r="J416">
        <f>I416/Pram!$H$2</f>
        <v>0.16666666666666666</v>
      </c>
      <c r="K416">
        <f t="shared" si="14"/>
        <v>1.1111111111111112E-2</v>
      </c>
      <c r="L416">
        <f>IF(G416=0,1/(F416 - H416*Pram!$B$5 +Pram!$B$6)+Pram!$B$7,1/(F416+G416+Pram!$B$2))</f>
        <v>1.8667381974248928E-2</v>
      </c>
      <c r="M416">
        <f>(B416-J416-Pram!$I$2) * 2/120</f>
        <v>1.1138888888888887</v>
      </c>
      <c r="N416">
        <f>(1-L416-L416*Pram!$B$2)/L416</f>
        <v>66.369375790320731</v>
      </c>
      <c r="O416">
        <f>(M416-Pram!$B$17)/Pram!$B$16</f>
        <v>1.5662818907774025E-2</v>
      </c>
      <c r="P416">
        <f t="shared" si="15"/>
        <v>62.84546778509096</v>
      </c>
    </row>
    <row r="417" spans="1:16" hidden="1" x14ac:dyDescent="0.55000000000000004">
      <c r="A417" t="s">
        <v>651</v>
      </c>
      <c r="B417">
        <v>79</v>
      </c>
      <c r="C417">
        <v>649.5</v>
      </c>
      <c r="D417">
        <v>634</v>
      </c>
      <c r="E417">
        <v>14.53454</v>
      </c>
      <c r="F417">
        <v>91</v>
      </c>
      <c r="G417">
        <v>0</v>
      </c>
      <c r="H417">
        <v>15</v>
      </c>
      <c r="I417">
        <f>D417-Pram!$G$2</f>
        <v>4</v>
      </c>
      <c r="J417">
        <f>I417/Pram!$H$2</f>
        <v>0.33333333333333331</v>
      </c>
      <c r="K417">
        <f t="shared" si="14"/>
        <v>1.098901098901099E-2</v>
      </c>
      <c r="L417">
        <f>IF(G417=0,1/(F417 - H417*Pram!$B$5 +Pram!$B$6)+Pram!$B$7,1/(F417+G417+Pram!$B$2))</f>
        <v>1.8377637130801688E-2</v>
      </c>
      <c r="M417">
        <f>(B417-J417-Pram!$I$2) * 2/120</f>
        <v>1.1111111111111112</v>
      </c>
      <c r="N417">
        <f>(1-L417-L417*Pram!$B$2)/L417</f>
        <v>67.213959361726552</v>
      </c>
      <c r="O417">
        <f>(M417-Pram!$B$17)/Pram!$B$16</f>
        <v>1.5618612119025896E-2</v>
      </c>
      <c r="P417">
        <f t="shared" si="15"/>
        <v>63.026175461636868</v>
      </c>
    </row>
    <row r="418" spans="1:16" hidden="1" x14ac:dyDescent="0.55000000000000004">
      <c r="A418" t="s">
        <v>652</v>
      </c>
      <c r="B418">
        <v>80</v>
      </c>
      <c r="C418">
        <v>636.5</v>
      </c>
      <c r="D418">
        <v>634</v>
      </c>
      <c r="E418">
        <v>14.53454</v>
      </c>
      <c r="F418">
        <v>89</v>
      </c>
      <c r="G418">
        <v>0</v>
      </c>
      <c r="H418">
        <v>15</v>
      </c>
      <c r="I418">
        <f>D418-Pram!$G$2</f>
        <v>4</v>
      </c>
      <c r="J418">
        <f>I418/Pram!$H$2</f>
        <v>0.33333333333333331</v>
      </c>
      <c r="K418">
        <f t="shared" si="14"/>
        <v>1.1235955056179775E-2</v>
      </c>
      <c r="L418">
        <f>IF(G418=0,1/(F418 - H418*Pram!$B$5 +Pram!$B$6)+Pram!$B$7,1/(F418+G418+Pram!$B$2))</f>
        <v>1.8967248908296944E-2</v>
      </c>
      <c r="M418">
        <f>(B418-J418-Pram!$I$2) * 2/120</f>
        <v>1.1277777777777778</v>
      </c>
      <c r="N418">
        <f>(1-L418-L418*Pram!$B$2)/L418</f>
        <v>65.522458846552311</v>
      </c>
      <c r="O418">
        <f>(M418-Pram!$B$17)/Pram!$B$16</f>
        <v>1.5883852851514699E-2</v>
      </c>
      <c r="P418">
        <f t="shared" si="15"/>
        <v>61.957017377848537</v>
      </c>
    </row>
    <row r="419" spans="1:16" hidden="1" x14ac:dyDescent="0.55000000000000004">
      <c r="A419" t="s">
        <v>653</v>
      </c>
      <c r="B419">
        <v>79</v>
      </c>
      <c r="C419">
        <v>643.5</v>
      </c>
      <c r="D419">
        <v>633.5</v>
      </c>
      <c r="E419">
        <v>14.57748</v>
      </c>
      <c r="F419">
        <v>90</v>
      </c>
      <c r="G419">
        <v>0</v>
      </c>
      <c r="H419">
        <v>15</v>
      </c>
      <c r="I419">
        <f>D419-Pram!$G$2</f>
        <v>3.5</v>
      </c>
      <c r="J419">
        <f>I419/Pram!$H$2</f>
        <v>0.29166666666666669</v>
      </c>
      <c r="K419">
        <f t="shared" si="14"/>
        <v>1.1111111111111112E-2</v>
      </c>
      <c r="L419">
        <f>IF(G419=0,1/(F419 - H419*Pram!$B$5 +Pram!$B$6)+Pram!$B$7,1/(F419+G419+Pram!$B$2))</f>
        <v>1.8667381974248928E-2</v>
      </c>
      <c r="M419">
        <f>(B419-J419-Pram!$I$2) * 2/120</f>
        <v>1.1118055555555555</v>
      </c>
      <c r="N419">
        <f>(1-L419-L419*Pram!$B$2)/L419</f>
        <v>66.369375790320731</v>
      </c>
      <c r="O419">
        <f>(M419-Pram!$B$17)/Pram!$B$16</f>
        <v>1.5629663816212926E-2</v>
      </c>
      <c r="P419">
        <f t="shared" si="15"/>
        <v>62.980902709032193</v>
      </c>
    </row>
    <row r="420" spans="1:16" hidden="1" x14ac:dyDescent="0.55000000000000004">
      <c r="A420" t="s">
        <v>654</v>
      </c>
      <c r="B420">
        <v>79</v>
      </c>
      <c r="C420">
        <v>635.5</v>
      </c>
      <c r="D420">
        <v>632</v>
      </c>
      <c r="E420">
        <v>14.53454</v>
      </c>
      <c r="F420">
        <v>89</v>
      </c>
      <c r="G420">
        <v>0</v>
      </c>
      <c r="H420">
        <v>15</v>
      </c>
      <c r="I420">
        <f>D420-Pram!$G$2</f>
        <v>2</v>
      </c>
      <c r="J420">
        <f>I420/Pram!$H$2</f>
        <v>0.16666666666666666</v>
      </c>
      <c r="K420">
        <f t="shared" si="14"/>
        <v>1.1235955056179775E-2</v>
      </c>
      <c r="L420">
        <f>IF(G420=0,1/(F420 - H420*Pram!$B$5 +Pram!$B$6)+Pram!$B$7,1/(F420+G420+Pram!$B$2))</f>
        <v>1.8967248908296944E-2</v>
      </c>
      <c r="M420">
        <f>(B420-J420-Pram!$I$2) * 2/120</f>
        <v>1.1138888888888887</v>
      </c>
      <c r="N420">
        <f>(1-L420-L420*Pram!$B$2)/L420</f>
        <v>65.522458846552311</v>
      </c>
      <c r="O420">
        <f>(M420-Pram!$B$17)/Pram!$B$16</f>
        <v>1.5662818907774025E-2</v>
      </c>
      <c r="P420">
        <f t="shared" si="15"/>
        <v>62.84546778509096</v>
      </c>
    </row>
    <row r="421" spans="1:16" hidden="1" x14ac:dyDescent="0.55000000000000004">
      <c r="A421" t="s">
        <v>655</v>
      </c>
      <c r="B421">
        <v>80</v>
      </c>
      <c r="C421">
        <v>644.5</v>
      </c>
      <c r="D421">
        <v>635</v>
      </c>
      <c r="E421">
        <v>14.53454</v>
      </c>
      <c r="F421">
        <v>89</v>
      </c>
      <c r="G421">
        <v>0</v>
      </c>
      <c r="H421">
        <v>15</v>
      </c>
      <c r="I421">
        <f>D421-Pram!$G$2</f>
        <v>5</v>
      </c>
      <c r="J421">
        <f>I421/Pram!$H$2</f>
        <v>0.41666666666666669</v>
      </c>
      <c r="K421">
        <f t="shared" si="14"/>
        <v>1.1235955056179775E-2</v>
      </c>
      <c r="L421">
        <f>IF(G421=0,1/(F421 - H421*Pram!$B$5 +Pram!$B$6)+Pram!$B$7,1/(F421+G421+Pram!$B$2))</f>
        <v>1.8967248908296944E-2</v>
      </c>
      <c r="M421">
        <f>(B421-J421-Pram!$I$2) * 2/120</f>
        <v>1.1263888888888889</v>
      </c>
      <c r="N421">
        <f>(1-L421-L421*Pram!$B$2)/L421</f>
        <v>65.522458846552311</v>
      </c>
      <c r="O421">
        <f>(M421-Pram!$B$17)/Pram!$B$16</f>
        <v>1.5861749457140632E-2</v>
      </c>
      <c r="P421">
        <f t="shared" si="15"/>
        <v>62.04474816615015</v>
      </c>
    </row>
    <row r="422" spans="1:16" hidden="1" x14ac:dyDescent="0.55000000000000004">
      <c r="A422" t="s">
        <v>656</v>
      </c>
      <c r="B422">
        <v>80</v>
      </c>
      <c r="C422">
        <v>624.5</v>
      </c>
      <c r="D422">
        <v>634</v>
      </c>
      <c r="E422">
        <v>14.53454</v>
      </c>
      <c r="F422">
        <v>90</v>
      </c>
      <c r="G422">
        <v>0</v>
      </c>
      <c r="H422">
        <v>15</v>
      </c>
      <c r="I422">
        <f>D422-Pram!$G$2</f>
        <v>4</v>
      </c>
      <c r="J422">
        <f>I422/Pram!$H$2</f>
        <v>0.33333333333333331</v>
      </c>
      <c r="K422">
        <f t="shared" si="14"/>
        <v>1.1111111111111112E-2</v>
      </c>
      <c r="L422">
        <f>IF(G422=0,1/(F422 - H422*Pram!$B$5 +Pram!$B$6)+Pram!$B$7,1/(F422+G422+Pram!$B$2))</f>
        <v>1.8667381974248928E-2</v>
      </c>
      <c r="M422">
        <f>(B422-J422-Pram!$I$2) * 2/120</f>
        <v>1.1277777777777778</v>
      </c>
      <c r="N422">
        <f>(1-L422-L422*Pram!$B$2)/L422</f>
        <v>66.369375790320731</v>
      </c>
      <c r="O422">
        <f>(M422-Pram!$B$17)/Pram!$B$16</f>
        <v>1.5883852851514699E-2</v>
      </c>
      <c r="P422">
        <f t="shared" si="15"/>
        <v>61.957017377848537</v>
      </c>
    </row>
    <row r="423" spans="1:16" hidden="1" x14ac:dyDescent="0.55000000000000004">
      <c r="A423" t="s">
        <v>657</v>
      </c>
      <c r="B423">
        <v>78</v>
      </c>
      <c r="C423">
        <v>642</v>
      </c>
      <c r="D423">
        <v>635</v>
      </c>
      <c r="E423">
        <v>10.19814</v>
      </c>
      <c r="F423">
        <v>91</v>
      </c>
      <c r="G423">
        <v>0</v>
      </c>
      <c r="H423">
        <v>15</v>
      </c>
      <c r="I423">
        <f>D423-Pram!$G$2</f>
        <v>5</v>
      </c>
      <c r="J423">
        <f>I423/Pram!$H$2</f>
        <v>0.41666666666666669</v>
      </c>
      <c r="K423">
        <f t="shared" si="14"/>
        <v>1.098901098901099E-2</v>
      </c>
      <c r="L423">
        <f>IF(G423=0,1/(F423 - H423*Pram!$B$5 +Pram!$B$6)+Pram!$B$7,1/(F423+G423+Pram!$B$2))</f>
        <v>1.8377637130801688E-2</v>
      </c>
      <c r="M423">
        <f>(B423-J423-Pram!$I$2) * 2/120</f>
        <v>1.0930555555555554</v>
      </c>
      <c r="N423">
        <f>(1-L423-L423*Pram!$B$2)/L423</f>
        <v>67.213959361726552</v>
      </c>
      <c r="O423">
        <f>(M423-Pram!$B$17)/Pram!$B$16</f>
        <v>1.5331267992163019E-2</v>
      </c>
      <c r="P423">
        <f t="shared" si="15"/>
        <v>64.226177020137953</v>
      </c>
    </row>
    <row r="424" spans="1:16" hidden="1" x14ac:dyDescent="0.55000000000000004">
      <c r="A424" t="s">
        <v>658</v>
      </c>
      <c r="B424">
        <v>79</v>
      </c>
      <c r="C424">
        <v>647</v>
      </c>
      <c r="D424">
        <v>631</v>
      </c>
      <c r="E424">
        <v>14.035769999999999</v>
      </c>
      <c r="F424">
        <v>90</v>
      </c>
      <c r="G424">
        <v>0</v>
      </c>
      <c r="H424">
        <v>15</v>
      </c>
      <c r="I424">
        <f>D424-Pram!$G$2</f>
        <v>1</v>
      </c>
      <c r="J424">
        <f>I424/Pram!$H$2</f>
        <v>8.3333333333333329E-2</v>
      </c>
      <c r="K424">
        <f t="shared" si="14"/>
        <v>1.1111111111111112E-2</v>
      </c>
      <c r="L424">
        <f>IF(G424=0,1/(F424 - H424*Pram!$B$5 +Pram!$B$6)+Pram!$B$7,1/(F424+G424+Pram!$B$2))</f>
        <v>1.8667381974248928E-2</v>
      </c>
      <c r="M424">
        <f>(B424-J424-Pram!$I$2) * 2/120</f>
        <v>1.1152777777777778</v>
      </c>
      <c r="N424">
        <f>(1-L424-L424*Pram!$B$2)/L424</f>
        <v>66.369375790320731</v>
      </c>
      <c r="O424">
        <f>(M424-Pram!$B$17)/Pram!$B$16</f>
        <v>1.5684922302148095E-2</v>
      </c>
      <c r="P424">
        <f t="shared" si="15"/>
        <v>62.755495930193234</v>
      </c>
    </row>
    <row r="425" spans="1:16" x14ac:dyDescent="0.55000000000000004">
      <c r="A425" t="s">
        <v>793</v>
      </c>
      <c r="B425">
        <v>65</v>
      </c>
      <c r="C425">
        <v>637.5</v>
      </c>
      <c r="D425">
        <v>632</v>
      </c>
      <c r="E425">
        <v>14.53454</v>
      </c>
      <c r="F425">
        <v>112</v>
      </c>
      <c r="G425">
        <v>0</v>
      </c>
      <c r="H425">
        <v>15</v>
      </c>
      <c r="I425">
        <f>D425-Pram!$G$2</f>
        <v>2</v>
      </c>
      <c r="J425">
        <f>I425/Pram!$H$2</f>
        <v>0.16666666666666666</v>
      </c>
      <c r="K425">
        <f t="shared" si="14"/>
        <v>8.9285714285714281E-3</v>
      </c>
      <c r="L425">
        <f>IF(G425=0,1/(F425 - H425*Pram!$B$5 +Pram!$B$6)+Pram!$B$7,1/(F425+G425+Pram!$B$2))</f>
        <v>1.3961059190031152E-2</v>
      </c>
      <c r="M425">
        <f>(B425-J425-Pram!$I$2) * 2/120</f>
        <v>0.88055555555555542</v>
      </c>
      <c r="N425">
        <f>(1-L425-L425*Pram!$B$2)/L425</f>
        <v>84.427803190895901</v>
      </c>
      <c r="O425">
        <f>(M425-Pram!$B$17)/Pram!$B$16</f>
        <v>1.1949448652930732E-2</v>
      </c>
      <c r="P425">
        <f t="shared" si="15"/>
        <v>82.685869452624431</v>
      </c>
    </row>
    <row r="426" spans="1:16" x14ac:dyDescent="0.55000000000000004">
      <c r="A426" t="s">
        <v>794</v>
      </c>
      <c r="B426">
        <v>66</v>
      </c>
      <c r="C426">
        <v>637.5</v>
      </c>
      <c r="D426">
        <v>630.5</v>
      </c>
      <c r="E426">
        <v>14.57748</v>
      </c>
      <c r="F426">
        <v>110</v>
      </c>
      <c r="G426">
        <v>0</v>
      </c>
      <c r="H426">
        <v>15</v>
      </c>
      <c r="I426">
        <f>D426-Pram!$G$2</f>
        <v>0.5</v>
      </c>
      <c r="J426">
        <f>I426/Pram!$H$2</f>
        <v>4.1666666666666664E-2</v>
      </c>
      <c r="K426">
        <f t="shared" si="14"/>
        <v>9.0909090909090905E-3</v>
      </c>
      <c r="L426">
        <f>IF(G426=0,1/(F426 - H426*Pram!$B$5 +Pram!$B$6)+Pram!$B$7,1/(F426+G426+Pram!$B$2))</f>
        <v>1.4279552715654951E-2</v>
      </c>
      <c r="M426">
        <f>(B426-J426-Pram!$I$2) * 2/120</f>
        <v>0.89930555555555547</v>
      </c>
      <c r="N426">
        <f>(1-L426-L426*Pram!$B$2)/L426</f>
        <v>82.830204720886016</v>
      </c>
      <c r="O426">
        <f>(M426-Pram!$B$17)/Pram!$B$16</f>
        <v>1.224784447698064E-2</v>
      </c>
      <c r="P426">
        <f t="shared" si="15"/>
        <v>80.647019757595885</v>
      </c>
    </row>
    <row r="427" spans="1:16" x14ac:dyDescent="0.55000000000000004">
      <c r="A427" t="s">
        <v>795</v>
      </c>
      <c r="B427">
        <v>67</v>
      </c>
      <c r="C427">
        <v>628</v>
      </c>
      <c r="D427">
        <v>632.5</v>
      </c>
      <c r="E427">
        <v>14.08023</v>
      </c>
      <c r="F427">
        <v>109</v>
      </c>
      <c r="G427">
        <v>0</v>
      </c>
      <c r="H427">
        <v>15</v>
      </c>
      <c r="I427">
        <f>D427-Pram!$G$2</f>
        <v>2.5</v>
      </c>
      <c r="J427">
        <f>I427/Pram!$H$2</f>
        <v>0.20833333333333334</v>
      </c>
      <c r="K427">
        <f t="shared" si="14"/>
        <v>9.1743119266055051E-3</v>
      </c>
      <c r="L427">
        <f>IF(G427=0,1/(F427 - H427*Pram!$B$5 +Pram!$B$6)+Pram!$B$7,1/(F427+G427+Pram!$B$2))</f>
        <v>1.4444983818770227E-2</v>
      </c>
      <c r="M427">
        <f>(B427-J427-Pram!$I$2) * 2/120</f>
        <v>0.91319444444444453</v>
      </c>
      <c r="N427">
        <f>(1-L427-L427*Pram!$B$2)/L427</f>
        <v>82.028184160412223</v>
      </c>
      <c r="O427">
        <f>(M427-Pram!$B$17)/Pram!$B$16</f>
        <v>1.2468878420721315E-2</v>
      </c>
      <c r="P427">
        <f t="shared" si="15"/>
        <v>79.199675244098728</v>
      </c>
    </row>
    <row r="428" spans="1:16" x14ac:dyDescent="0.55000000000000004">
      <c r="A428" t="s">
        <v>796</v>
      </c>
      <c r="B428">
        <v>73</v>
      </c>
      <c r="C428">
        <v>634</v>
      </c>
      <c r="D428">
        <v>664.5</v>
      </c>
      <c r="E428">
        <v>15.074909999999999</v>
      </c>
      <c r="F428">
        <v>111</v>
      </c>
      <c r="G428">
        <v>0</v>
      </c>
      <c r="H428">
        <v>15</v>
      </c>
      <c r="I428">
        <f>D428-Pram!$G$2</f>
        <v>34.5</v>
      </c>
      <c r="J428">
        <f>I428/Pram!$H$2</f>
        <v>2.875</v>
      </c>
      <c r="K428">
        <f t="shared" si="14"/>
        <v>9.0090090090090089E-3</v>
      </c>
      <c r="L428">
        <f>IF(G428=0,1/(F428 - H428*Pram!$B$5 +Pram!$B$6)+Pram!$B$7,1/(F428+G428+Pram!$B$2))</f>
        <v>1.4118296529968453E-2</v>
      </c>
      <c r="M428">
        <f>(B428-J428-Pram!$I$2) * 2/120</f>
        <v>0.96875</v>
      </c>
      <c r="N428">
        <f>(1-L428-L428*Pram!$B$2)/L428</f>
        <v>83.630074851971855</v>
      </c>
      <c r="O428">
        <f>(M428-Pram!$B$17)/Pram!$B$16</f>
        <v>1.3353014195684002E-2</v>
      </c>
      <c r="P428">
        <f t="shared" si="15"/>
        <v>73.889458315952567</v>
      </c>
    </row>
    <row r="429" spans="1:16" x14ac:dyDescent="0.55000000000000004">
      <c r="A429" t="s">
        <v>797</v>
      </c>
      <c r="B429">
        <v>67</v>
      </c>
      <c r="C429">
        <v>632.5</v>
      </c>
      <c r="D429">
        <v>634.5</v>
      </c>
      <c r="E429">
        <v>14.57748</v>
      </c>
      <c r="F429">
        <v>110</v>
      </c>
      <c r="G429">
        <v>0</v>
      </c>
      <c r="H429">
        <v>15</v>
      </c>
      <c r="I429">
        <f>D429-Pram!$G$2</f>
        <v>4.5</v>
      </c>
      <c r="J429">
        <f>I429/Pram!$H$2</f>
        <v>0.375</v>
      </c>
      <c r="K429">
        <f t="shared" si="14"/>
        <v>9.0909090909090905E-3</v>
      </c>
      <c r="L429">
        <f>IF(G429=0,1/(F429 - H429*Pram!$B$5 +Pram!$B$6)+Pram!$B$7,1/(F429+G429+Pram!$B$2))</f>
        <v>1.4279552715654951E-2</v>
      </c>
      <c r="M429">
        <f>(B429-J429-Pram!$I$2) * 2/120</f>
        <v>0.91041666666666665</v>
      </c>
      <c r="N429">
        <f>(1-L429-L429*Pram!$B$2)/L429</f>
        <v>82.830204720886016</v>
      </c>
      <c r="O429">
        <f>(M429-Pram!$B$17)/Pram!$B$16</f>
        <v>1.2424671631973179E-2</v>
      </c>
      <c r="P429">
        <f t="shared" si="15"/>
        <v>79.485024443353339</v>
      </c>
    </row>
    <row r="430" spans="1:16" x14ac:dyDescent="0.55000000000000004">
      <c r="A430" t="s">
        <v>798</v>
      </c>
      <c r="B430">
        <v>66</v>
      </c>
      <c r="C430">
        <v>630.5</v>
      </c>
      <c r="D430">
        <v>630.5</v>
      </c>
      <c r="E430">
        <v>14.57748</v>
      </c>
      <c r="F430">
        <v>110</v>
      </c>
      <c r="G430">
        <v>0</v>
      </c>
      <c r="H430">
        <v>15</v>
      </c>
      <c r="I430">
        <f>D430-Pram!$G$2</f>
        <v>0.5</v>
      </c>
      <c r="J430">
        <f>I430/Pram!$H$2</f>
        <v>4.1666666666666664E-2</v>
      </c>
      <c r="K430">
        <f t="shared" si="14"/>
        <v>9.0909090909090905E-3</v>
      </c>
      <c r="L430">
        <f>IF(G430=0,1/(F430 - H430*Pram!$B$5 +Pram!$B$6)+Pram!$B$7,1/(F430+G430+Pram!$B$2))</f>
        <v>1.4279552715654951E-2</v>
      </c>
      <c r="M430">
        <f>(B430-J430-Pram!$I$2) * 2/120</f>
        <v>0.89930555555555547</v>
      </c>
      <c r="N430">
        <f>(1-L430-L430*Pram!$B$2)/L430</f>
        <v>82.830204720886016</v>
      </c>
      <c r="O430">
        <f>(M430-Pram!$B$17)/Pram!$B$16</f>
        <v>1.224784447698064E-2</v>
      </c>
      <c r="P430">
        <f t="shared" si="15"/>
        <v>80.647019757595885</v>
      </c>
    </row>
    <row r="431" spans="1:16" x14ac:dyDescent="0.55000000000000004">
      <c r="A431" t="s">
        <v>799</v>
      </c>
      <c r="B431">
        <v>66</v>
      </c>
      <c r="C431">
        <v>627</v>
      </c>
      <c r="D431">
        <v>636.5</v>
      </c>
      <c r="E431">
        <v>8.3816299999999995</v>
      </c>
      <c r="F431">
        <v>111</v>
      </c>
      <c r="G431">
        <v>0</v>
      </c>
      <c r="H431">
        <v>15</v>
      </c>
      <c r="I431">
        <f>D431-Pram!$G$2</f>
        <v>6.5</v>
      </c>
      <c r="J431">
        <f>I431/Pram!$H$2</f>
        <v>0.54166666666666663</v>
      </c>
      <c r="K431">
        <f t="shared" si="14"/>
        <v>9.0090090090090089E-3</v>
      </c>
      <c r="L431">
        <f>IF(G431=0,1/(F431 - H431*Pram!$B$5 +Pram!$B$6)+Pram!$B$7,1/(F431+G431+Pram!$B$2))</f>
        <v>1.4118296529968453E-2</v>
      </c>
      <c r="M431">
        <f>(B431-J431-Pram!$I$2) * 2/120</f>
        <v>0.89097222222222217</v>
      </c>
      <c r="N431">
        <f>(1-L431-L431*Pram!$B$2)/L431</f>
        <v>83.630074851971855</v>
      </c>
      <c r="O431">
        <f>(M431-Pram!$B$17)/Pram!$B$16</f>
        <v>1.2115224110736237E-2</v>
      </c>
      <c r="P431">
        <f t="shared" si="15"/>
        <v>81.540776040108298</v>
      </c>
    </row>
    <row r="432" spans="1:16" x14ac:dyDescent="0.55000000000000004">
      <c r="A432" t="s">
        <v>808</v>
      </c>
      <c r="B432">
        <v>73</v>
      </c>
      <c r="C432">
        <v>637.5</v>
      </c>
      <c r="D432">
        <v>670</v>
      </c>
      <c r="E432">
        <v>15.53232</v>
      </c>
      <c r="F432">
        <v>111</v>
      </c>
      <c r="G432">
        <v>0</v>
      </c>
      <c r="H432">
        <v>15</v>
      </c>
      <c r="I432">
        <f>D432-Pram!$G$2</f>
        <v>40</v>
      </c>
      <c r="J432">
        <f>I432/Pram!$H$2</f>
        <v>3.3333333333333335</v>
      </c>
      <c r="K432">
        <f t="shared" ref="K432:K441" si="16">1/(F432+G432)</f>
        <v>9.0090090090090089E-3</v>
      </c>
      <c r="L432">
        <f>IF(G432=0,1/(F432 - H432*Pram!$B$5 +Pram!$B$6)+Pram!$B$7,1/(F432+G432+Pram!$B$2))</f>
        <v>1.4118296529968453E-2</v>
      </c>
      <c r="M432">
        <f>(B432-J432-Pram!$I$2) * 2/120</f>
        <v>0.96111111111111114</v>
      </c>
      <c r="N432">
        <f>(1-L432-L432*Pram!$B$2)/L432</f>
        <v>83.630074851971855</v>
      </c>
      <c r="O432">
        <f>(M432-Pram!$B$17)/Pram!$B$16</f>
        <v>1.3231445526626633E-2</v>
      </c>
      <c r="P432">
        <f t="shared" si="15"/>
        <v>74.577532174215193</v>
      </c>
    </row>
    <row r="433" spans="1:16" x14ac:dyDescent="0.55000000000000004">
      <c r="A433" t="s">
        <v>809</v>
      </c>
      <c r="B433">
        <v>67</v>
      </c>
      <c r="C433">
        <v>646.5</v>
      </c>
      <c r="D433">
        <v>633</v>
      </c>
      <c r="E433">
        <v>14.53454</v>
      </c>
      <c r="F433">
        <v>111</v>
      </c>
      <c r="G433">
        <v>0</v>
      </c>
      <c r="H433">
        <v>15</v>
      </c>
      <c r="I433">
        <f>D433-Pram!$G$2</f>
        <v>3</v>
      </c>
      <c r="J433">
        <f>I433/Pram!$H$2</f>
        <v>0.25</v>
      </c>
      <c r="K433">
        <f t="shared" si="16"/>
        <v>9.0090090090090089E-3</v>
      </c>
      <c r="L433">
        <f>IF(G433=0,1/(F433 - H433*Pram!$B$5 +Pram!$B$6)+Pram!$B$7,1/(F433+G433+Pram!$B$2))</f>
        <v>1.4118296529968453E-2</v>
      </c>
      <c r="M433">
        <f>(B433-J433-Pram!$I$2) * 2/120</f>
        <v>0.91249999999999998</v>
      </c>
      <c r="N433">
        <f>(1-L433-L433*Pram!$B$2)/L433</f>
        <v>83.630074851971855</v>
      </c>
      <c r="O433">
        <f>(M433-Pram!$B$17)/Pram!$B$16</f>
        <v>1.2457826723534279E-2</v>
      </c>
      <c r="P433">
        <f t="shared" si="15"/>
        <v>79.27082268778743</v>
      </c>
    </row>
    <row r="434" spans="1:16" x14ac:dyDescent="0.55000000000000004">
      <c r="A434" t="s">
        <v>810</v>
      </c>
      <c r="B434">
        <v>68</v>
      </c>
      <c r="C434">
        <v>648.5</v>
      </c>
      <c r="D434">
        <v>633</v>
      </c>
      <c r="E434">
        <v>14.53454</v>
      </c>
      <c r="F434">
        <v>110</v>
      </c>
      <c r="G434">
        <v>0</v>
      </c>
      <c r="H434">
        <v>15</v>
      </c>
      <c r="I434">
        <f>D434-Pram!$G$2</f>
        <v>3</v>
      </c>
      <c r="J434">
        <f>I434/Pram!$H$2</f>
        <v>0.25</v>
      </c>
      <c r="K434">
        <f t="shared" si="16"/>
        <v>9.0909090909090905E-3</v>
      </c>
      <c r="L434">
        <f>IF(G434=0,1/(F434 - H434*Pram!$B$5 +Pram!$B$6)+Pram!$B$7,1/(F434+G434+Pram!$B$2))</f>
        <v>1.4279552715654951E-2</v>
      </c>
      <c r="M434">
        <f>(B434-J434-Pram!$I$2) * 2/120</f>
        <v>0.9291666666666667</v>
      </c>
      <c r="N434">
        <f>(1-L434-L434*Pram!$B$2)/L434</f>
        <v>82.830204720886016</v>
      </c>
      <c r="O434">
        <f>(M434-Pram!$B$17)/Pram!$B$16</f>
        <v>1.2723067456023087E-2</v>
      </c>
      <c r="P434">
        <f t="shared" si="15"/>
        <v>77.597398265510336</v>
      </c>
    </row>
    <row r="435" spans="1:16" x14ac:dyDescent="0.55000000000000004">
      <c r="A435" t="s">
        <v>811</v>
      </c>
      <c r="B435">
        <v>68</v>
      </c>
      <c r="C435">
        <v>627.5</v>
      </c>
      <c r="D435">
        <v>634</v>
      </c>
      <c r="E435">
        <v>14.53454</v>
      </c>
      <c r="F435">
        <v>110</v>
      </c>
      <c r="G435">
        <v>0</v>
      </c>
      <c r="H435">
        <v>15</v>
      </c>
      <c r="I435">
        <f>D435-Pram!$G$2</f>
        <v>4</v>
      </c>
      <c r="J435">
        <f>I435/Pram!$H$2</f>
        <v>0.33333333333333331</v>
      </c>
      <c r="K435">
        <f t="shared" si="16"/>
        <v>9.0909090909090905E-3</v>
      </c>
      <c r="L435">
        <f>IF(G435=0,1/(F435 - H435*Pram!$B$5 +Pram!$B$6)+Pram!$B$7,1/(F435+G435+Pram!$B$2))</f>
        <v>1.4279552715654951E-2</v>
      </c>
      <c r="M435">
        <f>(B435-J435-Pram!$I$2) * 2/120</f>
        <v>0.92777777777777781</v>
      </c>
      <c r="N435">
        <f>(1-L435-L435*Pram!$B$2)/L435</f>
        <v>82.830204720886016</v>
      </c>
      <c r="O435">
        <f>(M435-Pram!$B$17)/Pram!$B$16</f>
        <v>1.270096406164902E-2</v>
      </c>
      <c r="P435">
        <f t="shared" si="15"/>
        <v>77.734180739833207</v>
      </c>
    </row>
    <row r="436" spans="1:16" x14ac:dyDescent="0.55000000000000004">
      <c r="A436" t="s">
        <v>812</v>
      </c>
      <c r="B436">
        <v>68</v>
      </c>
      <c r="C436">
        <v>639.5</v>
      </c>
      <c r="D436">
        <v>637.5</v>
      </c>
      <c r="E436">
        <v>14.57748</v>
      </c>
      <c r="F436">
        <v>111</v>
      </c>
      <c r="G436">
        <v>0</v>
      </c>
      <c r="H436">
        <v>15</v>
      </c>
      <c r="I436">
        <f>D436-Pram!$G$2</f>
        <v>7.5</v>
      </c>
      <c r="J436">
        <f>I436/Pram!$H$2</f>
        <v>0.625</v>
      </c>
      <c r="K436">
        <f t="shared" si="16"/>
        <v>9.0090090090090089E-3</v>
      </c>
      <c r="L436">
        <f>IF(G436=0,1/(F436 - H436*Pram!$B$5 +Pram!$B$6)+Pram!$B$7,1/(F436+G436+Pram!$B$2))</f>
        <v>1.4118296529968453E-2</v>
      </c>
      <c r="M436">
        <f>(B436-J436-Pram!$I$2) * 2/120</f>
        <v>0.92291666666666672</v>
      </c>
      <c r="N436">
        <f>(1-L436-L436*Pram!$B$2)/L436</f>
        <v>83.630074851971855</v>
      </c>
      <c r="O436">
        <f>(M436-Pram!$B$17)/Pram!$B$16</f>
        <v>1.2623602181339785E-2</v>
      </c>
      <c r="P436">
        <f t="shared" si="15"/>
        <v>78.216691530267056</v>
      </c>
    </row>
    <row r="437" spans="1:16" x14ac:dyDescent="0.55000000000000004">
      <c r="A437" t="s">
        <v>813</v>
      </c>
      <c r="B437">
        <v>69</v>
      </c>
      <c r="C437">
        <v>640</v>
      </c>
      <c r="D437">
        <v>638</v>
      </c>
      <c r="E437">
        <v>15.0334</v>
      </c>
      <c r="F437">
        <v>110</v>
      </c>
      <c r="G437">
        <v>0</v>
      </c>
      <c r="H437">
        <v>15</v>
      </c>
      <c r="I437">
        <f>D437-Pram!$G$2</f>
        <v>8</v>
      </c>
      <c r="J437">
        <f>I437/Pram!$H$2</f>
        <v>0.66666666666666663</v>
      </c>
      <c r="K437">
        <f t="shared" si="16"/>
        <v>9.0909090909090905E-3</v>
      </c>
      <c r="L437">
        <f>IF(G437=0,1/(F437 - H437*Pram!$B$5 +Pram!$B$6)+Pram!$B$7,1/(F437+G437+Pram!$B$2))</f>
        <v>1.4279552715654951E-2</v>
      </c>
      <c r="M437">
        <f>(B437-J437-Pram!$I$2) * 2/120</f>
        <v>0.93888888888888877</v>
      </c>
      <c r="N437">
        <f>(1-L437-L437*Pram!$B$2)/L437</f>
        <v>82.830204720886016</v>
      </c>
      <c r="O437">
        <f>(M437-Pram!$B$17)/Pram!$B$16</f>
        <v>1.2877791216641555E-2</v>
      </c>
      <c r="P437">
        <f t="shared" si="15"/>
        <v>76.653068230189362</v>
      </c>
    </row>
    <row r="438" spans="1:16" x14ac:dyDescent="0.55000000000000004">
      <c r="A438" t="s">
        <v>814</v>
      </c>
      <c r="B438">
        <v>68</v>
      </c>
      <c r="C438">
        <v>630.5</v>
      </c>
      <c r="D438">
        <v>638</v>
      </c>
      <c r="E438">
        <v>14.53454</v>
      </c>
      <c r="F438">
        <v>111</v>
      </c>
      <c r="G438">
        <v>0</v>
      </c>
      <c r="H438">
        <v>15</v>
      </c>
      <c r="I438">
        <f>D438-Pram!$G$2</f>
        <v>8</v>
      </c>
      <c r="J438">
        <f>I438/Pram!$H$2</f>
        <v>0.66666666666666663</v>
      </c>
      <c r="K438">
        <f t="shared" si="16"/>
        <v>9.0090090090090089E-3</v>
      </c>
      <c r="L438">
        <f>IF(G438=0,1/(F438 - H438*Pram!$B$5 +Pram!$B$6)+Pram!$B$7,1/(F438+G438+Pram!$B$2))</f>
        <v>1.4118296529968453E-2</v>
      </c>
      <c r="M438">
        <f>(B438-J438-Pram!$I$2) * 2/120</f>
        <v>0.92222222222222217</v>
      </c>
      <c r="N438">
        <f>(1-L438-L438*Pram!$B$2)/L438</f>
        <v>83.630074851971855</v>
      </c>
      <c r="O438">
        <f>(M438-Pram!$B$17)/Pram!$B$16</f>
        <v>1.2612550484152749E-2</v>
      </c>
      <c r="P438">
        <f t="shared" si="15"/>
        <v>78.286104841084025</v>
      </c>
    </row>
    <row r="439" spans="1:16" x14ac:dyDescent="0.55000000000000004">
      <c r="A439" t="s">
        <v>815</v>
      </c>
      <c r="B439">
        <v>72</v>
      </c>
      <c r="C439">
        <v>631</v>
      </c>
      <c r="D439">
        <v>670.5</v>
      </c>
      <c r="E439">
        <v>16.070260000000001</v>
      </c>
      <c r="F439">
        <v>112</v>
      </c>
      <c r="G439">
        <v>0</v>
      </c>
      <c r="H439">
        <v>15</v>
      </c>
      <c r="I439">
        <f>D439-Pram!$G$2</f>
        <v>40.5</v>
      </c>
      <c r="J439">
        <f>I439/Pram!$H$2</f>
        <v>3.375</v>
      </c>
      <c r="K439">
        <f t="shared" si="16"/>
        <v>8.9285714285714281E-3</v>
      </c>
      <c r="L439">
        <f>IF(G439=0,1/(F439 - H439*Pram!$B$5 +Pram!$B$6)+Pram!$B$7,1/(F439+G439+Pram!$B$2))</f>
        <v>1.3961059190031152E-2</v>
      </c>
      <c r="M439">
        <f>(B439-J439-Pram!$I$2) * 2/120</f>
        <v>0.94374999999999998</v>
      </c>
      <c r="N439">
        <f>(1-L439-L439*Pram!$B$2)/L439</f>
        <v>84.427803190895901</v>
      </c>
      <c r="O439">
        <f>(M439-Pram!$B$17)/Pram!$B$16</f>
        <v>1.2955153096950792E-2</v>
      </c>
      <c r="P439">
        <f t="shared" si="15"/>
        <v>76.189361832811258</v>
      </c>
    </row>
    <row r="440" spans="1:16" x14ac:dyDescent="0.55000000000000004">
      <c r="A440" t="s">
        <v>816</v>
      </c>
      <c r="B440">
        <v>69</v>
      </c>
      <c r="C440">
        <v>627.5</v>
      </c>
      <c r="D440">
        <v>640</v>
      </c>
      <c r="E440">
        <v>14.53454</v>
      </c>
      <c r="F440">
        <v>110</v>
      </c>
      <c r="G440">
        <v>0</v>
      </c>
      <c r="H440">
        <v>15</v>
      </c>
      <c r="I440">
        <f>D440-Pram!$G$2</f>
        <v>10</v>
      </c>
      <c r="J440">
        <f>I440/Pram!$H$2</f>
        <v>0.83333333333333337</v>
      </c>
      <c r="K440">
        <f t="shared" si="16"/>
        <v>9.0909090909090905E-3</v>
      </c>
      <c r="L440">
        <f>IF(G440=0,1/(F440 - H440*Pram!$B$5 +Pram!$B$6)+Pram!$B$7,1/(F440+G440+Pram!$B$2))</f>
        <v>1.4279552715654951E-2</v>
      </c>
      <c r="M440">
        <f>(B440-J440-Pram!$I$2) * 2/120</f>
        <v>0.93611111111111123</v>
      </c>
      <c r="N440">
        <f>(1-L440-L440*Pram!$B$2)/L440</f>
        <v>82.830204720886016</v>
      </c>
      <c r="O440">
        <f>(M440-Pram!$B$17)/Pram!$B$16</f>
        <v>1.2833584427893424E-2</v>
      </c>
      <c r="P440">
        <f t="shared" si="15"/>
        <v>76.920553343345688</v>
      </c>
    </row>
    <row r="441" spans="1:16" x14ac:dyDescent="0.55000000000000004">
      <c r="A441" t="s">
        <v>817</v>
      </c>
      <c r="B441">
        <v>68</v>
      </c>
      <c r="C441">
        <v>637</v>
      </c>
      <c r="D441">
        <v>636.5</v>
      </c>
      <c r="E441">
        <v>7.1590100000000003</v>
      </c>
      <c r="F441">
        <v>111</v>
      </c>
      <c r="G441">
        <v>0</v>
      </c>
      <c r="H441">
        <v>15</v>
      </c>
      <c r="I441">
        <f>D441-Pram!$G$2</f>
        <v>6.5</v>
      </c>
      <c r="J441">
        <f>I441/Pram!$H$2</f>
        <v>0.54166666666666663</v>
      </c>
      <c r="K441">
        <f t="shared" si="16"/>
        <v>9.0090090090090089E-3</v>
      </c>
      <c r="L441">
        <f>IF(G441=0,1/(F441 - H441*Pram!$B$5 +Pram!$B$6)+Pram!$B$7,1/(F441+G441+Pram!$B$2))</f>
        <v>1.4118296529968453E-2</v>
      </c>
      <c r="M441">
        <f>(B441-J441-Pram!$I$2) * 2/120</f>
        <v>0.92430555555555549</v>
      </c>
      <c r="N441">
        <f>(1-L441-L441*Pram!$B$2)/L441</f>
        <v>83.630074851971855</v>
      </c>
      <c r="O441">
        <f>(M441-Pram!$B$17)/Pram!$B$16</f>
        <v>1.264570557571385E-2</v>
      </c>
      <c r="P441">
        <f t="shared" si="15"/>
        <v>78.078228890644567</v>
      </c>
    </row>
  </sheetData>
  <autoFilter ref="A1:P441" xr:uid="{5BF43AD6-30BC-4942-AD51-C95D79C5ED55}">
    <filterColumn colId="5">
      <filters>
        <filter val="109"/>
        <filter val="110"/>
        <filter val="111"/>
        <filter val="112"/>
        <filter val="113"/>
      </filters>
    </filterColumn>
  </autoFilter>
  <sortState xmlns:xlrd2="http://schemas.microsoft.com/office/spreadsheetml/2017/richdata2" ref="A2:F104">
    <sortCondition descending="1" ref="F2:F104"/>
    <sortCondition descending="1" ref="B2:B104"/>
  </sortState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37F15-DF69-47D8-AC87-D32F26C4C999}">
  <sheetPr codeName="Sheet1"/>
  <dimension ref="A1:I17"/>
  <sheetViews>
    <sheetView workbookViewId="0">
      <selection activeCell="B18" sqref="B18"/>
    </sheetView>
  </sheetViews>
  <sheetFormatPr defaultRowHeight="18" x14ac:dyDescent="0.55000000000000004"/>
  <cols>
    <col min="1" max="1" width="20" customWidth="1"/>
  </cols>
  <sheetData>
    <row r="1" spans="1:9" x14ac:dyDescent="0.55000000000000004">
      <c r="A1" t="s">
        <v>659</v>
      </c>
      <c r="B1" t="s">
        <v>664</v>
      </c>
      <c r="G1" t="s">
        <v>670</v>
      </c>
      <c r="H1" t="s">
        <v>671</v>
      </c>
      <c r="I1" t="s">
        <v>672</v>
      </c>
    </row>
    <row r="2" spans="1:9" x14ac:dyDescent="0.55000000000000004">
      <c r="A2" t="s">
        <v>661</v>
      </c>
      <c r="B2">
        <v>-13.8</v>
      </c>
      <c r="G2">
        <v>630</v>
      </c>
      <c r="H2">
        <v>12</v>
      </c>
      <c r="I2">
        <v>12</v>
      </c>
    </row>
    <row r="4" spans="1:9" x14ac:dyDescent="0.55000000000000004">
      <c r="A4" t="s">
        <v>660</v>
      </c>
      <c r="B4" t="s">
        <v>669</v>
      </c>
    </row>
    <row r="5" spans="1:9" x14ac:dyDescent="0.55000000000000004">
      <c r="A5" t="s">
        <v>662</v>
      </c>
      <c r="B5">
        <v>1.75</v>
      </c>
    </row>
    <row r="6" spans="1:9" x14ac:dyDescent="0.55000000000000004">
      <c r="A6" t="s">
        <v>663</v>
      </c>
      <c r="B6">
        <v>-5.5</v>
      </c>
    </row>
    <row r="7" spans="1:9" x14ac:dyDescent="0.55000000000000004">
      <c r="A7" t="s">
        <v>665</v>
      </c>
      <c r="B7">
        <v>1.5E-3</v>
      </c>
    </row>
    <row r="10" spans="1:9" x14ac:dyDescent="0.55000000000000004">
      <c r="A10" t="s">
        <v>679</v>
      </c>
      <c r="B10" t="s">
        <v>666</v>
      </c>
    </row>
    <row r="11" spans="1:9" x14ac:dyDescent="0.55000000000000004">
      <c r="A11" t="s">
        <v>667</v>
      </c>
      <c r="B11">
        <v>50.646999999999998</v>
      </c>
    </row>
    <row r="12" spans="1:9" x14ac:dyDescent="0.55000000000000004">
      <c r="A12" t="s">
        <v>668</v>
      </c>
      <c r="B12">
        <v>0.1782</v>
      </c>
    </row>
    <row r="15" spans="1:9" x14ac:dyDescent="0.55000000000000004">
      <c r="A15" t="s">
        <v>675</v>
      </c>
      <c r="B15" t="s">
        <v>676</v>
      </c>
    </row>
    <row r="16" spans="1:9" x14ac:dyDescent="0.55000000000000004">
      <c r="A16" t="s">
        <v>677</v>
      </c>
      <c r="B16">
        <v>62.835999999999999</v>
      </c>
    </row>
    <row r="17" spans="1:2" x14ac:dyDescent="0.55000000000000004">
      <c r="A17" t="s">
        <v>678</v>
      </c>
      <c r="B17">
        <v>0.12970000000000001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08302-2491-45D4-BA39-11D4EFB19EB0}">
  <sheetPr codeName="Sheet4"/>
  <dimension ref="A1:G441"/>
  <sheetViews>
    <sheetView workbookViewId="0">
      <selection activeCell="G1" sqref="G1"/>
    </sheetView>
  </sheetViews>
  <sheetFormatPr defaultRowHeight="18" x14ac:dyDescent="0.55000000000000004"/>
  <cols>
    <col min="1" max="1" width="59.5" customWidth="1"/>
    <col min="2" max="2" width="14.33203125" customWidth="1"/>
  </cols>
  <sheetData>
    <row r="1" spans="1:7" x14ac:dyDescent="0.55000000000000004">
      <c r="A1" t="s">
        <v>6</v>
      </c>
      <c r="B1" t="s">
        <v>298</v>
      </c>
      <c r="C1" t="s">
        <v>118</v>
      </c>
      <c r="D1" t="s">
        <v>119</v>
      </c>
      <c r="E1" t="s">
        <v>338</v>
      </c>
      <c r="F1" t="s">
        <v>800</v>
      </c>
      <c r="G1" t="s">
        <v>818</v>
      </c>
    </row>
    <row r="2" spans="1:7" x14ac:dyDescent="0.55000000000000004">
      <c r="A2" t="s">
        <v>0</v>
      </c>
      <c r="B2" t="s">
        <v>299</v>
      </c>
      <c r="C2">
        <v>140</v>
      </c>
      <c r="D2">
        <v>1</v>
      </c>
      <c r="E2">
        <v>0</v>
      </c>
      <c r="F2">
        <v>0</v>
      </c>
      <c r="G2">
        <v>0</v>
      </c>
    </row>
    <row r="3" spans="1:7" x14ac:dyDescent="0.55000000000000004">
      <c r="A3" t="s">
        <v>1</v>
      </c>
      <c r="B3" t="s">
        <v>299</v>
      </c>
      <c r="C3">
        <v>119</v>
      </c>
      <c r="D3">
        <v>1</v>
      </c>
      <c r="E3">
        <v>0</v>
      </c>
      <c r="F3">
        <v>0</v>
      </c>
      <c r="G3">
        <v>0</v>
      </c>
    </row>
    <row r="4" spans="1:7" x14ac:dyDescent="0.55000000000000004">
      <c r="A4" t="s">
        <v>2</v>
      </c>
      <c r="B4" t="s">
        <v>299</v>
      </c>
      <c r="C4">
        <v>118</v>
      </c>
      <c r="D4">
        <v>1</v>
      </c>
      <c r="E4">
        <v>0</v>
      </c>
      <c r="F4">
        <v>0</v>
      </c>
      <c r="G4">
        <v>0</v>
      </c>
    </row>
    <row r="5" spans="1:7" x14ac:dyDescent="0.55000000000000004">
      <c r="A5" t="s">
        <v>3</v>
      </c>
      <c r="B5" t="s">
        <v>299</v>
      </c>
      <c r="C5">
        <v>142</v>
      </c>
      <c r="D5">
        <v>1</v>
      </c>
      <c r="E5">
        <v>0</v>
      </c>
      <c r="F5">
        <v>0</v>
      </c>
      <c r="G5">
        <v>0</v>
      </c>
    </row>
    <row r="6" spans="1:7" x14ac:dyDescent="0.55000000000000004">
      <c r="A6" t="s">
        <v>4</v>
      </c>
      <c r="B6" t="s">
        <v>299</v>
      </c>
      <c r="C6">
        <v>139</v>
      </c>
      <c r="D6">
        <v>1</v>
      </c>
      <c r="E6">
        <v>0</v>
      </c>
      <c r="F6">
        <v>0</v>
      </c>
      <c r="G6">
        <v>0</v>
      </c>
    </row>
    <row r="7" spans="1:7" x14ac:dyDescent="0.55000000000000004">
      <c r="A7" t="s">
        <v>5</v>
      </c>
      <c r="B7" t="s">
        <v>299</v>
      </c>
      <c r="C7">
        <v>141</v>
      </c>
      <c r="D7">
        <v>1</v>
      </c>
      <c r="E7">
        <v>0</v>
      </c>
      <c r="F7">
        <v>0</v>
      </c>
      <c r="G7">
        <v>0</v>
      </c>
    </row>
    <row r="8" spans="1:7" x14ac:dyDescent="0.55000000000000004">
      <c r="A8" t="s">
        <v>8</v>
      </c>
      <c r="B8" t="s">
        <v>299</v>
      </c>
      <c r="C8">
        <v>140</v>
      </c>
      <c r="D8">
        <v>1</v>
      </c>
      <c r="E8">
        <v>0</v>
      </c>
      <c r="F8">
        <v>0</v>
      </c>
      <c r="G8">
        <v>0</v>
      </c>
    </row>
    <row r="9" spans="1:7" x14ac:dyDescent="0.55000000000000004">
      <c r="A9" t="s">
        <v>9</v>
      </c>
      <c r="B9" t="s">
        <v>299</v>
      </c>
      <c r="C9">
        <v>142</v>
      </c>
      <c r="D9">
        <v>1</v>
      </c>
      <c r="E9">
        <v>0</v>
      </c>
      <c r="F9">
        <v>0</v>
      </c>
      <c r="G9">
        <v>0</v>
      </c>
    </row>
    <row r="10" spans="1:7" x14ac:dyDescent="0.55000000000000004">
      <c r="A10" t="s">
        <v>10</v>
      </c>
      <c r="B10" t="s">
        <v>299</v>
      </c>
      <c r="C10">
        <v>139</v>
      </c>
      <c r="D10">
        <v>1</v>
      </c>
      <c r="E10">
        <v>0</v>
      </c>
      <c r="F10">
        <v>0</v>
      </c>
      <c r="G10">
        <v>0</v>
      </c>
    </row>
    <row r="11" spans="1:7" x14ac:dyDescent="0.55000000000000004">
      <c r="A11" t="s">
        <v>11</v>
      </c>
      <c r="B11" t="s">
        <v>299</v>
      </c>
      <c r="C11">
        <v>140</v>
      </c>
      <c r="D11">
        <v>1</v>
      </c>
      <c r="E11">
        <v>0</v>
      </c>
      <c r="F11">
        <v>0</v>
      </c>
      <c r="G11">
        <v>0</v>
      </c>
    </row>
    <row r="12" spans="1:7" x14ac:dyDescent="0.55000000000000004">
      <c r="A12" t="s">
        <v>12</v>
      </c>
      <c r="B12" t="s">
        <v>299</v>
      </c>
      <c r="C12">
        <v>139</v>
      </c>
      <c r="D12">
        <v>1</v>
      </c>
      <c r="E12">
        <v>0</v>
      </c>
      <c r="F12">
        <v>0</v>
      </c>
      <c r="G12">
        <v>0</v>
      </c>
    </row>
    <row r="13" spans="1:7" x14ac:dyDescent="0.55000000000000004">
      <c r="A13" t="s">
        <v>13</v>
      </c>
      <c r="B13" t="s">
        <v>299</v>
      </c>
      <c r="C13">
        <v>141</v>
      </c>
      <c r="D13">
        <v>1</v>
      </c>
      <c r="E13">
        <v>0</v>
      </c>
      <c r="F13">
        <v>0</v>
      </c>
      <c r="G13">
        <v>0</v>
      </c>
    </row>
    <row r="14" spans="1:7" x14ac:dyDescent="0.55000000000000004">
      <c r="A14" t="s">
        <v>14</v>
      </c>
      <c r="B14" t="s">
        <v>299</v>
      </c>
      <c r="C14">
        <v>141</v>
      </c>
      <c r="D14">
        <v>1</v>
      </c>
      <c r="E14">
        <v>0</v>
      </c>
      <c r="F14">
        <v>0</v>
      </c>
      <c r="G14">
        <v>0</v>
      </c>
    </row>
    <row r="15" spans="1:7" x14ac:dyDescent="0.55000000000000004">
      <c r="A15" t="s">
        <v>15</v>
      </c>
      <c r="B15" t="s">
        <v>299</v>
      </c>
      <c r="C15">
        <v>141</v>
      </c>
      <c r="D15">
        <v>1</v>
      </c>
      <c r="E15">
        <v>0</v>
      </c>
      <c r="F15">
        <v>0</v>
      </c>
      <c r="G15">
        <v>0</v>
      </c>
    </row>
    <row r="16" spans="1:7" x14ac:dyDescent="0.55000000000000004">
      <c r="A16" t="s">
        <v>16</v>
      </c>
      <c r="B16" t="s">
        <v>299</v>
      </c>
      <c r="C16">
        <v>140</v>
      </c>
      <c r="D16">
        <v>1</v>
      </c>
      <c r="E16">
        <v>0</v>
      </c>
      <c r="F16">
        <v>0</v>
      </c>
      <c r="G16">
        <v>0</v>
      </c>
    </row>
    <row r="17" spans="1:7" x14ac:dyDescent="0.55000000000000004">
      <c r="A17" t="s">
        <v>17</v>
      </c>
      <c r="B17" t="s">
        <v>299</v>
      </c>
      <c r="C17">
        <v>139</v>
      </c>
      <c r="D17">
        <v>1</v>
      </c>
      <c r="E17">
        <v>0</v>
      </c>
      <c r="F17">
        <v>0</v>
      </c>
      <c r="G17">
        <v>0</v>
      </c>
    </row>
    <row r="18" spans="1:7" x14ac:dyDescent="0.55000000000000004">
      <c r="A18" t="s">
        <v>18</v>
      </c>
      <c r="B18" t="s">
        <v>299</v>
      </c>
      <c r="C18">
        <v>141</v>
      </c>
      <c r="D18">
        <v>1</v>
      </c>
      <c r="E18">
        <v>0</v>
      </c>
      <c r="F18">
        <v>0</v>
      </c>
      <c r="G18">
        <v>0</v>
      </c>
    </row>
    <row r="19" spans="1:7" x14ac:dyDescent="0.55000000000000004">
      <c r="A19" t="s">
        <v>19</v>
      </c>
      <c r="B19" t="s">
        <v>299</v>
      </c>
      <c r="C19">
        <v>142</v>
      </c>
      <c r="D19">
        <v>1</v>
      </c>
      <c r="E19">
        <v>0</v>
      </c>
      <c r="F19">
        <v>0</v>
      </c>
      <c r="G19">
        <v>0</v>
      </c>
    </row>
    <row r="20" spans="1:7" x14ac:dyDescent="0.55000000000000004">
      <c r="A20" t="s">
        <v>34</v>
      </c>
      <c r="B20" t="s">
        <v>299</v>
      </c>
      <c r="C20">
        <v>141</v>
      </c>
      <c r="D20">
        <v>1</v>
      </c>
      <c r="E20">
        <v>0</v>
      </c>
      <c r="F20">
        <v>0</v>
      </c>
      <c r="G20">
        <v>0</v>
      </c>
    </row>
    <row r="21" spans="1:7" x14ac:dyDescent="0.55000000000000004">
      <c r="A21" t="s">
        <v>21</v>
      </c>
      <c r="B21" t="s">
        <v>299</v>
      </c>
      <c r="C21">
        <v>142</v>
      </c>
      <c r="D21">
        <v>1</v>
      </c>
      <c r="E21">
        <v>0</v>
      </c>
      <c r="F21">
        <v>0</v>
      </c>
      <c r="G21">
        <v>0</v>
      </c>
    </row>
    <row r="22" spans="1:7" x14ac:dyDescent="0.55000000000000004">
      <c r="A22" t="s">
        <v>22</v>
      </c>
      <c r="B22" t="s">
        <v>299</v>
      </c>
      <c r="C22">
        <v>140</v>
      </c>
      <c r="D22">
        <v>1</v>
      </c>
      <c r="E22">
        <v>0</v>
      </c>
      <c r="F22">
        <v>0</v>
      </c>
      <c r="G22">
        <v>0</v>
      </c>
    </row>
    <row r="23" spans="1:7" x14ac:dyDescent="0.55000000000000004">
      <c r="A23" t="s">
        <v>23</v>
      </c>
      <c r="B23" t="s">
        <v>299</v>
      </c>
      <c r="C23">
        <v>141</v>
      </c>
      <c r="D23">
        <v>1</v>
      </c>
      <c r="E23">
        <v>0</v>
      </c>
      <c r="F23">
        <v>0</v>
      </c>
      <c r="G23">
        <v>0</v>
      </c>
    </row>
    <row r="24" spans="1:7" x14ac:dyDescent="0.55000000000000004">
      <c r="A24" t="s">
        <v>24</v>
      </c>
      <c r="B24" t="s">
        <v>299</v>
      </c>
      <c r="C24">
        <v>139</v>
      </c>
      <c r="D24">
        <v>1</v>
      </c>
      <c r="E24">
        <v>0</v>
      </c>
      <c r="F24">
        <v>0</v>
      </c>
      <c r="G24">
        <v>0</v>
      </c>
    </row>
    <row r="25" spans="1:7" x14ac:dyDescent="0.55000000000000004">
      <c r="A25" t="s">
        <v>25</v>
      </c>
      <c r="B25" t="s">
        <v>299</v>
      </c>
      <c r="C25">
        <v>138</v>
      </c>
      <c r="D25">
        <v>1</v>
      </c>
      <c r="E25">
        <v>0</v>
      </c>
      <c r="F25">
        <v>0</v>
      </c>
      <c r="G25">
        <v>0</v>
      </c>
    </row>
    <row r="26" spans="1:7" x14ac:dyDescent="0.55000000000000004">
      <c r="A26" t="s">
        <v>26</v>
      </c>
      <c r="B26" t="s">
        <v>299</v>
      </c>
      <c r="C26">
        <v>141</v>
      </c>
      <c r="D26">
        <v>1</v>
      </c>
      <c r="E26">
        <v>0</v>
      </c>
      <c r="F26">
        <v>0</v>
      </c>
      <c r="G26">
        <v>0</v>
      </c>
    </row>
    <row r="27" spans="1:7" x14ac:dyDescent="0.55000000000000004">
      <c r="A27" t="s">
        <v>27</v>
      </c>
      <c r="B27" t="s">
        <v>299</v>
      </c>
      <c r="C27">
        <v>140</v>
      </c>
      <c r="D27">
        <v>1</v>
      </c>
      <c r="E27">
        <v>0</v>
      </c>
      <c r="F27">
        <v>0</v>
      </c>
      <c r="G27">
        <v>0</v>
      </c>
    </row>
    <row r="28" spans="1:7" x14ac:dyDescent="0.55000000000000004">
      <c r="A28" t="s">
        <v>28</v>
      </c>
      <c r="B28" t="s">
        <v>299</v>
      </c>
      <c r="C28">
        <v>140</v>
      </c>
      <c r="D28">
        <v>1</v>
      </c>
      <c r="E28">
        <v>0</v>
      </c>
      <c r="F28">
        <v>0</v>
      </c>
      <c r="G28">
        <v>0</v>
      </c>
    </row>
    <row r="29" spans="1:7" x14ac:dyDescent="0.55000000000000004">
      <c r="A29" t="s">
        <v>29</v>
      </c>
      <c r="B29" t="s">
        <v>299</v>
      </c>
      <c r="C29">
        <v>139</v>
      </c>
      <c r="D29">
        <v>1</v>
      </c>
      <c r="E29">
        <v>0</v>
      </c>
      <c r="F29">
        <v>0</v>
      </c>
      <c r="G29">
        <v>0</v>
      </c>
    </row>
    <row r="30" spans="1:7" x14ac:dyDescent="0.55000000000000004">
      <c r="A30" t="s">
        <v>30</v>
      </c>
      <c r="B30" t="s">
        <v>299</v>
      </c>
      <c r="C30">
        <v>139</v>
      </c>
      <c r="D30">
        <v>1</v>
      </c>
      <c r="E30">
        <v>0</v>
      </c>
      <c r="F30">
        <v>0</v>
      </c>
      <c r="G30">
        <v>0</v>
      </c>
    </row>
    <row r="31" spans="1:7" x14ac:dyDescent="0.55000000000000004">
      <c r="A31" t="s">
        <v>31</v>
      </c>
      <c r="B31" t="s">
        <v>299</v>
      </c>
      <c r="C31">
        <v>142</v>
      </c>
      <c r="D31">
        <v>1</v>
      </c>
      <c r="E31">
        <v>0</v>
      </c>
      <c r="F31">
        <v>0</v>
      </c>
      <c r="G31">
        <v>0</v>
      </c>
    </row>
    <row r="32" spans="1:7" x14ac:dyDescent="0.55000000000000004">
      <c r="A32" t="s">
        <v>32</v>
      </c>
      <c r="B32" t="s">
        <v>299</v>
      </c>
      <c r="C32">
        <v>143</v>
      </c>
      <c r="D32">
        <v>1</v>
      </c>
      <c r="E32">
        <v>0</v>
      </c>
      <c r="F32">
        <v>0</v>
      </c>
      <c r="G32">
        <v>0</v>
      </c>
    </row>
    <row r="33" spans="1:7" x14ac:dyDescent="0.55000000000000004">
      <c r="A33" t="s">
        <v>33</v>
      </c>
      <c r="B33" t="s">
        <v>299</v>
      </c>
      <c r="C33">
        <v>140</v>
      </c>
      <c r="D33">
        <v>1</v>
      </c>
      <c r="E33">
        <v>0</v>
      </c>
      <c r="F33">
        <v>0</v>
      </c>
      <c r="G33">
        <v>0</v>
      </c>
    </row>
    <row r="34" spans="1:7" x14ac:dyDescent="0.55000000000000004">
      <c r="A34" t="s">
        <v>35</v>
      </c>
      <c r="B34" t="s">
        <v>299</v>
      </c>
      <c r="C34">
        <v>136</v>
      </c>
      <c r="D34">
        <v>1</v>
      </c>
      <c r="E34">
        <v>0</v>
      </c>
      <c r="F34">
        <v>0</v>
      </c>
      <c r="G34">
        <v>0</v>
      </c>
    </row>
    <row r="35" spans="1:7" x14ac:dyDescent="0.55000000000000004">
      <c r="A35" t="s">
        <v>36</v>
      </c>
      <c r="B35" t="s">
        <v>299</v>
      </c>
      <c r="C35">
        <v>139</v>
      </c>
      <c r="D35">
        <v>1</v>
      </c>
      <c r="E35">
        <v>0</v>
      </c>
      <c r="F35">
        <v>0</v>
      </c>
      <c r="G35">
        <v>0</v>
      </c>
    </row>
    <row r="36" spans="1:7" x14ac:dyDescent="0.55000000000000004">
      <c r="A36" t="s">
        <v>37</v>
      </c>
      <c r="B36" t="s">
        <v>299</v>
      </c>
      <c r="C36">
        <v>137</v>
      </c>
      <c r="D36">
        <v>1</v>
      </c>
      <c r="E36">
        <v>0</v>
      </c>
      <c r="F36">
        <v>0</v>
      </c>
      <c r="G36">
        <v>0</v>
      </c>
    </row>
    <row r="37" spans="1:7" x14ac:dyDescent="0.55000000000000004">
      <c r="A37" t="s">
        <v>44</v>
      </c>
      <c r="B37" t="s">
        <v>299</v>
      </c>
      <c r="C37">
        <v>135</v>
      </c>
      <c r="D37">
        <v>1</v>
      </c>
      <c r="E37">
        <v>0</v>
      </c>
      <c r="F37">
        <v>0</v>
      </c>
      <c r="G37">
        <v>0</v>
      </c>
    </row>
    <row r="38" spans="1:7" x14ac:dyDescent="0.55000000000000004">
      <c r="A38" t="s">
        <v>45</v>
      </c>
      <c r="B38" t="s">
        <v>299</v>
      </c>
      <c r="C38">
        <v>136</v>
      </c>
      <c r="D38">
        <v>1</v>
      </c>
      <c r="E38">
        <v>0</v>
      </c>
      <c r="F38">
        <v>0</v>
      </c>
      <c r="G38">
        <v>0</v>
      </c>
    </row>
    <row r="39" spans="1:7" x14ac:dyDescent="0.55000000000000004">
      <c r="A39" t="s">
        <v>46</v>
      </c>
      <c r="B39" t="s">
        <v>299</v>
      </c>
      <c r="C39">
        <v>136</v>
      </c>
      <c r="D39">
        <v>1</v>
      </c>
      <c r="E39">
        <v>0</v>
      </c>
      <c r="F39">
        <v>0</v>
      </c>
      <c r="G39">
        <v>0</v>
      </c>
    </row>
    <row r="40" spans="1:7" x14ac:dyDescent="0.55000000000000004">
      <c r="A40" t="s">
        <v>47</v>
      </c>
      <c r="B40" t="s">
        <v>299</v>
      </c>
      <c r="C40">
        <v>138</v>
      </c>
      <c r="D40">
        <v>1</v>
      </c>
      <c r="E40">
        <v>0</v>
      </c>
      <c r="F40">
        <v>0</v>
      </c>
      <c r="G40">
        <v>0</v>
      </c>
    </row>
    <row r="41" spans="1:7" x14ac:dyDescent="0.55000000000000004">
      <c r="A41" t="s">
        <v>48</v>
      </c>
      <c r="B41" t="s">
        <v>299</v>
      </c>
      <c r="C41">
        <v>137</v>
      </c>
      <c r="D41">
        <v>1</v>
      </c>
      <c r="E41">
        <v>0</v>
      </c>
      <c r="F41">
        <v>0</v>
      </c>
      <c r="G41">
        <v>0</v>
      </c>
    </row>
    <row r="42" spans="1:7" x14ac:dyDescent="0.55000000000000004">
      <c r="A42" t="s">
        <v>49</v>
      </c>
      <c r="B42" t="s">
        <v>299</v>
      </c>
      <c r="C42">
        <v>138</v>
      </c>
      <c r="D42">
        <v>1</v>
      </c>
      <c r="E42">
        <v>0</v>
      </c>
      <c r="F42">
        <v>0</v>
      </c>
      <c r="G42">
        <v>0</v>
      </c>
    </row>
    <row r="43" spans="1:7" x14ac:dyDescent="0.55000000000000004">
      <c r="A43" t="s">
        <v>50</v>
      </c>
      <c r="B43" t="s">
        <v>299</v>
      </c>
      <c r="C43">
        <v>139</v>
      </c>
      <c r="D43">
        <v>1</v>
      </c>
      <c r="E43">
        <v>0</v>
      </c>
      <c r="F43">
        <v>0</v>
      </c>
      <c r="G43">
        <v>0</v>
      </c>
    </row>
    <row r="44" spans="1:7" x14ac:dyDescent="0.55000000000000004">
      <c r="A44" t="s">
        <v>51</v>
      </c>
      <c r="B44" t="s">
        <v>299</v>
      </c>
      <c r="C44">
        <v>137</v>
      </c>
      <c r="D44">
        <v>1</v>
      </c>
      <c r="E44">
        <v>0</v>
      </c>
      <c r="F44">
        <v>0</v>
      </c>
      <c r="G44">
        <v>0</v>
      </c>
    </row>
    <row r="45" spans="1:7" x14ac:dyDescent="0.55000000000000004">
      <c r="A45" t="s">
        <v>52</v>
      </c>
      <c r="B45" t="s">
        <v>299</v>
      </c>
      <c r="C45">
        <v>134</v>
      </c>
      <c r="D45">
        <v>1</v>
      </c>
      <c r="E45">
        <v>0</v>
      </c>
      <c r="F45">
        <v>0</v>
      </c>
      <c r="G45">
        <v>0</v>
      </c>
    </row>
    <row r="46" spans="1:7" x14ac:dyDescent="0.55000000000000004">
      <c r="A46" t="s">
        <v>53</v>
      </c>
      <c r="B46" t="s">
        <v>299</v>
      </c>
      <c r="C46">
        <v>131</v>
      </c>
      <c r="D46">
        <v>1</v>
      </c>
      <c r="E46">
        <v>0</v>
      </c>
      <c r="F46">
        <v>0</v>
      </c>
      <c r="G46">
        <v>0</v>
      </c>
    </row>
    <row r="47" spans="1:7" x14ac:dyDescent="0.55000000000000004">
      <c r="A47" t="s">
        <v>54</v>
      </c>
      <c r="B47" t="s">
        <v>299</v>
      </c>
      <c r="C47">
        <v>131</v>
      </c>
      <c r="D47">
        <v>1</v>
      </c>
      <c r="E47">
        <v>0</v>
      </c>
      <c r="F47">
        <v>0</v>
      </c>
      <c r="G47">
        <v>0</v>
      </c>
    </row>
    <row r="48" spans="1:7" x14ac:dyDescent="0.55000000000000004">
      <c r="A48" t="s">
        <v>55</v>
      </c>
      <c r="B48" t="s">
        <v>299</v>
      </c>
      <c r="C48">
        <v>131</v>
      </c>
      <c r="D48">
        <v>1</v>
      </c>
      <c r="E48">
        <v>0</v>
      </c>
      <c r="F48">
        <v>0</v>
      </c>
      <c r="G48">
        <v>0</v>
      </c>
    </row>
    <row r="49" spans="1:7" x14ac:dyDescent="0.55000000000000004">
      <c r="A49" t="s">
        <v>56</v>
      </c>
      <c r="B49" t="s">
        <v>299</v>
      </c>
      <c r="C49">
        <v>131</v>
      </c>
      <c r="D49">
        <v>1</v>
      </c>
      <c r="E49">
        <v>0</v>
      </c>
      <c r="F49">
        <v>0</v>
      </c>
      <c r="G49">
        <v>0</v>
      </c>
    </row>
    <row r="50" spans="1:7" x14ac:dyDescent="0.55000000000000004">
      <c r="A50" t="s">
        <v>57</v>
      </c>
      <c r="B50" t="s">
        <v>299</v>
      </c>
      <c r="C50">
        <v>130</v>
      </c>
      <c r="D50">
        <v>1</v>
      </c>
      <c r="E50">
        <v>0</v>
      </c>
      <c r="F50">
        <v>0</v>
      </c>
      <c r="G50">
        <v>0</v>
      </c>
    </row>
    <row r="51" spans="1:7" x14ac:dyDescent="0.55000000000000004">
      <c r="A51" t="s">
        <v>58</v>
      </c>
      <c r="B51" t="s">
        <v>299</v>
      </c>
      <c r="C51">
        <v>130</v>
      </c>
      <c r="D51">
        <v>1</v>
      </c>
      <c r="E51">
        <v>0</v>
      </c>
      <c r="F51">
        <v>0</v>
      </c>
      <c r="G51">
        <v>0</v>
      </c>
    </row>
    <row r="52" spans="1:7" x14ac:dyDescent="0.55000000000000004">
      <c r="A52" t="s">
        <v>59</v>
      </c>
      <c r="B52" t="s">
        <v>299</v>
      </c>
      <c r="C52">
        <v>133</v>
      </c>
      <c r="D52">
        <v>1</v>
      </c>
      <c r="E52">
        <v>0</v>
      </c>
      <c r="F52">
        <v>0</v>
      </c>
      <c r="G52">
        <v>0</v>
      </c>
    </row>
    <row r="53" spans="1:7" x14ac:dyDescent="0.55000000000000004">
      <c r="A53" t="s">
        <v>60</v>
      </c>
      <c r="B53" t="s">
        <v>299</v>
      </c>
      <c r="C53">
        <v>130</v>
      </c>
      <c r="D53">
        <v>1</v>
      </c>
      <c r="E53">
        <v>0</v>
      </c>
      <c r="F53">
        <v>0</v>
      </c>
      <c r="G53">
        <v>0</v>
      </c>
    </row>
    <row r="54" spans="1:7" x14ac:dyDescent="0.55000000000000004">
      <c r="A54" t="s">
        <v>61</v>
      </c>
      <c r="B54" t="s">
        <v>299</v>
      </c>
      <c r="C54">
        <v>132</v>
      </c>
      <c r="D54">
        <v>1</v>
      </c>
      <c r="E54">
        <v>0</v>
      </c>
      <c r="F54">
        <v>0</v>
      </c>
      <c r="G54">
        <v>0</v>
      </c>
    </row>
    <row r="55" spans="1:7" x14ac:dyDescent="0.55000000000000004">
      <c r="A55" t="s">
        <v>62</v>
      </c>
      <c r="B55" t="s">
        <v>299</v>
      </c>
      <c r="C55">
        <v>131</v>
      </c>
      <c r="D55">
        <v>1</v>
      </c>
      <c r="E55">
        <v>0</v>
      </c>
      <c r="F55">
        <v>0</v>
      </c>
      <c r="G55">
        <v>0</v>
      </c>
    </row>
    <row r="56" spans="1:7" x14ac:dyDescent="0.55000000000000004">
      <c r="A56" t="s">
        <v>63</v>
      </c>
      <c r="B56" t="s">
        <v>299</v>
      </c>
      <c r="C56">
        <v>133</v>
      </c>
      <c r="D56">
        <v>1</v>
      </c>
      <c r="E56">
        <v>0</v>
      </c>
      <c r="F56">
        <v>0</v>
      </c>
      <c r="G56">
        <v>0</v>
      </c>
    </row>
    <row r="57" spans="1:7" x14ac:dyDescent="0.55000000000000004">
      <c r="A57" t="s">
        <v>39</v>
      </c>
      <c r="B57" t="s">
        <v>299</v>
      </c>
      <c r="C57">
        <v>133</v>
      </c>
      <c r="D57">
        <v>1</v>
      </c>
      <c r="E57">
        <v>0</v>
      </c>
      <c r="F57">
        <v>0</v>
      </c>
      <c r="G57">
        <v>0</v>
      </c>
    </row>
    <row r="58" spans="1:7" x14ac:dyDescent="0.55000000000000004">
      <c r="A58" t="s">
        <v>64</v>
      </c>
      <c r="B58" t="s">
        <v>299</v>
      </c>
      <c r="C58">
        <v>133</v>
      </c>
      <c r="D58">
        <v>1</v>
      </c>
      <c r="E58">
        <v>0</v>
      </c>
      <c r="F58">
        <v>0</v>
      </c>
      <c r="G58">
        <v>0</v>
      </c>
    </row>
    <row r="59" spans="1:7" x14ac:dyDescent="0.55000000000000004">
      <c r="A59" t="s">
        <v>65</v>
      </c>
      <c r="B59" t="s">
        <v>299</v>
      </c>
      <c r="C59">
        <v>131</v>
      </c>
      <c r="D59">
        <v>1</v>
      </c>
      <c r="E59">
        <v>0</v>
      </c>
      <c r="F59">
        <v>0</v>
      </c>
      <c r="G59">
        <v>0</v>
      </c>
    </row>
    <row r="60" spans="1:7" x14ac:dyDescent="0.55000000000000004">
      <c r="A60" t="s">
        <v>66</v>
      </c>
      <c r="B60" t="s">
        <v>299</v>
      </c>
      <c r="C60">
        <v>130</v>
      </c>
      <c r="D60">
        <v>1</v>
      </c>
      <c r="E60">
        <v>0</v>
      </c>
      <c r="F60">
        <v>0</v>
      </c>
      <c r="G60">
        <v>0</v>
      </c>
    </row>
    <row r="61" spans="1:7" x14ac:dyDescent="0.55000000000000004">
      <c r="A61" t="s">
        <v>67</v>
      </c>
      <c r="B61" t="s">
        <v>299</v>
      </c>
      <c r="C61">
        <v>128</v>
      </c>
      <c r="D61">
        <v>1</v>
      </c>
      <c r="E61">
        <v>0</v>
      </c>
      <c r="F61">
        <v>0</v>
      </c>
      <c r="G61">
        <v>0</v>
      </c>
    </row>
    <row r="62" spans="1:7" x14ac:dyDescent="0.55000000000000004">
      <c r="A62" t="s">
        <v>68</v>
      </c>
      <c r="B62" t="s">
        <v>299</v>
      </c>
      <c r="C62">
        <v>129</v>
      </c>
      <c r="D62">
        <v>1</v>
      </c>
      <c r="E62">
        <v>0</v>
      </c>
      <c r="F62">
        <v>0</v>
      </c>
      <c r="G62">
        <v>0</v>
      </c>
    </row>
    <row r="63" spans="1:7" x14ac:dyDescent="0.55000000000000004">
      <c r="A63" t="s">
        <v>69</v>
      </c>
      <c r="B63" t="s">
        <v>299</v>
      </c>
      <c r="C63">
        <v>129</v>
      </c>
      <c r="D63">
        <v>1</v>
      </c>
      <c r="E63">
        <v>0</v>
      </c>
      <c r="F63">
        <v>0</v>
      </c>
      <c r="G63">
        <v>0</v>
      </c>
    </row>
    <row r="64" spans="1:7" x14ac:dyDescent="0.55000000000000004">
      <c r="A64" t="s">
        <v>70</v>
      </c>
      <c r="B64" t="s">
        <v>299</v>
      </c>
      <c r="C64">
        <v>126</v>
      </c>
      <c r="D64">
        <v>1</v>
      </c>
      <c r="E64">
        <v>0</v>
      </c>
      <c r="F64">
        <v>0</v>
      </c>
      <c r="G64">
        <v>0</v>
      </c>
    </row>
    <row r="65" spans="1:7" x14ac:dyDescent="0.55000000000000004">
      <c r="A65" t="s">
        <v>71</v>
      </c>
      <c r="B65" t="s">
        <v>299</v>
      </c>
      <c r="C65">
        <v>126</v>
      </c>
      <c r="D65">
        <v>1</v>
      </c>
      <c r="E65">
        <v>0</v>
      </c>
      <c r="F65">
        <v>0</v>
      </c>
      <c r="G65">
        <v>0</v>
      </c>
    </row>
    <row r="66" spans="1:7" x14ac:dyDescent="0.55000000000000004">
      <c r="A66" t="s">
        <v>72</v>
      </c>
      <c r="B66" t="s">
        <v>299</v>
      </c>
      <c r="C66">
        <v>128</v>
      </c>
      <c r="D66">
        <v>1</v>
      </c>
      <c r="E66">
        <v>0</v>
      </c>
      <c r="F66">
        <v>0</v>
      </c>
      <c r="G66">
        <v>0</v>
      </c>
    </row>
    <row r="67" spans="1:7" x14ac:dyDescent="0.55000000000000004">
      <c r="A67" t="s">
        <v>73</v>
      </c>
      <c r="B67" t="s">
        <v>299</v>
      </c>
      <c r="C67">
        <v>129</v>
      </c>
      <c r="D67">
        <v>1</v>
      </c>
      <c r="E67">
        <v>0</v>
      </c>
      <c r="F67">
        <v>0</v>
      </c>
      <c r="G67">
        <v>0</v>
      </c>
    </row>
    <row r="68" spans="1:7" x14ac:dyDescent="0.55000000000000004">
      <c r="A68" t="s">
        <v>74</v>
      </c>
      <c r="B68" t="s">
        <v>299</v>
      </c>
      <c r="C68">
        <v>129</v>
      </c>
      <c r="D68">
        <v>1</v>
      </c>
      <c r="E68">
        <v>0</v>
      </c>
      <c r="F68">
        <v>0</v>
      </c>
      <c r="G68">
        <v>0</v>
      </c>
    </row>
    <row r="69" spans="1:7" x14ac:dyDescent="0.55000000000000004">
      <c r="A69" t="s">
        <v>75</v>
      </c>
      <c r="B69" t="s">
        <v>299</v>
      </c>
      <c r="C69">
        <v>128</v>
      </c>
      <c r="D69">
        <v>1</v>
      </c>
      <c r="E69">
        <v>0</v>
      </c>
      <c r="F69">
        <v>0</v>
      </c>
      <c r="G69">
        <v>0</v>
      </c>
    </row>
    <row r="70" spans="1:7" x14ac:dyDescent="0.55000000000000004">
      <c r="A70" t="s">
        <v>76</v>
      </c>
      <c r="B70" t="s">
        <v>299</v>
      </c>
      <c r="C70">
        <v>127</v>
      </c>
      <c r="D70">
        <v>1</v>
      </c>
      <c r="E70">
        <v>0</v>
      </c>
      <c r="F70">
        <v>0</v>
      </c>
      <c r="G70">
        <v>0</v>
      </c>
    </row>
    <row r="71" spans="1:7" x14ac:dyDescent="0.55000000000000004">
      <c r="A71" t="s">
        <v>77</v>
      </c>
      <c r="B71" t="s">
        <v>299</v>
      </c>
      <c r="C71">
        <v>127</v>
      </c>
      <c r="D71">
        <v>1</v>
      </c>
      <c r="E71">
        <v>0</v>
      </c>
      <c r="F71">
        <v>0</v>
      </c>
      <c r="G71">
        <v>0</v>
      </c>
    </row>
    <row r="72" spans="1:7" x14ac:dyDescent="0.55000000000000004">
      <c r="A72" t="s">
        <v>78</v>
      </c>
      <c r="B72" t="s">
        <v>299</v>
      </c>
      <c r="C72">
        <v>127</v>
      </c>
      <c r="D72">
        <v>1</v>
      </c>
      <c r="E72">
        <v>0</v>
      </c>
      <c r="F72">
        <v>0</v>
      </c>
      <c r="G72">
        <v>0</v>
      </c>
    </row>
    <row r="73" spans="1:7" x14ac:dyDescent="0.55000000000000004">
      <c r="A73" t="s">
        <v>79</v>
      </c>
      <c r="B73" t="s">
        <v>299</v>
      </c>
      <c r="C73">
        <v>130</v>
      </c>
      <c r="D73">
        <v>1</v>
      </c>
      <c r="E73">
        <v>0</v>
      </c>
      <c r="F73">
        <v>0</v>
      </c>
      <c r="G73">
        <v>0</v>
      </c>
    </row>
    <row r="74" spans="1:7" x14ac:dyDescent="0.55000000000000004">
      <c r="A74" t="s">
        <v>80</v>
      </c>
      <c r="B74" t="s">
        <v>299</v>
      </c>
      <c r="C74">
        <v>127</v>
      </c>
      <c r="D74">
        <v>1</v>
      </c>
      <c r="E74">
        <v>0</v>
      </c>
      <c r="F74">
        <v>0</v>
      </c>
      <c r="G74">
        <v>0</v>
      </c>
    </row>
    <row r="75" spans="1:7" x14ac:dyDescent="0.55000000000000004">
      <c r="A75" t="s">
        <v>81</v>
      </c>
      <c r="B75" t="s">
        <v>299</v>
      </c>
      <c r="C75">
        <v>127</v>
      </c>
      <c r="D75">
        <v>1</v>
      </c>
      <c r="E75">
        <v>0</v>
      </c>
      <c r="F75">
        <v>0</v>
      </c>
      <c r="G75">
        <v>0</v>
      </c>
    </row>
    <row r="76" spans="1:7" x14ac:dyDescent="0.55000000000000004">
      <c r="A76" t="s">
        <v>82</v>
      </c>
      <c r="B76" t="s">
        <v>299</v>
      </c>
      <c r="C76">
        <v>127</v>
      </c>
      <c r="D76">
        <v>1</v>
      </c>
      <c r="E76">
        <v>0</v>
      </c>
      <c r="F76">
        <v>0</v>
      </c>
      <c r="G76">
        <v>0</v>
      </c>
    </row>
    <row r="77" spans="1:7" x14ac:dyDescent="0.55000000000000004">
      <c r="A77" t="s">
        <v>83</v>
      </c>
      <c r="B77" t="s">
        <v>299</v>
      </c>
      <c r="C77">
        <v>122</v>
      </c>
      <c r="D77">
        <v>1</v>
      </c>
      <c r="E77">
        <v>0</v>
      </c>
      <c r="F77">
        <v>0</v>
      </c>
      <c r="G77">
        <v>0</v>
      </c>
    </row>
    <row r="78" spans="1:7" x14ac:dyDescent="0.55000000000000004">
      <c r="A78" t="s">
        <v>84</v>
      </c>
      <c r="B78" t="s">
        <v>299</v>
      </c>
      <c r="C78">
        <v>122</v>
      </c>
      <c r="D78">
        <v>1</v>
      </c>
      <c r="E78">
        <v>0</v>
      </c>
      <c r="F78">
        <v>0</v>
      </c>
      <c r="G78">
        <v>0</v>
      </c>
    </row>
    <row r="79" spans="1:7" x14ac:dyDescent="0.55000000000000004">
      <c r="A79" t="s">
        <v>85</v>
      </c>
      <c r="B79" t="s">
        <v>299</v>
      </c>
      <c r="C79">
        <v>123</v>
      </c>
      <c r="D79">
        <v>1</v>
      </c>
      <c r="E79">
        <v>0</v>
      </c>
      <c r="F79">
        <v>0</v>
      </c>
      <c r="G79">
        <v>0</v>
      </c>
    </row>
    <row r="80" spans="1:7" x14ac:dyDescent="0.55000000000000004">
      <c r="A80" t="s">
        <v>86</v>
      </c>
      <c r="B80" t="s">
        <v>299</v>
      </c>
      <c r="C80">
        <v>124</v>
      </c>
      <c r="D80">
        <v>1</v>
      </c>
      <c r="E80">
        <v>0</v>
      </c>
      <c r="F80">
        <v>0</v>
      </c>
      <c r="G80">
        <v>0</v>
      </c>
    </row>
    <row r="81" spans="1:7" x14ac:dyDescent="0.55000000000000004">
      <c r="A81" t="s">
        <v>87</v>
      </c>
      <c r="B81" t="s">
        <v>299</v>
      </c>
      <c r="C81">
        <v>126</v>
      </c>
      <c r="D81">
        <v>1</v>
      </c>
      <c r="E81">
        <v>0</v>
      </c>
      <c r="F81">
        <v>0</v>
      </c>
      <c r="G81">
        <v>0</v>
      </c>
    </row>
    <row r="82" spans="1:7" x14ac:dyDescent="0.55000000000000004">
      <c r="A82" t="s">
        <v>88</v>
      </c>
      <c r="B82" t="s">
        <v>299</v>
      </c>
      <c r="C82">
        <v>123</v>
      </c>
      <c r="D82">
        <v>1</v>
      </c>
      <c r="E82">
        <v>0</v>
      </c>
      <c r="F82">
        <v>0</v>
      </c>
      <c r="G82">
        <v>0</v>
      </c>
    </row>
    <row r="83" spans="1:7" x14ac:dyDescent="0.55000000000000004">
      <c r="A83" t="s">
        <v>89</v>
      </c>
      <c r="B83" t="s">
        <v>299</v>
      </c>
      <c r="C83">
        <v>123</v>
      </c>
      <c r="D83">
        <v>1</v>
      </c>
      <c r="E83">
        <v>0</v>
      </c>
      <c r="F83">
        <v>0</v>
      </c>
      <c r="G83">
        <v>0</v>
      </c>
    </row>
    <row r="84" spans="1:7" x14ac:dyDescent="0.55000000000000004">
      <c r="A84" t="s">
        <v>90</v>
      </c>
      <c r="B84" t="s">
        <v>299</v>
      </c>
      <c r="C84">
        <v>125</v>
      </c>
      <c r="D84">
        <v>1</v>
      </c>
      <c r="E84">
        <v>0</v>
      </c>
      <c r="F84">
        <v>0</v>
      </c>
      <c r="G84">
        <v>0</v>
      </c>
    </row>
    <row r="85" spans="1:7" x14ac:dyDescent="0.55000000000000004">
      <c r="A85" t="s">
        <v>91</v>
      </c>
      <c r="B85" t="s">
        <v>299</v>
      </c>
      <c r="C85">
        <v>123</v>
      </c>
      <c r="D85">
        <v>1</v>
      </c>
      <c r="E85">
        <v>0</v>
      </c>
      <c r="F85">
        <v>0</v>
      </c>
      <c r="G85">
        <v>0</v>
      </c>
    </row>
    <row r="86" spans="1:7" x14ac:dyDescent="0.55000000000000004">
      <c r="A86" t="s">
        <v>92</v>
      </c>
      <c r="B86" t="s">
        <v>299</v>
      </c>
      <c r="C86">
        <v>125</v>
      </c>
      <c r="D86">
        <v>1</v>
      </c>
      <c r="E86">
        <v>0</v>
      </c>
      <c r="F86">
        <v>0</v>
      </c>
      <c r="G86">
        <v>0</v>
      </c>
    </row>
    <row r="87" spans="1:7" x14ac:dyDescent="0.55000000000000004">
      <c r="A87" t="s">
        <v>93</v>
      </c>
      <c r="B87" t="s">
        <v>299</v>
      </c>
      <c r="C87">
        <v>123</v>
      </c>
      <c r="D87">
        <v>1</v>
      </c>
      <c r="E87">
        <v>0</v>
      </c>
      <c r="F87">
        <v>0</v>
      </c>
      <c r="G87">
        <v>0</v>
      </c>
    </row>
    <row r="88" spans="1:7" x14ac:dyDescent="0.55000000000000004">
      <c r="A88" t="s">
        <v>94</v>
      </c>
      <c r="B88" t="s">
        <v>299</v>
      </c>
      <c r="C88">
        <v>126</v>
      </c>
      <c r="D88">
        <v>1</v>
      </c>
      <c r="E88">
        <v>0</v>
      </c>
      <c r="F88">
        <v>0</v>
      </c>
      <c r="G88">
        <v>0</v>
      </c>
    </row>
    <row r="89" spans="1:7" x14ac:dyDescent="0.55000000000000004">
      <c r="A89" t="s">
        <v>95</v>
      </c>
      <c r="B89" t="s">
        <v>299</v>
      </c>
      <c r="C89">
        <v>126</v>
      </c>
      <c r="D89">
        <v>1</v>
      </c>
      <c r="E89">
        <v>0</v>
      </c>
      <c r="F89">
        <v>0</v>
      </c>
      <c r="G89">
        <v>0</v>
      </c>
    </row>
    <row r="90" spans="1:7" x14ac:dyDescent="0.55000000000000004">
      <c r="A90" t="s">
        <v>40</v>
      </c>
      <c r="B90" t="s">
        <v>299</v>
      </c>
      <c r="C90">
        <v>124</v>
      </c>
      <c r="D90">
        <v>1</v>
      </c>
      <c r="E90">
        <v>0</v>
      </c>
      <c r="F90">
        <v>0</v>
      </c>
      <c r="G90">
        <v>0</v>
      </c>
    </row>
    <row r="91" spans="1:7" x14ac:dyDescent="0.55000000000000004">
      <c r="A91" t="s">
        <v>96</v>
      </c>
      <c r="B91" t="s">
        <v>299</v>
      </c>
      <c r="C91">
        <v>119</v>
      </c>
      <c r="D91">
        <v>1</v>
      </c>
      <c r="E91">
        <v>0</v>
      </c>
      <c r="F91">
        <v>0</v>
      </c>
      <c r="G91">
        <v>0</v>
      </c>
    </row>
    <row r="92" spans="1:7" x14ac:dyDescent="0.55000000000000004">
      <c r="A92" t="s">
        <v>97</v>
      </c>
      <c r="B92" t="s">
        <v>299</v>
      </c>
      <c r="C92">
        <v>120</v>
      </c>
      <c r="D92">
        <v>1</v>
      </c>
      <c r="E92">
        <v>0</v>
      </c>
      <c r="F92">
        <v>0</v>
      </c>
      <c r="G92">
        <v>0</v>
      </c>
    </row>
    <row r="93" spans="1:7" x14ac:dyDescent="0.55000000000000004">
      <c r="A93" t="s">
        <v>98</v>
      </c>
      <c r="B93" t="s">
        <v>299</v>
      </c>
      <c r="C93">
        <v>119</v>
      </c>
      <c r="D93">
        <v>1</v>
      </c>
      <c r="E93">
        <v>0</v>
      </c>
      <c r="F93">
        <v>0</v>
      </c>
      <c r="G93">
        <v>0</v>
      </c>
    </row>
    <row r="94" spans="1:7" x14ac:dyDescent="0.55000000000000004">
      <c r="A94" t="s">
        <v>99</v>
      </c>
      <c r="B94" t="s">
        <v>299</v>
      </c>
      <c r="C94">
        <v>120</v>
      </c>
      <c r="D94">
        <v>1</v>
      </c>
      <c r="E94">
        <v>0</v>
      </c>
      <c r="F94">
        <v>0</v>
      </c>
      <c r="G94">
        <v>0</v>
      </c>
    </row>
    <row r="95" spans="1:7" x14ac:dyDescent="0.55000000000000004">
      <c r="A95" t="s">
        <v>100</v>
      </c>
      <c r="B95" t="s">
        <v>299</v>
      </c>
      <c r="C95">
        <v>120</v>
      </c>
      <c r="D95">
        <v>1</v>
      </c>
      <c r="E95">
        <v>0</v>
      </c>
      <c r="F95">
        <v>0</v>
      </c>
      <c r="G95">
        <v>0</v>
      </c>
    </row>
    <row r="96" spans="1:7" x14ac:dyDescent="0.55000000000000004">
      <c r="A96" t="s">
        <v>101</v>
      </c>
      <c r="B96" t="s">
        <v>299</v>
      </c>
      <c r="C96">
        <v>119</v>
      </c>
      <c r="D96">
        <v>1</v>
      </c>
      <c r="E96">
        <v>0</v>
      </c>
      <c r="F96">
        <v>0</v>
      </c>
      <c r="G96">
        <v>0</v>
      </c>
    </row>
    <row r="97" spans="1:7" x14ac:dyDescent="0.55000000000000004">
      <c r="A97" t="s">
        <v>102</v>
      </c>
      <c r="B97" t="s">
        <v>299</v>
      </c>
      <c r="C97">
        <v>121</v>
      </c>
      <c r="D97">
        <v>1</v>
      </c>
      <c r="E97">
        <v>0</v>
      </c>
      <c r="F97">
        <v>0</v>
      </c>
      <c r="G97">
        <v>0</v>
      </c>
    </row>
    <row r="98" spans="1:7" x14ac:dyDescent="0.55000000000000004">
      <c r="A98" t="s">
        <v>103</v>
      </c>
      <c r="B98" t="s">
        <v>299</v>
      </c>
      <c r="C98">
        <v>120</v>
      </c>
      <c r="D98">
        <v>1</v>
      </c>
      <c r="E98">
        <v>0</v>
      </c>
      <c r="F98">
        <v>0</v>
      </c>
      <c r="G98">
        <v>0</v>
      </c>
    </row>
    <row r="99" spans="1:7" x14ac:dyDescent="0.55000000000000004">
      <c r="A99" t="s">
        <v>104</v>
      </c>
      <c r="B99" t="s">
        <v>299</v>
      </c>
      <c r="C99">
        <v>119</v>
      </c>
      <c r="D99">
        <v>1</v>
      </c>
      <c r="E99">
        <v>0</v>
      </c>
      <c r="F99">
        <v>0</v>
      </c>
      <c r="G99">
        <v>0</v>
      </c>
    </row>
    <row r="100" spans="1:7" x14ac:dyDescent="0.55000000000000004">
      <c r="A100" t="s">
        <v>105</v>
      </c>
      <c r="B100" t="s">
        <v>299</v>
      </c>
      <c r="C100">
        <v>122</v>
      </c>
      <c r="D100">
        <v>1</v>
      </c>
      <c r="E100">
        <v>0</v>
      </c>
      <c r="F100">
        <v>0</v>
      </c>
      <c r="G100">
        <v>0</v>
      </c>
    </row>
    <row r="101" spans="1:7" x14ac:dyDescent="0.55000000000000004">
      <c r="A101" t="s">
        <v>106</v>
      </c>
      <c r="B101" t="s">
        <v>299</v>
      </c>
      <c r="C101">
        <v>120</v>
      </c>
      <c r="D101">
        <v>1</v>
      </c>
      <c r="E101">
        <v>0</v>
      </c>
      <c r="F101">
        <v>0</v>
      </c>
      <c r="G101">
        <v>0</v>
      </c>
    </row>
    <row r="102" spans="1:7" x14ac:dyDescent="0.55000000000000004">
      <c r="A102" t="s">
        <v>41</v>
      </c>
      <c r="B102" t="s">
        <v>299</v>
      </c>
      <c r="C102">
        <v>122</v>
      </c>
      <c r="D102">
        <v>1</v>
      </c>
      <c r="E102">
        <v>0</v>
      </c>
      <c r="F102">
        <v>0</v>
      </c>
      <c r="G102">
        <v>0</v>
      </c>
    </row>
    <row r="103" spans="1:7" x14ac:dyDescent="0.55000000000000004">
      <c r="A103" t="s">
        <v>42</v>
      </c>
      <c r="B103" t="s">
        <v>299</v>
      </c>
      <c r="C103">
        <v>119</v>
      </c>
      <c r="D103">
        <v>1</v>
      </c>
      <c r="E103">
        <v>0</v>
      </c>
      <c r="F103">
        <v>0</v>
      </c>
      <c r="G103">
        <v>0</v>
      </c>
    </row>
    <row r="104" spans="1:7" x14ac:dyDescent="0.55000000000000004">
      <c r="A104" t="s">
        <v>43</v>
      </c>
      <c r="B104" t="s">
        <v>299</v>
      </c>
      <c r="C104">
        <v>118</v>
      </c>
      <c r="D104">
        <v>1</v>
      </c>
      <c r="E104">
        <v>0</v>
      </c>
      <c r="F104">
        <v>0</v>
      </c>
      <c r="G104">
        <v>0</v>
      </c>
    </row>
    <row r="105" spans="1:7" x14ac:dyDescent="0.55000000000000004">
      <c r="A105" t="s">
        <v>120</v>
      </c>
      <c r="B105" t="s">
        <v>299</v>
      </c>
      <c r="C105">
        <v>141</v>
      </c>
      <c r="D105">
        <v>15</v>
      </c>
      <c r="E105">
        <v>0</v>
      </c>
      <c r="F105">
        <v>0</v>
      </c>
      <c r="G105">
        <v>0</v>
      </c>
    </row>
    <row r="106" spans="1:7" x14ac:dyDescent="0.55000000000000004">
      <c r="A106" t="s">
        <v>121</v>
      </c>
      <c r="B106" t="s">
        <v>299</v>
      </c>
      <c r="C106">
        <v>143</v>
      </c>
      <c r="D106">
        <v>15</v>
      </c>
      <c r="E106">
        <v>0</v>
      </c>
      <c r="F106">
        <v>0</v>
      </c>
      <c r="G106">
        <v>0</v>
      </c>
    </row>
    <row r="107" spans="1:7" x14ac:dyDescent="0.55000000000000004">
      <c r="A107" t="s">
        <v>122</v>
      </c>
      <c r="B107" t="s">
        <v>299</v>
      </c>
      <c r="C107">
        <v>139</v>
      </c>
      <c r="D107">
        <v>15</v>
      </c>
      <c r="E107">
        <v>0</v>
      </c>
      <c r="F107">
        <v>0</v>
      </c>
      <c r="G107">
        <v>0</v>
      </c>
    </row>
    <row r="108" spans="1:7" x14ac:dyDescent="0.55000000000000004">
      <c r="A108" t="s">
        <v>123</v>
      </c>
      <c r="B108" t="s">
        <v>299</v>
      </c>
      <c r="C108">
        <v>141</v>
      </c>
      <c r="D108">
        <v>15</v>
      </c>
      <c r="E108">
        <v>0</v>
      </c>
      <c r="F108">
        <v>0</v>
      </c>
      <c r="G108">
        <v>0</v>
      </c>
    </row>
    <row r="109" spans="1:7" x14ac:dyDescent="0.55000000000000004">
      <c r="A109" t="s">
        <v>124</v>
      </c>
      <c r="B109" t="s">
        <v>299</v>
      </c>
      <c r="C109">
        <v>143</v>
      </c>
      <c r="D109">
        <v>15</v>
      </c>
      <c r="E109">
        <v>0</v>
      </c>
      <c r="F109">
        <v>0</v>
      </c>
      <c r="G109">
        <v>0</v>
      </c>
    </row>
    <row r="110" spans="1:7" x14ac:dyDescent="0.55000000000000004">
      <c r="A110" t="s">
        <v>125</v>
      </c>
      <c r="B110" t="s">
        <v>299</v>
      </c>
      <c r="C110">
        <v>140</v>
      </c>
      <c r="D110">
        <v>15</v>
      </c>
      <c r="E110">
        <v>0</v>
      </c>
      <c r="F110">
        <v>0</v>
      </c>
      <c r="G110">
        <v>0</v>
      </c>
    </row>
    <row r="111" spans="1:7" x14ac:dyDescent="0.55000000000000004">
      <c r="A111" t="s">
        <v>126</v>
      </c>
      <c r="B111" t="s">
        <v>299</v>
      </c>
      <c r="C111">
        <v>140</v>
      </c>
      <c r="D111">
        <v>15</v>
      </c>
      <c r="E111">
        <v>0</v>
      </c>
      <c r="F111">
        <v>0</v>
      </c>
      <c r="G111">
        <v>0</v>
      </c>
    </row>
    <row r="112" spans="1:7" x14ac:dyDescent="0.55000000000000004">
      <c r="A112" t="s">
        <v>127</v>
      </c>
      <c r="B112" t="s">
        <v>299</v>
      </c>
      <c r="C112">
        <v>140</v>
      </c>
      <c r="D112">
        <v>15</v>
      </c>
      <c r="E112">
        <v>0</v>
      </c>
      <c r="F112">
        <v>0</v>
      </c>
      <c r="G112">
        <v>0</v>
      </c>
    </row>
    <row r="113" spans="1:7" x14ac:dyDescent="0.55000000000000004">
      <c r="A113" t="s">
        <v>128</v>
      </c>
      <c r="B113" t="s">
        <v>299</v>
      </c>
      <c r="C113">
        <v>140</v>
      </c>
      <c r="D113">
        <v>15</v>
      </c>
      <c r="E113">
        <v>0</v>
      </c>
      <c r="F113">
        <v>0</v>
      </c>
      <c r="G113">
        <v>0</v>
      </c>
    </row>
    <row r="114" spans="1:7" x14ac:dyDescent="0.55000000000000004">
      <c r="A114" t="s">
        <v>129</v>
      </c>
      <c r="B114" t="s">
        <v>299</v>
      </c>
      <c r="C114">
        <v>137</v>
      </c>
      <c r="D114">
        <v>15</v>
      </c>
      <c r="E114">
        <v>0</v>
      </c>
      <c r="F114">
        <v>0</v>
      </c>
      <c r="G114">
        <v>0</v>
      </c>
    </row>
    <row r="115" spans="1:7" x14ac:dyDescent="0.55000000000000004">
      <c r="A115" t="s">
        <v>130</v>
      </c>
      <c r="B115" t="s">
        <v>299</v>
      </c>
      <c r="C115">
        <v>138</v>
      </c>
      <c r="D115">
        <v>15</v>
      </c>
      <c r="E115">
        <v>0</v>
      </c>
      <c r="F115">
        <v>0</v>
      </c>
      <c r="G115">
        <v>0</v>
      </c>
    </row>
    <row r="116" spans="1:7" x14ac:dyDescent="0.55000000000000004">
      <c r="A116" t="s">
        <v>131</v>
      </c>
      <c r="B116" t="s">
        <v>299</v>
      </c>
      <c r="C116">
        <v>135</v>
      </c>
      <c r="D116">
        <v>15</v>
      </c>
      <c r="E116">
        <v>0</v>
      </c>
      <c r="F116">
        <v>0</v>
      </c>
      <c r="G116">
        <v>0</v>
      </c>
    </row>
    <row r="117" spans="1:7" x14ac:dyDescent="0.55000000000000004">
      <c r="A117" t="s">
        <v>132</v>
      </c>
      <c r="B117" t="s">
        <v>299</v>
      </c>
      <c r="C117">
        <v>137</v>
      </c>
      <c r="D117">
        <v>15</v>
      </c>
      <c r="E117">
        <v>0</v>
      </c>
      <c r="F117">
        <v>0</v>
      </c>
      <c r="G117">
        <v>0</v>
      </c>
    </row>
    <row r="118" spans="1:7" x14ac:dyDescent="0.55000000000000004">
      <c r="A118" t="s">
        <v>133</v>
      </c>
      <c r="B118" t="s">
        <v>299</v>
      </c>
      <c r="C118">
        <v>136</v>
      </c>
      <c r="D118">
        <v>15</v>
      </c>
      <c r="E118">
        <v>0</v>
      </c>
      <c r="F118">
        <v>0</v>
      </c>
      <c r="G118">
        <v>0</v>
      </c>
    </row>
    <row r="119" spans="1:7" x14ac:dyDescent="0.55000000000000004">
      <c r="A119" t="s">
        <v>134</v>
      </c>
      <c r="B119" t="s">
        <v>299</v>
      </c>
      <c r="C119">
        <v>138</v>
      </c>
      <c r="D119">
        <v>15</v>
      </c>
      <c r="E119">
        <v>0</v>
      </c>
      <c r="F119">
        <v>0</v>
      </c>
      <c r="G119">
        <v>0</v>
      </c>
    </row>
    <row r="120" spans="1:7" x14ac:dyDescent="0.55000000000000004">
      <c r="A120" t="s">
        <v>135</v>
      </c>
      <c r="B120" t="s">
        <v>299</v>
      </c>
      <c r="C120">
        <v>138</v>
      </c>
      <c r="D120">
        <v>15</v>
      </c>
      <c r="E120">
        <v>0</v>
      </c>
      <c r="F120">
        <v>0</v>
      </c>
      <c r="G120">
        <v>0</v>
      </c>
    </row>
    <row r="121" spans="1:7" x14ac:dyDescent="0.55000000000000004">
      <c r="A121" t="s">
        <v>136</v>
      </c>
      <c r="B121" t="s">
        <v>299</v>
      </c>
      <c r="C121">
        <v>136</v>
      </c>
      <c r="D121">
        <v>15</v>
      </c>
      <c r="E121">
        <v>0</v>
      </c>
      <c r="F121">
        <v>0</v>
      </c>
      <c r="G121">
        <v>0</v>
      </c>
    </row>
    <row r="122" spans="1:7" x14ac:dyDescent="0.55000000000000004">
      <c r="A122" t="s">
        <v>137</v>
      </c>
      <c r="B122" t="s">
        <v>299</v>
      </c>
      <c r="C122">
        <v>137</v>
      </c>
      <c r="D122">
        <v>15</v>
      </c>
      <c r="E122">
        <v>0</v>
      </c>
      <c r="F122">
        <v>0</v>
      </c>
      <c r="G122">
        <v>0</v>
      </c>
    </row>
    <row r="123" spans="1:7" x14ac:dyDescent="0.55000000000000004">
      <c r="A123" t="s">
        <v>138</v>
      </c>
      <c r="B123" t="s">
        <v>299</v>
      </c>
      <c r="C123">
        <v>135</v>
      </c>
      <c r="D123">
        <v>15</v>
      </c>
      <c r="E123">
        <v>0</v>
      </c>
      <c r="F123">
        <v>0</v>
      </c>
      <c r="G123">
        <v>0</v>
      </c>
    </row>
    <row r="124" spans="1:7" x14ac:dyDescent="0.55000000000000004">
      <c r="A124" t="s">
        <v>139</v>
      </c>
      <c r="B124" t="s">
        <v>299</v>
      </c>
      <c r="C124">
        <v>135</v>
      </c>
      <c r="D124">
        <v>15</v>
      </c>
      <c r="E124">
        <v>0</v>
      </c>
      <c r="F124">
        <v>0</v>
      </c>
      <c r="G124">
        <v>0</v>
      </c>
    </row>
    <row r="125" spans="1:7" x14ac:dyDescent="0.55000000000000004">
      <c r="A125" t="s">
        <v>140</v>
      </c>
      <c r="B125" t="s">
        <v>299</v>
      </c>
      <c r="C125">
        <v>130</v>
      </c>
      <c r="D125">
        <v>15</v>
      </c>
      <c r="E125">
        <v>0</v>
      </c>
      <c r="F125">
        <v>0</v>
      </c>
      <c r="G125">
        <v>0</v>
      </c>
    </row>
    <row r="126" spans="1:7" x14ac:dyDescent="0.55000000000000004">
      <c r="A126" t="s">
        <v>141</v>
      </c>
      <c r="B126" t="s">
        <v>299</v>
      </c>
      <c r="C126">
        <v>131</v>
      </c>
      <c r="D126">
        <v>15</v>
      </c>
      <c r="E126">
        <v>0</v>
      </c>
      <c r="F126">
        <v>0</v>
      </c>
      <c r="G126">
        <v>0</v>
      </c>
    </row>
    <row r="127" spans="1:7" x14ac:dyDescent="0.55000000000000004">
      <c r="A127" t="s">
        <v>142</v>
      </c>
      <c r="B127" t="s">
        <v>299</v>
      </c>
      <c r="C127">
        <v>134</v>
      </c>
      <c r="D127">
        <v>15</v>
      </c>
      <c r="E127">
        <v>0</v>
      </c>
      <c r="F127">
        <v>0</v>
      </c>
      <c r="G127">
        <v>0</v>
      </c>
    </row>
    <row r="128" spans="1:7" x14ac:dyDescent="0.55000000000000004">
      <c r="A128" t="s">
        <v>143</v>
      </c>
      <c r="B128" t="s">
        <v>299</v>
      </c>
      <c r="C128">
        <v>133</v>
      </c>
      <c r="D128">
        <v>15</v>
      </c>
      <c r="E128">
        <v>0</v>
      </c>
      <c r="F128">
        <v>0</v>
      </c>
      <c r="G128">
        <v>0</v>
      </c>
    </row>
    <row r="129" spans="1:7" x14ac:dyDescent="0.55000000000000004">
      <c r="A129" t="s">
        <v>144</v>
      </c>
      <c r="B129" t="s">
        <v>299</v>
      </c>
      <c r="C129">
        <v>130</v>
      </c>
      <c r="D129">
        <v>15</v>
      </c>
      <c r="E129">
        <v>0</v>
      </c>
      <c r="F129">
        <v>0</v>
      </c>
      <c r="G129">
        <v>0</v>
      </c>
    </row>
    <row r="130" spans="1:7" x14ac:dyDescent="0.55000000000000004">
      <c r="A130" t="s">
        <v>145</v>
      </c>
      <c r="B130" t="s">
        <v>299</v>
      </c>
      <c r="C130">
        <v>132</v>
      </c>
      <c r="D130">
        <v>15</v>
      </c>
      <c r="E130">
        <v>0</v>
      </c>
      <c r="F130">
        <v>0</v>
      </c>
      <c r="G130">
        <v>0</v>
      </c>
    </row>
    <row r="131" spans="1:7" x14ac:dyDescent="0.55000000000000004">
      <c r="A131" t="s">
        <v>146</v>
      </c>
      <c r="B131" t="s">
        <v>299</v>
      </c>
      <c r="C131">
        <v>132</v>
      </c>
      <c r="D131">
        <v>15</v>
      </c>
      <c r="E131">
        <v>0</v>
      </c>
      <c r="F131">
        <v>0</v>
      </c>
      <c r="G131">
        <v>0</v>
      </c>
    </row>
    <row r="132" spans="1:7" x14ac:dyDescent="0.55000000000000004">
      <c r="A132" t="s">
        <v>147</v>
      </c>
      <c r="B132" t="s">
        <v>299</v>
      </c>
      <c r="C132">
        <v>130</v>
      </c>
      <c r="D132">
        <v>15</v>
      </c>
      <c r="E132">
        <v>0</v>
      </c>
      <c r="F132">
        <v>0</v>
      </c>
      <c r="G132">
        <v>0</v>
      </c>
    </row>
    <row r="133" spans="1:7" x14ac:dyDescent="0.55000000000000004">
      <c r="A133" t="s">
        <v>148</v>
      </c>
      <c r="B133" t="s">
        <v>299</v>
      </c>
      <c r="C133">
        <v>132</v>
      </c>
      <c r="D133">
        <v>15</v>
      </c>
      <c r="E133">
        <v>0</v>
      </c>
      <c r="F133">
        <v>0</v>
      </c>
      <c r="G133">
        <v>0</v>
      </c>
    </row>
    <row r="134" spans="1:7" x14ac:dyDescent="0.55000000000000004">
      <c r="A134" t="s">
        <v>149</v>
      </c>
      <c r="B134" t="s">
        <v>299</v>
      </c>
      <c r="C134">
        <v>132</v>
      </c>
      <c r="D134">
        <v>15</v>
      </c>
      <c r="E134">
        <v>0</v>
      </c>
      <c r="F134">
        <v>0</v>
      </c>
      <c r="G134">
        <v>0</v>
      </c>
    </row>
    <row r="135" spans="1:7" x14ac:dyDescent="0.55000000000000004">
      <c r="A135" t="s">
        <v>150</v>
      </c>
      <c r="B135" t="s">
        <v>299</v>
      </c>
      <c r="C135">
        <v>126</v>
      </c>
      <c r="D135">
        <v>15</v>
      </c>
      <c r="E135">
        <v>0</v>
      </c>
      <c r="F135">
        <v>0</v>
      </c>
      <c r="G135">
        <v>0</v>
      </c>
    </row>
    <row r="136" spans="1:7" x14ac:dyDescent="0.55000000000000004">
      <c r="A136" t="s">
        <v>151</v>
      </c>
      <c r="B136" t="s">
        <v>299</v>
      </c>
      <c r="C136">
        <v>126</v>
      </c>
      <c r="D136">
        <v>15</v>
      </c>
      <c r="E136">
        <v>0</v>
      </c>
      <c r="F136">
        <v>0</v>
      </c>
      <c r="G136">
        <v>0</v>
      </c>
    </row>
    <row r="137" spans="1:7" x14ac:dyDescent="0.55000000000000004">
      <c r="A137" t="s">
        <v>152</v>
      </c>
      <c r="B137" t="s">
        <v>299</v>
      </c>
      <c r="C137">
        <v>129</v>
      </c>
      <c r="D137">
        <v>15</v>
      </c>
      <c r="E137">
        <v>0</v>
      </c>
      <c r="F137">
        <v>0</v>
      </c>
      <c r="G137">
        <v>0</v>
      </c>
    </row>
    <row r="138" spans="1:7" x14ac:dyDescent="0.55000000000000004">
      <c r="A138" t="s">
        <v>153</v>
      </c>
      <c r="B138" t="s">
        <v>299</v>
      </c>
      <c r="C138">
        <v>128</v>
      </c>
      <c r="D138">
        <v>15</v>
      </c>
      <c r="E138">
        <v>0</v>
      </c>
      <c r="F138">
        <v>0</v>
      </c>
      <c r="G138">
        <v>0</v>
      </c>
    </row>
    <row r="139" spans="1:7" x14ac:dyDescent="0.55000000000000004">
      <c r="A139" t="s">
        <v>154</v>
      </c>
      <c r="B139" t="s">
        <v>299</v>
      </c>
      <c r="C139">
        <v>130</v>
      </c>
      <c r="D139">
        <v>15</v>
      </c>
      <c r="E139">
        <v>0</v>
      </c>
      <c r="F139">
        <v>0</v>
      </c>
      <c r="G139">
        <v>0</v>
      </c>
    </row>
    <row r="140" spans="1:7" x14ac:dyDescent="0.55000000000000004">
      <c r="A140" t="s">
        <v>155</v>
      </c>
      <c r="B140" t="s">
        <v>299</v>
      </c>
      <c r="C140">
        <v>130</v>
      </c>
      <c r="D140">
        <v>15</v>
      </c>
      <c r="E140">
        <v>0</v>
      </c>
      <c r="F140">
        <v>0</v>
      </c>
      <c r="G140">
        <v>0</v>
      </c>
    </row>
    <row r="141" spans="1:7" x14ac:dyDescent="0.55000000000000004">
      <c r="A141" t="s">
        <v>156</v>
      </c>
      <c r="B141" t="s">
        <v>299</v>
      </c>
      <c r="C141">
        <v>129</v>
      </c>
      <c r="D141">
        <v>15</v>
      </c>
      <c r="E141">
        <v>0</v>
      </c>
      <c r="F141">
        <v>0</v>
      </c>
      <c r="G141">
        <v>0</v>
      </c>
    </row>
    <row r="142" spans="1:7" x14ac:dyDescent="0.55000000000000004">
      <c r="A142" t="s">
        <v>157</v>
      </c>
      <c r="B142" t="s">
        <v>299</v>
      </c>
      <c r="C142">
        <v>126</v>
      </c>
      <c r="D142">
        <v>15</v>
      </c>
      <c r="E142">
        <v>0</v>
      </c>
      <c r="F142">
        <v>0</v>
      </c>
      <c r="G142">
        <v>0</v>
      </c>
    </row>
    <row r="143" spans="1:7" x14ac:dyDescent="0.55000000000000004">
      <c r="A143" t="s">
        <v>158</v>
      </c>
      <c r="B143" t="s">
        <v>299</v>
      </c>
      <c r="C143">
        <v>126</v>
      </c>
      <c r="D143">
        <v>15</v>
      </c>
      <c r="E143">
        <v>0</v>
      </c>
      <c r="F143">
        <v>0</v>
      </c>
      <c r="G143">
        <v>0</v>
      </c>
    </row>
    <row r="144" spans="1:7" x14ac:dyDescent="0.55000000000000004">
      <c r="A144" t="s">
        <v>159</v>
      </c>
      <c r="B144" t="s">
        <v>299</v>
      </c>
      <c r="C144">
        <v>129</v>
      </c>
      <c r="D144">
        <v>15</v>
      </c>
      <c r="E144">
        <v>0</v>
      </c>
      <c r="F144">
        <v>0</v>
      </c>
      <c r="G144">
        <v>0</v>
      </c>
    </row>
    <row r="145" spans="1:7" x14ac:dyDescent="0.55000000000000004">
      <c r="A145" t="s">
        <v>160</v>
      </c>
      <c r="B145" t="s">
        <v>299</v>
      </c>
      <c r="C145">
        <v>130</v>
      </c>
      <c r="D145">
        <v>15</v>
      </c>
      <c r="E145">
        <v>0</v>
      </c>
      <c r="F145">
        <v>0</v>
      </c>
      <c r="G145">
        <v>0</v>
      </c>
    </row>
    <row r="146" spans="1:7" x14ac:dyDescent="0.55000000000000004">
      <c r="A146" t="s">
        <v>161</v>
      </c>
      <c r="B146" t="s">
        <v>299</v>
      </c>
      <c r="C146" t="s">
        <v>187</v>
      </c>
      <c r="D146">
        <v>15</v>
      </c>
      <c r="E146">
        <v>0</v>
      </c>
      <c r="F146">
        <v>0</v>
      </c>
      <c r="G146">
        <v>0</v>
      </c>
    </row>
    <row r="147" spans="1:7" x14ac:dyDescent="0.55000000000000004">
      <c r="A147" t="s">
        <v>162</v>
      </c>
      <c r="B147" t="s">
        <v>299</v>
      </c>
      <c r="C147">
        <v>122</v>
      </c>
      <c r="D147">
        <v>15</v>
      </c>
      <c r="E147">
        <v>0</v>
      </c>
      <c r="F147">
        <v>0</v>
      </c>
      <c r="G147">
        <v>0</v>
      </c>
    </row>
    <row r="148" spans="1:7" x14ac:dyDescent="0.55000000000000004">
      <c r="A148" t="s">
        <v>163</v>
      </c>
      <c r="B148" t="s">
        <v>299</v>
      </c>
      <c r="C148">
        <v>126</v>
      </c>
      <c r="D148">
        <v>15</v>
      </c>
      <c r="E148">
        <v>0</v>
      </c>
      <c r="F148">
        <v>0</v>
      </c>
      <c r="G148">
        <v>0</v>
      </c>
    </row>
    <row r="149" spans="1:7" x14ac:dyDescent="0.55000000000000004">
      <c r="A149" t="s">
        <v>164</v>
      </c>
      <c r="B149" t="s">
        <v>299</v>
      </c>
      <c r="C149">
        <v>124</v>
      </c>
      <c r="D149">
        <v>15</v>
      </c>
      <c r="E149">
        <v>0</v>
      </c>
      <c r="F149">
        <v>0</v>
      </c>
      <c r="G149">
        <v>0</v>
      </c>
    </row>
    <row r="150" spans="1:7" x14ac:dyDescent="0.55000000000000004">
      <c r="A150" t="s">
        <v>165</v>
      </c>
      <c r="B150" t="s">
        <v>299</v>
      </c>
      <c r="C150">
        <v>125</v>
      </c>
      <c r="D150">
        <v>15</v>
      </c>
      <c r="E150">
        <v>0</v>
      </c>
      <c r="F150">
        <v>0</v>
      </c>
      <c r="G150">
        <v>0</v>
      </c>
    </row>
    <row r="151" spans="1:7" x14ac:dyDescent="0.55000000000000004">
      <c r="A151" t="s">
        <v>166</v>
      </c>
      <c r="B151" t="s">
        <v>299</v>
      </c>
      <c r="C151">
        <v>125</v>
      </c>
      <c r="D151">
        <v>15</v>
      </c>
      <c r="E151">
        <v>0</v>
      </c>
      <c r="F151">
        <v>0</v>
      </c>
      <c r="G151">
        <v>0</v>
      </c>
    </row>
    <row r="152" spans="1:7" x14ac:dyDescent="0.55000000000000004">
      <c r="A152" t="s">
        <v>167</v>
      </c>
      <c r="B152" t="s">
        <v>299</v>
      </c>
      <c r="C152">
        <v>123</v>
      </c>
      <c r="D152">
        <v>15</v>
      </c>
      <c r="E152">
        <v>0</v>
      </c>
      <c r="F152">
        <v>0</v>
      </c>
      <c r="G152">
        <v>0</v>
      </c>
    </row>
    <row r="153" spans="1:7" x14ac:dyDescent="0.55000000000000004">
      <c r="A153" t="s">
        <v>168</v>
      </c>
      <c r="B153" t="s">
        <v>299</v>
      </c>
      <c r="C153">
        <v>125</v>
      </c>
      <c r="D153">
        <v>15</v>
      </c>
      <c r="E153">
        <v>0</v>
      </c>
      <c r="F153">
        <v>0</v>
      </c>
      <c r="G153">
        <v>0</v>
      </c>
    </row>
    <row r="154" spans="1:7" x14ac:dyDescent="0.55000000000000004">
      <c r="A154" t="s">
        <v>169</v>
      </c>
      <c r="B154" t="s">
        <v>299</v>
      </c>
      <c r="C154">
        <v>126</v>
      </c>
      <c r="D154">
        <v>15</v>
      </c>
      <c r="E154">
        <v>0</v>
      </c>
      <c r="F154">
        <v>0</v>
      </c>
      <c r="G154">
        <v>0</v>
      </c>
    </row>
    <row r="155" spans="1:7" x14ac:dyDescent="0.55000000000000004">
      <c r="A155" t="s">
        <v>170</v>
      </c>
      <c r="B155" t="s">
        <v>299</v>
      </c>
      <c r="C155">
        <v>125</v>
      </c>
      <c r="D155">
        <v>15</v>
      </c>
      <c r="E155">
        <v>0</v>
      </c>
      <c r="F155">
        <v>0</v>
      </c>
      <c r="G155">
        <v>0</v>
      </c>
    </row>
    <row r="156" spans="1:7" x14ac:dyDescent="0.55000000000000004">
      <c r="A156" t="s">
        <v>171</v>
      </c>
      <c r="B156" t="s">
        <v>299</v>
      </c>
      <c r="C156">
        <v>126</v>
      </c>
      <c r="D156">
        <v>15</v>
      </c>
      <c r="E156">
        <v>0</v>
      </c>
      <c r="F156">
        <v>0</v>
      </c>
      <c r="G156">
        <v>0</v>
      </c>
    </row>
    <row r="157" spans="1:7" x14ac:dyDescent="0.55000000000000004">
      <c r="A157" t="s">
        <v>172</v>
      </c>
      <c r="B157" t="s">
        <v>299</v>
      </c>
      <c r="C157">
        <v>124</v>
      </c>
      <c r="D157">
        <v>15</v>
      </c>
      <c r="E157">
        <v>0</v>
      </c>
      <c r="F157">
        <v>0</v>
      </c>
      <c r="G157">
        <v>0</v>
      </c>
    </row>
    <row r="158" spans="1:7" x14ac:dyDescent="0.55000000000000004">
      <c r="A158" t="s">
        <v>173</v>
      </c>
      <c r="B158" t="s">
        <v>299</v>
      </c>
      <c r="C158">
        <v>123</v>
      </c>
      <c r="D158">
        <v>15</v>
      </c>
      <c r="E158">
        <v>0</v>
      </c>
      <c r="F158">
        <v>0</v>
      </c>
      <c r="G158">
        <v>0</v>
      </c>
    </row>
    <row r="159" spans="1:7" x14ac:dyDescent="0.55000000000000004">
      <c r="A159" t="s">
        <v>174</v>
      </c>
      <c r="B159" t="s">
        <v>299</v>
      </c>
      <c r="C159">
        <v>119</v>
      </c>
      <c r="D159">
        <v>15</v>
      </c>
      <c r="E159">
        <v>0</v>
      </c>
      <c r="F159">
        <v>0</v>
      </c>
      <c r="G159">
        <v>0</v>
      </c>
    </row>
    <row r="160" spans="1:7" x14ac:dyDescent="0.55000000000000004">
      <c r="A160" t="s">
        <v>175</v>
      </c>
      <c r="B160" t="s">
        <v>299</v>
      </c>
      <c r="C160">
        <v>121</v>
      </c>
      <c r="D160">
        <v>15</v>
      </c>
      <c r="E160">
        <v>0</v>
      </c>
      <c r="F160">
        <v>0</v>
      </c>
      <c r="G160">
        <v>0</v>
      </c>
    </row>
    <row r="161" spans="1:7" x14ac:dyDescent="0.55000000000000004">
      <c r="A161" t="s">
        <v>176</v>
      </c>
      <c r="B161" t="s">
        <v>299</v>
      </c>
      <c r="C161">
        <v>118</v>
      </c>
      <c r="D161">
        <v>15</v>
      </c>
      <c r="E161">
        <v>0</v>
      </c>
      <c r="F161">
        <v>0</v>
      </c>
      <c r="G161">
        <v>0</v>
      </c>
    </row>
    <row r="162" spans="1:7" x14ac:dyDescent="0.55000000000000004">
      <c r="A162" t="s">
        <v>177</v>
      </c>
      <c r="B162" t="s">
        <v>299</v>
      </c>
      <c r="C162">
        <v>118</v>
      </c>
      <c r="D162">
        <v>15</v>
      </c>
      <c r="E162">
        <v>0</v>
      </c>
      <c r="F162">
        <v>0</v>
      </c>
      <c r="G162">
        <v>0</v>
      </c>
    </row>
    <row r="163" spans="1:7" x14ac:dyDescent="0.55000000000000004">
      <c r="A163" t="s">
        <v>178</v>
      </c>
      <c r="B163" t="s">
        <v>299</v>
      </c>
      <c r="C163">
        <v>120</v>
      </c>
      <c r="D163">
        <v>15</v>
      </c>
      <c r="E163">
        <v>0</v>
      </c>
      <c r="F163">
        <v>0</v>
      </c>
      <c r="G163">
        <v>0</v>
      </c>
    </row>
    <row r="164" spans="1:7" x14ac:dyDescent="0.55000000000000004">
      <c r="A164" t="s">
        <v>179</v>
      </c>
      <c r="B164" t="s">
        <v>299</v>
      </c>
      <c r="C164">
        <v>122</v>
      </c>
      <c r="D164">
        <v>15</v>
      </c>
      <c r="E164">
        <v>0</v>
      </c>
      <c r="F164">
        <v>0</v>
      </c>
      <c r="G164">
        <v>0</v>
      </c>
    </row>
    <row r="165" spans="1:7" x14ac:dyDescent="0.55000000000000004">
      <c r="A165" t="s">
        <v>180</v>
      </c>
      <c r="B165" t="s">
        <v>299</v>
      </c>
      <c r="C165">
        <v>119</v>
      </c>
      <c r="D165">
        <v>15</v>
      </c>
      <c r="E165">
        <v>0</v>
      </c>
      <c r="F165">
        <v>0</v>
      </c>
      <c r="G165">
        <v>0</v>
      </c>
    </row>
    <row r="166" spans="1:7" x14ac:dyDescent="0.55000000000000004">
      <c r="A166" t="s">
        <v>181</v>
      </c>
      <c r="B166" t="s">
        <v>299</v>
      </c>
      <c r="C166">
        <v>120</v>
      </c>
      <c r="D166">
        <v>15</v>
      </c>
      <c r="E166">
        <v>0</v>
      </c>
      <c r="F166">
        <v>0</v>
      </c>
      <c r="G166">
        <v>0</v>
      </c>
    </row>
    <row r="167" spans="1:7" x14ac:dyDescent="0.55000000000000004">
      <c r="A167" t="s">
        <v>182</v>
      </c>
      <c r="B167" t="s">
        <v>299</v>
      </c>
      <c r="C167">
        <v>119</v>
      </c>
      <c r="D167">
        <v>15</v>
      </c>
      <c r="E167">
        <v>0</v>
      </c>
      <c r="F167">
        <v>0</v>
      </c>
      <c r="G167">
        <v>0</v>
      </c>
    </row>
    <row r="168" spans="1:7" x14ac:dyDescent="0.55000000000000004">
      <c r="A168" t="s">
        <v>183</v>
      </c>
      <c r="B168" t="s">
        <v>299</v>
      </c>
      <c r="C168">
        <v>120</v>
      </c>
      <c r="D168">
        <v>15</v>
      </c>
      <c r="E168">
        <v>0</v>
      </c>
      <c r="F168">
        <v>0</v>
      </c>
      <c r="G168">
        <v>0</v>
      </c>
    </row>
    <row r="169" spans="1:7" x14ac:dyDescent="0.55000000000000004">
      <c r="A169" t="s">
        <v>184</v>
      </c>
      <c r="B169" t="s">
        <v>299</v>
      </c>
      <c r="C169">
        <v>119</v>
      </c>
      <c r="D169">
        <v>15</v>
      </c>
      <c r="E169">
        <v>0</v>
      </c>
      <c r="F169">
        <v>0</v>
      </c>
      <c r="G169">
        <v>0</v>
      </c>
    </row>
    <row r="170" spans="1:7" x14ac:dyDescent="0.55000000000000004">
      <c r="A170" t="s">
        <v>185</v>
      </c>
      <c r="B170" t="s">
        <v>299</v>
      </c>
      <c r="C170">
        <v>119</v>
      </c>
      <c r="D170">
        <v>15</v>
      </c>
      <c r="E170">
        <v>0</v>
      </c>
      <c r="F170">
        <v>0</v>
      </c>
      <c r="G170">
        <v>0</v>
      </c>
    </row>
    <row r="171" spans="1:7" x14ac:dyDescent="0.55000000000000004">
      <c r="A171" t="s">
        <v>186</v>
      </c>
      <c r="B171" t="s">
        <v>299</v>
      </c>
      <c r="C171">
        <v>119</v>
      </c>
      <c r="D171">
        <v>15</v>
      </c>
      <c r="E171">
        <v>0</v>
      </c>
      <c r="F171">
        <v>0</v>
      </c>
      <c r="G171">
        <v>0</v>
      </c>
    </row>
    <row r="172" spans="1:7" x14ac:dyDescent="0.55000000000000004">
      <c r="A172" t="s">
        <v>193</v>
      </c>
      <c r="B172" t="s">
        <v>300</v>
      </c>
      <c r="C172">
        <v>124</v>
      </c>
      <c r="D172">
        <v>0</v>
      </c>
      <c r="E172">
        <v>1</v>
      </c>
      <c r="F172">
        <v>1</v>
      </c>
      <c r="G172">
        <v>10</v>
      </c>
    </row>
    <row r="173" spans="1:7" x14ac:dyDescent="0.55000000000000004">
      <c r="A173" t="s">
        <v>194</v>
      </c>
      <c r="B173" t="s">
        <v>300</v>
      </c>
      <c r="C173">
        <v>124</v>
      </c>
      <c r="D173">
        <v>0</v>
      </c>
      <c r="E173">
        <v>1</v>
      </c>
      <c r="F173">
        <v>1</v>
      </c>
      <c r="G173">
        <v>10</v>
      </c>
    </row>
    <row r="174" spans="1:7" x14ac:dyDescent="0.55000000000000004">
      <c r="A174" t="s">
        <v>195</v>
      </c>
      <c r="B174" t="s">
        <v>300</v>
      </c>
      <c r="C174">
        <v>123</v>
      </c>
      <c r="D174">
        <v>0</v>
      </c>
      <c r="E174">
        <v>1</v>
      </c>
      <c r="F174">
        <v>1</v>
      </c>
      <c r="G174">
        <v>10</v>
      </c>
    </row>
    <row r="175" spans="1:7" x14ac:dyDescent="0.55000000000000004">
      <c r="A175" t="s">
        <v>196</v>
      </c>
      <c r="B175" t="s">
        <v>300</v>
      </c>
      <c r="C175">
        <v>125</v>
      </c>
      <c r="D175">
        <v>0</v>
      </c>
      <c r="E175">
        <v>1</v>
      </c>
      <c r="F175">
        <v>1</v>
      </c>
      <c r="G175">
        <v>10</v>
      </c>
    </row>
    <row r="176" spans="1:7" x14ac:dyDescent="0.55000000000000004">
      <c r="A176" t="s">
        <v>197</v>
      </c>
      <c r="B176" t="s">
        <v>300</v>
      </c>
      <c r="C176">
        <v>123</v>
      </c>
      <c r="D176">
        <v>0</v>
      </c>
      <c r="E176">
        <v>1</v>
      </c>
      <c r="F176">
        <v>1</v>
      </c>
      <c r="G176">
        <v>10</v>
      </c>
    </row>
    <row r="177" spans="1:7" x14ac:dyDescent="0.55000000000000004">
      <c r="A177" t="s">
        <v>198</v>
      </c>
      <c r="B177" t="s">
        <v>300</v>
      </c>
      <c r="C177">
        <v>123</v>
      </c>
      <c r="D177">
        <v>0</v>
      </c>
      <c r="E177">
        <v>1</v>
      </c>
      <c r="F177">
        <v>1</v>
      </c>
      <c r="G177">
        <v>10</v>
      </c>
    </row>
    <row r="178" spans="1:7" x14ac:dyDescent="0.55000000000000004">
      <c r="A178" t="s">
        <v>199</v>
      </c>
      <c r="B178" t="s">
        <v>300</v>
      </c>
      <c r="C178">
        <v>124</v>
      </c>
      <c r="D178">
        <v>0</v>
      </c>
      <c r="E178">
        <v>1</v>
      </c>
      <c r="F178">
        <v>1</v>
      </c>
      <c r="G178">
        <v>10</v>
      </c>
    </row>
    <row r="179" spans="1:7" x14ac:dyDescent="0.55000000000000004">
      <c r="A179" t="s">
        <v>200</v>
      </c>
      <c r="B179" t="s">
        <v>300</v>
      </c>
      <c r="C179">
        <v>123</v>
      </c>
      <c r="D179">
        <v>0</v>
      </c>
      <c r="E179">
        <v>1</v>
      </c>
      <c r="F179">
        <v>1</v>
      </c>
      <c r="G179">
        <v>10</v>
      </c>
    </row>
    <row r="180" spans="1:7" x14ac:dyDescent="0.55000000000000004">
      <c r="A180" t="s">
        <v>201</v>
      </c>
      <c r="B180" t="s">
        <v>300</v>
      </c>
      <c r="C180">
        <v>124</v>
      </c>
      <c r="D180">
        <v>0</v>
      </c>
      <c r="E180">
        <v>1</v>
      </c>
      <c r="F180">
        <v>1</v>
      </c>
      <c r="G180">
        <v>10</v>
      </c>
    </row>
    <row r="181" spans="1:7" x14ac:dyDescent="0.55000000000000004">
      <c r="A181" t="s">
        <v>202</v>
      </c>
      <c r="B181" t="s">
        <v>300</v>
      </c>
      <c r="C181">
        <v>125</v>
      </c>
      <c r="D181">
        <v>0</v>
      </c>
      <c r="E181">
        <v>1</v>
      </c>
      <c r="F181">
        <v>1</v>
      </c>
      <c r="G181">
        <v>10</v>
      </c>
    </row>
    <row r="182" spans="1:7" x14ac:dyDescent="0.55000000000000004">
      <c r="A182" t="s">
        <v>203</v>
      </c>
      <c r="B182" t="s">
        <v>300</v>
      </c>
      <c r="C182">
        <v>118</v>
      </c>
      <c r="D182">
        <v>0</v>
      </c>
      <c r="E182">
        <v>1</v>
      </c>
      <c r="F182">
        <v>1</v>
      </c>
      <c r="G182">
        <v>10</v>
      </c>
    </row>
    <row r="183" spans="1:7" x14ac:dyDescent="0.55000000000000004">
      <c r="A183" t="s">
        <v>204</v>
      </c>
      <c r="B183" t="s">
        <v>300</v>
      </c>
      <c r="C183">
        <v>118</v>
      </c>
      <c r="D183">
        <v>0</v>
      </c>
      <c r="E183">
        <v>1</v>
      </c>
      <c r="F183">
        <v>1</v>
      </c>
      <c r="G183">
        <v>10</v>
      </c>
    </row>
    <row r="184" spans="1:7" x14ac:dyDescent="0.55000000000000004">
      <c r="A184" t="s">
        <v>205</v>
      </c>
      <c r="B184" t="s">
        <v>300</v>
      </c>
      <c r="C184">
        <v>121</v>
      </c>
      <c r="D184">
        <v>0</v>
      </c>
      <c r="E184">
        <v>1</v>
      </c>
      <c r="F184">
        <v>1</v>
      </c>
      <c r="G184">
        <v>10</v>
      </c>
    </row>
    <row r="185" spans="1:7" x14ac:dyDescent="0.55000000000000004">
      <c r="A185" t="s">
        <v>206</v>
      </c>
      <c r="B185" t="s">
        <v>300</v>
      </c>
      <c r="C185">
        <v>121</v>
      </c>
      <c r="D185">
        <v>0</v>
      </c>
      <c r="E185">
        <v>1</v>
      </c>
      <c r="F185">
        <v>1</v>
      </c>
      <c r="G185">
        <v>10</v>
      </c>
    </row>
    <row r="186" spans="1:7" x14ac:dyDescent="0.55000000000000004">
      <c r="A186" t="s">
        <v>207</v>
      </c>
      <c r="B186" t="s">
        <v>300</v>
      </c>
      <c r="C186">
        <v>119</v>
      </c>
      <c r="D186">
        <v>0</v>
      </c>
      <c r="E186">
        <v>1</v>
      </c>
      <c r="F186">
        <v>1</v>
      </c>
      <c r="G186">
        <v>10</v>
      </c>
    </row>
    <row r="187" spans="1:7" x14ac:dyDescent="0.55000000000000004">
      <c r="A187" t="s">
        <v>208</v>
      </c>
      <c r="B187" t="s">
        <v>300</v>
      </c>
      <c r="C187">
        <v>118</v>
      </c>
      <c r="D187">
        <v>0</v>
      </c>
      <c r="E187">
        <v>1</v>
      </c>
      <c r="F187">
        <v>1</v>
      </c>
      <c r="G187">
        <v>10</v>
      </c>
    </row>
    <row r="188" spans="1:7" x14ac:dyDescent="0.55000000000000004">
      <c r="A188" t="s">
        <v>209</v>
      </c>
      <c r="B188" t="s">
        <v>300</v>
      </c>
      <c r="C188">
        <v>121</v>
      </c>
      <c r="D188">
        <v>0</v>
      </c>
      <c r="E188">
        <v>1</v>
      </c>
      <c r="F188">
        <v>1</v>
      </c>
      <c r="G188">
        <v>10</v>
      </c>
    </row>
    <row r="189" spans="1:7" x14ac:dyDescent="0.55000000000000004">
      <c r="A189" t="s">
        <v>210</v>
      </c>
      <c r="B189" t="s">
        <v>300</v>
      </c>
      <c r="C189">
        <v>118</v>
      </c>
      <c r="D189">
        <v>0</v>
      </c>
      <c r="E189">
        <v>1</v>
      </c>
      <c r="F189">
        <v>1</v>
      </c>
      <c r="G189">
        <v>10</v>
      </c>
    </row>
    <row r="190" spans="1:7" x14ac:dyDescent="0.55000000000000004">
      <c r="A190" t="s">
        <v>211</v>
      </c>
      <c r="B190" t="s">
        <v>300</v>
      </c>
      <c r="C190">
        <v>120</v>
      </c>
      <c r="D190">
        <v>0</v>
      </c>
      <c r="E190">
        <v>1</v>
      </c>
      <c r="F190">
        <v>1</v>
      </c>
      <c r="G190">
        <v>10</v>
      </c>
    </row>
    <row r="191" spans="1:7" x14ac:dyDescent="0.55000000000000004">
      <c r="A191" t="s">
        <v>212</v>
      </c>
      <c r="B191" t="s">
        <v>300</v>
      </c>
      <c r="C191">
        <v>119</v>
      </c>
      <c r="D191">
        <v>0</v>
      </c>
      <c r="E191">
        <v>1</v>
      </c>
      <c r="F191">
        <v>1</v>
      </c>
      <c r="G191">
        <v>10</v>
      </c>
    </row>
    <row r="192" spans="1:7" x14ac:dyDescent="0.55000000000000004">
      <c r="A192" t="s">
        <v>213</v>
      </c>
      <c r="B192" t="s">
        <v>300</v>
      </c>
      <c r="C192">
        <v>120</v>
      </c>
      <c r="D192">
        <v>0</v>
      </c>
      <c r="E192">
        <v>1</v>
      </c>
      <c r="F192">
        <v>1</v>
      </c>
      <c r="G192">
        <v>10</v>
      </c>
    </row>
    <row r="193" spans="1:7" x14ac:dyDescent="0.55000000000000004">
      <c r="A193" t="s">
        <v>214</v>
      </c>
      <c r="B193" t="s">
        <v>300</v>
      </c>
      <c r="C193">
        <v>116</v>
      </c>
      <c r="D193">
        <v>0</v>
      </c>
      <c r="E193">
        <v>1</v>
      </c>
      <c r="F193">
        <v>1</v>
      </c>
      <c r="G193">
        <v>10</v>
      </c>
    </row>
    <row r="194" spans="1:7" x14ac:dyDescent="0.55000000000000004">
      <c r="A194" t="s">
        <v>215</v>
      </c>
      <c r="B194" t="s">
        <v>300</v>
      </c>
      <c r="C194">
        <v>114</v>
      </c>
      <c r="D194">
        <v>0</v>
      </c>
      <c r="E194">
        <v>1</v>
      </c>
      <c r="F194">
        <v>1</v>
      </c>
      <c r="G194">
        <v>10</v>
      </c>
    </row>
    <row r="195" spans="1:7" x14ac:dyDescent="0.55000000000000004">
      <c r="A195" t="s">
        <v>216</v>
      </c>
      <c r="B195" t="s">
        <v>300</v>
      </c>
      <c r="C195">
        <v>116</v>
      </c>
      <c r="D195">
        <v>0</v>
      </c>
      <c r="E195">
        <v>1</v>
      </c>
      <c r="F195">
        <v>1</v>
      </c>
      <c r="G195">
        <v>10</v>
      </c>
    </row>
    <row r="196" spans="1:7" x14ac:dyDescent="0.55000000000000004">
      <c r="A196" t="s">
        <v>217</v>
      </c>
      <c r="B196" t="s">
        <v>300</v>
      </c>
      <c r="C196">
        <v>116</v>
      </c>
      <c r="D196">
        <v>0</v>
      </c>
      <c r="E196">
        <v>1</v>
      </c>
      <c r="F196">
        <v>1</v>
      </c>
      <c r="G196">
        <v>10</v>
      </c>
    </row>
    <row r="197" spans="1:7" x14ac:dyDescent="0.55000000000000004">
      <c r="A197" t="s">
        <v>218</v>
      </c>
      <c r="B197" t="s">
        <v>300</v>
      </c>
      <c r="C197">
        <v>114</v>
      </c>
      <c r="D197">
        <v>0</v>
      </c>
      <c r="E197">
        <v>1</v>
      </c>
      <c r="F197">
        <v>1</v>
      </c>
      <c r="G197">
        <v>10</v>
      </c>
    </row>
    <row r="198" spans="1:7" x14ac:dyDescent="0.55000000000000004">
      <c r="A198" t="s">
        <v>219</v>
      </c>
      <c r="B198" t="s">
        <v>300</v>
      </c>
      <c r="C198">
        <v>113</v>
      </c>
      <c r="D198">
        <v>0</v>
      </c>
      <c r="E198">
        <v>1</v>
      </c>
      <c r="F198">
        <v>1</v>
      </c>
      <c r="G198">
        <v>10</v>
      </c>
    </row>
    <row r="199" spans="1:7" x14ac:dyDescent="0.55000000000000004">
      <c r="A199" t="s">
        <v>220</v>
      </c>
      <c r="B199" t="s">
        <v>300</v>
      </c>
      <c r="C199">
        <v>117</v>
      </c>
      <c r="D199">
        <v>0</v>
      </c>
      <c r="E199">
        <v>1</v>
      </c>
      <c r="F199">
        <v>1</v>
      </c>
      <c r="G199">
        <v>10</v>
      </c>
    </row>
    <row r="200" spans="1:7" x14ac:dyDescent="0.55000000000000004">
      <c r="A200" t="s">
        <v>221</v>
      </c>
      <c r="B200" t="s">
        <v>300</v>
      </c>
      <c r="C200">
        <v>116</v>
      </c>
      <c r="D200">
        <v>0</v>
      </c>
      <c r="E200">
        <v>1</v>
      </c>
      <c r="F200">
        <v>1</v>
      </c>
      <c r="G200">
        <v>10</v>
      </c>
    </row>
    <row r="201" spans="1:7" x14ac:dyDescent="0.55000000000000004">
      <c r="A201" t="s">
        <v>222</v>
      </c>
      <c r="B201" t="s">
        <v>300</v>
      </c>
      <c r="C201">
        <v>114</v>
      </c>
      <c r="D201">
        <v>0</v>
      </c>
      <c r="E201">
        <v>1</v>
      </c>
      <c r="F201">
        <v>1</v>
      </c>
      <c r="G201">
        <v>10</v>
      </c>
    </row>
    <row r="202" spans="1:7" x14ac:dyDescent="0.55000000000000004">
      <c r="A202" t="s">
        <v>223</v>
      </c>
      <c r="B202" t="s">
        <v>300</v>
      </c>
      <c r="C202">
        <v>114</v>
      </c>
      <c r="D202">
        <v>0</v>
      </c>
      <c r="E202">
        <v>1</v>
      </c>
      <c r="F202">
        <v>1</v>
      </c>
      <c r="G202">
        <v>10</v>
      </c>
    </row>
    <row r="203" spans="1:7" x14ac:dyDescent="0.55000000000000004">
      <c r="A203" t="s">
        <v>224</v>
      </c>
      <c r="B203" t="s">
        <v>300</v>
      </c>
      <c r="C203">
        <v>114</v>
      </c>
      <c r="D203">
        <v>0</v>
      </c>
      <c r="E203">
        <v>1</v>
      </c>
      <c r="F203">
        <v>1</v>
      </c>
      <c r="G203">
        <v>10</v>
      </c>
    </row>
    <row r="204" spans="1:7" x14ac:dyDescent="0.55000000000000004">
      <c r="A204" t="s">
        <v>225</v>
      </c>
      <c r="B204" t="s">
        <v>300</v>
      </c>
      <c r="C204">
        <v>112</v>
      </c>
      <c r="D204">
        <v>0</v>
      </c>
      <c r="E204">
        <v>1</v>
      </c>
      <c r="F204">
        <v>1</v>
      </c>
      <c r="G204">
        <v>10</v>
      </c>
    </row>
    <row r="205" spans="1:7" x14ac:dyDescent="0.55000000000000004">
      <c r="A205" t="s">
        <v>226</v>
      </c>
      <c r="B205" t="s">
        <v>300</v>
      </c>
      <c r="C205">
        <v>110</v>
      </c>
      <c r="D205">
        <v>0</v>
      </c>
      <c r="E205">
        <v>1</v>
      </c>
      <c r="F205">
        <v>1</v>
      </c>
      <c r="G205">
        <v>10</v>
      </c>
    </row>
    <row r="206" spans="1:7" x14ac:dyDescent="0.55000000000000004">
      <c r="A206" t="s">
        <v>227</v>
      </c>
      <c r="B206" t="s">
        <v>300</v>
      </c>
      <c r="C206">
        <v>112</v>
      </c>
      <c r="D206">
        <v>0</v>
      </c>
      <c r="E206">
        <v>1</v>
      </c>
      <c r="F206">
        <v>1</v>
      </c>
      <c r="G206">
        <v>10</v>
      </c>
    </row>
    <row r="207" spans="1:7" x14ac:dyDescent="0.55000000000000004">
      <c r="A207" t="s">
        <v>228</v>
      </c>
      <c r="B207" t="s">
        <v>300</v>
      </c>
      <c r="C207">
        <v>111</v>
      </c>
      <c r="D207">
        <v>0</v>
      </c>
      <c r="E207">
        <v>1</v>
      </c>
      <c r="F207">
        <v>1</v>
      </c>
      <c r="G207">
        <v>10</v>
      </c>
    </row>
    <row r="208" spans="1:7" x14ac:dyDescent="0.55000000000000004">
      <c r="A208" t="s">
        <v>229</v>
      </c>
      <c r="B208" t="s">
        <v>300</v>
      </c>
      <c r="C208">
        <v>112</v>
      </c>
      <c r="D208">
        <v>0</v>
      </c>
      <c r="E208">
        <v>1</v>
      </c>
      <c r="F208">
        <v>1</v>
      </c>
      <c r="G208">
        <v>10</v>
      </c>
    </row>
    <row r="209" spans="1:7" x14ac:dyDescent="0.55000000000000004">
      <c r="A209" t="s">
        <v>230</v>
      </c>
      <c r="B209" t="s">
        <v>300</v>
      </c>
      <c r="C209">
        <v>110</v>
      </c>
      <c r="D209">
        <v>0</v>
      </c>
      <c r="E209">
        <v>1</v>
      </c>
      <c r="F209">
        <v>1</v>
      </c>
      <c r="G209">
        <v>10</v>
      </c>
    </row>
    <row r="210" spans="1:7" x14ac:dyDescent="0.55000000000000004">
      <c r="A210" t="s">
        <v>231</v>
      </c>
      <c r="B210" t="s">
        <v>300</v>
      </c>
      <c r="C210">
        <v>112</v>
      </c>
      <c r="D210">
        <v>0</v>
      </c>
      <c r="E210">
        <v>1</v>
      </c>
      <c r="F210">
        <v>1</v>
      </c>
      <c r="G210">
        <v>10</v>
      </c>
    </row>
    <row r="211" spans="1:7" x14ac:dyDescent="0.55000000000000004">
      <c r="A211" t="s">
        <v>232</v>
      </c>
      <c r="B211" t="s">
        <v>300</v>
      </c>
      <c r="C211">
        <v>112</v>
      </c>
      <c r="D211">
        <v>0</v>
      </c>
      <c r="E211">
        <v>1</v>
      </c>
      <c r="F211">
        <v>1</v>
      </c>
      <c r="G211">
        <v>10</v>
      </c>
    </row>
    <row r="212" spans="1:7" x14ac:dyDescent="0.55000000000000004">
      <c r="A212" t="s">
        <v>233</v>
      </c>
      <c r="B212" t="s">
        <v>300</v>
      </c>
      <c r="C212">
        <v>110</v>
      </c>
      <c r="D212">
        <v>0</v>
      </c>
      <c r="E212">
        <v>1</v>
      </c>
      <c r="F212">
        <v>1</v>
      </c>
      <c r="G212">
        <v>10</v>
      </c>
    </row>
    <row r="213" spans="1:7" x14ac:dyDescent="0.55000000000000004">
      <c r="A213" t="s">
        <v>234</v>
      </c>
      <c r="B213" t="s">
        <v>300</v>
      </c>
      <c r="C213">
        <v>112</v>
      </c>
      <c r="D213">
        <v>0</v>
      </c>
      <c r="E213">
        <v>1</v>
      </c>
      <c r="F213">
        <v>1</v>
      </c>
      <c r="G213">
        <v>10</v>
      </c>
    </row>
    <row r="214" spans="1:7" x14ac:dyDescent="0.55000000000000004">
      <c r="A214" t="s">
        <v>235</v>
      </c>
      <c r="B214" t="s">
        <v>300</v>
      </c>
      <c r="C214">
        <v>111</v>
      </c>
      <c r="D214">
        <v>0</v>
      </c>
      <c r="E214">
        <v>1</v>
      </c>
      <c r="F214">
        <v>1</v>
      </c>
      <c r="G214">
        <v>10</v>
      </c>
    </row>
    <row r="215" spans="1:7" x14ac:dyDescent="0.55000000000000004">
      <c r="A215" t="s">
        <v>236</v>
      </c>
      <c r="B215" t="s">
        <v>300</v>
      </c>
      <c r="C215">
        <v>111</v>
      </c>
      <c r="D215">
        <v>0</v>
      </c>
      <c r="E215">
        <v>1</v>
      </c>
      <c r="F215">
        <v>1</v>
      </c>
      <c r="G215">
        <v>10</v>
      </c>
    </row>
    <row r="216" spans="1:7" x14ac:dyDescent="0.55000000000000004">
      <c r="A216" t="s">
        <v>237</v>
      </c>
      <c r="B216" t="s">
        <v>300</v>
      </c>
      <c r="C216">
        <v>110</v>
      </c>
      <c r="D216">
        <v>0</v>
      </c>
      <c r="E216">
        <v>1</v>
      </c>
      <c r="F216">
        <v>1</v>
      </c>
      <c r="G216">
        <v>10</v>
      </c>
    </row>
    <row r="217" spans="1:7" x14ac:dyDescent="0.55000000000000004">
      <c r="A217" t="s">
        <v>238</v>
      </c>
      <c r="B217" t="s">
        <v>300</v>
      </c>
      <c r="C217">
        <v>112</v>
      </c>
      <c r="D217">
        <v>0</v>
      </c>
      <c r="E217">
        <v>1</v>
      </c>
      <c r="F217">
        <v>1</v>
      </c>
      <c r="G217">
        <v>10</v>
      </c>
    </row>
    <row r="218" spans="1:7" x14ac:dyDescent="0.55000000000000004">
      <c r="A218" t="s">
        <v>239</v>
      </c>
      <c r="B218" t="s">
        <v>300</v>
      </c>
      <c r="C218">
        <v>108</v>
      </c>
      <c r="D218">
        <v>0</v>
      </c>
      <c r="E218">
        <v>1</v>
      </c>
      <c r="F218">
        <v>1</v>
      </c>
      <c r="G218">
        <v>10</v>
      </c>
    </row>
    <row r="219" spans="1:7" x14ac:dyDescent="0.55000000000000004">
      <c r="A219" t="s">
        <v>240</v>
      </c>
      <c r="B219" t="s">
        <v>300</v>
      </c>
      <c r="C219">
        <v>106</v>
      </c>
      <c r="D219">
        <v>0</v>
      </c>
      <c r="E219">
        <v>1</v>
      </c>
      <c r="F219">
        <v>1</v>
      </c>
      <c r="G219">
        <v>10</v>
      </c>
    </row>
    <row r="220" spans="1:7" x14ac:dyDescent="0.55000000000000004">
      <c r="A220" t="s">
        <v>241</v>
      </c>
      <c r="B220" t="s">
        <v>300</v>
      </c>
      <c r="C220">
        <v>106</v>
      </c>
      <c r="D220">
        <v>0</v>
      </c>
      <c r="E220">
        <v>1</v>
      </c>
      <c r="F220">
        <v>1</v>
      </c>
      <c r="G220">
        <v>10</v>
      </c>
    </row>
    <row r="221" spans="1:7" x14ac:dyDescent="0.55000000000000004">
      <c r="A221" t="s">
        <v>242</v>
      </c>
      <c r="B221" t="s">
        <v>300</v>
      </c>
      <c r="C221">
        <v>107</v>
      </c>
      <c r="D221">
        <v>0</v>
      </c>
      <c r="E221">
        <v>1</v>
      </c>
      <c r="F221">
        <v>1</v>
      </c>
      <c r="G221">
        <v>10</v>
      </c>
    </row>
    <row r="222" spans="1:7" x14ac:dyDescent="0.55000000000000004">
      <c r="A222" t="s">
        <v>243</v>
      </c>
      <c r="B222" t="s">
        <v>300</v>
      </c>
      <c r="C222">
        <v>107</v>
      </c>
      <c r="D222">
        <v>0</v>
      </c>
      <c r="E222">
        <v>1</v>
      </c>
      <c r="F222">
        <v>1</v>
      </c>
      <c r="G222">
        <v>10</v>
      </c>
    </row>
    <row r="223" spans="1:7" x14ac:dyDescent="0.55000000000000004">
      <c r="A223" t="s">
        <v>244</v>
      </c>
      <c r="B223" t="s">
        <v>300</v>
      </c>
      <c r="C223">
        <v>106</v>
      </c>
      <c r="D223">
        <v>0</v>
      </c>
      <c r="E223">
        <v>1</v>
      </c>
      <c r="F223">
        <v>1</v>
      </c>
      <c r="G223">
        <v>10</v>
      </c>
    </row>
    <row r="224" spans="1:7" x14ac:dyDescent="0.55000000000000004">
      <c r="A224" t="s">
        <v>245</v>
      </c>
      <c r="B224" t="s">
        <v>300</v>
      </c>
      <c r="C224">
        <v>106</v>
      </c>
      <c r="D224">
        <v>0</v>
      </c>
      <c r="E224">
        <v>1</v>
      </c>
      <c r="F224">
        <v>1</v>
      </c>
      <c r="G224">
        <v>10</v>
      </c>
    </row>
    <row r="225" spans="1:7" x14ac:dyDescent="0.55000000000000004">
      <c r="A225" t="s">
        <v>246</v>
      </c>
      <c r="B225" t="s">
        <v>300</v>
      </c>
      <c r="C225">
        <v>108</v>
      </c>
      <c r="D225">
        <v>0</v>
      </c>
      <c r="E225">
        <v>1</v>
      </c>
      <c r="F225">
        <v>1</v>
      </c>
      <c r="G225">
        <v>10</v>
      </c>
    </row>
    <row r="226" spans="1:7" x14ac:dyDescent="0.55000000000000004">
      <c r="A226" t="s">
        <v>247</v>
      </c>
      <c r="B226" t="s">
        <v>300</v>
      </c>
      <c r="C226">
        <v>108</v>
      </c>
      <c r="D226">
        <v>0</v>
      </c>
      <c r="E226">
        <v>1</v>
      </c>
      <c r="F226">
        <v>1</v>
      </c>
      <c r="G226">
        <v>10</v>
      </c>
    </row>
    <row r="227" spans="1:7" x14ac:dyDescent="0.55000000000000004">
      <c r="A227" t="s">
        <v>248</v>
      </c>
      <c r="B227" t="s">
        <v>300</v>
      </c>
      <c r="C227">
        <v>108</v>
      </c>
      <c r="D227">
        <v>0</v>
      </c>
      <c r="E227">
        <v>1</v>
      </c>
      <c r="F227">
        <v>1</v>
      </c>
      <c r="G227">
        <v>10</v>
      </c>
    </row>
    <row r="228" spans="1:7" x14ac:dyDescent="0.55000000000000004">
      <c r="A228" t="s">
        <v>249</v>
      </c>
      <c r="B228" t="s">
        <v>300</v>
      </c>
      <c r="C228">
        <v>106</v>
      </c>
      <c r="D228">
        <v>0</v>
      </c>
      <c r="E228">
        <v>1</v>
      </c>
      <c r="F228">
        <v>1</v>
      </c>
      <c r="G228">
        <v>10</v>
      </c>
    </row>
    <row r="229" spans="1:7" x14ac:dyDescent="0.55000000000000004">
      <c r="A229" t="s">
        <v>250</v>
      </c>
      <c r="B229" t="s">
        <v>300</v>
      </c>
      <c r="C229">
        <v>102</v>
      </c>
      <c r="D229">
        <v>0</v>
      </c>
      <c r="E229">
        <v>1</v>
      </c>
      <c r="F229">
        <v>1</v>
      </c>
      <c r="G229">
        <v>10</v>
      </c>
    </row>
    <row r="230" spans="1:7" x14ac:dyDescent="0.55000000000000004">
      <c r="A230" t="s">
        <v>251</v>
      </c>
      <c r="B230" t="s">
        <v>300</v>
      </c>
      <c r="C230">
        <v>104</v>
      </c>
      <c r="D230">
        <v>0</v>
      </c>
      <c r="E230">
        <v>1</v>
      </c>
      <c r="F230">
        <v>1</v>
      </c>
      <c r="G230">
        <v>10</v>
      </c>
    </row>
    <row r="231" spans="1:7" x14ac:dyDescent="0.55000000000000004">
      <c r="A231" t="s">
        <v>252</v>
      </c>
      <c r="B231" t="s">
        <v>300</v>
      </c>
      <c r="C231">
        <v>102</v>
      </c>
      <c r="D231">
        <v>0</v>
      </c>
      <c r="E231">
        <v>1</v>
      </c>
      <c r="F231">
        <v>1</v>
      </c>
      <c r="G231">
        <v>10</v>
      </c>
    </row>
    <row r="232" spans="1:7" x14ac:dyDescent="0.55000000000000004">
      <c r="A232" t="s">
        <v>253</v>
      </c>
      <c r="B232" t="s">
        <v>300</v>
      </c>
      <c r="C232">
        <v>102</v>
      </c>
      <c r="D232">
        <v>0</v>
      </c>
      <c r="E232">
        <v>1</v>
      </c>
      <c r="F232">
        <v>1</v>
      </c>
      <c r="G232">
        <v>10</v>
      </c>
    </row>
    <row r="233" spans="1:7" x14ac:dyDescent="0.55000000000000004">
      <c r="A233" t="s">
        <v>254</v>
      </c>
      <c r="B233" t="s">
        <v>300</v>
      </c>
      <c r="C233">
        <v>102</v>
      </c>
      <c r="D233">
        <v>0</v>
      </c>
      <c r="E233">
        <v>1</v>
      </c>
      <c r="F233">
        <v>1</v>
      </c>
      <c r="G233">
        <v>10</v>
      </c>
    </row>
    <row r="234" spans="1:7" x14ac:dyDescent="0.55000000000000004">
      <c r="A234" t="s">
        <v>255</v>
      </c>
      <c r="B234" t="s">
        <v>300</v>
      </c>
      <c r="C234">
        <v>101</v>
      </c>
      <c r="D234">
        <v>0</v>
      </c>
      <c r="E234">
        <v>1</v>
      </c>
      <c r="F234">
        <v>1</v>
      </c>
      <c r="G234">
        <v>10</v>
      </c>
    </row>
    <row r="235" spans="1:7" x14ac:dyDescent="0.55000000000000004">
      <c r="A235" t="s">
        <v>256</v>
      </c>
      <c r="B235" t="s">
        <v>300</v>
      </c>
      <c r="C235">
        <v>102</v>
      </c>
      <c r="D235">
        <v>0</v>
      </c>
      <c r="E235">
        <v>1</v>
      </c>
      <c r="F235">
        <v>1</v>
      </c>
      <c r="G235">
        <v>10</v>
      </c>
    </row>
    <row r="236" spans="1:7" x14ac:dyDescent="0.55000000000000004">
      <c r="A236" t="s">
        <v>257</v>
      </c>
      <c r="B236" t="s">
        <v>300</v>
      </c>
      <c r="C236">
        <v>101</v>
      </c>
      <c r="D236">
        <v>0</v>
      </c>
      <c r="E236">
        <v>1</v>
      </c>
      <c r="F236">
        <v>1</v>
      </c>
      <c r="G236">
        <v>10</v>
      </c>
    </row>
    <row r="237" spans="1:7" x14ac:dyDescent="0.55000000000000004">
      <c r="A237" t="s">
        <v>258</v>
      </c>
      <c r="B237" t="s">
        <v>300</v>
      </c>
      <c r="C237">
        <v>101</v>
      </c>
      <c r="D237">
        <v>0</v>
      </c>
      <c r="E237">
        <v>1</v>
      </c>
      <c r="F237">
        <v>1</v>
      </c>
      <c r="G237">
        <v>10</v>
      </c>
    </row>
    <row r="238" spans="1:7" x14ac:dyDescent="0.55000000000000004">
      <c r="A238" t="s">
        <v>259</v>
      </c>
      <c r="B238" t="s">
        <v>300</v>
      </c>
      <c r="C238">
        <v>102</v>
      </c>
      <c r="D238">
        <v>0</v>
      </c>
      <c r="E238">
        <v>1</v>
      </c>
      <c r="F238">
        <v>1</v>
      </c>
      <c r="G238">
        <v>10</v>
      </c>
    </row>
    <row r="239" spans="1:7" x14ac:dyDescent="0.55000000000000004">
      <c r="A239" t="s">
        <v>260</v>
      </c>
      <c r="B239" t="s">
        <v>300</v>
      </c>
      <c r="C239">
        <v>102</v>
      </c>
      <c r="D239">
        <v>0</v>
      </c>
      <c r="E239">
        <v>1</v>
      </c>
      <c r="F239">
        <v>1</v>
      </c>
      <c r="G239">
        <v>10</v>
      </c>
    </row>
    <row r="240" spans="1:7" x14ac:dyDescent="0.55000000000000004">
      <c r="A240" t="s">
        <v>261</v>
      </c>
      <c r="B240" t="s">
        <v>300</v>
      </c>
      <c r="C240">
        <v>101</v>
      </c>
      <c r="D240">
        <v>0</v>
      </c>
      <c r="E240">
        <v>1</v>
      </c>
      <c r="F240">
        <v>1</v>
      </c>
      <c r="G240">
        <v>10</v>
      </c>
    </row>
    <row r="241" spans="1:7" x14ac:dyDescent="0.55000000000000004">
      <c r="A241" t="s">
        <v>262</v>
      </c>
      <c r="B241" t="s">
        <v>300</v>
      </c>
      <c r="C241">
        <v>102</v>
      </c>
      <c r="D241">
        <v>0</v>
      </c>
      <c r="E241">
        <v>1</v>
      </c>
      <c r="F241">
        <v>1</v>
      </c>
      <c r="G241">
        <v>10</v>
      </c>
    </row>
    <row r="242" spans="1:7" x14ac:dyDescent="0.55000000000000004">
      <c r="A242" t="s">
        <v>263</v>
      </c>
      <c r="B242" t="s">
        <v>300</v>
      </c>
      <c r="C242">
        <v>99</v>
      </c>
      <c r="D242">
        <v>0</v>
      </c>
      <c r="E242">
        <v>1</v>
      </c>
      <c r="F242">
        <v>1</v>
      </c>
      <c r="G242">
        <v>10</v>
      </c>
    </row>
    <row r="243" spans="1:7" x14ac:dyDescent="0.55000000000000004">
      <c r="A243" t="s">
        <v>264</v>
      </c>
      <c r="B243" t="s">
        <v>300</v>
      </c>
      <c r="C243">
        <v>98</v>
      </c>
      <c r="D243">
        <v>0</v>
      </c>
      <c r="E243">
        <v>1</v>
      </c>
      <c r="F243">
        <v>1</v>
      </c>
      <c r="G243">
        <v>10</v>
      </c>
    </row>
    <row r="244" spans="1:7" x14ac:dyDescent="0.55000000000000004">
      <c r="A244" t="s">
        <v>265</v>
      </c>
      <c r="B244" t="s">
        <v>300</v>
      </c>
      <c r="C244">
        <v>98</v>
      </c>
      <c r="D244">
        <v>0</v>
      </c>
      <c r="E244">
        <v>1</v>
      </c>
      <c r="F244">
        <v>1</v>
      </c>
      <c r="G244">
        <v>10</v>
      </c>
    </row>
    <row r="245" spans="1:7" x14ac:dyDescent="0.55000000000000004">
      <c r="A245" t="s">
        <v>266</v>
      </c>
      <c r="B245" t="s">
        <v>300</v>
      </c>
      <c r="C245">
        <v>100</v>
      </c>
      <c r="D245">
        <v>0</v>
      </c>
      <c r="E245">
        <v>1</v>
      </c>
      <c r="F245">
        <v>1</v>
      </c>
      <c r="G245">
        <v>10</v>
      </c>
    </row>
    <row r="246" spans="1:7" x14ac:dyDescent="0.55000000000000004">
      <c r="A246" t="s">
        <v>267</v>
      </c>
      <c r="B246" t="s">
        <v>300</v>
      </c>
      <c r="C246">
        <v>99</v>
      </c>
      <c r="D246">
        <v>0</v>
      </c>
      <c r="E246">
        <v>1</v>
      </c>
      <c r="F246">
        <v>1</v>
      </c>
      <c r="G246">
        <v>10</v>
      </c>
    </row>
    <row r="247" spans="1:7" x14ac:dyDescent="0.55000000000000004">
      <c r="A247" t="s">
        <v>268</v>
      </c>
      <c r="B247" t="s">
        <v>300</v>
      </c>
      <c r="C247">
        <v>98</v>
      </c>
      <c r="D247">
        <v>0</v>
      </c>
      <c r="E247">
        <v>1</v>
      </c>
      <c r="F247">
        <v>1</v>
      </c>
      <c r="G247">
        <v>10</v>
      </c>
    </row>
    <row r="248" spans="1:7" x14ac:dyDescent="0.55000000000000004">
      <c r="A248" t="s">
        <v>269</v>
      </c>
      <c r="B248" t="s">
        <v>300</v>
      </c>
      <c r="C248">
        <v>97</v>
      </c>
      <c r="D248">
        <v>0</v>
      </c>
      <c r="E248">
        <v>1</v>
      </c>
      <c r="F248">
        <v>1</v>
      </c>
      <c r="G248">
        <v>10</v>
      </c>
    </row>
    <row r="249" spans="1:7" x14ac:dyDescent="0.55000000000000004">
      <c r="A249" t="s">
        <v>270</v>
      </c>
      <c r="B249" t="s">
        <v>300</v>
      </c>
      <c r="C249">
        <v>97</v>
      </c>
      <c r="D249">
        <v>0</v>
      </c>
      <c r="E249">
        <v>1</v>
      </c>
      <c r="F249">
        <v>1</v>
      </c>
      <c r="G249">
        <v>10</v>
      </c>
    </row>
    <row r="250" spans="1:7" x14ac:dyDescent="0.55000000000000004">
      <c r="A250" t="s">
        <v>271</v>
      </c>
      <c r="B250" t="s">
        <v>300</v>
      </c>
      <c r="C250">
        <v>98</v>
      </c>
      <c r="D250">
        <v>0</v>
      </c>
      <c r="E250">
        <v>1</v>
      </c>
      <c r="F250">
        <v>1</v>
      </c>
      <c r="G250">
        <v>10</v>
      </c>
    </row>
    <row r="251" spans="1:7" x14ac:dyDescent="0.55000000000000004">
      <c r="A251" t="s">
        <v>272</v>
      </c>
      <c r="B251" t="s">
        <v>300</v>
      </c>
      <c r="C251">
        <v>98</v>
      </c>
      <c r="D251">
        <v>0</v>
      </c>
      <c r="E251">
        <v>1</v>
      </c>
      <c r="F251">
        <v>1</v>
      </c>
      <c r="G251">
        <v>10</v>
      </c>
    </row>
    <row r="252" spans="1:7" x14ac:dyDescent="0.55000000000000004">
      <c r="A252" t="s">
        <v>273</v>
      </c>
      <c r="B252" t="s">
        <v>300</v>
      </c>
      <c r="C252">
        <v>99</v>
      </c>
      <c r="D252">
        <v>0</v>
      </c>
      <c r="E252">
        <v>1</v>
      </c>
      <c r="F252">
        <v>1</v>
      </c>
      <c r="G252">
        <v>10</v>
      </c>
    </row>
    <row r="253" spans="1:7" x14ac:dyDescent="0.55000000000000004">
      <c r="A253" t="s">
        <v>274</v>
      </c>
      <c r="B253" t="s">
        <v>300</v>
      </c>
      <c r="C253">
        <v>99</v>
      </c>
      <c r="D253">
        <v>0</v>
      </c>
      <c r="E253">
        <v>1</v>
      </c>
      <c r="F253">
        <v>1</v>
      </c>
      <c r="G253">
        <v>10</v>
      </c>
    </row>
    <row r="254" spans="1:7" x14ac:dyDescent="0.55000000000000004">
      <c r="A254" t="s">
        <v>275</v>
      </c>
      <c r="B254" t="s">
        <v>300</v>
      </c>
      <c r="C254">
        <v>99</v>
      </c>
      <c r="D254">
        <v>0</v>
      </c>
      <c r="E254">
        <v>1</v>
      </c>
      <c r="F254">
        <v>1</v>
      </c>
      <c r="G254">
        <v>10</v>
      </c>
    </row>
    <row r="255" spans="1:7" x14ac:dyDescent="0.55000000000000004">
      <c r="A255" t="s">
        <v>276</v>
      </c>
      <c r="B255" t="s">
        <v>300</v>
      </c>
      <c r="C255">
        <v>95</v>
      </c>
      <c r="D255">
        <v>0</v>
      </c>
      <c r="E255">
        <v>1</v>
      </c>
      <c r="F255">
        <v>1</v>
      </c>
      <c r="G255">
        <v>10</v>
      </c>
    </row>
    <row r="256" spans="1:7" x14ac:dyDescent="0.55000000000000004">
      <c r="A256" t="s">
        <v>277</v>
      </c>
      <c r="B256" t="s">
        <v>300</v>
      </c>
      <c r="C256">
        <v>93</v>
      </c>
      <c r="D256">
        <v>0</v>
      </c>
      <c r="E256">
        <v>1</v>
      </c>
      <c r="F256">
        <v>1</v>
      </c>
      <c r="G256">
        <v>10</v>
      </c>
    </row>
    <row r="257" spans="1:7" x14ac:dyDescent="0.55000000000000004">
      <c r="A257" t="s">
        <v>278</v>
      </c>
      <c r="B257" t="s">
        <v>300</v>
      </c>
      <c r="C257">
        <v>93</v>
      </c>
      <c r="D257">
        <v>0</v>
      </c>
      <c r="E257">
        <v>1</v>
      </c>
      <c r="F257">
        <v>1</v>
      </c>
      <c r="G257">
        <v>10</v>
      </c>
    </row>
    <row r="258" spans="1:7" x14ac:dyDescent="0.55000000000000004">
      <c r="A258" t="s">
        <v>279</v>
      </c>
      <c r="B258" t="s">
        <v>300</v>
      </c>
      <c r="C258">
        <v>94</v>
      </c>
      <c r="D258">
        <v>0</v>
      </c>
      <c r="E258">
        <v>1</v>
      </c>
      <c r="F258">
        <v>1</v>
      </c>
      <c r="G258">
        <v>10</v>
      </c>
    </row>
    <row r="259" spans="1:7" x14ac:dyDescent="0.55000000000000004">
      <c r="A259" t="s">
        <v>280</v>
      </c>
      <c r="B259" t="s">
        <v>300</v>
      </c>
      <c r="C259">
        <v>93</v>
      </c>
      <c r="D259">
        <v>0</v>
      </c>
      <c r="E259">
        <v>1</v>
      </c>
      <c r="F259">
        <v>1</v>
      </c>
      <c r="G259">
        <v>10</v>
      </c>
    </row>
    <row r="260" spans="1:7" x14ac:dyDescent="0.55000000000000004">
      <c r="A260" t="s">
        <v>281</v>
      </c>
      <c r="B260" t="s">
        <v>300</v>
      </c>
      <c r="C260">
        <v>94</v>
      </c>
      <c r="D260">
        <v>0</v>
      </c>
      <c r="E260">
        <v>1</v>
      </c>
      <c r="F260">
        <v>1</v>
      </c>
      <c r="G260">
        <v>10</v>
      </c>
    </row>
    <row r="261" spans="1:7" x14ac:dyDescent="0.55000000000000004">
      <c r="A261" t="s">
        <v>282</v>
      </c>
      <c r="B261" t="s">
        <v>300</v>
      </c>
      <c r="C261">
        <v>95</v>
      </c>
      <c r="D261">
        <v>0</v>
      </c>
      <c r="E261">
        <v>1</v>
      </c>
      <c r="F261">
        <v>1</v>
      </c>
      <c r="G261">
        <v>10</v>
      </c>
    </row>
    <row r="262" spans="1:7" x14ac:dyDescent="0.55000000000000004">
      <c r="A262" t="s">
        <v>283</v>
      </c>
      <c r="B262" t="s">
        <v>300</v>
      </c>
      <c r="C262">
        <v>95</v>
      </c>
      <c r="D262">
        <v>0</v>
      </c>
      <c r="E262">
        <v>1</v>
      </c>
      <c r="F262">
        <v>1</v>
      </c>
      <c r="G262">
        <v>10</v>
      </c>
    </row>
    <row r="263" spans="1:7" x14ac:dyDescent="0.55000000000000004">
      <c r="A263" t="s">
        <v>284</v>
      </c>
      <c r="B263" t="s">
        <v>300</v>
      </c>
      <c r="C263">
        <v>93</v>
      </c>
      <c r="D263">
        <v>0</v>
      </c>
      <c r="E263">
        <v>1</v>
      </c>
      <c r="F263">
        <v>1</v>
      </c>
      <c r="G263">
        <v>10</v>
      </c>
    </row>
    <row r="264" spans="1:7" x14ac:dyDescent="0.55000000000000004">
      <c r="A264" t="s">
        <v>285</v>
      </c>
      <c r="B264" t="s">
        <v>300</v>
      </c>
      <c r="C264">
        <v>93</v>
      </c>
      <c r="D264">
        <v>0</v>
      </c>
      <c r="E264">
        <v>1</v>
      </c>
      <c r="F264">
        <v>1</v>
      </c>
      <c r="G264">
        <v>10</v>
      </c>
    </row>
    <row r="265" spans="1:7" x14ac:dyDescent="0.55000000000000004">
      <c r="A265" t="s">
        <v>286</v>
      </c>
      <c r="B265" t="s">
        <v>300</v>
      </c>
      <c r="C265">
        <v>94</v>
      </c>
      <c r="D265">
        <v>0</v>
      </c>
      <c r="E265">
        <v>1</v>
      </c>
      <c r="F265">
        <v>1</v>
      </c>
      <c r="G265">
        <v>10</v>
      </c>
    </row>
    <row r="266" spans="1:7" x14ac:dyDescent="0.55000000000000004">
      <c r="A266" t="s">
        <v>287</v>
      </c>
      <c r="B266" t="s">
        <v>300</v>
      </c>
      <c r="C266">
        <v>90</v>
      </c>
      <c r="D266">
        <v>0</v>
      </c>
      <c r="E266">
        <v>1</v>
      </c>
      <c r="F266">
        <v>1</v>
      </c>
      <c r="G266">
        <v>10</v>
      </c>
    </row>
    <row r="267" spans="1:7" x14ac:dyDescent="0.55000000000000004">
      <c r="A267" t="s">
        <v>288</v>
      </c>
      <c r="B267" t="s">
        <v>300</v>
      </c>
      <c r="C267">
        <v>90</v>
      </c>
      <c r="D267">
        <v>0</v>
      </c>
      <c r="E267">
        <v>1</v>
      </c>
      <c r="F267">
        <v>1</v>
      </c>
      <c r="G267">
        <v>10</v>
      </c>
    </row>
    <row r="268" spans="1:7" x14ac:dyDescent="0.55000000000000004">
      <c r="A268" t="s">
        <v>289</v>
      </c>
      <c r="B268" t="s">
        <v>300</v>
      </c>
      <c r="C268">
        <v>91</v>
      </c>
      <c r="D268">
        <v>0</v>
      </c>
      <c r="E268">
        <v>1</v>
      </c>
      <c r="F268">
        <v>1</v>
      </c>
      <c r="G268">
        <v>10</v>
      </c>
    </row>
    <row r="269" spans="1:7" x14ac:dyDescent="0.55000000000000004">
      <c r="A269" t="s">
        <v>290</v>
      </c>
      <c r="B269" t="s">
        <v>300</v>
      </c>
      <c r="C269">
        <v>91</v>
      </c>
      <c r="D269">
        <v>0</v>
      </c>
      <c r="E269">
        <v>1</v>
      </c>
      <c r="F269">
        <v>1</v>
      </c>
      <c r="G269">
        <v>10</v>
      </c>
    </row>
    <row r="270" spans="1:7" x14ac:dyDescent="0.55000000000000004">
      <c r="A270" t="s">
        <v>291</v>
      </c>
      <c r="B270" t="s">
        <v>300</v>
      </c>
      <c r="C270">
        <v>92</v>
      </c>
      <c r="D270">
        <v>0</v>
      </c>
      <c r="E270">
        <v>1</v>
      </c>
      <c r="F270">
        <v>1</v>
      </c>
      <c r="G270">
        <v>10</v>
      </c>
    </row>
    <row r="271" spans="1:7" x14ac:dyDescent="0.55000000000000004">
      <c r="A271" t="s">
        <v>292</v>
      </c>
      <c r="B271" t="s">
        <v>300</v>
      </c>
      <c r="C271">
        <v>90</v>
      </c>
      <c r="D271">
        <v>0</v>
      </c>
      <c r="E271">
        <v>1</v>
      </c>
      <c r="F271">
        <v>1</v>
      </c>
      <c r="G271">
        <v>10</v>
      </c>
    </row>
    <row r="272" spans="1:7" x14ac:dyDescent="0.55000000000000004">
      <c r="A272" t="s">
        <v>293</v>
      </c>
      <c r="B272" t="s">
        <v>300</v>
      </c>
      <c r="C272">
        <v>90</v>
      </c>
      <c r="D272">
        <v>0</v>
      </c>
      <c r="E272">
        <v>1</v>
      </c>
      <c r="F272">
        <v>1</v>
      </c>
      <c r="G272">
        <v>10</v>
      </c>
    </row>
    <row r="273" spans="1:7" x14ac:dyDescent="0.55000000000000004">
      <c r="A273" t="s">
        <v>294</v>
      </c>
      <c r="B273" t="s">
        <v>300</v>
      </c>
      <c r="C273">
        <v>89</v>
      </c>
      <c r="D273">
        <v>0</v>
      </c>
      <c r="E273">
        <v>1</v>
      </c>
      <c r="F273">
        <v>1</v>
      </c>
      <c r="G273">
        <v>10</v>
      </c>
    </row>
    <row r="274" spans="1:7" x14ac:dyDescent="0.55000000000000004">
      <c r="A274" t="s">
        <v>295</v>
      </c>
      <c r="B274" t="s">
        <v>300</v>
      </c>
      <c r="C274">
        <v>89</v>
      </c>
      <c r="D274">
        <v>0</v>
      </c>
      <c r="E274">
        <v>1</v>
      </c>
      <c r="F274">
        <v>1</v>
      </c>
      <c r="G274">
        <v>10</v>
      </c>
    </row>
    <row r="275" spans="1:7" x14ac:dyDescent="0.55000000000000004">
      <c r="A275" t="s">
        <v>296</v>
      </c>
      <c r="B275" t="s">
        <v>300</v>
      </c>
      <c r="C275">
        <v>90</v>
      </c>
      <c r="D275">
        <v>0</v>
      </c>
      <c r="E275">
        <v>1</v>
      </c>
      <c r="F275">
        <v>1</v>
      </c>
      <c r="G275">
        <v>10</v>
      </c>
    </row>
    <row r="276" spans="1:7" x14ac:dyDescent="0.55000000000000004">
      <c r="A276" t="s">
        <v>297</v>
      </c>
      <c r="B276" t="s">
        <v>300</v>
      </c>
      <c r="C276">
        <v>90</v>
      </c>
      <c r="D276">
        <v>0</v>
      </c>
      <c r="E276">
        <v>1</v>
      </c>
      <c r="F276">
        <v>1</v>
      </c>
      <c r="G276">
        <v>10</v>
      </c>
    </row>
    <row r="277" spans="1:7" x14ac:dyDescent="0.55000000000000004">
      <c r="A277" t="s">
        <v>301</v>
      </c>
      <c r="B277" t="s">
        <v>300</v>
      </c>
      <c r="C277">
        <v>131</v>
      </c>
      <c r="D277">
        <v>0</v>
      </c>
      <c r="E277">
        <v>1</v>
      </c>
      <c r="F277">
        <v>1</v>
      </c>
      <c r="G277">
        <v>10</v>
      </c>
    </row>
    <row r="278" spans="1:7" x14ac:dyDescent="0.55000000000000004">
      <c r="A278" t="s">
        <v>302</v>
      </c>
      <c r="B278" t="s">
        <v>300</v>
      </c>
      <c r="C278">
        <v>132</v>
      </c>
      <c r="D278">
        <v>0</v>
      </c>
      <c r="E278">
        <v>1</v>
      </c>
      <c r="F278">
        <v>1</v>
      </c>
      <c r="G278">
        <v>10</v>
      </c>
    </row>
    <row r="279" spans="1:7" x14ac:dyDescent="0.55000000000000004">
      <c r="A279" t="s">
        <v>303</v>
      </c>
      <c r="B279" t="s">
        <v>300</v>
      </c>
      <c r="C279">
        <v>132</v>
      </c>
      <c r="D279">
        <v>0</v>
      </c>
      <c r="E279">
        <v>1</v>
      </c>
      <c r="F279">
        <v>1</v>
      </c>
      <c r="G279">
        <v>10</v>
      </c>
    </row>
    <row r="280" spans="1:7" x14ac:dyDescent="0.55000000000000004">
      <c r="A280" t="s">
        <v>304</v>
      </c>
      <c r="B280" t="s">
        <v>300</v>
      </c>
      <c r="C280">
        <v>133</v>
      </c>
      <c r="D280">
        <v>0</v>
      </c>
      <c r="E280">
        <v>1</v>
      </c>
      <c r="F280">
        <v>1</v>
      </c>
      <c r="G280">
        <v>10</v>
      </c>
    </row>
    <row r="281" spans="1:7" x14ac:dyDescent="0.55000000000000004">
      <c r="A281" t="s">
        <v>305</v>
      </c>
      <c r="B281" t="s">
        <v>300</v>
      </c>
      <c r="C281">
        <v>134</v>
      </c>
      <c r="D281">
        <v>0</v>
      </c>
      <c r="E281">
        <v>1</v>
      </c>
      <c r="F281">
        <v>1</v>
      </c>
      <c r="G281">
        <v>10</v>
      </c>
    </row>
    <row r="282" spans="1:7" x14ac:dyDescent="0.55000000000000004">
      <c r="A282" t="s">
        <v>306</v>
      </c>
      <c r="B282" t="s">
        <v>300</v>
      </c>
      <c r="C282">
        <v>134</v>
      </c>
      <c r="D282">
        <v>0</v>
      </c>
      <c r="E282">
        <v>1</v>
      </c>
      <c r="F282">
        <v>1</v>
      </c>
      <c r="G282">
        <v>10</v>
      </c>
    </row>
    <row r="283" spans="1:7" x14ac:dyDescent="0.55000000000000004">
      <c r="A283" t="s">
        <v>307</v>
      </c>
      <c r="B283" t="s">
        <v>300</v>
      </c>
      <c r="C283">
        <v>132</v>
      </c>
      <c r="D283">
        <v>0</v>
      </c>
      <c r="E283">
        <v>1</v>
      </c>
      <c r="F283">
        <v>1</v>
      </c>
      <c r="G283">
        <v>10</v>
      </c>
    </row>
    <row r="284" spans="1:7" x14ac:dyDescent="0.55000000000000004">
      <c r="A284" t="s">
        <v>308</v>
      </c>
      <c r="B284" t="s">
        <v>300</v>
      </c>
      <c r="C284">
        <v>134</v>
      </c>
      <c r="D284">
        <v>0</v>
      </c>
      <c r="E284">
        <v>1</v>
      </c>
      <c r="F284">
        <v>1</v>
      </c>
      <c r="G284">
        <v>10</v>
      </c>
    </row>
    <row r="285" spans="1:7" x14ac:dyDescent="0.55000000000000004">
      <c r="A285" t="s">
        <v>309</v>
      </c>
      <c r="B285" t="s">
        <v>300</v>
      </c>
      <c r="C285">
        <v>132</v>
      </c>
      <c r="D285">
        <v>0</v>
      </c>
      <c r="E285">
        <v>1</v>
      </c>
      <c r="F285">
        <v>1</v>
      </c>
      <c r="G285">
        <v>10</v>
      </c>
    </row>
    <row r="286" spans="1:7" x14ac:dyDescent="0.55000000000000004">
      <c r="A286" t="s">
        <v>310</v>
      </c>
      <c r="B286" t="s">
        <v>300</v>
      </c>
      <c r="C286">
        <v>133</v>
      </c>
      <c r="D286">
        <v>0</v>
      </c>
      <c r="E286">
        <v>1</v>
      </c>
      <c r="F286">
        <v>1</v>
      </c>
      <c r="G286">
        <v>10</v>
      </c>
    </row>
    <row r="287" spans="1:7" x14ac:dyDescent="0.55000000000000004">
      <c r="A287" t="s">
        <v>311</v>
      </c>
      <c r="B287" t="s">
        <v>300</v>
      </c>
      <c r="C287">
        <v>130</v>
      </c>
      <c r="D287">
        <v>0</v>
      </c>
      <c r="E287">
        <v>1</v>
      </c>
      <c r="F287">
        <v>1</v>
      </c>
      <c r="G287">
        <v>10</v>
      </c>
    </row>
    <row r="288" spans="1:7" x14ac:dyDescent="0.55000000000000004">
      <c r="A288" t="s">
        <v>312</v>
      </c>
      <c r="B288" t="s">
        <v>300</v>
      </c>
      <c r="C288">
        <v>130</v>
      </c>
      <c r="D288">
        <v>0</v>
      </c>
      <c r="E288">
        <v>1</v>
      </c>
      <c r="F288">
        <v>1</v>
      </c>
      <c r="G288">
        <v>10</v>
      </c>
    </row>
    <row r="289" spans="1:7" x14ac:dyDescent="0.55000000000000004">
      <c r="A289" t="s">
        <v>313</v>
      </c>
      <c r="B289" t="s">
        <v>300</v>
      </c>
      <c r="C289">
        <v>131</v>
      </c>
      <c r="D289">
        <v>0</v>
      </c>
      <c r="E289">
        <v>1</v>
      </c>
      <c r="F289">
        <v>1</v>
      </c>
      <c r="G289">
        <v>10</v>
      </c>
    </row>
    <row r="290" spans="1:7" x14ac:dyDescent="0.55000000000000004">
      <c r="A290" t="s">
        <v>314</v>
      </c>
      <c r="B290" t="s">
        <v>300</v>
      </c>
      <c r="C290">
        <v>134</v>
      </c>
      <c r="D290">
        <v>0</v>
      </c>
      <c r="E290">
        <v>1</v>
      </c>
      <c r="F290">
        <v>1</v>
      </c>
      <c r="G290">
        <v>10</v>
      </c>
    </row>
    <row r="291" spans="1:7" x14ac:dyDescent="0.55000000000000004">
      <c r="A291" t="s">
        <v>315</v>
      </c>
      <c r="B291" t="s">
        <v>300</v>
      </c>
      <c r="C291">
        <v>126</v>
      </c>
      <c r="D291">
        <v>0</v>
      </c>
      <c r="E291">
        <v>1</v>
      </c>
      <c r="F291">
        <v>1</v>
      </c>
      <c r="G291">
        <v>10</v>
      </c>
    </row>
    <row r="292" spans="1:7" x14ac:dyDescent="0.55000000000000004">
      <c r="A292" t="s">
        <v>316</v>
      </c>
      <c r="B292" t="s">
        <v>300</v>
      </c>
      <c r="C292">
        <v>127</v>
      </c>
      <c r="D292">
        <v>0</v>
      </c>
      <c r="E292">
        <v>1</v>
      </c>
      <c r="F292">
        <v>1</v>
      </c>
      <c r="G292">
        <v>10</v>
      </c>
    </row>
    <row r="293" spans="1:7" x14ac:dyDescent="0.55000000000000004">
      <c r="A293" t="s">
        <v>317</v>
      </c>
      <c r="B293" t="s">
        <v>300</v>
      </c>
      <c r="C293">
        <v>127</v>
      </c>
      <c r="D293">
        <v>0</v>
      </c>
      <c r="E293">
        <v>1</v>
      </c>
      <c r="F293">
        <v>1</v>
      </c>
      <c r="G293">
        <v>10</v>
      </c>
    </row>
    <row r="294" spans="1:7" x14ac:dyDescent="0.55000000000000004">
      <c r="A294" t="s">
        <v>318</v>
      </c>
      <c r="B294" t="s">
        <v>300</v>
      </c>
      <c r="C294">
        <v>126</v>
      </c>
      <c r="D294">
        <v>0</v>
      </c>
      <c r="E294">
        <v>1</v>
      </c>
      <c r="F294">
        <v>1</v>
      </c>
      <c r="G294">
        <v>10</v>
      </c>
    </row>
    <row r="295" spans="1:7" x14ac:dyDescent="0.55000000000000004">
      <c r="A295" t="s">
        <v>319</v>
      </c>
      <c r="B295" t="s">
        <v>300</v>
      </c>
      <c r="C295">
        <v>129</v>
      </c>
      <c r="D295">
        <v>0</v>
      </c>
      <c r="E295">
        <v>1</v>
      </c>
      <c r="F295">
        <v>1</v>
      </c>
      <c r="G295">
        <v>10</v>
      </c>
    </row>
    <row r="296" spans="1:7" x14ac:dyDescent="0.55000000000000004">
      <c r="A296" t="s">
        <v>320</v>
      </c>
      <c r="B296" t="s">
        <v>300</v>
      </c>
      <c r="C296">
        <v>126</v>
      </c>
      <c r="D296">
        <v>0</v>
      </c>
      <c r="E296">
        <v>1</v>
      </c>
      <c r="F296">
        <v>1</v>
      </c>
      <c r="G296">
        <v>10</v>
      </c>
    </row>
    <row r="297" spans="1:7" x14ac:dyDescent="0.55000000000000004">
      <c r="A297" t="s">
        <v>321</v>
      </c>
      <c r="B297" t="s">
        <v>300</v>
      </c>
      <c r="C297">
        <v>128</v>
      </c>
      <c r="D297">
        <v>0</v>
      </c>
      <c r="E297">
        <v>1</v>
      </c>
      <c r="F297">
        <v>1</v>
      </c>
      <c r="G297">
        <v>10</v>
      </c>
    </row>
    <row r="298" spans="1:7" x14ac:dyDescent="0.55000000000000004">
      <c r="A298" t="s">
        <v>322</v>
      </c>
      <c r="B298" t="s">
        <v>300</v>
      </c>
      <c r="C298">
        <v>128</v>
      </c>
      <c r="D298">
        <v>0</v>
      </c>
      <c r="E298">
        <v>1</v>
      </c>
      <c r="F298">
        <v>1</v>
      </c>
      <c r="G298">
        <v>10</v>
      </c>
    </row>
    <row r="299" spans="1:7" x14ac:dyDescent="0.55000000000000004">
      <c r="A299" t="s">
        <v>323</v>
      </c>
      <c r="B299" t="s">
        <v>300</v>
      </c>
      <c r="C299">
        <v>128</v>
      </c>
      <c r="D299">
        <v>0</v>
      </c>
      <c r="E299">
        <v>1</v>
      </c>
      <c r="F299">
        <v>1</v>
      </c>
      <c r="G299">
        <v>10</v>
      </c>
    </row>
    <row r="300" spans="1:7" x14ac:dyDescent="0.55000000000000004">
      <c r="A300" t="s">
        <v>324</v>
      </c>
      <c r="B300" t="s">
        <v>300</v>
      </c>
      <c r="C300">
        <v>127</v>
      </c>
      <c r="D300">
        <v>0</v>
      </c>
      <c r="E300">
        <v>1</v>
      </c>
      <c r="F300">
        <v>1</v>
      </c>
      <c r="G300">
        <v>10</v>
      </c>
    </row>
    <row r="301" spans="1:7" x14ac:dyDescent="0.55000000000000004">
      <c r="A301" t="s">
        <v>325</v>
      </c>
      <c r="B301" t="s">
        <v>300</v>
      </c>
      <c r="C301">
        <v>130</v>
      </c>
      <c r="D301">
        <v>0</v>
      </c>
      <c r="E301">
        <v>1</v>
      </c>
      <c r="F301">
        <v>1</v>
      </c>
      <c r="G301">
        <v>10</v>
      </c>
    </row>
    <row r="302" spans="1:7" x14ac:dyDescent="0.55000000000000004">
      <c r="A302" t="s">
        <v>326</v>
      </c>
      <c r="B302" t="s">
        <v>300</v>
      </c>
      <c r="C302">
        <v>129</v>
      </c>
      <c r="D302">
        <v>0</v>
      </c>
      <c r="E302">
        <v>1</v>
      </c>
      <c r="F302">
        <v>1</v>
      </c>
      <c r="G302">
        <v>10</v>
      </c>
    </row>
    <row r="303" spans="1:7" x14ac:dyDescent="0.55000000000000004">
      <c r="A303" t="s">
        <v>327</v>
      </c>
      <c r="B303" t="s">
        <v>300</v>
      </c>
      <c r="C303">
        <v>122</v>
      </c>
      <c r="D303">
        <v>0</v>
      </c>
      <c r="E303">
        <v>1</v>
      </c>
      <c r="F303">
        <v>1</v>
      </c>
      <c r="G303">
        <v>10</v>
      </c>
    </row>
    <row r="304" spans="1:7" x14ac:dyDescent="0.55000000000000004">
      <c r="A304" t="s">
        <v>328</v>
      </c>
      <c r="B304" t="s">
        <v>300</v>
      </c>
      <c r="C304">
        <v>122</v>
      </c>
      <c r="D304">
        <v>0</v>
      </c>
      <c r="E304">
        <v>1</v>
      </c>
      <c r="F304">
        <v>1</v>
      </c>
      <c r="G304">
        <v>10</v>
      </c>
    </row>
    <row r="305" spans="1:7" x14ac:dyDescent="0.55000000000000004">
      <c r="A305" t="s">
        <v>329</v>
      </c>
      <c r="B305" t="s">
        <v>300</v>
      </c>
      <c r="C305">
        <v>122</v>
      </c>
      <c r="D305">
        <v>0</v>
      </c>
      <c r="E305">
        <v>1</v>
      </c>
      <c r="F305">
        <v>1</v>
      </c>
      <c r="G305">
        <v>10</v>
      </c>
    </row>
    <row r="306" spans="1:7" x14ac:dyDescent="0.55000000000000004">
      <c r="A306" t="s">
        <v>330</v>
      </c>
      <c r="B306" t="s">
        <v>300</v>
      </c>
      <c r="C306">
        <v>125</v>
      </c>
      <c r="D306">
        <v>0</v>
      </c>
      <c r="E306">
        <v>1</v>
      </c>
      <c r="F306">
        <v>1</v>
      </c>
      <c r="G306">
        <v>10</v>
      </c>
    </row>
    <row r="307" spans="1:7" x14ac:dyDescent="0.55000000000000004">
      <c r="A307" t="s">
        <v>331</v>
      </c>
      <c r="B307" t="s">
        <v>300</v>
      </c>
      <c r="C307">
        <v>125</v>
      </c>
      <c r="D307">
        <v>0</v>
      </c>
      <c r="E307">
        <v>1</v>
      </c>
      <c r="F307">
        <v>1</v>
      </c>
      <c r="G307">
        <v>10</v>
      </c>
    </row>
    <row r="308" spans="1:7" x14ac:dyDescent="0.55000000000000004">
      <c r="A308" t="s">
        <v>332</v>
      </c>
      <c r="B308" t="s">
        <v>300</v>
      </c>
      <c r="C308">
        <v>123</v>
      </c>
      <c r="D308">
        <v>0</v>
      </c>
      <c r="E308">
        <v>1</v>
      </c>
      <c r="F308">
        <v>1</v>
      </c>
      <c r="G308">
        <v>10</v>
      </c>
    </row>
    <row r="309" spans="1:7" x14ac:dyDescent="0.55000000000000004">
      <c r="A309" t="s">
        <v>333</v>
      </c>
      <c r="B309" t="s">
        <v>300</v>
      </c>
      <c r="C309">
        <v>124</v>
      </c>
      <c r="D309">
        <v>0</v>
      </c>
      <c r="E309">
        <v>1</v>
      </c>
      <c r="F309">
        <v>1</v>
      </c>
      <c r="G309">
        <v>10</v>
      </c>
    </row>
    <row r="310" spans="1:7" x14ac:dyDescent="0.55000000000000004">
      <c r="A310" t="s">
        <v>334</v>
      </c>
      <c r="B310" t="s">
        <v>300</v>
      </c>
      <c r="C310">
        <v>122</v>
      </c>
      <c r="D310">
        <v>0</v>
      </c>
      <c r="E310">
        <v>1</v>
      </c>
      <c r="F310">
        <v>1</v>
      </c>
      <c r="G310">
        <v>10</v>
      </c>
    </row>
    <row r="311" spans="1:7" x14ac:dyDescent="0.55000000000000004">
      <c r="A311" t="s">
        <v>335</v>
      </c>
      <c r="B311" t="s">
        <v>300</v>
      </c>
      <c r="C311">
        <v>123</v>
      </c>
      <c r="D311">
        <v>0</v>
      </c>
      <c r="E311">
        <v>1</v>
      </c>
      <c r="F311">
        <v>1</v>
      </c>
      <c r="G311">
        <v>10</v>
      </c>
    </row>
    <row r="312" spans="1:7" x14ac:dyDescent="0.55000000000000004">
      <c r="A312" t="s">
        <v>336</v>
      </c>
      <c r="B312" t="s">
        <v>300</v>
      </c>
      <c r="C312">
        <v>125</v>
      </c>
      <c r="D312">
        <v>0</v>
      </c>
      <c r="E312">
        <v>1</v>
      </c>
      <c r="F312">
        <v>1</v>
      </c>
      <c r="G312">
        <v>10</v>
      </c>
    </row>
    <row r="313" spans="1:7" x14ac:dyDescent="0.55000000000000004">
      <c r="A313" t="s">
        <v>337</v>
      </c>
      <c r="B313" t="s">
        <v>300</v>
      </c>
      <c r="C313">
        <v>126</v>
      </c>
      <c r="D313">
        <v>0</v>
      </c>
      <c r="E313">
        <v>1</v>
      </c>
      <c r="F313">
        <v>1</v>
      </c>
      <c r="G313">
        <v>10</v>
      </c>
    </row>
    <row r="314" spans="1:7" x14ac:dyDescent="0.55000000000000004">
      <c r="A314" t="s">
        <v>548</v>
      </c>
      <c r="B314" t="s">
        <v>300</v>
      </c>
      <c r="C314">
        <v>133</v>
      </c>
      <c r="D314">
        <v>0</v>
      </c>
      <c r="E314">
        <v>15</v>
      </c>
      <c r="F314">
        <v>1</v>
      </c>
      <c r="G314">
        <v>10</v>
      </c>
    </row>
    <row r="315" spans="1:7" x14ac:dyDescent="0.55000000000000004">
      <c r="A315" t="s">
        <v>549</v>
      </c>
      <c r="B315" t="s">
        <v>300</v>
      </c>
      <c r="C315">
        <v>130</v>
      </c>
      <c r="D315">
        <v>0</v>
      </c>
      <c r="E315">
        <v>15</v>
      </c>
      <c r="F315">
        <v>1</v>
      </c>
      <c r="G315">
        <v>10</v>
      </c>
    </row>
    <row r="316" spans="1:7" x14ac:dyDescent="0.55000000000000004">
      <c r="A316" t="s">
        <v>550</v>
      </c>
      <c r="B316" t="s">
        <v>300</v>
      </c>
      <c r="C316">
        <v>132</v>
      </c>
      <c r="D316">
        <v>0</v>
      </c>
      <c r="E316">
        <v>15</v>
      </c>
      <c r="F316">
        <v>1</v>
      </c>
      <c r="G316">
        <v>10</v>
      </c>
    </row>
    <row r="317" spans="1:7" x14ac:dyDescent="0.55000000000000004">
      <c r="A317" t="s">
        <v>551</v>
      </c>
      <c r="B317" t="s">
        <v>300</v>
      </c>
      <c r="C317">
        <v>131</v>
      </c>
      <c r="D317">
        <v>0</v>
      </c>
      <c r="E317">
        <v>15</v>
      </c>
      <c r="F317">
        <v>1</v>
      </c>
      <c r="G317">
        <v>10</v>
      </c>
    </row>
    <row r="318" spans="1:7" x14ac:dyDescent="0.55000000000000004">
      <c r="A318" t="s">
        <v>552</v>
      </c>
      <c r="B318" t="s">
        <v>300</v>
      </c>
      <c r="C318">
        <v>132</v>
      </c>
      <c r="D318">
        <v>0</v>
      </c>
      <c r="E318">
        <v>15</v>
      </c>
      <c r="F318">
        <v>1</v>
      </c>
      <c r="G318">
        <v>10</v>
      </c>
    </row>
    <row r="319" spans="1:7" x14ac:dyDescent="0.55000000000000004">
      <c r="A319" t="s">
        <v>553</v>
      </c>
      <c r="B319" t="s">
        <v>300</v>
      </c>
      <c r="C319">
        <v>128</v>
      </c>
      <c r="D319">
        <v>0</v>
      </c>
      <c r="E319">
        <v>15</v>
      </c>
      <c r="F319">
        <v>1</v>
      </c>
      <c r="G319">
        <v>10</v>
      </c>
    </row>
    <row r="320" spans="1:7" x14ac:dyDescent="0.55000000000000004">
      <c r="A320" t="s">
        <v>554</v>
      </c>
      <c r="B320" t="s">
        <v>300</v>
      </c>
      <c r="C320">
        <v>127</v>
      </c>
      <c r="D320">
        <v>0</v>
      </c>
      <c r="E320">
        <v>15</v>
      </c>
      <c r="F320">
        <v>1</v>
      </c>
      <c r="G320">
        <v>10</v>
      </c>
    </row>
    <row r="321" spans="1:7" x14ac:dyDescent="0.55000000000000004">
      <c r="A321" t="s">
        <v>555</v>
      </c>
      <c r="B321" t="s">
        <v>300</v>
      </c>
      <c r="C321">
        <v>127</v>
      </c>
      <c r="D321">
        <v>0</v>
      </c>
      <c r="E321">
        <v>15</v>
      </c>
      <c r="F321">
        <v>1</v>
      </c>
      <c r="G321">
        <v>10</v>
      </c>
    </row>
    <row r="322" spans="1:7" x14ac:dyDescent="0.55000000000000004">
      <c r="A322" t="s">
        <v>556</v>
      </c>
      <c r="B322" t="s">
        <v>300</v>
      </c>
      <c r="C322">
        <v>129</v>
      </c>
      <c r="D322">
        <v>0</v>
      </c>
      <c r="E322">
        <v>15</v>
      </c>
      <c r="F322">
        <v>1</v>
      </c>
      <c r="G322">
        <v>10</v>
      </c>
    </row>
    <row r="323" spans="1:7" x14ac:dyDescent="0.55000000000000004">
      <c r="A323" t="s">
        <v>557</v>
      </c>
      <c r="B323" t="s">
        <v>300</v>
      </c>
      <c r="C323">
        <v>127</v>
      </c>
      <c r="D323">
        <v>0</v>
      </c>
      <c r="E323">
        <v>15</v>
      </c>
      <c r="F323">
        <v>1</v>
      </c>
      <c r="G323">
        <v>10</v>
      </c>
    </row>
    <row r="324" spans="1:7" x14ac:dyDescent="0.55000000000000004">
      <c r="A324" t="s">
        <v>558</v>
      </c>
      <c r="B324" t="s">
        <v>300</v>
      </c>
      <c r="C324">
        <v>129</v>
      </c>
      <c r="D324">
        <v>0</v>
      </c>
      <c r="E324">
        <v>15</v>
      </c>
      <c r="F324">
        <v>1</v>
      </c>
      <c r="G324">
        <v>10</v>
      </c>
    </row>
    <row r="325" spans="1:7" x14ac:dyDescent="0.55000000000000004">
      <c r="A325" t="s">
        <v>559</v>
      </c>
      <c r="B325" t="s">
        <v>300</v>
      </c>
      <c r="C325">
        <v>127</v>
      </c>
      <c r="D325">
        <v>0</v>
      </c>
      <c r="E325">
        <v>15</v>
      </c>
      <c r="F325">
        <v>1</v>
      </c>
      <c r="G325">
        <v>10</v>
      </c>
    </row>
    <row r="326" spans="1:7" x14ac:dyDescent="0.55000000000000004">
      <c r="A326" t="s">
        <v>560</v>
      </c>
      <c r="B326" t="s">
        <v>300</v>
      </c>
      <c r="C326">
        <v>122</v>
      </c>
      <c r="D326">
        <v>0</v>
      </c>
      <c r="E326">
        <v>15</v>
      </c>
      <c r="F326">
        <v>1</v>
      </c>
      <c r="G326">
        <v>10</v>
      </c>
    </row>
    <row r="327" spans="1:7" x14ac:dyDescent="0.55000000000000004">
      <c r="A327" t="s">
        <v>561</v>
      </c>
      <c r="B327" t="s">
        <v>300</v>
      </c>
      <c r="C327">
        <v>122</v>
      </c>
      <c r="D327">
        <v>0</v>
      </c>
      <c r="E327">
        <v>15</v>
      </c>
      <c r="F327">
        <v>1</v>
      </c>
      <c r="G327">
        <v>10</v>
      </c>
    </row>
    <row r="328" spans="1:7" x14ac:dyDescent="0.55000000000000004">
      <c r="A328" t="s">
        <v>562</v>
      </c>
      <c r="B328" t="s">
        <v>300</v>
      </c>
      <c r="C328">
        <v>123</v>
      </c>
      <c r="D328">
        <v>0</v>
      </c>
      <c r="E328">
        <v>15</v>
      </c>
      <c r="F328">
        <v>1</v>
      </c>
      <c r="G328">
        <v>10</v>
      </c>
    </row>
    <row r="329" spans="1:7" x14ac:dyDescent="0.55000000000000004">
      <c r="A329" t="s">
        <v>563</v>
      </c>
      <c r="B329" t="s">
        <v>300</v>
      </c>
      <c r="C329">
        <v>125</v>
      </c>
      <c r="D329">
        <v>0</v>
      </c>
      <c r="E329">
        <v>15</v>
      </c>
      <c r="F329">
        <v>1</v>
      </c>
      <c r="G329">
        <v>10</v>
      </c>
    </row>
    <row r="330" spans="1:7" x14ac:dyDescent="0.55000000000000004">
      <c r="A330" t="s">
        <v>564</v>
      </c>
      <c r="B330" t="s">
        <v>300</v>
      </c>
      <c r="C330">
        <v>125</v>
      </c>
      <c r="D330">
        <v>0</v>
      </c>
      <c r="E330">
        <v>15</v>
      </c>
      <c r="F330">
        <v>1</v>
      </c>
      <c r="G330">
        <v>10</v>
      </c>
    </row>
    <row r="331" spans="1:7" x14ac:dyDescent="0.55000000000000004">
      <c r="A331" t="s">
        <v>565</v>
      </c>
      <c r="B331" t="s">
        <v>300</v>
      </c>
      <c r="C331">
        <v>125</v>
      </c>
      <c r="D331">
        <v>0</v>
      </c>
      <c r="E331">
        <v>15</v>
      </c>
      <c r="F331">
        <v>1</v>
      </c>
      <c r="G331">
        <v>10</v>
      </c>
    </row>
    <row r="332" spans="1:7" x14ac:dyDescent="0.55000000000000004">
      <c r="A332" t="s">
        <v>566</v>
      </c>
      <c r="B332" t="s">
        <v>300</v>
      </c>
      <c r="C332">
        <v>126</v>
      </c>
      <c r="D332">
        <v>0</v>
      </c>
      <c r="E332">
        <v>15</v>
      </c>
      <c r="F332">
        <v>1</v>
      </c>
      <c r="G332">
        <v>10</v>
      </c>
    </row>
    <row r="333" spans="1:7" x14ac:dyDescent="0.55000000000000004">
      <c r="A333" t="s">
        <v>567</v>
      </c>
      <c r="B333" t="s">
        <v>300</v>
      </c>
      <c r="C333">
        <v>124</v>
      </c>
      <c r="D333">
        <v>0</v>
      </c>
      <c r="E333">
        <v>15</v>
      </c>
      <c r="F333">
        <v>1</v>
      </c>
      <c r="G333">
        <v>10</v>
      </c>
    </row>
    <row r="334" spans="1:7" x14ac:dyDescent="0.55000000000000004">
      <c r="A334" t="s">
        <v>568</v>
      </c>
      <c r="B334" t="s">
        <v>300</v>
      </c>
      <c r="C334">
        <v>120</v>
      </c>
      <c r="D334">
        <v>0</v>
      </c>
      <c r="E334">
        <v>15</v>
      </c>
      <c r="F334">
        <v>1</v>
      </c>
      <c r="G334">
        <v>10</v>
      </c>
    </row>
    <row r="335" spans="1:7" x14ac:dyDescent="0.55000000000000004">
      <c r="A335" t="s">
        <v>569</v>
      </c>
      <c r="B335" t="s">
        <v>300</v>
      </c>
      <c r="C335">
        <v>118</v>
      </c>
      <c r="D335">
        <v>0</v>
      </c>
      <c r="E335">
        <v>15</v>
      </c>
      <c r="F335">
        <v>1</v>
      </c>
      <c r="G335">
        <v>10</v>
      </c>
    </row>
    <row r="336" spans="1:7" x14ac:dyDescent="0.55000000000000004">
      <c r="A336" t="s">
        <v>570</v>
      </c>
      <c r="B336" t="s">
        <v>300</v>
      </c>
      <c r="C336">
        <v>119</v>
      </c>
      <c r="D336">
        <v>0</v>
      </c>
      <c r="E336">
        <v>15</v>
      </c>
      <c r="F336">
        <v>1</v>
      </c>
      <c r="G336">
        <v>10</v>
      </c>
    </row>
    <row r="337" spans="1:7" x14ac:dyDescent="0.55000000000000004">
      <c r="A337" t="s">
        <v>571</v>
      </c>
      <c r="B337" t="s">
        <v>300</v>
      </c>
      <c r="C337">
        <v>121</v>
      </c>
      <c r="D337">
        <v>0</v>
      </c>
      <c r="E337">
        <v>15</v>
      </c>
      <c r="F337">
        <v>1</v>
      </c>
      <c r="G337">
        <v>10</v>
      </c>
    </row>
    <row r="338" spans="1:7" x14ac:dyDescent="0.55000000000000004">
      <c r="A338" t="s">
        <v>572</v>
      </c>
      <c r="B338" t="s">
        <v>300</v>
      </c>
      <c r="C338">
        <v>118</v>
      </c>
      <c r="D338">
        <v>0</v>
      </c>
      <c r="E338">
        <v>15</v>
      </c>
      <c r="F338">
        <v>1</v>
      </c>
      <c r="G338">
        <v>10</v>
      </c>
    </row>
    <row r="339" spans="1:7" x14ac:dyDescent="0.55000000000000004">
      <c r="A339" t="s">
        <v>573</v>
      </c>
      <c r="B339" t="s">
        <v>300</v>
      </c>
      <c r="C339">
        <v>121</v>
      </c>
      <c r="D339">
        <v>0</v>
      </c>
      <c r="E339">
        <v>15</v>
      </c>
      <c r="F339">
        <v>1</v>
      </c>
      <c r="G339">
        <v>10</v>
      </c>
    </row>
    <row r="340" spans="1:7" x14ac:dyDescent="0.55000000000000004">
      <c r="A340" t="s">
        <v>574</v>
      </c>
      <c r="B340" t="s">
        <v>300</v>
      </c>
      <c r="C340">
        <v>120</v>
      </c>
      <c r="D340">
        <v>0</v>
      </c>
      <c r="E340">
        <v>15</v>
      </c>
      <c r="F340">
        <v>1</v>
      </c>
      <c r="G340">
        <v>10</v>
      </c>
    </row>
    <row r="341" spans="1:7" x14ac:dyDescent="0.55000000000000004">
      <c r="A341" t="s">
        <v>575</v>
      </c>
      <c r="B341" t="s">
        <v>300</v>
      </c>
      <c r="C341">
        <v>119</v>
      </c>
      <c r="D341">
        <v>0</v>
      </c>
      <c r="E341">
        <v>15</v>
      </c>
      <c r="F341">
        <v>1</v>
      </c>
      <c r="G341">
        <v>10</v>
      </c>
    </row>
    <row r="342" spans="1:7" x14ac:dyDescent="0.55000000000000004">
      <c r="A342" t="s">
        <v>576</v>
      </c>
      <c r="B342" t="s">
        <v>300</v>
      </c>
      <c r="C342">
        <v>121</v>
      </c>
      <c r="D342">
        <v>0</v>
      </c>
      <c r="E342">
        <v>15</v>
      </c>
      <c r="F342">
        <v>1</v>
      </c>
      <c r="G342">
        <v>10</v>
      </c>
    </row>
    <row r="343" spans="1:7" x14ac:dyDescent="0.55000000000000004">
      <c r="A343" t="s">
        <v>577</v>
      </c>
      <c r="B343" t="s">
        <v>300</v>
      </c>
      <c r="C343">
        <v>121</v>
      </c>
      <c r="D343">
        <v>0</v>
      </c>
      <c r="E343">
        <v>15</v>
      </c>
      <c r="F343">
        <v>1</v>
      </c>
      <c r="G343">
        <v>10</v>
      </c>
    </row>
    <row r="344" spans="1:7" x14ac:dyDescent="0.55000000000000004">
      <c r="A344" t="s">
        <v>578</v>
      </c>
      <c r="B344" t="s">
        <v>300</v>
      </c>
      <c r="C344">
        <v>119</v>
      </c>
      <c r="D344">
        <v>0</v>
      </c>
      <c r="E344">
        <v>15</v>
      </c>
      <c r="F344">
        <v>1</v>
      </c>
      <c r="G344">
        <v>10</v>
      </c>
    </row>
    <row r="345" spans="1:7" x14ac:dyDescent="0.55000000000000004">
      <c r="A345" t="s">
        <v>579</v>
      </c>
      <c r="B345" t="s">
        <v>300</v>
      </c>
      <c r="C345">
        <v>121</v>
      </c>
      <c r="D345">
        <v>0</v>
      </c>
      <c r="E345">
        <v>15</v>
      </c>
      <c r="F345">
        <v>1</v>
      </c>
      <c r="G345">
        <v>10</v>
      </c>
    </row>
    <row r="346" spans="1:7" x14ac:dyDescent="0.55000000000000004">
      <c r="A346" t="s">
        <v>580</v>
      </c>
      <c r="B346" t="s">
        <v>300</v>
      </c>
      <c r="C346">
        <v>115</v>
      </c>
      <c r="D346">
        <v>0</v>
      </c>
      <c r="E346">
        <v>15</v>
      </c>
      <c r="F346">
        <v>1</v>
      </c>
      <c r="G346">
        <v>10</v>
      </c>
    </row>
    <row r="347" spans="1:7" x14ac:dyDescent="0.55000000000000004">
      <c r="A347" t="s">
        <v>581</v>
      </c>
      <c r="B347" t="s">
        <v>300</v>
      </c>
      <c r="C347">
        <v>113</v>
      </c>
      <c r="D347">
        <v>0</v>
      </c>
      <c r="E347">
        <v>15</v>
      </c>
      <c r="F347">
        <v>1</v>
      </c>
      <c r="G347">
        <v>10</v>
      </c>
    </row>
    <row r="348" spans="1:7" x14ac:dyDescent="0.55000000000000004">
      <c r="A348" t="s">
        <v>582</v>
      </c>
      <c r="B348" t="s">
        <v>300</v>
      </c>
      <c r="C348">
        <v>113</v>
      </c>
      <c r="D348">
        <v>0</v>
      </c>
      <c r="E348">
        <v>15</v>
      </c>
      <c r="F348">
        <v>1</v>
      </c>
      <c r="G348">
        <v>10</v>
      </c>
    </row>
    <row r="349" spans="1:7" x14ac:dyDescent="0.55000000000000004">
      <c r="A349" t="s">
        <v>583</v>
      </c>
      <c r="B349" t="s">
        <v>300</v>
      </c>
      <c r="C349">
        <v>115</v>
      </c>
      <c r="D349">
        <v>0</v>
      </c>
      <c r="E349">
        <v>15</v>
      </c>
      <c r="F349">
        <v>1</v>
      </c>
      <c r="G349">
        <v>10</v>
      </c>
    </row>
    <row r="350" spans="1:7" x14ac:dyDescent="0.55000000000000004">
      <c r="A350" t="s">
        <v>584</v>
      </c>
      <c r="B350" t="s">
        <v>300</v>
      </c>
      <c r="C350">
        <v>115</v>
      </c>
      <c r="D350">
        <v>0</v>
      </c>
      <c r="E350">
        <v>15</v>
      </c>
      <c r="F350">
        <v>1</v>
      </c>
      <c r="G350">
        <v>10</v>
      </c>
    </row>
    <row r="351" spans="1:7" x14ac:dyDescent="0.55000000000000004">
      <c r="A351" t="s">
        <v>585</v>
      </c>
      <c r="B351" t="s">
        <v>300</v>
      </c>
      <c r="C351">
        <v>114</v>
      </c>
      <c r="D351">
        <v>0</v>
      </c>
      <c r="E351">
        <v>15</v>
      </c>
      <c r="F351">
        <v>1</v>
      </c>
      <c r="G351">
        <v>10</v>
      </c>
    </row>
    <row r="352" spans="1:7" x14ac:dyDescent="0.55000000000000004">
      <c r="A352" t="s">
        <v>586</v>
      </c>
      <c r="B352" t="s">
        <v>300</v>
      </c>
      <c r="C352">
        <v>116</v>
      </c>
      <c r="D352">
        <v>0</v>
      </c>
      <c r="E352">
        <v>15</v>
      </c>
      <c r="F352">
        <v>1</v>
      </c>
      <c r="G352">
        <v>10</v>
      </c>
    </row>
    <row r="353" spans="1:7" x14ac:dyDescent="0.55000000000000004">
      <c r="A353" t="s">
        <v>587</v>
      </c>
      <c r="B353" t="s">
        <v>300</v>
      </c>
      <c r="C353">
        <v>116</v>
      </c>
      <c r="D353">
        <v>0</v>
      </c>
      <c r="E353">
        <v>15</v>
      </c>
      <c r="F353">
        <v>1</v>
      </c>
      <c r="G353">
        <v>10</v>
      </c>
    </row>
    <row r="354" spans="1:7" x14ac:dyDescent="0.55000000000000004">
      <c r="A354" t="s">
        <v>588</v>
      </c>
      <c r="B354" t="s">
        <v>300</v>
      </c>
      <c r="C354">
        <v>115</v>
      </c>
      <c r="D354">
        <v>0</v>
      </c>
      <c r="E354">
        <v>15</v>
      </c>
      <c r="F354">
        <v>1</v>
      </c>
      <c r="G354">
        <v>10</v>
      </c>
    </row>
    <row r="355" spans="1:7" x14ac:dyDescent="0.55000000000000004">
      <c r="A355" t="s">
        <v>589</v>
      </c>
      <c r="B355" t="s">
        <v>300</v>
      </c>
      <c r="C355">
        <v>116</v>
      </c>
      <c r="D355">
        <v>0</v>
      </c>
      <c r="E355">
        <v>15</v>
      </c>
      <c r="F355">
        <v>1</v>
      </c>
      <c r="G355">
        <v>10</v>
      </c>
    </row>
    <row r="356" spans="1:7" x14ac:dyDescent="0.55000000000000004">
      <c r="A356" t="s">
        <v>590</v>
      </c>
      <c r="B356" t="s">
        <v>300</v>
      </c>
      <c r="C356">
        <v>116</v>
      </c>
      <c r="D356">
        <v>0</v>
      </c>
      <c r="E356">
        <v>15</v>
      </c>
      <c r="F356">
        <v>1</v>
      </c>
      <c r="G356">
        <v>10</v>
      </c>
    </row>
    <row r="357" spans="1:7" x14ac:dyDescent="0.55000000000000004">
      <c r="A357" t="s">
        <v>591</v>
      </c>
      <c r="B357" t="s">
        <v>300</v>
      </c>
      <c r="C357">
        <v>116</v>
      </c>
      <c r="D357">
        <v>0</v>
      </c>
      <c r="E357">
        <v>15</v>
      </c>
      <c r="F357">
        <v>1</v>
      </c>
      <c r="G357">
        <v>10</v>
      </c>
    </row>
    <row r="358" spans="1:7" x14ac:dyDescent="0.55000000000000004">
      <c r="A358" t="s">
        <v>592</v>
      </c>
      <c r="B358" t="s">
        <v>300</v>
      </c>
      <c r="C358">
        <v>116</v>
      </c>
      <c r="D358">
        <v>0</v>
      </c>
      <c r="E358">
        <v>15</v>
      </c>
      <c r="F358">
        <v>1</v>
      </c>
      <c r="G358">
        <v>10</v>
      </c>
    </row>
    <row r="359" spans="1:7" x14ac:dyDescent="0.55000000000000004">
      <c r="A359" t="s">
        <v>593</v>
      </c>
      <c r="B359" t="s">
        <v>300</v>
      </c>
      <c r="C359">
        <v>115</v>
      </c>
      <c r="D359">
        <v>0</v>
      </c>
      <c r="E359">
        <v>15</v>
      </c>
      <c r="F359">
        <v>1</v>
      </c>
      <c r="G359">
        <v>10</v>
      </c>
    </row>
    <row r="360" spans="1:7" x14ac:dyDescent="0.55000000000000004">
      <c r="A360" t="s">
        <v>594</v>
      </c>
      <c r="B360" t="s">
        <v>300</v>
      </c>
      <c r="C360">
        <v>113</v>
      </c>
      <c r="D360">
        <v>0</v>
      </c>
      <c r="E360">
        <v>15</v>
      </c>
      <c r="F360">
        <v>1</v>
      </c>
      <c r="G360">
        <v>10</v>
      </c>
    </row>
    <row r="361" spans="1:7" x14ac:dyDescent="0.55000000000000004">
      <c r="A361" t="s">
        <v>595</v>
      </c>
      <c r="B361" t="s">
        <v>300</v>
      </c>
      <c r="C361">
        <v>111</v>
      </c>
      <c r="D361">
        <v>0</v>
      </c>
      <c r="E361">
        <v>15</v>
      </c>
      <c r="F361">
        <v>1</v>
      </c>
      <c r="G361">
        <v>10</v>
      </c>
    </row>
    <row r="362" spans="1:7" x14ac:dyDescent="0.55000000000000004">
      <c r="A362" t="s">
        <v>596</v>
      </c>
      <c r="B362" t="s">
        <v>300</v>
      </c>
      <c r="C362">
        <v>112</v>
      </c>
      <c r="D362">
        <v>0</v>
      </c>
      <c r="E362">
        <v>15</v>
      </c>
      <c r="F362">
        <v>1</v>
      </c>
      <c r="G362">
        <v>10</v>
      </c>
    </row>
    <row r="363" spans="1:7" x14ac:dyDescent="0.55000000000000004">
      <c r="A363" t="s">
        <v>597</v>
      </c>
      <c r="B363" t="s">
        <v>300</v>
      </c>
      <c r="C363">
        <v>113</v>
      </c>
      <c r="D363">
        <v>0</v>
      </c>
      <c r="E363">
        <v>15</v>
      </c>
      <c r="F363">
        <v>1</v>
      </c>
      <c r="G363">
        <v>10</v>
      </c>
    </row>
    <row r="364" spans="1:7" x14ac:dyDescent="0.55000000000000004">
      <c r="A364" t="s">
        <v>598</v>
      </c>
      <c r="B364" t="s">
        <v>300</v>
      </c>
      <c r="C364">
        <v>112</v>
      </c>
      <c r="D364">
        <v>0</v>
      </c>
      <c r="E364">
        <v>15</v>
      </c>
      <c r="F364">
        <v>1</v>
      </c>
      <c r="G364">
        <v>10</v>
      </c>
    </row>
    <row r="365" spans="1:7" x14ac:dyDescent="0.55000000000000004">
      <c r="A365" t="s">
        <v>599</v>
      </c>
      <c r="B365" t="s">
        <v>300</v>
      </c>
      <c r="C365">
        <v>112</v>
      </c>
      <c r="D365">
        <v>0</v>
      </c>
      <c r="E365">
        <v>15</v>
      </c>
      <c r="F365">
        <v>1</v>
      </c>
      <c r="G365">
        <v>10</v>
      </c>
    </row>
    <row r="366" spans="1:7" x14ac:dyDescent="0.55000000000000004">
      <c r="A366" t="s">
        <v>600</v>
      </c>
      <c r="B366" t="s">
        <v>300</v>
      </c>
      <c r="C366">
        <v>110</v>
      </c>
      <c r="D366">
        <v>0</v>
      </c>
      <c r="E366">
        <v>15</v>
      </c>
      <c r="F366">
        <v>1</v>
      </c>
      <c r="G366">
        <v>10</v>
      </c>
    </row>
    <row r="367" spans="1:7" x14ac:dyDescent="0.55000000000000004">
      <c r="A367" t="s">
        <v>601</v>
      </c>
      <c r="B367" t="s">
        <v>300</v>
      </c>
      <c r="C367">
        <v>110</v>
      </c>
      <c r="D367">
        <v>0</v>
      </c>
      <c r="E367">
        <v>15</v>
      </c>
      <c r="F367">
        <v>1</v>
      </c>
      <c r="G367">
        <v>10</v>
      </c>
    </row>
    <row r="368" spans="1:7" x14ac:dyDescent="0.55000000000000004">
      <c r="A368" t="s">
        <v>602</v>
      </c>
      <c r="B368" t="s">
        <v>300</v>
      </c>
      <c r="C368">
        <v>110</v>
      </c>
      <c r="D368">
        <v>0</v>
      </c>
      <c r="E368">
        <v>15</v>
      </c>
      <c r="F368">
        <v>1</v>
      </c>
      <c r="G368">
        <v>10</v>
      </c>
    </row>
    <row r="369" spans="1:7" x14ac:dyDescent="0.55000000000000004">
      <c r="A369" t="s">
        <v>603</v>
      </c>
      <c r="B369" t="s">
        <v>300</v>
      </c>
      <c r="C369">
        <v>111</v>
      </c>
      <c r="D369">
        <v>0</v>
      </c>
      <c r="E369">
        <v>15</v>
      </c>
      <c r="F369">
        <v>1</v>
      </c>
      <c r="G369">
        <v>10</v>
      </c>
    </row>
    <row r="370" spans="1:7" x14ac:dyDescent="0.55000000000000004">
      <c r="A370" t="s">
        <v>604</v>
      </c>
      <c r="B370" t="s">
        <v>300</v>
      </c>
      <c r="C370">
        <v>110</v>
      </c>
      <c r="D370">
        <v>0</v>
      </c>
      <c r="E370">
        <v>15</v>
      </c>
      <c r="F370">
        <v>1</v>
      </c>
      <c r="G370">
        <v>10</v>
      </c>
    </row>
    <row r="371" spans="1:7" x14ac:dyDescent="0.55000000000000004">
      <c r="A371" t="s">
        <v>605</v>
      </c>
      <c r="B371" t="s">
        <v>300</v>
      </c>
      <c r="C371">
        <v>111</v>
      </c>
      <c r="D371">
        <v>0</v>
      </c>
      <c r="E371">
        <v>15</v>
      </c>
      <c r="F371">
        <v>1</v>
      </c>
      <c r="G371">
        <v>10</v>
      </c>
    </row>
    <row r="372" spans="1:7" x14ac:dyDescent="0.55000000000000004">
      <c r="A372" t="s">
        <v>606</v>
      </c>
      <c r="B372" t="s">
        <v>300</v>
      </c>
      <c r="C372">
        <v>110</v>
      </c>
      <c r="D372">
        <v>0</v>
      </c>
      <c r="E372">
        <v>15</v>
      </c>
      <c r="F372">
        <v>1</v>
      </c>
      <c r="G372">
        <v>10</v>
      </c>
    </row>
    <row r="373" spans="1:7" x14ac:dyDescent="0.55000000000000004">
      <c r="A373" t="s">
        <v>607</v>
      </c>
      <c r="B373" t="s">
        <v>300</v>
      </c>
      <c r="C373">
        <v>111</v>
      </c>
      <c r="D373">
        <v>0</v>
      </c>
      <c r="E373">
        <v>15</v>
      </c>
      <c r="F373">
        <v>1</v>
      </c>
      <c r="G373">
        <v>10</v>
      </c>
    </row>
    <row r="374" spans="1:7" x14ac:dyDescent="0.55000000000000004">
      <c r="A374" t="s">
        <v>608</v>
      </c>
      <c r="B374" t="s">
        <v>300</v>
      </c>
      <c r="C374">
        <v>106</v>
      </c>
      <c r="D374">
        <v>0</v>
      </c>
      <c r="E374">
        <v>15</v>
      </c>
      <c r="F374">
        <v>1</v>
      </c>
      <c r="G374">
        <v>10</v>
      </c>
    </row>
    <row r="375" spans="1:7" x14ac:dyDescent="0.55000000000000004">
      <c r="A375" t="s">
        <v>609</v>
      </c>
      <c r="B375" t="s">
        <v>300</v>
      </c>
      <c r="C375">
        <v>106</v>
      </c>
      <c r="D375">
        <v>0</v>
      </c>
      <c r="E375">
        <v>15</v>
      </c>
      <c r="F375">
        <v>1</v>
      </c>
      <c r="G375">
        <v>10</v>
      </c>
    </row>
    <row r="376" spans="1:7" x14ac:dyDescent="0.55000000000000004">
      <c r="A376" t="s">
        <v>610</v>
      </c>
      <c r="B376" t="s">
        <v>300</v>
      </c>
      <c r="C376">
        <v>108</v>
      </c>
      <c r="D376">
        <v>0</v>
      </c>
      <c r="E376">
        <v>15</v>
      </c>
      <c r="F376">
        <v>1</v>
      </c>
      <c r="G376">
        <v>10</v>
      </c>
    </row>
    <row r="377" spans="1:7" x14ac:dyDescent="0.55000000000000004">
      <c r="A377" t="s">
        <v>611</v>
      </c>
      <c r="B377" t="s">
        <v>300</v>
      </c>
      <c r="C377">
        <v>109</v>
      </c>
      <c r="D377">
        <v>0</v>
      </c>
      <c r="E377">
        <v>15</v>
      </c>
      <c r="F377">
        <v>1</v>
      </c>
      <c r="G377">
        <v>10</v>
      </c>
    </row>
    <row r="378" spans="1:7" x14ac:dyDescent="0.55000000000000004">
      <c r="A378" t="s">
        <v>612</v>
      </c>
      <c r="B378" t="s">
        <v>300</v>
      </c>
      <c r="C378">
        <v>106</v>
      </c>
      <c r="D378">
        <v>0</v>
      </c>
      <c r="E378">
        <v>15</v>
      </c>
      <c r="F378">
        <v>1</v>
      </c>
      <c r="G378">
        <v>10</v>
      </c>
    </row>
    <row r="379" spans="1:7" x14ac:dyDescent="0.55000000000000004">
      <c r="A379" t="s">
        <v>613</v>
      </c>
      <c r="B379" t="s">
        <v>300</v>
      </c>
      <c r="C379">
        <v>106</v>
      </c>
      <c r="D379">
        <v>0</v>
      </c>
      <c r="E379">
        <v>15</v>
      </c>
      <c r="F379">
        <v>1</v>
      </c>
      <c r="G379">
        <v>10</v>
      </c>
    </row>
    <row r="380" spans="1:7" x14ac:dyDescent="0.55000000000000004">
      <c r="A380" t="s">
        <v>614</v>
      </c>
      <c r="B380" t="s">
        <v>300</v>
      </c>
      <c r="C380">
        <v>106</v>
      </c>
      <c r="D380">
        <v>0</v>
      </c>
      <c r="E380">
        <v>15</v>
      </c>
      <c r="F380">
        <v>1</v>
      </c>
      <c r="G380">
        <v>10</v>
      </c>
    </row>
    <row r="381" spans="1:7" x14ac:dyDescent="0.55000000000000004">
      <c r="A381" t="s">
        <v>615</v>
      </c>
      <c r="B381" t="s">
        <v>300</v>
      </c>
      <c r="C381">
        <v>106</v>
      </c>
      <c r="D381">
        <v>0</v>
      </c>
      <c r="E381">
        <v>15</v>
      </c>
      <c r="F381">
        <v>1</v>
      </c>
      <c r="G381">
        <v>10</v>
      </c>
    </row>
    <row r="382" spans="1:7" x14ac:dyDescent="0.55000000000000004">
      <c r="A382" t="s">
        <v>616</v>
      </c>
      <c r="B382" t="s">
        <v>300</v>
      </c>
      <c r="C382">
        <v>106</v>
      </c>
      <c r="D382">
        <v>0</v>
      </c>
      <c r="E382">
        <v>15</v>
      </c>
      <c r="F382">
        <v>1</v>
      </c>
      <c r="G382">
        <v>10</v>
      </c>
    </row>
    <row r="383" spans="1:7" x14ac:dyDescent="0.55000000000000004">
      <c r="A383" t="s">
        <v>617</v>
      </c>
      <c r="B383" t="s">
        <v>300</v>
      </c>
      <c r="C383">
        <v>109</v>
      </c>
      <c r="D383">
        <v>0</v>
      </c>
      <c r="E383">
        <v>15</v>
      </c>
      <c r="F383">
        <v>1</v>
      </c>
      <c r="G383">
        <v>10</v>
      </c>
    </row>
    <row r="384" spans="1:7" x14ac:dyDescent="0.55000000000000004">
      <c r="A384" t="s">
        <v>618</v>
      </c>
      <c r="B384" t="s">
        <v>300</v>
      </c>
      <c r="C384">
        <v>104</v>
      </c>
      <c r="D384">
        <v>0</v>
      </c>
      <c r="E384">
        <v>15</v>
      </c>
      <c r="F384">
        <v>1</v>
      </c>
      <c r="G384">
        <v>10</v>
      </c>
    </row>
    <row r="385" spans="1:7" x14ac:dyDescent="0.55000000000000004">
      <c r="A385" t="s">
        <v>619</v>
      </c>
      <c r="B385" t="s">
        <v>300</v>
      </c>
      <c r="C385">
        <v>102</v>
      </c>
      <c r="D385">
        <v>0</v>
      </c>
      <c r="E385">
        <v>15</v>
      </c>
      <c r="F385">
        <v>1</v>
      </c>
      <c r="G385">
        <v>10</v>
      </c>
    </row>
    <row r="386" spans="1:7" x14ac:dyDescent="0.55000000000000004">
      <c r="A386" t="s">
        <v>620</v>
      </c>
      <c r="B386" t="s">
        <v>300</v>
      </c>
      <c r="C386">
        <v>103</v>
      </c>
      <c r="D386">
        <v>0</v>
      </c>
      <c r="E386">
        <v>15</v>
      </c>
      <c r="F386">
        <v>1</v>
      </c>
      <c r="G386">
        <v>10</v>
      </c>
    </row>
    <row r="387" spans="1:7" x14ac:dyDescent="0.55000000000000004">
      <c r="A387" t="s">
        <v>621</v>
      </c>
      <c r="B387" t="s">
        <v>300</v>
      </c>
      <c r="C387">
        <v>101</v>
      </c>
      <c r="D387">
        <v>0</v>
      </c>
      <c r="E387">
        <v>15</v>
      </c>
      <c r="F387">
        <v>1</v>
      </c>
      <c r="G387">
        <v>10</v>
      </c>
    </row>
    <row r="388" spans="1:7" x14ac:dyDescent="0.55000000000000004">
      <c r="A388" t="s">
        <v>622</v>
      </c>
      <c r="B388" t="s">
        <v>300</v>
      </c>
      <c r="C388">
        <v>102</v>
      </c>
      <c r="D388">
        <v>0</v>
      </c>
      <c r="E388">
        <v>15</v>
      </c>
      <c r="F388">
        <v>1</v>
      </c>
      <c r="G388">
        <v>10</v>
      </c>
    </row>
    <row r="389" spans="1:7" x14ac:dyDescent="0.55000000000000004">
      <c r="A389" t="s">
        <v>623</v>
      </c>
      <c r="B389" t="s">
        <v>300</v>
      </c>
      <c r="C389">
        <v>102</v>
      </c>
      <c r="D389">
        <v>0</v>
      </c>
      <c r="E389">
        <v>15</v>
      </c>
      <c r="F389">
        <v>1</v>
      </c>
      <c r="G389">
        <v>10</v>
      </c>
    </row>
    <row r="390" spans="1:7" x14ac:dyDescent="0.55000000000000004">
      <c r="A390" t="s">
        <v>624</v>
      </c>
      <c r="B390" t="s">
        <v>300</v>
      </c>
      <c r="C390">
        <v>99</v>
      </c>
      <c r="D390">
        <v>0</v>
      </c>
      <c r="E390">
        <v>15</v>
      </c>
      <c r="F390">
        <v>1</v>
      </c>
      <c r="G390">
        <v>10</v>
      </c>
    </row>
    <row r="391" spans="1:7" x14ac:dyDescent="0.55000000000000004">
      <c r="A391" t="s">
        <v>625</v>
      </c>
      <c r="B391" t="s">
        <v>300</v>
      </c>
      <c r="C391">
        <v>99</v>
      </c>
      <c r="D391">
        <v>0</v>
      </c>
      <c r="E391">
        <v>15</v>
      </c>
      <c r="F391">
        <v>1</v>
      </c>
      <c r="G391">
        <v>10</v>
      </c>
    </row>
    <row r="392" spans="1:7" x14ac:dyDescent="0.55000000000000004">
      <c r="A392" t="s">
        <v>626</v>
      </c>
      <c r="B392" t="s">
        <v>300</v>
      </c>
      <c r="C392">
        <v>97</v>
      </c>
      <c r="D392">
        <v>0</v>
      </c>
      <c r="E392">
        <v>15</v>
      </c>
      <c r="F392">
        <v>1</v>
      </c>
      <c r="G392">
        <v>10</v>
      </c>
    </row>
    <row r="393" spans="1:7" x14ac:dyDescent="0.55000000000000004">
      <c r="A393" t="s">
        <v>627</v>
      </c>
      <c r="B393" t="s">
        <v>300</v>
      </c>
      <c r="C393">
        <v>97</v>
      </c>
      <c r="D393">
        <v>0</v>
      </c>
      <c r="E393">
        <v>15</v>
      </c>
      <c r="F393">
        <v>1</v>
      </c>
      <c r="G393">
        <v>10</v>
      </c>
    </row>
    <row r="394" spans="1:7" x14ac:dyDescent="0.55000000000000004">
      <c r="A394" t="s">
        <v>628</v>
      </c>
      <c r="B394" t="s">
        <v>300</v>
      </c>
      <c r="C394">
        <v>98</v>
      </c>
      <c r="D394">
        <v>0</v>
      </c>
      <c r="E394">
        <v>15</v>
      </c>
      <c r="F394">
        <v>1</v>
      </c>
      <c r="G394">
        <v>10</v>
      </c>
    </row>
    <row r="395" spans="1:7" x14ac:dyDescent="0.55000000000000004">
      <c r="A395" t="s">
        <v>629</v>
      </c>
      <c r="B395" t="s">
        <v>300</v>
      </c>
      <c r="C395">
        <v>98</v>
      </c>
      <c r="D395">
        <v>0</v>
      </c>
      <c r="E395">
        <v>15</v>
      </c>
      <c r="F395">
        <v>1</v>
      </c>
      <c r="G395">
        <v>10</v>
      </c>
    </row>
    <row r="396" spans="1:7" x14ac:dyDescent="0.55000000000000004">
      <c r="A396" t="s">
        <v>630</v>
      </c>
      <c r="B396" t="s">
        <v>300</v>
      </c>
      <c r="C396">
        <v>98</v>
      </c>
      <c r="D396">
        <v>0</v>
      </c>
      <c r="E396">
        <v>15</v>
      </c>
      <c r="F396">
        <v>1</v>
      </c>
      <c r="G396">
        <v>10</v>
      </c>
    </row>
    <row r="397" spans="1:7" x14ac:dyDescent="0.55000000000000004">
      <c r="A397" t="s">
        <v>631</v>
      </c>
      <c r="B397" t="s">
        <v>300</v>
      </c>
      <c r="C397">
        <v>99</v>
      </c>
      <c r="D397">
        <v>0</v>
      </c>
      <c r="E397">
        <v>15</v>
      </c>
      <c r="F397">
        <v>1</v>
      </c>
      <c r="G397">
        <v>10</v>
      </c>
    </row>
    <row r="398" spans="1:7" x14ac:dyDescent="0.55000000000000004">
      <c r="A398" t="s">
        <v>632</v>
      </c>
      <c r="B398" t="s">
        <v>300</v>
      </c>
      <c r="C398">
        <v>99</v>
      </c>
      <c r="D398">
        <v>0</v>
      </c>
      <c r="E398">
        <v>15</v>
      </c>
      <c r="F398">
        <v>1</v>
      </c>
      <c r="G398">
        <v>10</v>
      </c>
    </row>
    <row r="399" spans="1:7" x14ac:dyDescent="0.55000000000000004">
      <c r="A399" t="s">
        <v>633</v>
      </c>
      <c r="B399" t="s">
        <v>300</v>
      </c>
      <c r="C399">
        <v>98</v>
      </c>
      <c r="D399">
        <v>0</v>
      </c>
      <c r="E399">
        <v>15</v>
      </c>
      <c r="F399">
        <v>1</v>
      </c>
      <c r="G399">
        <v>10</v>
      </c>
    </row>
    <row r="400" spans="1:7" x14ac:dyDescent="0.55000000000000004">
      <c r="A400" t="s">
        <v>634</v>
      </c>
      <c r="B400" t="s">
        <v>300</v>
      </c>
      <c r="C400">
        <v>97</v>
      </c>
      <c r="D400">
        <v>0</v>
      </c>
      <c r="E400">
        <v>15</v>
      </c>
      <c r="F400">
        <v>1</v>
      </c>
      <c r="G400">
        <v>10</v>
      </c>
    </row>
    <row r="401" spans="1:7" x14ac:dyDescent="0.55000000000000004">
      <c r="A401" t="s">
        <v>635</v>
      </c>
      <c r="B401" t="s">
        <v>300</v>
      </c>
      <c r="C401">
        <v>94</v>
      </c>
      <c r="D401">
        <v>0</v>
      </c>
      <c r="E401">
        <v>15</v>
      </c>
      <c r="F401">
        <v>1</v>
      </c>
      <c r="G401">
        <v>10</v>
      </c>
    </row>
    <row r="402" spans="1:7" x14ac:dyDescent="0.55000000000000004">
      <c r="A402" t="s">
        <v>636</v>
      </c>
      <c r="B402" t="s">
        <v>300</v>
      </c>
      <c r="C402">
        <v>94</v>
      </c>
      <c r="D402">
        <v>0</v>
      </c>
      <c r="E402">
        <v>15</v>
      </c>
      <c r="F402">
        <v>1</v>
      </c>
      <c r="G402">
        <v>10</v>
      </c>
    </row>
    <row r="403" spans="1:7" x14ac:dyDescent="0.55000000000000004">
      <c r="A403" t="s">
        <v>637</v>
      </c>
      <c r="B403" t="s">
        <v>300</v>
      </c>
      <c r="C403">
        <v>94</v>
      </c>
      <c r="D403">
        <v>0</v>
      </c>
      <c r="E403">
        <v>15</v>
      </c>
      <c r="F403">
        <v>1</v>
      </c>
      <c r="G403">
        <v>10</v>
      </c>
    </row>
    <row r="404" spans="1:7" x14ac:dyDescent="0.55000000000000004">
      <c r="A404" t="s">
        <v>638</v>
      </c>
      <c r="B404" t="s">
        <v>300</v>
      </c>
      <c r="C404">
        <v>96</v>
      </c>
      <c r="D404">
        <v>0</v>
      </c>
      <c r="E404">
        <v>15</v>
      </c>
      <c r="F404">
        <v>1</v>
      </c>
      <c r="G404">
        <v>10</v>
      </c>
    </row>
    <row r="405" spans="1:7" x14ac:dyDescent="0.55000000000000004">
      <c r="A405" t="s">
        <v>639</v>
      </c>
      <c r="B405" t="s">
        <v>300</v>
      </c>
      <c r="C405">
        <v>94</v>
      </c>
      <c r="D405">
        <v>0</v>
      </c>
      <c r="E405">
        <v>15</v>
      </c>
      <c r="F405">
        <v>1</v>
      </c>
      <c r="G405">
        <v>10</v>
      </c>
    </row>
    <row r="406" spans="1:7" x14ac:dyDescent="0.55000000000000004">
      <c r="A406" t="s">
        <v>640</v>
      </c>
      <c r="B406" t="s">
        <v>300</v>
      </c>
      <c r="C406">
        <v>95</v>
      </c>
      <c r="D406">
        <v>0</v>
      </c>
      <c r="E406">
        <v>15</v>
      </c>
      <c r="F406">
        <v>1</v>
      </c>
      <c r="G406">
        <v>10</v>
      </c>
    </row>
    <row r="407" spans="1:7" x14ac:dyDescent="0.55000000000000004">
      <c r="A407" t="s">
        <v>641</v>
      </c>
      <c r="B407" t="s">
        <v>300</v>
      </c>
      <c r="C407">
        <v>94</v>
      </c>
      <c r="D407">
        <v>0</v>
      </c>
      <c r="E407">
        <v>15</v>
      </c>
      <c r="F407">
        <v>1</v>
      </c>
      <c r="G407">
        <v>10</v>
      </c>
    </row>
    <row r="408" spans="1:7" x14ac:dyDescent="0.55000000000000004">
      <c r="A408" t="s">
        <v>642</v>
      </c>
      <c r="B408" t="s">
        <v>300</v>
      </c>
      <c r="C408">
        <v>93</v>
      </c>
      <c r="D408">
        <v>0</v>
      </c>
      <c r="E408">
        <v>15</v>
      </c>
      <c r="F408">
        <v>1</v>
      </c>
      <c r="G408">
        <v>10</v>
      </c>
    </row>
    <row r="409" spans="1:7" x14ac:dyDescent="0.55000000000000004">
      <c r="A409" t="s">
        <v>643</v>
      </c>
      <c r="B409" t="s">
        <v>300</v>
      </c>
      <c r="C409">
        <v>94</v>
      </c>
      <c r="D409">
        <v>0</v>
      </c>
      <c r="E409">
        <v>15</v>
      </c>
      <c r="F409">
        <v>1</v>
      </c>
      <c r="G409">
        <v>10</v>
      </c>
    </row>
    <row r="410" spans="1:7" x14ac:dyDescent="0.55000000000000004">
      <c r="A410" t="s">
        <v>644</v>
      </c>
      <c r="B410" t="s">
        <v>300</v>
      </c>
      <c r="C410">
        <v>95</v>
      </c>
      <c r="D410">
        <v>0</v>
      </c>
      <c r="E410">
        <v>15</v>
      </c>
      <c r="F410">
        <v>1</v>
      </c>
      <c r="G410">
        <v>10</v>
      </c>
    </row>
    <row r="411" spans="1:7" x14ac:dyDescent="0.55000000000000004">
      <c r="A411" t="s">
        <v>645</v>
      </c>
      <c r="B411" t="s">
        <v>300</v>
      </c>
      <c r="C411">
        <v>94</v>
      </c>
      <c r="D411">
        <v>0</v>
      </c>
      <c r="E411">
        <v>15</v>
      </c>
      <c r="F411">
        <v>1</v>
      </c>
      <c r="G411">
        <v>10</v>
      </c>
    </row>
    <row r="412" spans="1:7" x14ac:dyDescent="0.55000000000000004">
      <c r="A412" t="s">
        <v>646</v>
      </c>
      <c r="B412" t="s">
        <v>300</v>
      </c>
      <c r="C412">
        <v>95</v>
      </c>
      <c r="D412">
        <v>0</v>
      </c>
      <c r="E412">
        <v>15</v>
      </c>
      <c r="F412">
        <v>1</v>
      </c>
      <c r="G412">
        <v>10</v>
      </c>
    </row>
    <row r="413" spans="1:7" x14ac:dyDescent="0.55000000000000004">
      <c r="A413" t="s">
        <v>647</v>
      </c>
      <c r="B413" t="s">
        <v>300</v>
      </c>
      <c r="C413">
        <v>96</v>
      </c>
      <c r="D413">
        <v>0</v>
      </c>
      <c r="E413">
        <v>15</v>
      </c>
      <c r="F413">
        <v>1</v>
      </c>
      <c r="G413">
        <v>10</v>
      </c>
    </row>
    <row r="414" spans="1:7" x14ac:dyDescent="0.55000000000000004">
      <c r="A414" t="s">
        <v>648</v>
      </c>
      <c r="B414" t="s">
        <v>300</v>
      </c>
      <c r="C414">
        <v>91</v>
      </c>
      <c r="D414">
        <v>0</v>
      </c>
      <c r="E414">
        <v>15</v>
      </c>
      <c r="F414">
        <v>1</v>
      </c>
      <c r="G414">
        <v>10</v>
      </c>
    </row>
    <row r="415" spans="1:7" x14ac:dyDescent="0.55000000000000004">
      <c r="A415" t="s">
        <v>649</v>
      </c>
      <c r="B415" t="s">
        <v>300</v>
      </c>
      <c r="C415">
        <v>90</v>
      </c>
      <c r="D415">
        <v>0</v>
      </c>
      <c r="E415">
        <v>15</v>
      </c>
      <c r="F415">
        <v>1</v>
      </c>
      <c r="G415">
        <v>10</v>
      </c>
    </row>
    <row r="416" spans="1:7" x14ac:dyDescent="0.55000000000000004">
      <c r="A416" t="s">
        <v>650</v>
      </c>
      <c r="B416" t="s">
        <v>300</v>
      </c>
      <c r="C416">
        <v>90</v>
      </c>
      <c r="D416">
        <v>0</v>
      </c>
      <c r="E416">
        <v>15</v>
      </c>
      <c r="F416">
        <v>1</v>
      </c>
      <c r="G416">
        <v>10</v>
      </c>
    </row>
    <row r="417" spans="1:7" x14ac:dyDescent="0.55000000000000004">
      <c r="A417" t="s">
        <v>651</v>
      </c>
      <c r="B417" t="s">
        <v>300</v>
      </c>
      <c r="C417">
        <v>91</v>
      </c>
      <c r="D417">
        <v>0</v>
      </c>
      <c r="E417">
        <v>15</v>
      </c>
      <c r="F417">
        <v>1</v>
      </c>
      <c r="G417">
        <v>10</v>
      </c>
    </row>
    <row r="418" spans="1:7" x14ac:dyDescent="0.55000000000000004">
      <c r="A418" t="s">
        <v>652</v>
      </c>
      <c r="B418" t="s">
        <v>300</v>
      </c>
      <c r="C418">
        <v>89</v>
      </c>
      <c r="D418">
        <v>0</v>
      </c>
      <c r="E418">
        <v>15</v>
      </c>
      <c r="F418">
        <v>1</v>
      </c>
      <c r="G418">
        <v>10</v>
      </c>
    </row>
    <row r="419" spans="1:7" x14ac:dyDescent="0.55000000000000004">
      <c r="A419" t="s">
        <v>653</v>
      </c>
      <c r="B419" t="s">
        <v>300</v>
      </c>
      <c r="C419">
        <v>90</v>
      </c>
      <c r="D419">
        <v>0</v>
      </c>
      <c r="E419">
        <v>15</v>
      </c>
      <c r="F419">
        <v>1</v>
      </c>
      <c r="G419">
        <v>10</v>
      </c>
    </row>
    <row r="420" spans="1:7" x14ac:dyDescent="0.55000000000000004">
      <c r="A420" t="s">
        <v>654</v>
      </c>
      <c r="B420" t="s">
        <v>300</v>
      </c>
      <c r="C420">
        <v>89</v>
      </c>
      <c r="D420">
        <v>0</v>
      </c>
      <c r="E420">
        <v>15</v>
      </c>
      <c r="F420">
        <v>1</v>
      </c>
      <c r="G420">
        <v>10</v>
      </c>
    </row>
    <row r="421" spans="1:7" x14ac:dyDescent="0.55000000000000004">
      <c r="A421" t="s">
        <v>655</v>
      </c>
      <c r="B421" t="s">
        <v>300</v>
      </c>
      <c r="C421">
        <v>89</v>
      </c>
      <c r="D421">
        <v>0</v>
      </c>
      <c r="E421">
        <v>15</v>
      </c>
      <c r="F421">
        <v>1</v>
      </c>
      <c r="G421">
        <v>10</v>
      </c>
    </row>
    <row r="422" spans="1:7" x14ac:dyDescent="0.55000000000000004">
      <c r="A422" t="s">
        <v>656</v>
      </c>
      <c r="B422" t="s">
        <v>300</v>
      </c>
      <c r="C422">
        <v>90</v>
      </c>
      <c r="D422">
        <v>0</v>
      </c>
      <c r="E422">
        <v>15</v>
      </c>
      <c r="F422">
        <v>1</v>
      </c>
      <c r="G422">
        <v>10</v>
      </c>
    </row>
    <row r="423" spans="1:7" x14ac:dyDescent="0.55000000000000004">
      <c r="A423" t="s">
        <v>657</v>
      </c>
      <c r="B423" t="s">
        <v>300</v>
      </c>
      <c r="C423">
        <v>91</v>
      </c>
      <c r="D423">
        <v>0</v>
      </c>
      <c r="E423">
        <v>15</v>
      </c>
      <c r="F423">
        <v>1</v>
      </c>
      <c r="G423">
        <v>10</v>
      </c>
    </row>
    <row r="424" spans="1:7" x14ac:dyDescent="0.55000000000000004">
      <c r="A424" t="s">
        <v>658</v>
      </c>
      <c r="B424" t="s">
        <v>300</v>
      </c>
      <c r="C424">
        <v>90</v>
      </c>
      <c r="D424">
        <v>0</v>
      </c>
      <c r="E424">
        <v>15</v>
      </c>
      <c r="F424">
        <v>1</v>
      </c>
      <c r="G424">
        <v>10</v>
      </c>
    </row>
    <row r="425" spans="1:7" x14ac:dyDescent="0.55000000000000004">
      <c r="A425" t="s">
        <v>793</v>
      </c>
      <c r="B425" t="s">
        <v>300</v>
      </c>
      <c r="C425">
        <v>112</v>
      </c>
      <c r="D425">
        <v>0</v>
      </c>
      <c r="E425">
        <v>15</v>
      </c>
      <c r="F425">
        <v>6</v>
      </c>
      <c r="G425">
        <v>10</v>
      </c>
    </row>
    <row r="426" spans="1:7" x14ac:dyDescent="0.55000000000000004">
      <c r="A426" t="s">
        <v>794</v>
      </c>
      <c r="B426" t="s">
        <v>300</v>
      </c>
      <c r="C426">
        <v>110</v>
      </c>
      <c r="D426">
        <v>0</v>
      </c>
      <c r="E426">
        <v>15</v>
      </c>
      <c r="F426">
        <v>6</v>
      </c>
      <c r="G426">
        <v>10</v>
      </c>
    </row>
    <row r="427" spans="1:7" x14ac:dyDescent="0.55000000000000004">
      <c r="A427" t="s">
        <v>795</v>
      </c>
      <c r="B427" t="s">
        <v>300</v>
      </c>
      <c r="C427">
        <v>109</v>
      </c>
      <c r="D427">
        <v>0</v>
      </c>
      <c r="E427">
        <v>15</v>
      </c>
      <c r="F427">
        <v>6</v>
      </c>
      <c r="G427">
        <v>10</v>
      </c>
    </row>
    <row r="428" spans="1:7" x14ac:dyDescent="0.55000000000000004">
      <c r="A428" t="s">
        <v>796</v>
      </c>
      <c r="B428" t="s">
        <v>300</v>
      </c>
      <c r="C428">
        <v>111</v>
      </c>
      <c r="D428">
        <v>0</v>
      </c>
      <c r="E428">
        <v>15</v>
      </c>
      <c r="F428">
        <v>6</v>
      </c>
      <c r="G428">
        <v>10</v>
      </c>
    </row>
    <row r="429" spans="1:7" x14ac:dyDescent="0.55000000000000004">
      <c r="A429" t="s">
        <v>797</v>
      </c>
      <c r="B429" t="s">
        <v>300</v>
      </c>
      <c r="C429">
        <v>110</v>
      </c>
      <c r="D429">
        <v>0</v>
      </c>
      <c r="E429">
        <v>15</v>
      </c>
      <c r="F429">
        <v>6</v>
      </c>
      <c r="G429">
        <v>10</v>
      </c>
    </row>
    <row r="430" spans="1:7" x14ac:dyDescent="0.55000000000000004">
      <c r="A430" t="s">
        <v>798</v>
      </c>
      <c r="B430" t="s">
        <v>300</v>
      </c>
      <c r="C430">
        <v>110</v>
      </c>
      <c r="D430">
        <v>0</v>
      </c>
      <c r="E430">
        <v>15</v>
      </c>
      <c r="F430">
        <v>6</v>
      </c>
      <c r="G430">
        <v>10</v>
      </c>
    </row>
    <row r="431" spans="1:7" x14ac:dyDescent="0.55000000000000004">
      <c r="A431" t="s">
        <v>799</v>
      </c>
      <c r="B431" t="s">
        <v>300</v>
      </c>
      <c r="C431">
        <v>111</v>
      </c>
      <c r="D431">
        <v>0</v>
      </c>
      <c r="E431">
        <v>15</v>
      </c>
      <c r="F431">
        <v>6</v>
      </c>
      <c r="G431">
        <v>10</v>
      </c>
    </row>
    <row r="432" spans="1:7" x14ac:dyDescent="0.55000000000000004">
      <c r="A432" t="s">
        <v>808</v>
      </c>
      <c r="B432" t="s">
        <v>300</v>
      </c>
      <c r="C432">
        <v>111</v>
      </c>
      <c r="D432">
        <v>0</v>
      </c>
      <c r="E432">
        <v>15</v>
      </c>
      <c r="F432">
        <v>1</v>
      </c>
      <c r="G432">
        <v>4</v>
      </c>
    </row>
    <row r="433" spans="1:7" x14ac:dyDescent="0.55000000000000004">
      <c r="A433" t="s">
        <v>809</v>
      </c>
      <c r="B433" t="s">
        <v>300</v>
      </c>
      <c r="C433">
        <v>111</v>
      </c>
      <c r="D433">
        <v>0</v>
      </c>
      <c r="E433">
        <v>15</v>
      </c>
      <c r="F433">
        <v>1</v>
      </c>
      <c r="G433">
        <v>4</v>
      </c>
    </row>
    <row r="434" spans="1:7" x14ac:dyDescent="0.55000000000000004">
      <c r="A434" t="s">
        <v>810</v>
      </c>
      <c r="B434" t="s">
        <v>300</v>
      </c>
      <c r="C434">
        <v>110</v>
      </c>
      <c r="D434">
        <v>0</v>
      </c>
      <c r="E434">
        <v>15</v>
      </c>
      <c r="F434">
        <v>1</v>
      </c>
      <c r="G434">
        <v>4</v>
      </c>
    </row>
    <row r="435" spans="1:7" x14ac:dyDescent="0.55000000000000004">
      <c r="A435" t="s">
        <v>811</v>
      </c>
      <c r="B435" t="s">
        <v>300</v>
      </c>
      <c r="C435">
        <v>110</v>
      </c>
      <c r="D435">
        <v>0</v>
      </c>
      <c r="E435">
        <v>15</v>
      </c>
      <c r="F435">
        <v>1</v>
      </c>
      <c r="G435">
        <v>4</v>
      </c>
    </row>
    <row r="436" spans="1:7" x14ac:dyDescent="0.55000000000000004">
      <c r="A436" t="s">
        <v>812</v>
      </c>
      <c r="B436" t="s">
        <v>300</v>
      </c>
      <c r="C436">
        <v>111</v>
      </c>
      <c r="D436">
        <v>0</v>
      </c>
      <c r="E436">
        <v>15</v>
      </c>
      <c r="F436">
        <v>1</v>
      </c>
      <c r="G436">
        <v>4</v>
      </c>
    </row>
    <row r="437" spans="1:7" x14ac:dyDescent="0.55000000000000004">
      <c r="A437" t="s">
        <v>813</v>
      </c>
      <c r="B437" t="s">
        <v>300</v>
      </c>
      <c r="C437">
        <v>110</v>
      </c>
      <c r="D437">
        <v>0</v>
      </c>
      <c r="E437">
        <v>15</v>
      </c>
      <c r="F437">
        <v>1</v>
      </c>
      <c r="G437">
        <v>4</v>
      </c>
    </row>
    <row r="438" spans="1:7" x14ac:dyDescent="0.55000000000000004">
      <c r="A438" t="s">
        <v>814</v>
      </c>
      <c r="B438" t="s">
        <v>300</v>
      </c>
      <c r="C438">
        <v>111</v>
      </c>
      <c r="D438">
        <v>0</v>
      </c>
      <c r="E438">
        <v>15</v>
      </c>
      <c r="F438">
        <v>1</v>
      </c>
      <c r="G438">
        <v>4</v>
      </c>
    </row>
    <row r="439" spans="1:7" x14ac:dyDescent="0.55000000000000004">
      <c r="A439" t="s">
        <v>815</v>
      </c>
      <c r="B439" t="s">
        <v>300</v>
      </c>
      <c r="C439">
        <v>112</v>
      </c>
      <c r="D439">
        <v>0</v>
      </c>
      <c r="E439">
        <v>15</v>
      </c>
      <c r="F439">
        <v>1</v>
      </c>
      <c r="G439">
        <v>4</v>
      </c>
    </row>
    <row r="440" spans="1:7" x14ac:dyDescent="0.55000000000000004">
      <c r="A440" t="s">
        <v>816</v>
      </c>
      <c r="B440" t="s">
        <v>300</v>
      </c>
      <c r="C440">
        <v>110</v>
      </c>
      <c r="D440">
        <v>0</v>
      </c>
      <c r="E440">
        <v>15</v>
      </c>
      <c r="F440">
        <v>1</v>
      </c>
      <c r="G440">
        <v>4</v>
      </c>
    </row>
    <row r="441" spans="1:7" x14ac:dyDescent="0.55000000000000004">
      <c r="A441" t="s">
        <v>817</v>
      </c>
      <c r="B441" t="s">
        <v>300</v>
      </c>
      <c r="C441">
        <v>111</v>
      </c>
      <c r="D441">
        <v>0</v>
      </c>
      <c r="E441">
        <v>15</v>
      </c>
      <c r="F441">
        <v>1</v>
      </c>
      <c r="G441">
        <v>4</v>
      </c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10569-99F1-4BAD-8F51-58048D6DFDCE}">
  <sheetPr codeName="Sheet5"/>
  <dimension ref="A2:E441"/>
  <sheetViews>
    <sheetView topLeftCell="A416" workbookViewId="0">
      <selection activeCell="A432" sqref="A432:E441"/>
    </sheetView>
  </sheetViews>
  <sheetFormatPr defaultRowHeight="18" x14ac:dyDescent="0.55000000000000004"/>
  <cols>
    <col min="1" max="1" width="61.1640625" customWidth="1"/>
  </cols>
  <sheetData>
    <row r="2" spans="1:5" x14ac:dyDescent="0.55000000000000004">
      <c r="A2" t="s">
        <v>0</v>
      </c>
      <c r="B2">
        <v>48</v>
      </c>
      <c r="C2">
        <v>637</v>
      </c>
      <c r="D2">
        <v>647</v>
      </c>
      <c r="E2">
        <v>10.04998</v>
      </c>
    </row>
    <row r="3" spans="1:5" x14ac:dyDescent="0.55000000000000004">
      <c r="A3" t="s">
        <v>1</v>
      </c>
      <c r="B3">
        <v>52</v>
      </c>
      <c r="C3">
        <v>640.5</v>
      </c>
      <c r="D3">
        <v>640</v>
      </c>
      <c r="E3">
        <v>14.53454</v>
      </c>
    </row>
    <row r="4" spans="1:5" x14ac:dyDescent="0.55000000000000004">
      <c r="A4" t="s">
        <v>2</v>
      </c>
      <c r="B4">
        <v>52</v>
      </c>
      <c r="C4">
        <v>637.5</v>
      </c>
      <c r="D4">
        <v>638</v>
      </c>
      <c r="E4">
        <v>10.688879999999999</v>
      </c>
    </row>
    <row r="5" spans="1:5" x14ac:dyDescent="0.55000000000000004">
      <c r="A5" t="s">
        <v>3</v>
      </c>
      <c r="B5">
        <v>48</v>
      </c>
      <c r="C5">
        <v>651.5</v>
      </c>
      <c r="D5">
        <v>650.5</v>
      </c>
      <c r="E5">
        <v>2.9155799999999998</v>
      </c>
    </row>
    <row r="6" spans="1:5" x14ac:dyDescent="0.55000000000000004">
      <c r="A6" t="s">
        <v>4</v>
      </c>
      <c r="B6">
        <v>47</v>
      </c>
      <c r="C6">
        <v>638.5</v>
      </c>
      <c r="D6">
        <v>632</v>
      </c>
      <c r="E6">
        <v>14.53454</v>
      </c>
    </row>
    <row r="7" spans="1:5" x14ac:dyDescent="0.55000000000000004">
      <c r="A7" t="s">
        <v>5</v>
      </c>
      <c r="B7">
        <v>47</v>
      </c>
      <c r="C7">
        <v>629.5</v>
      </c>
      <c r="D7">
        <v>635.5</v>
      </c>
      <c r="E7">
        <v>14.57748</v>
      </c>
    </row>
    <row r="8" spans="1:5" x14ac:dyDescent="0.55000000000000004">
      <c r="A8" t="s">
        <v>8</v>
      </c>
      <c r="B8">
        <v>47</v>
      </c>
      <c r="C8">
        <v>656.5</v>
      </c>
      <c r="D8">
        <v>635</v>
      </c>
      <c r="E8">
        <v>14.53454</v>
      </c>
    </row>
    <row r="9" spans="1:5" x14ac:dyDescent="0.55000000000000004">
      <c r="A9" t="s">
        <v>9</v>
      </c>
      <c r="B9">
        <v>48</v>
      </c>
      <c r="C9">
        <v>619.5</v>
      </c>
      <c r="D9">
        <v>651</v>
      </c>
      <c r="E9">
        <v>8.7322199999999999</v>
      </c>
    </row>
    <row r="10" spans="1:5" x14ac:dyDescent="0.55000000000000004">
      <c r="A10" t="s">
        <v>10</v>
      </c>
      <c r="B10">
        <v>47</v>
      </c>
      <c r="C10">
        <v>643.5</v>
      </c>
      <c r="D10">
        <v>632</v>
      </c>
      <c r="E10">
        <v>14.53454</v>
      </c>
    </row>
    <row r="11" spans="1:5" x14ac:dyDescent="0.55000000000000004">
      <c r="A11" t="s">
        <v>11</v>
      </c>
      <c r="B11">
        <v>47</v>
      </c>
      <c r="C11">
        <v>628.5</v>
      </c>
      <c r="D11">
        <v>635</v>
      </c>
      <c r="E11">
        <v>14.53454</v>
      </c>
    </row>
    <row r="12" spans="1:5" x14ac:dyDescent="0.55000000000000004">
      <c r="A12" t="s">
        <v>12</v>
      </c>
      <c r="B12">
        <v>48</v>
      </c>
      <c r="C12">
        <v>648.5</v>
      </c>
      <c r="D12">
        <v>644.5</v>
      </c>
      <c r="E12">
        <v>13.58318</v>
      </c>
    </row>
    <row r="13" spans="1:5" x14ac:dyDescent="0.55000000000000004">
      <c r="A13" t="s">
        <v>13</v>
      </c>
      <c r="B13">
        <v>50</v>
      </c>
      <c r="C13">
        <v>598</v>
      </c>
      <c r="D13">
        <v>674.5</v>
      </c>
      <c r="E13">
        <v>16.070260000000001</v>
      </c>
    </row>
    <row r="14" spans="1:5" x14ac:dyDescent="0.55000000000000004">
      <c r="A14" t="s">
        <v>14</v>
      </c>
      <c r="B14">
        <v>50</v>
      </c>
      <c r="C14">
        <v>640</v>
      </c>
      <c r="D14">
        <v>674.5</v>
      </c>
      <c r="E14">
        <v>16.070260000000001</v>
      </c>
    </row>
    <row r="15" spans="1:5" x14ac:dyDescent="0.55000000000000004">
      <c r="A15" t="s">
        <v>15</v>
      </c>
      <c r="B15">
        <v>48</v>
      </c>
      <c r="C15">
        <v>624</v>
      </c>
      <c r="D15">
        <v>648.5</v>
      </c>
      <c r="E15">
        <v>2.5001000000000002</v>
      </c>
    </row>
    <row r="16" spans="1:5" x14ac:dyDescent="0.55000000000000004">
      <c r="A16" t="s">
        <v>16</v>
      </c>
      <c r="B16">
        <v>47</v>
      </c>
      <c r="C16">
        <v>639.5</v>
      </c>
      <c r="D16">
        <v>635</v>
      </c>
      <c r="E16">
        <v>14.53454</v>
      </c>
    </row>
    <row r="17" spans="1:5" x14ac:dyDescent="0.55000000000000004">
      <c r="A17" t="s">
        <v>17</v>
      </c>
      <c r="B17">
        <v>47</v>
      </c>
      <c r="C17">
        <v>645.5</v>
      </c>
      <c r="D17">
        <v>633</v>
      </c>
      <c r="E17">
        <v>14.53454</v>
      </c>
    </row>
    <row r="18" spans="1:5" x14ac:dyDescent="0.55000000000000004">
      <c r="A18" t="s">
        <v>18</v>
      </c>
      <c r="B18">
        <v>47</v>
      </c>
      <c r="C18">
        <v>641</v>
      </c>
      <c r="D18">
        <v>636</v>
      </c>
      <c r="E18">
        <v>15.0334</v>
      </c>
    </row>
    <row r="19" spans="1:5" x14ac:dyDescent="0.55000000000000004">
      <c r="A19" t="s">
        <v>19</v>
      </c>
      <c r="B19">
        <v>50</v>
      </c>
      <c r="C19">
        <v>608.5</v>
      </c>
      <c r="D19">
        <v>678</v>
      </c>
      <c r="E19">
        <v>11.67272</v>
      </c>
    </row>
    <row r="20" spans="1:5" x14ac:dyDescent="0.55000000000000004">
      <c r="A20" t="s">
        <v>20</v>
      </c>
      <c r="B20">
        <v>47</v>
      </c>
      <c r="C20">
        <v>628</v>
      </c>
      <c r="D20">
        <v>636.5</v>
      </c>
      <c r="E20">
        <v>6.1847599999999998</v>
      </c>
    </row>
    <row r="21" spans="1:5" x14ac:dyDescent="0.55000000000000004">
      <c r="A21" t="s">
        <v>21</v>
      </c>
      <c r="B21">
        <v>49</v>
      </c>
      <c r="C21">
        <v>620.5</v>
      </c>
      <c r="D21">
        <v>678</v>
      </c>
      <c r="E21">
        <v>16.530370000000001</v>
      </c>
    </row>
    <row r="22" spans="1:5" x14ac:dyDescent="0.55000000000000004">
      <c r="A22" t="s">
        <v>22</v>
      </c>
      <c r="B22">
        <v>47</v>
      </c>
      <c r="C22">
        <v>665.5</v>
      </c>
      <c r="D22">
        <v>634.5</v>
      </c>
      <c r="E22">
        <v>14.57748</v>
      </c>
    </row>
    <row r="23" spans="1:5" x14ac:dyDescent="0.55000000000000004">
      <c r="A23" t="s">
        <v>23</v>
      </c>
      <c r="B23">
        <v>47</v>
      </c>
      <c r="C23">
        <v>642</v>
      </c>
      <c r="D23">
        <v>636</v>
      </c>
      <c r="E23">
        <v>15.0334</v>
      </c>
    </row>
    <row r="24" spans="1:5" x14ac:dyDescent="0.55000000000000004">
      <c r="A24" t="s">
        <v>24</v>
      </c>
      <c r="B24">
        <v>47</v>
      </c>
      <c r="C24">
        <v>635.5</v>
      </c>
      <c r="D24">
        <v>634</v>
      </c>
      <c r="E24">
        <v>10.688879999999999</v>
      </c>
    </row>
    <row r="25" spans="1:5" x14ac:dyDescent="0.55000000000000004">
      <c r="A25" t="s">
        <v>25</v>
      </c>
      <c r="B25">
        <v>49</v>
      </c>
      <c r="C25">
        <v>643</v>
      </c>
      <c r="D25">
        <v>654.5</v>
      </c>
      <c r="E25">
        <v>3.3542000000000001</v>
      </c>
    </row>
    <row r="26" spans="1:5" x14ac:dyDescent="0.55000000000000004">
      <c r="A26" t="s">
        <v>26</v>
      </c>
      <c r="B26">
        <v>47</v>
      </c>
      <c r="C26">
        <v>648</v>
      </c>
      <c r="D26">
        <v>636.5</v>
      </c>
      <c r="E26">
        <v>14.08023</v>
      </c>
    </row>
    <row r="27" spans="1:5" x14ac:dyDescent="0.55000000000000004">
      <c r="A27" t="s">
        <v>27</v>
      </c>
      <c r="B27">
        <v>50</v>
      </c>
      <c r="C27">
        <v>622</v>
      </c>
      <c r="D27">
        <v>672</v>
      </c>
      <c r="E27">
        <v>16.031320000000001</v>
      </c>
    </row>
    <row r="28" spans="1:5" x14ac:dyDescent="0.55000000000000004">
      <c r="A28" t="s">
        <v>28</v>
      </c>
      <c r="B28">
        <v>48</v>
      </c>
      <c r="C28">
        <v>661.5</v>
      </c>
      <c r="D28">
        <v>645</v>
      </c>
      <c r="E28">
        <v>6.5765700000000002</v>
      </c>
    </row>
    <row r="29" spans="1:5" x14ac:dyDescent="0.55000000000000004">
      <c r="A29" t="s">
        <v>29</v>
      </c>
      <c r="B29">
        <v>48</v>
      </c>
      <c r="C29">
        <v>663.5</v>
      </c>
      <c r="D29">
        <v>643.5</v>
      </c>
      <c r="E29">
        <v>6.6709300000000002</v>
      </c>
    </row>
    <row r="30" spans="1:5" x14ac:dyDescent="0.55000000000000004">
      <c r="A30" t="s">
        <v>30</v>
      </c>
      <c r="B30">
        <v>48</v>
      </c>
      <c r="C30">
        <v>648.5</v>
      </c>
      <c r="D30">
        <v>643.5</v>
      </c>
      <c r="E30">
        <v>4.7435200000000002</v>
      </c>
    </row>
    <row r="31" spans="1:5" x14ac:dyDescent="0.55000000000000004">
      <c r="A31" t="s">
        <v>31</v>
      </c>
      <c r="B31">
        <v>47</v>
      </c>
      <c r="C31">
        <v>637</v>
      </c>
      <c r="D31">
        <v>638</v>
      </c>
      <c r="E31">
        <v>11.180440000000001</v>
      </c>
    </row>
    <row r="32" spans="1:5" x14ac:dyDescent="0.55000000000000004">
      <c r="A32" t="s">
        <v>32</v>
      </c>
      <c r="B32">
        <v>50</v>
      </c>
      <c r="C32">
        <v>645.5</v>
      </c>
      <c r="D32">
        <v>678.5</v>
      </c>
      <c r="E32">
        <v>16.56814</v>
      </c>
    </row>
    <row r="33" spans="1:5" x14ac:dyDescent="0.55000000000000004">
      <c r="A33" t="s">
        <v>33</v>
      </c>
      <c r="B33">
        <v>50</v>
      </c>
      <c r="C33">
        <v>624</v>
      </c>
      <c r="D33">
        <v>672</v>
      </c>
      <c r="E33">
        <v>16.031320000000001</v>
      </c>
    </row>
    <row r="34" spans="1:5" x14ac:dyDescent="0.55000000000000004">
      <c r="A34" t="s">
        <v>35</v>
      </c>
      <c r="B34">
        <v>49</v>
      </c>
      <c r="C34">
        <v>635.5</v>
      </c>
      <c r="D34">
        <v>647</v>
      </c>
      <c r="E34">
        <v>8.5587199999999992</v>
      </c>
    </row>
    <row r="35" spans="1:5" x14ac:dyDescent="0.55000000000000004">
      <c r="A35" t="s">
        <v>36</v>
      </c>
      <c r="B35">
        <v>47</v>
      </c>
      <c r="C35">
        <v>655.5</v>
      </c>
      <c r="D35">
        <v>632</v>
      </c>
      <c r="E35">
        <v>14.53454</v>
      </c>
    </row>
    <row r="36" spans="1:5" x14ac:dyDescent="0.55000000000000004">
      <c r="A36" t="s">
        <v>37</v>
      </c>
      <c r="B36">
        <v>48</v>
      </c>
      <c r="C36">
        <v>650</v>
      </c>
      <c r="D36">
        <v>640.5</v>
      </c>
      <c r="E36">
        <v>14.08023</v>
      </c>
    </row>
    <row r="37" spans="1:5" x14ac:dyDescent="0.55000000000000004">
      <c r="A37" t="s">
        <v>44</v>
      </c>
      <c r="B37">
        <v>49</v>
      </c>
      <c r="C37">
        <v>636</v>
      </c>
      <c r="D37">
        <v>646</v>
      </c>
      <c r="E37">
        <v>14.035769999999999</v>
      </c>
    </row>
    <row r="38" spans="1:5" x14ac:dyDescent="0.55000000000000004">
      <c r="A38" t="s">
        <v>45</v>
      </c>
      <c r="B38">
        <v>48</v>
      </c>
      <c r="C38">
        <v>639.5</v>
      </c>
      <c r="D38">
        <v>638</v>
      </c>
      <c r="E38">
        <v>14.53454</v>
      </c>
    </row>
    <row r="39" spans="1:5" x14ac:dyDescent="0.55000000000000004">
      <c r="A39" t="s">
        <v>46</v>
      </c>
      <c r="B39">
        <v>51</v>
      </c>
      <c r="C39">
        <v>616</v>
      </c>
      <c r="D39">
        <v>673.5</v>
      </c>
      <c r="E39">
        <v>16.070260000000001</v>
      </c>
    </row>
    <row r="40" spans="1:5" x14ac:dyDescent="0.55000000000000004">
      <c r="A40" t="s">
        <v>47</v>
      </c>
      <c r="B40">
        <v>48</v>
      </c>
      <c r="C40">
        <v>617.5</v>
      </c>
      <c r="D40">
        <v>641</v>
      </c>
      <c r="E40">
        <v>14.53454</v>
      </c>
    </row>
    <row r="41" spans="1:5" x14ac:dyDescent="0.55000000000000004">
      <c r="A41" t="s">
        <v>48</v>
      </c>
      <c r="B41">
        <v>51</v>
      </c>
      <c r="C41">
        <v>639.5</v>
      </c>
      <c r="D41">
        <v>677.5</v>
      </c>
      <c r="E41">
        <v>16.56814</v>
      </c>
    </row>
    <row r="42" spans="1:5" x14ac:dyDescent="0.55000000000000004">
      <c r="A42" t="s">
        <v>49</v>
      </c>
      <c r="B42">
        <v>47</v>
      </c>
      <c r="C42">
        <v>675.5</v>
      </c>
      <c r="D42">
        <v>630.5</v>
      </c>
      <c r="E42">
        <v>2.9155799999999998</v>
      </c>
    </row>
    <row r="43" spans="1:5" x14ac:dyDescent="0.55000000000000004">
      <c r="A43" t="s">
        <v>50</v>
      </c>
      <c r="B43">
        <v>47</v>
      </c>
      <c r="C43">
        <v>626</v>
      </c>
      <c r="D43">
        <v>632</v>
      </c>
      <c r="E43">
        <v>14.035769999999999</v>
      </c>
    </row>
    <row r="44" spans="1:5" x14ac:dyDescent="0.55000000000000004">
      <c r="A44" t="s">
        <v>51</v>
      </c>
      <c r="B44">
        <v>49</v>
      </c>
      <c r="C44">
        <v>658</v>
      </c>
      <c r="D44">
        <v>651.5</v>
      </c>
      <c r="E44">
        <v>3.3542000000000001</v>
      </c>
    </row>
    <row r="45" spans="1:5" x14ac:dyDescent="0.55000000000000004">
      <c r="A45" t="s">
        <v>52</v>
      </c>
      <c r="B45">
        <v>48</v>
      </c>
      <c r="C45">
        <v>644.5</v>
      </c>
      <c r="D45">
        <v>632</v>
      </c>
      <c r="E45">
        <v>14.53454</v>
      </c>
    </row>
    <row r="46" spans="1:5" x14ac:dyDescent="0.55000000000000004">
      <c r="A46" t="s">
        <v>53</v>
      </c>
      <c r="B46">
        <v>49</v>
      </c>
      <c r="C46">
        <v>636.5</v>
      </c>
      <c r="D46">
        <v>638.5</v>
      </c>
      <c r="E46">
        <v>14.57748</v>
      </c>
    </row>
    <row r="47" spans="1:5" x14ac:dyDescent="0.55000000000000004">
      <c r="A47" t="s">
        <v>54</v>
      </c>
      <c r="B47">
        <v>49</v>
      </c>
      <c r="C47">
        <v>658.5</v>
      </c>
      <c r="D47">
        <v>637</v>
      </c>
      <c r="E47">
        <v>14.53454</v>
      </c>
    </row>
    <row r="48" spans="1:5" x14ac:dyDescent="0.55000000000000004">
      <c r="A48" t="s">
        <v>55</v>
      </c>
      <c r="B48">
        <v>49</v>
      </c>
      <c r="C48">
        <v>636.5</v>
      </c>
      <c r="D48">
        <v>638</v>
      </c>
      <c r="E48">
        <v>9.7083399999999997</v>
      </c>
    </row>
    <row r="49" spans="1:5" x14ac:dyDescent="0.55000000000000004">
      <c r="A49" t="s">
        <v>56</v>
      </c>
      <c r="B49">
        <v>49</v>
      </c>
      <c r="C49">
        <v>653.5</v>
      </c>
      <c r="D49">
        <v>637</v>
      </c>
      <c r="E49">
        <v>14.53454</v>
      </c>
    </row>
    <row r="50" spans="1:5" x14ac:dyDescent="0.55000000000000004">
      <c r="A50" t="s">
        <v>57</v>
      </c>
      <c r="B50">
        <v>49</v>
      </c>
      <c r="C50">
        <v>657</v>
      </c>
      <c r="D50">
        <v>635.5</v>
      </c>
      <c r="E50">
        <v>3.3542000000000001</v>
      </c>
    </row>
    <row r="51" spans="1:5" x14ac:dyDescent="0.55000000000000004">
      <c r="A51" t="s">
        <v>58</v>
      </c>
      <c r="B51">
        <v>49</v>
      </c>
      <c r="C51">
        <v>662.5</v>
      </c>
      <c r="D51">
        <v>635</v>
      </c>
      <c r="E51">
        <v>14.53454</v>
      </c>
    </row>
    <row r="52" spans="1:5" x14ac:dyDescent="0.55000000000000004">
      <c r="A52" t="s">
        <v>59</v>
      </c>
      <c r="B52">
        <v>49</v>
      </c>
      <c r="C52">
        <v>660.5</v>
      </c>
      <c r="D52">
        <v>642.5</v>
      </c>
      <c r="E52">
        <v>7.6486299999999998</v>
      </c>
    </row>
    <row r="53" spans="1:5" x14ac:dyDescent="0.55000000000000004">
      <c r="A53" t="s">
        <v>60</v>
      </c>
      <c r="B53">
        <v>49</v>
      </c>
      <c r="C53">
        <v>634.36365000000001</v>
      </c>
      <c r="D53">
        <v>636</v>
      </c>
      <c r="E53">
        <v>5.7244799999999998</v>
      </c>
    </row>
    <row r="54" spans="1:5" x14ac:dyDescent="0.55000000000000004">
      <c r="A54" t="s">
        <v>61</v>
      </c>
      <c r="B54">
        <v>48</v>
      </c>
      <c r="C54">
        <v>651.5</v>
      </c>
      <c r="D54">
        <v>630</v>
      </c>
      <c r="E54">
        <v>9.7083399999999997</v>
      </c>
    </row>
    <row r="55" spans="1:5" x14ac:dyDescent="0.55000000000000004">
      <c r="A55" t="s">
        <v>62</v>
      </c>
      <c r="B55">
        <v>49</v>
      </c>
      <c r="C55">
        <v>637</v>
      </c>
      <c r="D55">
        <v>638</v>
      </c>
      <c r="E55">
        <v>15.0334</v>
      </c>
    </row>
    <row r="56" spans="1:5" x14ac:dyDescent="0.55000000000000004">
      <c r="A56" t="s">
        <v>63</v>
      </c>
      <c r="B56">
        <v>49</v>
      </c>
      <c r="C56">
        <v>638</v>
      </c>
      <c r="D56">
        <v>642</v>
      </c>
      <c r="E56">
        <v>15.0334</v>
      </c>
    </row>
    <row r="57" spans="1:5" x14ac:dyDescent="0.55000000000000004">
      <c r="A57" t="s">
        <v>39</v>
      </c>
      <c r="B57">
        <v>49</v>
      </c>
      <c r="C57">
        <v>619.5</v>
      </c>
      <c r="D57">
        <v>641</v>
      </c>
      <c r="E57">
        <v>14.53454</v>
      </c>
    </row>
    <row r="58" spans="1:5" x14ac:dyDescent="0.55000000000000004">
      <c r="A58" t="s">
        <v>64</v>
      </c>
      <c r="B58">
        <v>49</v>
      </c>
      <c r="C58">
        <v>630.5</v>
      </c>
      <c r="D58">
        <v>642</v>
      </c>
      <c r="E58">
        <v>14.53454</v>
      </c>
    </row>
    <row r="59" spans="1:5" x14ac:dyDescent="0.55000000000000004">
      <c r="A59" t="s">
        <v>65</v>
      </c>
      <c r="B59">
        <v>49</v>
      </c>
      <c r="C59">
        <v>657.5</v>
      </c>
      <c r="D59">
        <v>638</v>
      </c>
      <c r="E59">
        <v>14.53454</v>
      </c>
    </row>
    <row r="60" spans="1:5" x14ac:dyDescent="0.55000000000000004">
      <c r="A60" t="s">
        <v>66</v>
      </c>
      <c r="B60">
        <v>50</v>
      </c>
      <c r="C60">
        <v>661</v>
      </c>
      <c r="D60">
        <v>645</v>
      </c>
      <c r="E60">
        <v>14.035769999999999</v>
      </c>
    </row>
    <row r="61" spans="1:5" x14ac:dyDescent="0.55000000000000004">
      <c r="A61" t="s">
        <v>67</v>
      </c>
      <c r="B61">
        <v>49</v>
      </c>
      <c r="C61">
        <v>638</v>
      </c>
      <c r="D61">
        <v>630.5</v>
      </c>
      <c r="E61">
        <v>14.08023</v>
      </c>
    </row>
    <row r="62" spans="1:5" x14ac:dyDescent="0.55000000000000004">
      <c r="A62" t="s">
        <v>68</v>
      </c>
      <c r="B62">
        <v>50</v>
      </c>
      <c r="C62">
        <v>636</v>
      </c>
      <c r="D62">
        <v>644</v>
      </c>
      <c r="E62">
        <v>15.0334</v>
      </c>
    </row>
    <row r="63" spans="1:5" x14ac:dyDescent="0.55000000000000004">
      <c r="A63" t="s">
        <v>69</v>
      </c>
      <c r="B63">
        <v>49</v>
      </c>
      <c r="C63">
        <v>641.5</v>
      </c>
      <c r="D63">
        <v>634</v>
      </c>
      <c r="E63">
        <v>14.53454</v>
      </c>
    </row>
    <row r="64" spans="1:5" x14ac:dyDescent="0.55000000000000004">
      <c r="A64" t="s">
        <v>70</v>
      </c>
      <c r="B64">
        <v>50</v>
      </c>
      <c r="C64">
        <v>659.5</v>
      </c>
      <c r="D64">
        <v>638</v>
      </c>
      <c r="E64">
        <v>14.53454</v>
      </c>
    </row>
    <row r="65" spans="1:5" x14ac:dyDescent="0.55000000000000004">
      <c r="A65" t="s">
        <v>71</v>
      </c>
      <c r="B65">
        <v>51</v>
      </c>
      <c r="C65">
        <v>629.5</v>
      </c>
      <c r="D65">
        <v>648.5</v>
      </c>
      <c r="E65">
        <v>2.9155799999999998</v>
      </c>
    </row>
    <row r="66" spans="1:5" x14ac:dyDescent="0.55000000000000004">
      <c r="A66" t="s">
        <v>72</v>
      </c>
      <c r="B66">
        <v>50</v>
      </c>
      <c r="C66">
        <v>639.5</v>
      </c>
      <c r="D66">
        <v>642</v>
      </c>
      <c r="E66">
        <v>14.53454</v>
      </c>
    </row>
    <row r="67" spans="1:5" x14ac:dyDescent="0.55000000000000004">
      <c r="A67" t="s">
        <v>73</v>
      </c>
      <c r="B67">
        <v>49</v>
      </c>
      <c r="C67">
        <v>663</v>
      </c>
      <c r="D67">
        <v>634</v>
      </c>
      <c r="E67">
        <v>14.035769999999999</v>
      </c>
    </row>
    <row r="68" spans="1:5" x14ac:dyDescent="0.55000000000000004">
      <c r="A68" t="s">
        <v>74</v>
      </c>
      <c r="B68">
        <v>49</v>
      </c>
      <c r="C68">
        <v>648.5</v>
      </c>
      <c r="D68">
        <v>633</v>
      </c>
      <c r="E68">
        <v>14.53454</v>
      </c>
    </row>
    <row r="69" spans="1:5" x14ac:dyDescent="0.55000000000000004">
      <c r="A69" t="s">
        <v>75</v>
      </c>
      <c r="B69">
        <v>49</v>
      </c>
      <c r="C69">
        <v>657.5</v>
      </c>
      <c r="D69">
        <v>631.5</v>
      </c>
      <c r="E69">
        <v>5.1479200000000001</v>
      </c>
    </row>
    <row r="70" spans="1:5" x14ac:dyDescent="0.55000000000000004">
      <c r="A70" t="s">
        <v>76</v>
      </c>
      <c r="B70">
        <v>53</v>
      </c>
      <c r="C70">
        <v>634</v>
      </c>
      <c r="D70">
        <v>673</v>
      </c>
      <c r="E70">
        <v>10.19814</v>
      </c>
    </row>
    <row r="71" spans="1:5" x14ac:dyDescent="0.55000000000000004">
      <c r="A71" t="s">
        <v>77</v>
      </c>
      <c r="B71">
        <v>51</v>
      </c>
      <c r="C71">
        <v>639</v>
      </c>
      <c r="D71">
        <v>650.5</v>
      </c>
      <c r="E71">
        <v>3.3542000000000001</v>
      </c>
    </row>
    <row r="72" spans="1:5" x14ac:dyDescent="0.55000000000000004">
      <c r="A72" t="s">
        <v>78</v>
      </c>
      <c r="B72">
        <v>50</v>
      </c>
      <c r="C72">
        <v>622.5</v>
      </c>
      <c r="D72">
        <v>639</v>
      </c>
      <c r="E72">
        <v>14.53454</v>
      </c>
    </row>
    <row r="73" spans="1:5" x14ac:dyDescent="0.55000000000000004">
      <c r="A73" t="s">
        <v>79</v>
      </c>
      <c r="B73">
        <v>50</v>
      </c>
      <c r="C73">
        <v>638</v>
      </c>
      <c r="D73">
        <v>644.5</v>
      </c>
      <c r="E73">
        <v>14.08023</v>
      </c>
    </row>
    <row r="74" spans="1:5" x14ac:dyDescent="0.55000000000000004">
      <c r="A74" t="s">
        <v>80</v>
      </c>
      <c r="B74">
        <v>50</v>
      </c>
      <c r="C74">
        <v>664</v>
      </c>
      <c r="D74">
        <v>639</v>
      </c>
      <c r="E74">
        <v>15.0334</v>
      </c>
    </row>
    <row r="75" spans="1:5" x14ac:dyDescent="0.55000000000000004">
      <c r="A75" t="s">
        <v>81</v>
      </c>
      <c r="B75">
        <v>53</v>
      </c>
      <c r="C75">
        <v>623.5</v>
      </c>
      <c r="D75">
        <v>675</v>
      </c>
      <c r="E75">
        <v>12.659090000000001</v>
      </c>
    </row>
    <row r="76" spans="1:5" x14ac:dyDescent="0.55000000000000004">
      <c r="A76" t="s">
        <v>82</v>
      </c>
      <c r="B76">
        <v>53</v>
      </c>
      <c r="C76">
        <v>626</v>
      </c>
      <c r="D76">
        <v>674</v>
      </c>
      <c r="E76">
        <v>16.031320000000001</v>
      </c>
    </row>
    <row r="77" spans="1:5" x14ac:dyDescent="0.55000000000000004">
      <c r="A77" t="s">
        <v>83</v>
      </c>
      <c r="B77">
        <v>54</v>
      </c>
      <c r="C77">
        <v>634.5</v>
      </c>
      <c r="D77">
        <v>672.5</v>
      </c>
      <c r="E77">
        <v>15.572509999999999</v>
      </c>
    </row>
    <row r="78" spans="1:5" x14ac:dyDescent="0.55000000000000004">
      <c r="A78" t="s">
        <v>84</v>
      </c>
      <c r="B78">
        <v>51</v>
      </c>
      <c r="C78">
        <v>642</v>
      </c>
      <c r="D78">
        <v>639.5</v>
      </c>
      <c r="E78">
        <v>7.1590100000000003</v>
      </c>
    </row>
    <row r="79" spans="1:5" x14ac:dyDescent="0.55000000000000004">
      <c r="A79" t="s">
        <v>85</v>
      </c>
      <c r="B79">
        <v>51</v>
      </c>
      <c r="C79">
        <v>641</v>
      </c>
      <c r="D79">
        <v>639</v>
      </c>
      <c r="E79">
        <v>15.0334</v>
      </c>
    </row>
    <row r="80" spans="1:5" x14ac:dyDescent="0.55000000000000004">
      <c r="A80" t="s">
        <v>86</v>
      </c>
      <c r="B80">
        <v>50</v>
      </c>
      <c r="C80">
        <v>645</v>
      </c>
      <c r="D80">
        <v>632</v>
      </c>
      <c r="E80">
        <v>14.035769999999999</v>
      </c>
    </row>
    <row r="81" spans="1:5" x14ac:dyDescent="0.55000000000000004">
      <c r="A81" t="s">
        <v>87</v>
      </c>
      <c r="B81">
        <v>50</v>
      </c>
      <c r="C81">
        <v>662</v>
      </c>
      <c r="D81">
        <v>636</v>
      </c>
      <c r="E81">
        <v>15.0334</v>
      </c>
    </row>
    <row r="82" spans="1:5" x14ac:dyDescent="0.55000000000000004">
      <c r="A82" t="s">
        <v>88</v>
      </c>
      <c r="B82">
        <v>54</v>
      </c>
      <c r="C82">
        <v>610.5</v>
      </c>
      <c r="D82">
        <v>674</v>
      </c>
      <c r="E82">
        <v>16.530370000000001</v>
      </c>
    </row>
    <row r="83" spans="1:5" x14ac:dyDescent="0.55000000000000004">
      <c r="A83" t="s">
        <v>89</v>
      </c>
      <c r="B83">
        <v>50</v>
      </c>
      <c r="C83">
        <v>645.5</v>
      </c>
      <c r="D83">
        <v>631</v>
      </c>
      <c r="E83">
        <v>14.53454</v>
      </c>
    </row>
    <row r="84" spans="1:5" x14ac:dyDescent="0.55000000000000004">
      <c r="A84" t="s">
        <v>90</v>
      </c>
      <c r="B84">
        <v>51</v>
      </c>
      <c r="C84">
        <v>635</v>
      </c>
      <c r="D84">
        <v>644</v>
      </c>
      <c r="E84">
        <v>16.031320000000001</v>
      </c>
    </row>
    <row r="85" spans="1:5" x14ac:dyDescent="0.55000000000000004">
      <c r="A85" t="s">
        <v>91</v>
      </c>
      <c r="B85">
        <v>51</v>
      </c>
      <c r="C85">
        <v>647.5</v>
      </c>
      <c r="D85">
        <v>640</v>
      </c>
      <c r="E85">
        <v>14.53454</v>
      </c>
    </row>
    <row r="86" spans="1:5" x14ac:dyDescent="0.55000000000000004">
      <c r="A86" t="s">
        <v>92</v>
      </c>
      <c r="B86">
        <v>50</v>
      </c>
      <c r="C86">
        <v>643.5</v>
      </c>
      <c r="D86">
        <v>634.5</v>
      </c>
      <c r="E86">
        <v>14.57748</v>
      </c>
    </row>
    <row r="87" spans="1:5" x14ac:dyDescent="0.55000000000000004">
      <c r="A87" t="s">
        <v>93</v>
      </c>
      <c r="B87">
        <v>52</v>
      </c>
      <c r="C87">
        <v>625</v>
      </c>
      <c r="D87">
        <v>649.5</v>
      </c>
      <c r="E87">
        <v>2.5001000000000002</v>
      </c>
    </row>
    <row r="88" spans="1:5" x14ac:dyDescent="0.55000000000000004">
      <c r="A88" t="s">
        <v>94</v>
      </c>
      <c r="B88">
        <v>50</v>
      </c>
      <c r="C88">
        <v>653.5</v>
      </c>
      <c r="D88">
        <v>636</v>
      </c>
      <c r="E88">
        <v>14.53454</v>
      </c>
    </row>
    <row r="89" spans="1:5" x14ac:dyDescent="0.55000000000000004">
      <c r="A89" t="s">
        <v>95</v>
      </c>
      <c r="B89">
        <v>50</v>
      </c>
      <c r="C89">
        <v>634</v>
      </c>
      <c r="D89">
        <v>636</v>
      </c>
      <c r="E89">
        <v>15.0334</v>
      </c>
    </row>
    <row r="90" spans="1:5" x14ac:dyDescent="0.55000000000000004">
      <c r="A90" t="s">
        <v>40</v>
      </c>
      <c r="B90">
        <v>51</v>
      </c>
      <c r="C90">
        <v>655.5</v>
      </c>
      <c r="D90">
        <v>642</v>
      </c>
      <c r="E90">
        <v>14.53454</v>
      </c>
    </row>
    <row r="91" spans="1:5" x14ac:dyDescent="0.55000000000000004">
      <c r="A91" t="s">
        <v>96</v>
      </c>
      <c r="B91">
        <v>51</v>
      </c>
      <c r="C91">
        <v>665</v>
      </c>
      <c r="D91">
        <v>630.5</v>
      </c>
      <c r="E91">
        <v>14.08023</v>
      </c>
    </row>
    <row r="92" spans="1:5" x14ac:dyDescent="0.55000000000000004">
      <c r="A92" t="s">
        <v>97</v>
      </c>
      <c r="B92">
        <v>52</v>
      </c>
      <c r="C92">
        <v>664</v>
      </c>
      <c r="D92">
        <v>643.5</v>
      </c>
      <c r="E92">
        <v>5.2202500000000001</v>
      </c>
    </row>
    <row r="93" spans="1:5" x14ac:dyDescent="0.55000000000000004">
      <c r="A93" t="s">
        <v>98</v>
      </c>
      <c r="B93">
        <v>52</v>
      </c>
      <c r="C93">
        <v>631.5</v>
      </c>
      <c r="D93">
        <v>640.5</v>
      </c>
      <c r="E93">
        <v>14.57748</v>
      </c>
    </row>
    <row r="94" spans="1:5" x14ac:dyDescent="0.55000000000000004">
      <c r="A94" t="s">
        <v>99</v>
      </c>
      <c r="B94">
        <v>52</v>
      </c>
      <c r="C94">
        <v>664.90002000000004</v>
      </c>
      <c r="D94">
        <v>642.5</v>
      </c>
      <c r="E94">
        <v>10.210850000000001</v>
      </c>
    </row>
    <row r="95" spans="1:5" x14ac:dyDescent="0.55000000000000004">
      <c r="A95" t="s">
        <v>100</v>
      </c>
      <c r="B95">
        <v>52</v>
      </c>
      <c r="C95">
        <v>658.5</v>
      </c>
      <c r="D95">
        <v>642.5</v>
      </c>
      <c r="E95">
        <v>14.57748</v>
      </c>
    </row>
    <row r="96" spans="1:5" x14ac:dyDescent="0.55000000000000004">
      <c r="A96" t="s">
        <v>101</v>
      </c>
      <c r="B96">
        <v>55</v>
      </c>
      <c r="C96">
        <v>641.5</v>
      </c>
      <c r="D96">
        <v>673.5</v>
      </c>
      <c r="E96">
        <v>10.6067</v>
      </c>
    </row>
    <row r="97" spans="1:5" x14ac:dyDescent="0.55000000000000004">
      <c r="A97" t="s">
        <v>102</v>
      </c>
      <c r="B97">
        <v>51</v>
      </c>
      <c r="C97">
        <v>623.5</v>
      </c>
      <c r="D97">
        <v>635</v>
      </c>
      <c r="E97">
        <v>14.53454</v>
      </c>
    </row>
    <row r="98" spans="1:5" x14ac:dyDescent="0.55000000000000004">
      <c r="A98" t="s">
        <v>103</v>
      </c>
      <c r="B98">
        <v>51</v>
      </c>
      <c r="C98">
        <v>623</v>
      </c>
      <c r="D98">
        <v>632.5</v>
      </c>
      <c r="E98">
        <v>14.08023</v>
      </c>
    </row>
    <row r="99" spans="1:5" x14ac:dyDescent="0.55000000000000004">
      <c r="A99" t="s">
        <v>104</v>
      </c>
      <c r="B99">
        <v>55</v>
      </c>
      <c r="C99">
        <v>602</v>
      </c>
      <c r="D99">
        <v>674</v>
      </c>
      <c r="E99">
        <v>16.031320000000001</v>
      </c>
    </row>
    <row r="100" spans="1:5" x14ac:dyDescent="0.55000000000000004">
      <c r="A100" t="s">
        <v>105</v>
      </c>
      <c r="B100">
        <v>54</v>
      </c>
      <c r="C100">
        <v>632</v>
      </c>
      <c r="D100">
        <v>670</v>
      </c>
      <c r="E100">
        <v>16.031320000000001</v>
      </c>
    </row>
    <row r="101" spans="1:5" x14ac:dyDescent="0.55000000000000004">
      <c r="A101" t="s">
        <v>106</v>
      </c>
      <c r="B101">
        <v>51</v>
      </c>
      <c r="C101">
        <v>643</v>
      </c>
      <c r="D101">
        <v>633</v>
      </c>
      <c r="E101">
        <v>14.035769999999999</v>
      </c>
    </row>
    <row r="102" spans="1:5" x14ac:dyDescent="0.55000000000000004">
      <c r="A102" t="s">
        <v>107</v>
      </c>
      <c r="B102">
        <v>54</v>
      </c>
      <c r="C102">
        <v>607.38232000000005</v>
      </c>
      <c r="D102">
        <v>669.5</v>
      </c>
      <c r="E102">
        <v>8.7473500000000008</v>
      </c>
    </row>
    <row r="103" spans="1:5" x14ac:dyDescent="0.55000000000000004">
      <c r="A103" t="s">
        <v>117</v>
      </c>
      <c r="B103">
        <v>55</v>
      </c>
      <c r="C103">
        <v>623</v>
      </c>
      <c r="D103">
        <v>672.5</v>
      </c>
      <c r="E103">
        <v>16.070260000000001</v>
      </c>
    </row>
    <row r="104" spans="1:5" x14ac:dyDescent="0.55000000000000004">
      <c r="A104" t="s">
        <v>108</v>
      </c>
      <c r="B104">
        <v>52</v>
      </c>
      <c r="C104">
        <v>637</v>
      </c>
      <c r="D104">
        <v>637.5</v>
      </c>
      <c r="E104">
        <v>11.101900000000001</v>
      </c>
    </row>
    <row r="105" spans="1:5" x14ac:dyDescent="0.55000000000000004">
      <c r="A105" t="s">
        <v>339</v>
      </c>
      <c r="B105">
        <v>48</v>
      </c>
      <c r="C105">
        <v>588.5</v>
      </c>
      <c r="D105">
        <v>682.5</v>
      </c>
      <c r="E105">
        <v>16.56814</v>
      </c>
    </row>
    <row r="106" spans="1:5" x14ac:dyDescent="0.55000000000000004">
      <c r="A106" t="s">
        <v>340</v>
      </c>
      <c r="B106">
        <v>45</v>
      </c>
      <c r="C106">
        <v>634.5</v>
      </c>
      <c r="D106">
        <v>643</v>
      </c>
      <c r="E106">
        <v>11.5435</v>
      </c>
    </row>
    <row r="107" spans="1:5" x14ac:dyDescent="0.55000000000000004">
      <c r="A107" t="s">
        <v>341</v>
      </c>
      <c r="B107">
        <v>46</v>
      </c>
      <c r="C107">
        <v>641.5</v>
      </c>
      <c r="D107">
        <v>650.5</v>
      </c>
      <c r="E107">
        <v>2.9155799999999998</v>
      </c>
    </row>
    <row r="108" spans="1:5" x14ac:dyDescent="0.55000000000000004">
      <c r="A108" t="s">
        <v>342</v>
      </c>
      <c r="B108">
        <v>48</v>
      </c>
      <c r="C108">
        <v>610.5</v>
      </c>
      <c r="D108">
        <v>683</v>
      </c>
      <c r="E108">
        <v>16.530370000000001</v>
      </c>
    </row>
    <row r="109" spans="1:5" x14ac:dyDescent="0.55000000000000004">
      <c r="A109" t="s">
        <v>343</v>
      </c>
      <c r="B109">
        <v>44</v>
      </c>
      <c r="C109">
        <v>634.5</v>
      </c>
      <c r="D109">
        <v>631</v>
      </c>
      <c r="E109">
        <v>9.7083399999999997</v>
      </c>
    </row>
    <row r="110" spans="1:5" x14ac:dyDescent="0.55000000000000004">
      <c r="A110" t="s">
        <v>344</v>
      </c>
      <c r="B110">
        <v>48</v>
      </c>
      <c r="C110">
        <v>582</v>
      </c>
      <c r="D110">
        <v>681.5</v>
      </c>
      <c r="E110">
        <v>16.070260000000001</v>
      </c>
    </row>
    <row r="111" spans="1:5" x14ac:dyDescent="0.55000000000000004">
      <c r="A111" t="s">
        <v>345</v>
      </c>
      <c r="B111">
        <v>45</v>
      </c>
      <c r="C111">
        <v>624</v>
      </c>
      <c r="D111">
        <v>639</v>
      </c>
      <c r="E111">
        <v>9.2196400000000001</v>
      </c>
    </row>
    <row r="112" spans="1:5" x14ac:dyDescent="0.55000000000000004">
      <c r="A112" t="s">
        <v>346</v>
      </c>
      <c r="B112">
        <v>48</v>
      </c>
      <c r="C112">
        <v>619</v>
      </c>
      <c r="D112">
        <v>681.5</v>
      </c>
      <c r="E112">
        <v>16.070260000000001</v>
      </c>
    </row>
    <row r="113" spans="1:5" x14ac:dyDescent="0.55000000000000004">
      <c r="A113" t="s">
        <v>347</v>
      </c>
      <c r="B113">
        <v>46</v>
      </c>
      <c r="C113">
        <v>635.5</v>
      </c>
      <c r="D113">
        <v>651</v>
      </c>
      <c r="E113">
        <v>9.5525900000000004</v>
      </c>
    </row>
    <row r="114" spans="1:5" x14ac:dyDescent="0.55000000000000004">
      <c r="A114" t="s">
        <v>348</v>
      </c>
      <c r="B114">
        <v>45</v>
      </c>
      <c r="C114">
        <v>678</v>
      </c>
      <c r="D114">
        <v>634.5</v>
      </c>
      <c r="E114">
        <v>2.5001000000000002</v>
      </c>
    </row>
    <row r="115" spans="1:5" x14ac:dyDescent="0.55000000000000004">
      <c r="A115" t="s">
        <v>349</v>
      </c>
      <c r="B115">
        <v>46</v>
      </c>
      <c r="C115">
        <v>624.5</v>
      </c>
      <c r="D115">
        <v>647</v>
      </c>
      <c r="E115">
        <v>5.5902700000000003</v>
      </c>
    </row>
    <row r="116" spans="1:5" x14ac:dyDescent="0.55000000000000004">
      <c r="A116" t="s">
        <v>350</v>
      </c>
      <c r="B116">
        <v>49</v>
      </c>
      <c r="C116">
        <v>636</v>
      </c>
      <c r="D116">
        <v>683</v>
      </c>
      <c r="E116">
        <v>17.029489999999999</v>
      </c>
    </row>
    <row r="117" spans="1:5" x14ac:dyDescent="0.55000000000000004">
      <c r="A117" t="s">
        <v>351</v>
      </c>
      <c r="B117">
        <v>45</v>
      </c>
      <c r="C117">
        <v>644</v>
      </c>
      <c r="D117">
        <v>633.5</v>
      </c>
      <c r="E117">
        <v>14.08023</v>
      </c>
    </row>
    <row r="118" spans="1:5" x14ac:dyDescent="0.55000000000000004">
      <c r="A118" t="s">
        <v>352</v>
      </c>
      <c r="B118">
        <v>45</v>
      </c>
      <c r="C118">
        <v>634.5</v>
      </c>
      <c r="D118">
        <v>632</v>
      </c>
      <c r="E118">
        <v>14.53454</v>
      </c>
    </row>
    <row r="119" spans="1:5" x14ac:dyDescent="0.55000000000000004">
      <c r="A119" t="s">
        <v>353</v>
      </c>
      <c r="B119">
        <v>48</v>
      </c>
      <c r="C119">
        <v>635.5</v>
      </c>
      <c r="D119">
        <v>674.5</v>
      </c>
      <c r="E119">
        <v>5.7009800000000004</v>
      </c>
    </row>
    <row r="120" spans="1:5" x14ac:dyDescent="0.55000000000000004">
      <c r="A120" t="s">
        <v>354</v>
      </c>
      <c r="B120">
        <v>45</v>
      </c>
      <c r="C120">
        <v>631.5</v>
      </c>
      <c r="D120">
        <v>635</v>
      </c>
      <c r="E120">
        <v>10.688879999999999</v>
      </c>
    </row>
    <row r="121" spans="1:5" x14ac:dyDescent="0.55000000000000004">
      <c r="A121" t="s">
        <v>355</v>
      </c>
      <c r="B121">
        <v>45</v>
      </c>
      <c r="C121">
        <v>650.5</v>
      </c>
      <c r="D121">
        <v>632</v>
      </c>
      <c r="E121">
        <v>9.7083399999999997</v>
      </c>
    </row>
    <row r="122" spans="1:5" x14ac:dyDescent="0.55000000000000004">
      <c r="A122" t="s">
        <v>356</v>
      </c>
      <c r="B122">
        <v>45</v>
      </c>
      <c r="C122">
        <v>644.5</v>
      </c>
      <c r="D122">
        <v>634</v>
      </c>
      <c r="E122">
        <v>14.53454</v>
      </c>
    </row>
    <row r="123" spans="1:5" x14ac:dyDescent="0.55000000000000004">
      <c r="A123" t="s">
        <v>357</v>
      </c>
      <c r="B123">
        <v>46</v>
      </c>
      <c r="C123">
        <v>641</v>
      </c>
      <c r="D123">
        <v>642</v>
      </c>
      <c r="E123">
        <v>15.0334</v>
      </c>
    </row>
    <row r="124" spans="1:5" x14ac:dyDescent="0.55000000000000004">
      <c r="A124" t="s">
        <v>358</v>
      </c>
      <c r="B124">
        <v>46</v>
      </c>
      <c r="C124">
        <v>630.28570999999999</v>
      </c>
      <c r="D124">
        <v>643</v>
      </c>
      <c r="E124">
        <v>3.8466499999999999</v>
      </c>
    </row>
    <row r="125" spans="1:5" x14ac:dyDescent="0.55000000000000004">
      <c r="A125" t="s">
        <v>359</v>
      </c>
      <c r="B125">
        <v>46</v>
      </c>
      <c r="C125">
        <v>631.5</v>
      </c>
      <c r="D125">
        <v>633</v>
      </c>
      <c r="E125">
        <v>14.53454</v>
      </c>
    </row>
    <row r="126" spans="1:5" x14ac:dyDescent="0.55000000000000004">
      <c r="A126" t="s">
        <v>360</v>
      </c>
      <c r="B126">
        <v>47</v>
      </c>
      <c r="C126">
        <v>629.5</v>
      </c>
      <c r="D126">
        <v>647</v>
      </c>
      <c r="E126">
        <v>4.0312299999999999</v>
      </c>
    </row>
    <row r="127" spans="1:5" x14ac:dyDescent="0.55000000000000004">
      <c r="A127" t="s">
        <v>361</v>
      </c>
      <c r="B127">
        <v>46</v>
      </c>
      <c r="C127">
        <v>648.5</v>
      </c>
      <c r="D127">
        <v>639</v>
      </c>
      <c r="E127">
        <v>5.8524500000000002</v>
      </c>
    </row>
    <row r="128" spans="1:5" x14ac:dyDescent="0.55000000000000004">
      <c r="A128" t="s">
        <v>362</v>
      </c>
      <c r="B128">
        <v>49</v>
      </c>
      <c r="C128">
        <v>635.5</v>
      </c>
      <c r="D128">
        <v>678</v>
      </c>
      <c r="E128">
        <v>8.7322199999999999</v>
      </c>
    </row>
    <row r="129" spans="1:5" x14ac:dyDescent="0.55000000000000004">
      <c r="A129" t="s">
        <v>363</v>
      </c>
      <c r="B129">
        <v>47</v>
      </c>
      <c r="C129">
        <v>619</v>
      </c>
      <c r="D129">
        <v>644</v>
      </c>
      <c r="E129">
        <v>15.0334</v>
      </c>
    </row>
    <row r="130" spans="1:5" x14ac:dyDescent="0.55000000000000004">
      <c r="A130" t="s">
        <v>364</v>
      </c>
      <c r="B130">
        <v>49</v>
      </c>
      <c r="C130">
        <v>631</v>
      </c>
      <c r="D130">
        <v>675.5</v>
      </c>
      <c r="E130">
        <v>16.070260000000001</v>
      </c>
    </row>
    <row r="131" spans="1:5" x14ac:dyDescent="0.55000000000000004">
      <c r="A131" t="s">
        <v>365</v>
      </c>
      <c r="B131">
        <v>49</v>
      </c>
      <c r="C131">
        <v>627</v>
      </c>
      <c r="D131">
        <v>676</v>
      </c>
      <c r="E131">
        <v>13.15305</v>
      </c>
    </row>
    <row r="132" spans="1:5" x14ac:dyDescent="0.55000000000000004">
      <c r="A132" t="s">
        <v>366</v>
      </c>
      <c r="B132">
        <v>46</v>
      </c>
      <c r="C132">
        <v>635.5</v>
      </c>
      <c r="D132">
        <v>632</v>
      </c>
      <c r="E132">
        <v>14.53454</v>
      </c>
    </row>
    <row r="133" spans="1:5" x14ac:dyDescent="0.55000000000000004">
      <c r="A133" t="s">
        <v>367</v>
      </c>
      <c r="B133">
        <v>49</v>
      </c>
      <c r="C133">
        <v>612.5</v>
      </c>
      <c r="D133">
        <v>677</v>
      </c>
      <c r="E133">
        <v>16.530370000000001</v>
      </c>
    </row>
    <row r="134" spans="1:5" x14ac:dyDescent="0.55000000000000004">
      <c r="A134" t="s">
        <v>368</v>
      </c>
      <c r="B134">
        <v>46</v>
      </c>
      <c r="C134">
        <v>650</v>
      </c>
      <c r="D134">
        <v>636</v>
      </c>
      <c r="E134">
        <v>11.04546</v>
      </c>
    </row>
    <row r="135" spans="1:5" x14ac:dyDescent="0.55000000000000004">
      <c r="A135" t="s">
        <v>369</v>
      </c>
      <c r="B135">
        <v>47</v>
      </c>
      <c r="C135">
        <v>642</v>
      </c>
      <c r="D135">
        <v>636</v>
      </c>
      <c r="E135">
        <v>15.0334</v>
      </c>
    </row>
    <row r="136" spans="1:5" x14ac:dyDescent="0.55000000000000004">
      <c r="A136" t="s">
        <v>370</v>
      </c>
      <c r="B136">
        <v>47</v>
      </c>
      <c r="C136">
        <v>628.60528999999997</v>
      </c>
      <c r="D136">
        <v>636.5</v>
      </c>
      <c r="E136">
        <v>9.7217599999999997</v>
      </c>
    </row>
    <row r="137" spans="1:5" x14ac:dyDescent="0.55000000000000004">
      <c r="A137" t="s">
        <v>371</v>
      </c>
      <c r="B137">
        <v>46</v>
      </c>
      <c r="C137">
        <v>641.5</v>
      </c>
      <c r="D137">
        <v>631</v>
      </c>
      <c r="E137">
        <v>10.688879999999999</v>
      </c>
    </row>
    <row r="138" spans="1:5" x14ac:dyDescent="0.55000000000000004">
      <c r="A138" t="s">
        <v>372</v>
      </c>
      <c r="B138">
        <v>47</v>
      </c>
      <c r="C138">
        <v>655</v>
      </c>
      <c r="D138">
        <v>641</v>
      </c>
      <c r="E138">
        <v>15.0334</v>
      </c>
    </row>
    <row r="139" spans="1:5" x14ac:dyDescent="0.55000000000000004">
      <c r="A139" t="s">
        <v>373</v>
      </c>
      <c r="B139">
        <v>46</v>
      </c>
      <c r="C139">
        <v>651.5</v>
      </c>
      <c r="D139">
        <v>632</v>
      </c>
      <c r="E139">
        <v>14.53454</v>
      </c>
    </row>
    <row r="140" spans="1:5" x14ac:dyDescent="0.55000000000000004">
      <c r="A140" t="s">
        <v>374</v>
      </c>
      <c r="B140">
        <v>47</v>
      </c>
      <c r="C140">
        <v>642</v>
      </c>
      <c r="D140">
        <v>642</v>
      </c>
      <c r="E140">
        <v>5.0991200000000001</v>
      </c>
    </row>
    <row r="141" spans="1:5" x14ac:dyDescent="0.55000000000000004">
      <c r="A141" t="s">
        <v>375</v>
      </c>
      <c r="B141">
        <v>47</v>
      </c>
      <c r="C141">
        <v>623.5</v>
      </c>
      <c r="D141">
        <v>642.5</v>
      </c>
      <c r="E141">
        <v>14.57748</v>
      </c>
    </row>
    <row r="142" spans="1:5" x14ac:dyDescent="0.55000000000000004">
      <c r="A142" t="s">
        <v>376</v>
      </c>
      <c r="B142">
        <v>47</v>
      </c>
      <c r="C142">
        <v>623</v>
      </c>
      <c r="D142">
        <v>635</v>
      </c>
      <c r="E142">
        <v>8.06236</v>
      </c>
    </row>
    <row r="143" spans="1:5" x14ac:dyDescent="0.55000000000000004">
      <c r="A143" t="s">
        <v>377</v>
      </c>
      <c r="B143">
        <v>47</v>
      </c>
      <c r="C143">
        <v>646.5</v>
      </c>
      <c r="D143">
        <v>636</v>
      </c>
      <c r="E143">
        <v>14.53454</v>
      </c>
    </row>
    <row r="144" spans="1:5" x14ac:dyDescent="0.55000000000000004">
      <c r="A144" t="s">
        <v>378</v>
      </c>
      <c r="B144">
        <v>47</v>
      </c>
      <c r="C144">
        <v>621</v>
      </c>
      <c r="D144">
        <v>642</v>
      </c>
      <c r="E144">
        <v>15.0334</v>
      </c>
    </row>
    <row r="145" spans="1:5" x14ac:dyDescent="0.55000000000000004">
      <c r="A145" t="s">
        <v>379</v>
      </c>
      <c r="B145">
        <v>47</v>
      </c>
      <c r="C145">
        <v>630</v>
      </c>
      <c r="D145">
        <v>642</v>
      </c>
      <c r="E145">
        <v>6.0828600000000002</v>
      </c>
    </row>
    <row r="146" spans="1:5" x14ac:dyDescent="0.55000000000000004">
      <c r="A146" t="s">
        <v>380</v>
      </c>
      <c r="B146" t="s">
        <v>187</v>
      </c>
      <c r="C146" t="s">
        <v>187</v>
      </c>
      <c r="D146" t="s">
        <v>187</v>
      </c>
      <c r="E146" t="s">
        <v>187</v>
      </c>
    </row>
    <row r="147" spans="1:5" x14ac:dyDescent="0.55000000000000004">
      <c r="A147" t="s">
        <v>381</v>
      </c>
      <c r="B147">
        <v>49</v>
      </c>
      <c r="C147">
        <v>631.5</v>
      </c>
      <c r="D147">
        <v>652</v>
      </c>
      <c r="E147">
        <v>2.6926800000000002</v>
      </c>
    </row>
    <row r="148" spans="1:5" x14ac:dyDescent="0.55000000000000004">
      <c r="A148" t="s">
        <v>382</v>
      </c>
      <c r="B148">
        <v>47</v>
      </c>
      <c r="C148">
        <v>674</v>
      </c>
      <c r="D148">
        <v>635.5</v>
      </c>
      <c r="E148">
        <v>3.3542000000000001</v>
      </c>
    </row>
    <row r="149" spans="1:5" x14ac:dyDescent="0.55000000000000004">
      <c r="A149" t="s">
        <v>383</v>
      </c>
      <c r="B149">
        <v>47</v>
      </c>
      <c r="C149">
        <v>619</v>
      </c>
      <c r="D149">
        <v>630.5</v>
      </c>
      <c r="E149">
        <v>8.1395099999999996</v>
      </c>
    </row>
    <row r="150" spans="1:5" x14ac:dyDescent="0.55000000000000004">
      <c r="A150" t="s">
        <v>384</v>
      </c>
      <c r="B150">
        <v>47</v>
      </c>
      <c r="C150">
        <v>631</v>
      </c>
      <c r="D150">
        <v>633.5</v>
      </c>
      <c r="E150">
        <v>14.08023</v>
      </c>
    </row>
    <row r="151" spans="1:5" x14ac:dyDescent="0.55000000000000004">
      <c r="A151" t="s">
        <v>385</v>
      </c>
      <c r="B151">
        <v>47</v>
      </c>
      <c r="C151">
        <v>654</v>
      </c>
      <c r="D151">
        <v>634</v>
      </c>
      <c r="E151">
        <v>14.035769999999999</v>
      </c>
    </row>
    <row r="152" spans="1:5" x14ac:dyDescent="0.55000000000000004">
      <c r="A152" t="s">
        <v>386</v>
      </c>
      <c r="B152">
        <v>47</v>
      </c>
      <c r="C152">
        <v>645.5</v>
      </c>
      <c r="D152">
        <v>630</v>
      </c>
      <c r="E152">
        <v>14.53454</v>
      </c>
    </row>
    <row r="153" spans="1:5" x14ac:dyDescent="0.55000000000000004">
      <c r="A153" t="s">
        <v>387</v>
      </c>
      <c r="B153">
        <v>47</v>
      </c>
      <c r="C153">
        <v>626</v>
      </c>
      <c r="D153">
        <v>634</v>
      </c>
      <c r="E153">
        <v>14.035769999999999</v>
      </c>
    </row>
    <row r="154" spans="1:5" x14ac:dyDescent="0.55000000000000004">
      <c r="A154" t="s">
        <v>388</v>
      </c>
      <c r="B154">
        <v>47</v>
      </c>
      <c r="C154">
        <v>657</v>
      </c>
      <c r="D154">
        <v>634</v>
      </c>
      <c r="E154">
        <v>5.0991200000000001</v>
      </c>
    </row>
    <row r="155" spans="1:5" x14ac:dyDescent="0.55000000000000004">
      <c r="A155" t="s">
        <v>389</v>
      </c>
      <c r="B155">
        <v>50</v>
      </c>
      <c r="C155">
        <v>623</v>
      </c>
      <c r="D155">
        <v>672.5</v>
      </c>
      <c r="E155">
        <v>16.070260000000001</v>
      </c>
    </row>
    <row r="156" spans="1:5" x14ac:dyDescent="0.55000000000000004">
      <c r="A156" t="s">
        <v>390</v>
      </c>
      <c r="B156">
        <v>48</v>
      </c>
      <c r="C156">
        <v>666.5</v>
      </c>
      <c r="D156">
        <v>647.5</v>
      </c>
      <c r="E156">
        <v>2.9155799999999998</v>
      </c>
    </row>
    <row r="157" spans="1:5" x14ac:dyDescent="0.55000000000000004">
      <c r="A157" t="s">
        <v>391</v>
      </c>
      <c r="B157">
        <v>48</v>
      </c>
      <c r="C157">
        <v>647.5</v>
      </c>
      <c r="D157">
        <v>642.5</v>
      </c>
      <c r="E157">
        <v>6.6709300000000002</v>
      </c>
    </row>
    <row r="158" spans="1:5" x14ac:dyDescent="0.55000000000000004">
      <c r="A158" t="s">
        <v>392</v>
      </c>
      <c r="B158">
        <v>48</v>
      </c>
      <c r="C158">
        <v>651.5</v>
      </c>
      <c r="D158">
        <v>641.5</v>
      </c>
      <c r="E158">
        <v>2.9155799999999998</v>
      </c>
    </row>
    <row r="159" spans="1:5" x14ac:dyDescent="0.55000000000000004">
      <c r="A159" t="s">
        <v>393</v>
      </c>
      <c r="B159">
        <v>48</v>
      </c>
      <c r="C159">
        <v>647</v>
      </c>
      <c r="D159">
        <v>633.5</v>
      </c>
      <c r="E159">
        <v>14.08023</v>
      </c>
    </row>
    <row r="160" spans="1:5" x14ac:dyDescent="0.55000000000000004">
      <c r="A160" t="s">
        <v>394</v>
      </c>
      <c r="B160">
        <v>48</v>
      </c>
      <c r="C160">
        <v>629.5</v>
      </c>
      <c r="D160">
        <v>635.5</v>
      </c>
      <c r="E160">
        <v>6.6709300000000002</v>
      </c>
    </row>
    <row r="161" spans="1:5" x14ac:dyDescent="0.55000000000000004">
      <c r="A161" t="s">
        <v>395</v>
      </c>
      <c r="B161">
        <v>48</v>
      </c>
      <c r="C161">
        <v>655</v>
      </c>
      <c r="D161">
        <v>631.5</v>
      </c>
      <c r="E161">
        <v>4.7170899999999998</v>
      </c>
    </row>
    <row r="162" spans="1:5" x14ac:dyDescent="0.55000000000000004">
      <c r="A162" t="s">
        <v>396</v>
      </c>
      <c r="B162">
        <v>48</v>
      </c>
      <c r="C162">
        <v>633.5</v>
      </c>
      <c r="D162">
        <v>631</v>
      </c>
      <c r="E162">
        <v>14.53454</v>
      </c>
    </row>
    <row r="163" spans="1:5" x14ac:dyDescent="0.55000000000000004">
      <c r="A163" t="s">
        <v>397</v>
      </c>
      <c r="B163">
        <v>51</v>
      </c>
      <c r="C163">
        <v>615.5</v>
      </c>
      <c r="D163">
        <v>672</v>
      </c>
      <c r="E163">
        <v>16.530370000000001</v>
      </c>
    </row>
    <row r="164" spans="1:5" x14ac:dyDescent="0.55000000000000004">
      <c r="A164" t="s">
        <v>398</v>
      </c>
      <c r="B164">
        <v>48</v>
      </c>
      <c r="C164">
        <v>637.5</v>
      </c>
      <c r="D164">
        <v>638.5</v>
      </c>
      <c r="E164">
        <v>14.57748</v>
      </c>
    </row>
    <row r="165" spans="1:5" x14ac:dyDescent="0.55000000000000004">
      <c r="A165" t="s">
        <v>399</v>
      </c>
      <c r="B165">
        <v>49</v>
      </c>
      <c r="C165">
        <v>631.5</v>
      </c>
      <c r="D165">
        <v>644.5</v>
      </c>
      <c r="E165">
        <v>14.57748</v>
      </c>
    </row>
    <row r="166" spans="1:5" x14ac:dyDescent="0.55000000000000004">
      <c r="A166" t="s">
        <v>400</v>
      </c>
      <c r="B166">
        <v>49</v>
      </c>
      <c r="C166">
        <v>625</v>
      </c>
      <c r="D166">
        <v>644.5</v>
      </c>
      <c r="E166">
        <v>14.08023</v>
      </c>
    </row>
    <row r="167" spans="1:5" x14ac:dyDescent="0.55000000000000004">
      <c r="A167" t="s">
        <v>401</v>
      </c>
      <c r="B167">
        <v>49</v>
      </c>
      <c r="C167">
        <v>646</v>
      </c>
      <c r="D167">
        <v>644.5</v>
      </c>
      <c r="E167">
        <v>15.074909999999999</v>
      </c>
    </row>
    <row r="168" spans="1:5" x14ac:dyDescent="0.55000000000000004">
      <c r="A168" t="s">
        <v>402</v>
      </c>
      <c r="B168">
        <v>49</v>
      </c>
      <c r="C168">
        <v>615</v>
      </c>
      <c r="D168">
        <v>646.5</v>
      </c>
      <c r="E168">
        <v>3.3542000000000001</v>
      </c>
    </row>
    <row r="169" spans="1:5" x14ac:dyDescent="0.55000000000000004">
      <c r="A169" t="s">
        <v>403</v>
      </c>
      <c r="B169">
        <v>49</v>
      </c>
      <c r="C169">
        <v>658</v>
      </c>
      <c r="D169">
        <v>644</v>
      </c>
      <c r="E169">
        <v>15.0334</v>
      </c>
    </row>
    <row r="170" spans="1:5" x14ac:dyDescent="0.55000000000000004">
      <c r="A170" t="s">
        <v>404</v>
      </c>
      <c r="B170">
        <v>48</v>
      </c>
      <c r="C170">
        <v>657</v>
      </c>
      <c r="D170">
        <v>632.5</v>
      </c>
      <c r="E170">
        <v>2.5001000000000002</v>
      </c>
    </row>
    <row r="171" spans="1:5" x14ac:dyDescent="0.55000000000000004">
      <c r="A171" t="s">
        <v>405</v>
      </c>
      <c r="B171">
        <v>48</v>
      </c>
      <c r="C171">
        <v>646.5</v>
      </c>
      <c r="D171">
        <v>634</v>
      </c>
      <c r="E171">
        <v>14.53454</v>
      </c>
    </row>
    <row r="172" spans="1:5" x14ac:dyDescent="0.55000000000000004">
      <c r="A172" t="s">
        <v>406</v>
      </c>
      <c r="B172">
        <v>53</v>
      </c>
      <c r="C172">
        <v>637.5</v>
      </c>
      <c r="D172">
        <v>630.5</v>
      </c>
      <c r="E172">
        <v>14.57748</v>
      </c>
    </row>
    <row r="173" spans="1:5" x14ac:dyDescent="0.55000000000000004">
      <c r="A173" t="s">
        <v>407</v>
      </c>
      <c r="B173">
        <v>54</v>
      </c>
      <c r="C173">
        <v>654</v>
      </c>
      <c r="D173">
        <v>639.5</v>
      </c>
      <c r="E173">
        <v>14.08023</v>
      </c>
    </row>
    <row r="174" spans="1:5" x14ac:dyDescent="0.55000000000000004">
      <c r="A174" t="s">
        <v>408</v>
      </c>
      <c r="B174">
        <v>55</v>
      </c>
      <c r="C174">
        <v>635.5</v>
      </c>
      <c r="D174">
        <v>646</v>
      </c>
      <c r="E174">
        <v>8.5587199999999992</v>
      </c>
    </row>
    <row r="175" spans="1:5" x14ac:dyDescent="0.55000000000000004">
      <c r="A175" t="s">
        <v>409</v>
      </c>
      <c r="B175">
        <v>53</v>
      </c>
      <c r="C175">
        <v>648</v>
      </c>
      <c r="D175">
        <v>632.5</v>
      </c>
      <c r="E175">
        <v>2.5001000000000002</v>
      </c>
    </row>
    <row r="176" spans="1:5" x14ac:dyDescent="0.55000000000000004">
      <c r="A176" t="s">
        <v>410</v>
      </c>
      <c r="B176">
        <v>55</v>
      </c>
      <c r="C176">
        <v>640.5</v>
      </c>
      <c r="D176">
        <v>647</v>
      </c>
      <c r="E176">
        <v>7.7621900000000004</v>
      </c>
    </row>
    <row r="177" spans="1:5" x14ac:dyDescent="0.55000000000000004">
      <c r="A177" t="s">
        <v>411</v>
      </c>
      <c r="B177">
        <v>54</v>
      </c>
      <c r="C177">
        <v>654</v>
      </c>
      <c r="D177">
        <v>638</v>
      </c>
      <c r="E177">
        <v>8.2463099999999994</v>
      </c>
    </row>
    <row r="178" spans="1:5" x14ac:dyDescent="0.55000000000000004">
      <c r="A178" t="s">
        <v>412</v>
      </c>
      <c r="B178">
        <v>54</v>
      </c>
      <c r="C178">
        <v>649.5</v>
      </c>
      <c r="D178">
        <v>638.5</v>
      </c>
      <c r="E178">
        <v>14.57748</v>
      </c>
    </row>
    <row r="179" spans="1:5" x14ac:dyDescent="0.55000000000000004">
      <c r="A179" t="s">
        <v>413</v>
      </c>
      <c r="B179">
        <v>55</v>
      </c>
      <c r="C179">
        <v>617.5</v>
      </c>
      <c r="D179">
        <v>647.5</v>
      </c>
      <c r="E179">
        <v>2.9155799999999998</v>
      </c>
    </row>
    <row r="180" spans="1:5" x14ac:dyDescent="0.55000000000000004">
      <c r="A180" t="s">
        <v>414</v>
      </c>
      <c r="B180">
        <v>53</v>
      </c>
      <c r="C180">
        <v>641</v>
      </c>
      <c r="D180">
        <v>630</v>
      </c>
      <c r="E180">
        <v>15.0334</v>
      </c>
    </row>
    <row r="181" spans="1:5" x14ac:dyDescent="0.55000000000000004">
      <c r="A181" t="s">
        <v>415</v>
      </c>
      <c r="B181">
        <v>53</v>
      </c>
      <c r="C181">
        <v>657.5</v>
      </c>
      <c r="D181">
        <v>633</v>
      </c>
      <c r="E181">
        <v>14.53454</v>
      </c>
    </row>
    <row r="182" spans="1:5" x14ac:dyDescent="0.55000000000000004">
      <c r="A182" t="s">
        <v>416</v>
      </c>
      <c r="B182">
        <v>56</v>
      </c>
      <c r="C182">
        <v>635</v>
      </c>
      <c r="D182">
        <v>645</v>
      </c>
      <c r="E182">
        <v>14.035769999999999</v>
      </c>
    </row>
    <row r="183" spans="1:5" x14ac:dyDescent="0.55000000000000004">
      <c r="A183" t="s">
        <v>417</v>
      </c>
      <c r="B183">
        <v>55</v>
      </c>
      <c r="C183">
        <v>641</v>
      </c>
      <c r="D183">
        <v>635.5</v>
      </c>
      <c r="E183">
        <v>15.074909999999999</v>
      </c>
    </row>
    <row r="184" spans="1:5" x14ac:dyDescent="0.55000000000000004">
      <c r="A184" t="s">
        <v>418</v>
      </c>
      <c r="B184">
        <v>55</v>
      </c>
      <c r="C184">
        <v>647</v>
      </c>
      <c r="D184">
        <v>642</v>
      </c>
      <c r="E184">
        <v>15.0334</v>
      </c>
    </row>
    <row r="185" spans="1:5" x14ac:dyDescent="0.55000000000000004">
      <c r="A185" t="s">
        <v>419</v>
      </c>
      <c r="B185">
        <v>54</v>
      </c>
      <c r="C185">
        <v>642</v>
      </c>
      <c r="D185">
        <v>632.5</v>
      </c>
      <c r="E185">
        <v>14.08023</v>
      </c>
    </row>
    <row r="186" spans="1:5" x14ac:dyDescent="0.55000000000000004">
      <c r="A186" t="s">
        <v>420</v>
      </c>
      <c r="B186">
        <v>56</v>
      </c>
      <c r="C186">
        <v>631.5</v>
      </c>
      <c r="D186">
        <v>647</v>
      </c>
      <c r="E186">
        <v>4.9245299999999999</v>
      </c>
    </row>
    <row r="187" spans="1:5" x14ac:dyDescent="0.55000000000000004">
      <c r="A187" t="s">
        <v>421</v>
      </c>
      <c r="B187">
        <v>56</v>
      </c>
      <c r="C187">
        <v>620.5</v>
      </c>
      <c r="D187">
        <v>645</v>
      </c>
      <c r="E187">
        <v>13.537089999999999</v>
      </c>
    </row>
    <row r="188" spans="1:5" x14ac:dyDescent="0.55000000000000004">
      <c r="A188" t="s">
        <v>422</v>
      </c>
      <c r="B188">
        <v>54</v>
      </c>
      <c r="C188">
        <v>625</v>
      </c>
      <c r="D188">
        <v>632</v>
      </c>
      <c r="E188">
        <v>14.035769999999999</v>
      </c>
    </row>
    <row r="189" spans="1:5" x14ac:dyDescent="0.55000000000000004">
      <c r="A189" t="s">
        <v>423</v>
      </c>
      <c r="B189">
        <v>55</v>
      </c>
      <c r="C189">
        <v>640.5</v>
      </c>
      <c r="D189">
        <v>635.5</v>
      </c>
      <c r="E189">
        <v>14.57748</v>
      </c>
    </row>
    <row r="190" spans="1:5" x14ac:dyDescent="0.55000000000000004">
      <c r="A190" t="s">
        <v>424</v>
      </c>
      <c r="B190">
        <v>58</v>
      </c>
      <c r="C190">
        <v>637.5</v>
      </c>
      <c r="D190">
        <v>671</v>
      </c>
      <c r="E190">
        <v>15.53232</v>
      </c>
    </row>
    <row r="191" spans="1:5" x14ac:dyDescent="0.55000000000000004">
      <c r="A191" t="s">
        <v>425</v>
      </c>
      <c r="B191">
        <v>55</v>
      </c>
      <c r="C191">
        <v>648.5</v>
      </c>
      <c r="D191">
        <v>638</v>
      </c>
      <c r="E191">
        <v>14.53454</v>
      </c>
    </row>
    <row r="192" spans="1:5" x14ac:dyDescent="0.55000000000000004">
      <c r="A192" t="s">
        <v>426</v>
      </c>
      <c r="B192">
        <v>55</v>
      </c>
      <c r="C192">
        <v>638.5</v>
      </c>
      <c r="D192">
        <v>640</v>
      </c>
      <c r="E192">
        <v>14.53454</v>
      </c>
    </row>
    <row r="193" spans="1:5" x14ac:dyDescent="0.55000000000000004">
      <c r="A193" t="s">
        <v>427</v>
      </c>
      <c r="B193">
        <v>56</v>
      </c>
      <c r="C193">
        <v>635.5</v>
      </c>
      <c r="D193">
        <v>641</v>
      </c>
      <c r="E193">
        <v>14.53454</v>
      </c>
    </row>
    <row r="194" spans="1:5" x14ac:dyDescent="0.55000000000000004">
      <c r="A194" t="s">
        <v>428</v>
      </c>
      <c r="B194">
        <v>56</v>
      </c>
      <c r="C194">
        <v>645.5</v>
      </c>
      <c r="D194">
        <v>633</v>
      </c>
      <c r="E194">
        <v>14.53454</v>
      </c>
    </row>
    <row r="195" spans="1:5" x14ac:dyDescent="0.55000000000000004">
      <c r="A195" t="s">
        <v>429</v>
      </c>
      <c r="B195">
        <v>55</v>
      </c>
      <c r="C195">
        <v>636.5</v>
      </c>
      <c r="D195">
        <v>630.5</v>
      </c>
      <c r="E195">
        <v>14.57748</v>
      </c>
    </row>
    <row r="196" spans="1:5" x14ac:dyDescent="0.55000000000000004">
      <c r="A196" t="s">
        <v>430</v>
      </c>
      <c r="B196">
        <v>56</v>
      </c>
      <c r="C196">
        <v>638.5</v>
      </c>
      <c r="D196">
        <v>639</v>
      </c>
      <c r="E196">
        <v>14.53454</v>
      </c>
    </row>
    <row r="197" spans="1:5" x14ac:dyDescent="0.55000000000000004">
      <c r="A197" t="s">
        <v>431</v>
      </c>
      <c r="B197">
        <v>56</v>
      </c>
      <c r="C197">
        <v>643.5</v>
      </c>
      <c r="D197">
        <v>634.5</v>
      </c>
      <c r="E197">
        <v>14.57748</v>
      </c>
    </row>
    <row r="198" spans="1:5" x14ac:dyDescent="0.55000000000000004">
      <c r="A198" t="s">
        <v>432</v>
      </c>
      <c r="B198">
        <v>57</v>
      </c>
      <c r="C198">
        <v>649.5</v>
      </c>
      <c r="D198">
        <v>642</v>
      </c>
      <c r="E198">
        <v>14.53454</v>
      </c>
    </row>
    <row r="199" spans="1:5" x14ac:dyDescent="0.55000000000000004">
      <c r="A199" t="s">
        <v>433</v>
      </c>
      <c r="B199">
        <v>56</v>
      </c>
      <c r="C199">
        <v>637.5</v>
      </c>
      <c r="D199">
        <v>641</v>
      </c>
      <c r="E199">
        <v>14.53454</v>
      </c>
    </row>
    <row r="200" spans="1:5" x14ac:dyDescent="0.55000000000000004">
      <c r="A200" t="s">
        <v>434</v>
      </c>
      <c r="B200">
        <v>56</v>
      </c>
      <c r="C200">
        <v>644</v>
      </c>
      <c r="D200">
        <v>641</v>
      </c>
      <c r="E200">
        <v>9.2196400000000001</v>
      </c>
    </row>
    <row r="201" spans="1:5" x14ac:dyDescent="0.55000000000000004">
      <c r="A201" t="s">
        <v>435</v>
      </c>
      <c r="B201">
        <v>56</v>
      </c>
      <c r="C201">
        <v>640.5</v>
      </c>
      <c r="D201">
        <v>635.5</v>
      </c>
      <c r="E201">
        <v>14.57748</v>
      </c>
    </row>
    <row r="202" spans="1:5" x14ac:dyDescent="0.55000000000000004">
      <c r="A202" t="s">
        <v>436</v>
      </c>
      <c r="B202">
        <v>57</v>
      </c>
      <c r="C202">
        <v>638.5</v>
      </c>
      <c r="D202">
        <v>642.5</v>
      </c>
      <c r="E202">
        <v>14.57748</v>
      </c>
    </row>
    <row r="203" spans="1:5" x14ac:dyDescent="0.55000000000000004">
      <c r="A203" t="s">
        <v>437</v>
      </c>
      <c r="B203">
        <v>56</v>
      </c>
      <c r="C203">
        <v>626.5</v>
      </c>
      <c r="D203">
        <v>633</v>
      </c>
      <c r="E203">
        <v>14.53454</v>
      </c>
    </row>
    <row r="204" spans="1:5" x14ac:dyDescent="0.55000000000000004">
      <c r="A204" t="s">
        <v>438</v>
      </c>
      <c r="B204">
        <v>60</v>
      </c>
      <c r="C204">
        <v>617</v>
      </c>
      <c r="D204">
        <v>667.5</v>
      </c>
      <c r="E204">
        <v>16.070260000000001</v>
      </c>
    </row>
    <row r="205" spans="1:5" x14ac:dyDescent="0.55000000000000004">
      <c r="A205" t="s">
        <v>439</v>
      </c>
      <c r="B205">
        <v>57</v>
      </c>
      <c r="C205">
        <v>628</v>
      </c>
      <c r="D205">
        <v>632</v>
      </c>
      <c r="E205">
        <v>14.035769999999999</v>
      </c>
    </row>
    <row r="206" spans="1:5" x14ac:dyDescent="0.55000000000000004">
      <c r="A206" t="s">
        <v>440</v>
      </c>
      <c r="B206">
        <v>57</v>
      </c>
      <c r="C206">
        <v>635.5</v>
      </c>
      <c r="D206">
        <v>638.5</v>
      </c>
      <c r="E206">
        <v>14.57748</v>
      </c>
    </row>
    <row r="207" spans="1:5" x14ac:dyDescent="0.55000000000000004">
      <c r="A207" t="s">
        <v>441</v>
      </c>
      <c r="B207">
        <v>58</v>
      </c>
      <c r="C207">
        <v>620.5</v>
      </c>
      <c r="D207">
        <v>644</v>
      </c>
      <c r="E207">
        <v>15.53232</v>
      </c>
    </row>
    <row r="208" spans="1:5" x14ac:dyDescent="0.55000000000000004">
      <c r="A208" t="s">
        <v>442</v>
      </c>
      <c r="B208">
        <v>57</v>
      </c>
      <c r="C208">
        <v>635</v>
      </c>
      <c r="D208">
        <v>639</v>
      </c>
      <c r="E208">
        <v>15.0334</v>
      </c>
    </row>
    <row r="209" spans="1:5" x14ac:dyDescent="0.55000000000000004">
      <c r="A209" t="s">
        <v>443</v>
      </c>
      <c r="B209">
        <v>57</v>
      </c>
      <c r="C209">
        <v>658.9375</v>
      </c>
      <c r="D209">
        <v>632</v>
      </c>
      <c r="E209">
        <v>12.10398</v>
      </c>
    </row>
    <row r="210" spans="1:5" x14ac:dyDescent="0.55000000000000004">
      <c r="A210" t="s">
        <v>444</v>
      </c>
      <c r="B210">
        <v>57</v>
      </c>
      <c r="C210">
        <v>643.5</v>
      </c>
      <c r="D210">
        <v>637.5</v>
      </c>
      <c r="E210">
        <v>4.7435200000000002</v>
      </c>
    </row>
    <row r="211" spans="1:5" x14ac:dyDescent="0.55000000000000004">
      <c r="A211" t="s">
        <v>445</v>
      </c>
      <c r="B211">
        <v>57</v>
      </c>
      <c r="C211">
        <v>649.5</v>
      </c>
      <c r="D211">
        <v>638.5</v>
      </c>
      <c r="E211">
        <v>14.57748</v>
      </c>
    </row>
    <row r="212" spans="1:5" x14ac:dyDescent="0.55000000000000004">
      <c r="A212" t="s">
        <v>446</v>
      </c>
      <c r="B212">
        <v>58</v>
      </c>
      <c r="C212">
        <v>639</v>
      </c>
      <c r="D212">
        <v>642</v>
      </c>
      <c r="E212">
        <v>15.0334</v>
      </c>
    </row>
    <row r="213" spans="1:5" x14ac:dyDescent="0.55000000000000004">
      <c r="A213" t="s">
        <v>447</v>
      </c>
      <c r="B213">
        <v>57</v>
      </c>
      <c r="C213">
        <v>624</v>
      </c>
      <c r="D213">
        <v>639</v>
      </c>
      <c r="E213">
        <v>15.0334</v>
      </c>
    </row>
    <row r="214" spans="1:5" x14ac:dyDescent="0.55000000000000004">
      <c r="A214" t="s">
        <v>448</v>
      </c>
      <c r="B214">
        <v>57</v>
      </c>
      <c r="C214">
        <v>629</v>
      </c>
      <c r="D214">
        <v>636.5</v>
      </c>
      <c r="E214">
        <v>8.3816299999999995</v>
      </c>
    </row>
    <row r="215" spans="1:5" x14ac:dyDescent="0.55000000000000004">
      <c r="A215" t="s">
        <v>449</v>
      </c>
      <c r="B215">
        <v>57</v>
      </c>
      <c r="C215">
        <v>647</v>
      </c>
      <c r="D215">
        <v>636</v>
      </c>
      <c r="E215">
        <v>15.0334</v>
      </c>
    </row>
    <row r="216" spans="1:5" x14ac:dyDescent="0.55000000000000004">
      <c r="A216" t="s">
        <v>450</v>
      </c>
      <c r="B216">
        <v>57</v>
      </c>
      <c r="C216">
        <v>632</v>
      </c>
      <c r="D216">
        <v>632</v>
      </c>
      <c r="E216">
        <v>11.180440000000001</v>
      </c>
    </row>
    <row r="217" spans="1:5" x14ac:dyDescent="0.55000000000000004">
      <c r="A217" t="s">
        <v>451</v>
      </c>
      <c r="B217">
        <v>57</v>
      </c>
      <c r="C217">
        <v>629.5</v>
      </c>
      <c r="D217">
        <v>639</v>
      </c>
      <c r="E217">
        <v>14.53454</v>
      </c>
    </row>
    <row r="218" spans="1:5" x14ac:dyDescent="0.55000000000000004">
      <c r="A218" t="s">
        <v>452</v>
      </c>
      <c r="B218">
        <v>58</v>
      </c>
      <c r="C218">
        <v>647.5</v>
      </c>
      <c r="D218">
        <v>635.5</v>
      </c>
      <c r="E218">
        <v>6.04162</v>
      </c>
    </row>
    <row r="219" spans="1:5" x14ac:dyDescent="0.55000000000000004">
      <c r="A219" t="s">
        <v>453</v>
      </c>
      <c r="B219">
        <v>58</v>
      </c>
      <c r="C219">
        <v>637.5</v>
      </c>
      <c r="D219">
        <v>630.5</v>
      </c>
      <c r="E219">
        <v>6.9642900000000001</v>
      </c>
    </row>
    <row r="220" spans="1:5" x14ac:dyDescent="0.55000000000000004">
      <c r="A220" t="s">
        <v>454</v>
      </c>
      <c r="B220">
        <v>58</v>
      </c>
      <c r="C220">
        <v>645.44000000000005</v>
      </c>
      <c r="D220">
        <v>632</v>
      </c>
      <c r="E220">
        <v>12.59984</v>
      </c>
    </row>
    <row r="221" spans="1:5" x14ac:dyDescent="0.55000000000000004">
      <c r="A221" t="s">
        <v>455</v>
      </c>
      <c r="B221">
        <v>58</v>
      </c>
      <c r="C221">
        <v>650</v>
      </c>
      <c r="D221">
        <v>634.5</v>
      </c>
      <c r="E221">
        <v>14.08023</v>
      </c>
    </row>
    <row r="222" spans="1:5" x14ac:dyDescent="0.55000000000000004">
      <c r="A222" t="s">
        <v>456</v>
      </c>
      <c r="B222">
        <v>59</v>
      </c>
      <c r="C222">
        <v>633.5</v>
      </c>
      <c r="D222">
        <v>643.5</v>
      </c>
      <c r="E222">
        <v>14.57748</v>
      </c>
    </row>
    <row r="223" spans="1:5" x14ac:dyDescent="0.55000000000000004">
      <c r="A223" t="s">
        <v>457</v>
      </c>
      <c r="B223">
        <v>58</v>
      </c>
      <c r="C223">
        <v>639</v>
      </c>
      <c r="D223">
        <v>630.5</v>
      </c>
      <c r="E223">
        <v>9.1242400000000004</v>
      </c>
    </row>
    <row r="224" spans="1:5" x14ac:dyDescent="0.55000000000000004">
      <c r="A224" t="s">
        <v>458</v>
      </c>
      <c r="B224">
        <v>58</v>
      </c>
      <c r="C224">
        <v>641</v>
      </c>
      <c r="D224">
        <v>631</v>
      </c>
      <c r="E224">
        <v>11.180440000000001</v>
      </c>
    </row>
    <row r="225" spans="1:5" x14ac:dyDescent="0.55000000000000004">
      <c r="A225" t="s">
        <v>459</v>
      </c>
      <c r="B225">
        <v>58</v>
      </c>
      <c r="C225">
        <v>633.5</v>
      </c>
      <c r="D225">
        <v>638</v>
      </c>
      <c r="E225">
        <v>7.7621900000000004</v>
      </c>
    </row>
    <row r="226" spans="1:5" x14ac:dyDescent="0.55000000000000004">
      <c r="A226" t="s">
        <v>460</v>
      </c>
      <c r="B226">
        <v>58</v>
      </c>
      <c r="C226">
        <v>641</v>
      </c>
      <c r="D226">
        <v>637</v>
      </c>
      <c r="E226">
        <v>15.0334</v>
      </c>
    </row>
    <row r="227" spans="1:5" x14ac:dyDescent="0.55000000000000004">
      <c r="A227" t="s">
        <v>461</v>
      </c>
      <c r="B227">
        <v>59</v>
      </c>
      <c r="C227">
        <v>642.5</v>
      </c>
      <c r="D227">
        <v>645.5</v>
      </c>
      <c r="E227">
        <v>13.58318</v>
      </c>
    </row>
    <row r="228" spans="1:5" x14ac:dyDescent="0.55000000000000004">
      <c r="A228" t="s">
        <v>462</v>
      </c>
      <c r="B228">
        <v>59</v>
      </c>
      <c r="C228">
        <v>639.5</v>
      </c>
      <c r="D228">
        <v>641</v>
      </c>
      <c r="E228">
        <v>14.53454</v>
      </c>
    </row>
    <row r="229" spans="1:5" x14ac:dyDescent="0.55000000000000004">
      <c r="A229" t="s">
        <v>463</v>
      </c>
      <c r="B229">
        <v>59</v>
      </c>
      <c r="C229">
        <v>651.5</v>
      </c>
      <c r="D229">
        <v>630</v>
      </c>
      <c r="E229">
        <v>10.688879999999999</v>
      </c>
    </row>
    <row r="230" spans="1:5" x14ac:dyDescent="0.55000000000000004">
      <c r="A230" t="s">
        <v>464</v>
      </c>
      <c r="B230">
        <v>59</v>
      </c>
      <c r="C230">
        <v>641.5</v>
      </c>
      <c r="D230">
        <v>631</v>
      </c>
      <c r="E230">
        <v>2.6926800000000002</v>
      </c>
    </row>
    <row r="231" spans="1:5" x14ac:dyDescent="0.55000000000000004">
      <c r="A231" t="s">
        <v>465</v>
      </c>
      <c r="B231">
        <v>60</v>
      </c>
      <c r="C231">
        <v>625.5</v>
      </c>
      <c r="D231">
        <v>638</v>
      </c>
      <c r="E231">
        <v>14.53454</v>
      </c>
    </row>
    <row r="232" spans="1:5" x14ac:dyDescent="0.55000000000000004">
      <c r="A232" t="s">
        <v>466</v>
      </c>
      <c r="B232">
        <v>61</v>
      </c>
      <c r="C232">
        <v>644.5</v>
      </c>
      <c r="D232">
        <v>646.5</v>
      </c>
      <c r="E232">
        <v>2.9155799999999998</v>
      </c>
    </row>
    <row r="233" spans="1:5" x14ac:dyDescent="0.55000000000000004">
      <c r="A233" t="s">
        <v>467</v>
      </c>
      <c r="B233">
        <v>60</v>
      </c>
      <c r="C233">
        <v>642.5</v>
      </c>
      <c r="D233">
        <v>636</v>
      </c>
      <c r="E233">
        <v>16.530370000000001</v>
      </c>
    </row>
    <row r="234" spans="1:5" x14ac:dyDescent="0.55000000000000004">
      <c r="A234" t="s">
        <v>468</v>
      </c>
      <c r="B234">
        <v>61</v>
      </c>
      <c r="C234">
        <v>639.5</v>
      </c>
      <c r="D234">
        <v>642</v>
      </c>
      <c r="E234">
        <v>14.53454</v>
      </c>
    </row>
    <row r="235" spans="1:5" x14ac:dyDescent="0.55000000000000004">
      <c r="A235" t="s">
        <v>469</v>
      </c>
      <c r="B235">
        <v>60</v>
      </c>
      <c r="C235">
        <v>636.5</v>
      </c>
      <c r="D235">
        <v>635.5</v>
      </c>
      <c r="E235">
        <v>4.3012600000000001</v>
      </c>
    </row>
    <row r="236" spans="1:5" x14ac:dyDescent="0.55000000000000004">
      <c r="A236" t="s">
        <v>470</v>
      </c>
      <c r="B236">
        <v>60</v>
      </c>
      <c r="C236">
        <v>648.5</v>
      </c>
      <c r="D236">
        <v>633</v>
      </c>
      <c r="E236">
        <v>9.7083399999999997</v>
      </c>
    </row>
    <row r="237" spans="1:5" x14ac:dyDescent="0.55000000000000004">
      <c r="A237" t="s">
        <v>471</v>
      </c>
      <c r="B237">
        <v>61</v>
      </c>
      <c r="C237">
        <v>641.5</v>
      </c>
      <c r="D237">
        <v>642</v>
      </c>
      <c r="E237">
        <v>14.53454</v>
      </c>
    </row>
    <row r="238" spans="1:5" x14ac:dyDescent="0.55000000000000004">
      <c r="A238" t="s">
        <v>472</v>
      </c>
      <c r="B238">
        <v>61</v>
      </c>
      <c r="C238">
        <v>631.5</v>
      </c>
      <c r="D238">
        <v>644.5</v>
      </c>
      <c r="E238">
        <v>14.57748</v>
      </c>
    </row>
    <row r="239" spans="1:5" x14ac:dyDescent="0.55000000000000004">
      <c r="A239" t="s">
        <v>473</v>
      </c>
      <c r="B239">
        <v>60</v>
      </c>
      <c r="C239">
        <v>649.5</v>
      </c>
      <c r="D239">
        <v>637.5</v>
      </c>
      <c r="E239">
        <v>14.57748</v>
      </c>
    </row>
    <row r="240" spans="1:5" x14ac:dyDescent="0.55000000000000004">
      <c r="A240" t="s">
        <v>474</v>
      </c>
      <c r="B240">
        <v>61</v>
      </c>
      <c r="C240">
        <v>639</v>
      </c>
      <c r="D240">
        <v>642</v>
      </c>
      <c r="E240">
        <v>15.0334</v>
      </c>
    </row>
    <row r="241" spans="1:5" x14ac:dyDescent="0.55000000000000004">
      <c r="A241" t="s">
        <v>475</v>
      </c>
      <c r="B241">
        <v>60</v>
      </c>
      <c r="C241">
        <v>650.5</v>
      </c>
      <c r="D241">
        <v>637.5</v>
      </c>
      <c r="E241">
        <v>14.57748</v>
      </c>
    </row>
    <row r="242" spans="1:5" x14ac:dyDescent="0.55000000000000004">
      <c r="A242" t="s">
        <v>476</v>
      </c>
      <c r="B242">
        <v>62</v>
      </c>
      <c r="C242">
        <v>649</v>
      </c>
      <c r="D242">
        <v>645</v>
      </c>
      <c r="E242">
        <v>15.0334</v>
      </c>
    </row>
    <row r="243" spans="1:5" x14ac:dyDescent="0.55000000000000004">
      <c r="A243" t="s">
        <v>477</v>
      </c>
      <c r="B243">
        <v>61</v>
      </c>
      <c r="C243">
        <v>658.5</v>
      </c>
      <c r="D243">
        <v>632</v>
      </c>
      <c r="E243">
        <v>14.53454</v>
      </c>
    </row>
    <row r="244" spans="1:5" x14ac:dyDescent="0.55000000000000004">
      <c r="A244" t="s">
        <v>478</v>
      </c>
      <c r="B244">
        <v>62</v>
      </c>
      <c r="C244">
        <v>639.5</v>
      </c>
      <c r="D244">
        <v>640</v>
      </c>
      <c r="E244">
        <v>14.53454</v>
      </c>
    </row>
    <row r="245" spans="1:5" x14ac:dyDescent="0.55000000000000004">
      <c r="A245" t="s">
        <v>479</v>
      </c>
      <c r="B245">
        <v>62</v>
      </c>
      <c r="C245">
        <v>624.5</v>
      </c>
      <c r="D245">
        <v>646</v>
      </c>
      <c r="E245">
        <v>13.537089999999999</v>
      </c>
    </row>
    <row r="246" spans="1:5" x14ac:dyDescent="0.55000000000000004">
      <c r="A246" t="s">
        <v>480</v>
      </c>
      <c r="B246">
        <v>62</v>
      </c>
      <c r="C246">
        <v>631.5</v>
      </c>
      <c r="D246">
        <v>642</v>
      </c>
      <c r="E246">
        <v>8.5587199999999992</v>
      </c>
    </row>
    <row r="247" spans="1:5" x14ac:dyDescent="0.55000000000000004">
      <c r="A247" t="s">
        <v>481</v>
      </c>
      <c r="B247">
        <v>61</v>
      </c>
      <c r="C247">
        <v>651</v>
      </c>
      <c r="D247">
        <v>633</v>
      </c>
      <c r="E247">
        <v>14.035769999999999</v>
      </c>
    </row>
    <row r="248" spans="1:5" x14ac:dyDescent="0.55000000000000004">
      <c r="A248" t="s">
        <v>482</v>
      </c>
      <c r="B248">
        <v>61</v>
      </c>
      <c r="C248">
        <v>641.5</v>
      </c>
      <c r="D248">
        <v>631</v>
      </c>
      <c r="E248">
        <v>11.67272</v>
      </c>
    </row>
    <row r="249" spans="1:5" x14ac:dyDescent="0.55000000000000004">
      <c r="A249" t="s">
        <v>483</v>
      </c>
      <c r="B249">
        <v>62</v>
      </c>
      <c r="C249">
        <v>628.5</v>
      </c>
      <c r="D249">
        <v>638</v>
      </c>
      <c r="E249">
        <v>14.53454</v>
      </c>
    </row>
    <row r="250" spans="1:5" x14ac:dyDescent="0.55000000000000004">
      <c r="A250" t="s">
        <v>484</v>
      </c>
      <c r="B250">
        <v>62</v>
      </c>
      <c r="C250">
        <v>635.5</v>
      </c>
      <c r="D250">
        <v>639.5</v>
      </c>
      <c r="E250">
        <v>14.57748</v>
      </c>
    </row>
    <row r="251" spans="1:5" x14ac:dyDescent="0.55000000000000004">
      <c r="A251" t="s">
        <v>485</v>
      </c>
      <c r="B251">
        <v>62</v>
      </c>
      <c r="C251">
        <v>656</v>
      </c>
      <c r="D251">
        <v>641</v>
      </c>
      <c r="E251">
        <v>15.0334</v>
      </c>
    </row>
    <row r="252" spans="1:5" x14ac:dyDescent="0.55000000000000004">
      <c r="A252" t="s">
        <v>486</v>
      </c>
      <c r="B252">
        <v>62</v>
      </c>
      <c r="C252">
        <v>638.5</v>
      </c>
      <c r="D252">
        <v>644</v>
      </c>
      <c r="E252">
        <v>15.53232</v>
      </c>
    </row>
    <row r="253" spans="1:5" x14ac:dyDescent="0.55000000000000004">
      <c r="A253" t="s">
        <v>487</v>
      </c>
      <c r="B253">
        <v>61</v>
      </c>
      <c r="C253">
        <v>652</v>
      </c>
      <c r="D253">
        <v>635.5</v>
      </c>
      <c r="E253">
        <v>3.3542000000000001</v>
      </c>
    </row>
    <row r="254" spans="1:5" x14ac:dyDescent="0.55000000000000004">
      <c r="A254" t="s">
        <v>488</v>
      </c>
      <c r="B254">
        <v>61</v>
      </c>
      <c r="C254">
        <v>644.90002000000004</v>
      </c>
      <c r="D254">
        <v>634.5</v>
      </c>
      <c r="E254">
        <v>10.210850000000001</v>
      </c>
    </row>
    <row r="255" spans="1:5" x14ac:dyDescent="0.55000000000000004">
      <c r="A255" t="s">
        <v>489</v>
      </c>
      <c r="B255">
        <v>62</v>
      </c>
      <c r="C255">
        <v>654.5</v>
      </c>
      <c r="D255">
        <v>633</v>
      </c>
      <c r="E255">
        <v>14.53454</v>
      </c>
    </row>
    <row r="256" spans="1:5" x14ac:dyDescent="0.55000000000000004">
      <c r="A256" t="s">
        <v>490</v>
      </c>
      <c r="B256">
        <v>64</v>
      </c>
      <c r="C256">
        <v>631.5</v>
      </c>
      <c r="D256">
        <v>642.5</v>
      </c>
      <c r="E256">
        <v>14.57748</v>
      </c>
    </row>
    <row r="257" spans="1:5" x14ac:dyDescent="0.55000000000000004">
      <c r="A257" t="s">
        <v>491</v>
      </c>
      <c r="B257">
        <v>63</v>
      </c>
      <c r="C257">
        <v>655</v>
      </c>
      <c r="D257">
        <v>634</v>
      </c>
      <c r="E257">
        <v>14.035769999999999</v>
      </c>
    </row>
    <row r="258" spans="1:5" x14ac:dyDescent="0.55000000000000004">
      <c r="A258" t="s">
        <v>492</v>
      </c>
      <c r="B258">
        <v>68</v>
      </c>
      <c r="C258">
        <v>634.5</v>
      </c>
      <c r="D258">
        <v>683</v>
      </c>
      <c r="E258">
        <v>16.530370000000001</v>
      </c>
    </row>
    <row r="259" spans="1:5" x14ac:dyDescent="0.55000000000000004">
      <c r="A259" t="s">
        <v>493</v>
      </c>
      <c r="B259">
        <v>64</v>
      </c>
      <c r="C259">
        <v>628.5</v>
      </c>
      <c r="D259">
        <v>640.5</v>
      </c>
      <c r="E259">
        <v>14.57748</v>
      </c>
    </row>
    <row r="260" spans="1:5" x14ac:dyDescent="0.55000000000000004">
      <c r="A260" t="s">
        <v>494</v>
      </c>
      <c r="B260">
        <v>64</v>
      </c>
      <c r="C260">
        <v>638.5</v>
      </c>
      <c r="D260">
        <v>645</v>
      </c>
      <c r="E260">
        <v>11.5435</v>
      </c>
    </row>
    <row r="261" spans="1:5" x14ac:dyDescent="0.55000000000000004">
      <c r="A261" t="s">
        <v>495</v>
      </c>
      <c r="B261">
        <v>63</v>
      </c>
      <c r="C261">
        <v>635</v>
      </c>
      <c r="D261">
        <v>638</v>
      </c>
      <c r="E261">
        <v>15.0334</v>
      </c>
    </row>
    <row r="262" spans="1:5" x14ac:dyDescent="0.55000000000000004">
      <c r="A262" t="s">
        <v>496</v>
      </c>
      <c r="B262">
        <v>63</v>
      </c>
      <c r="C262">
        <v>639.5</v>
      </c>
      <c r="D262">
        <v>640</v>
      </c>
      <c r="E262">
        <v>14.53454</v>
      </c>
    </row>
    <row r="263" spans="1:5" x14ac:dyDescent="0.55000000000000004">
      <c r="A263" t="s">
        <v>497</v>
      </c>
      <c r="B263">
        <v>63</v>
      </c>
      <c r="C263">
        <v>640.5</v>
      </c>
      <c r="D263">
        <v>632.5</v>
      </c>
      <c r="E263">
        <v>14.57748</v>
      </c>
    </row>
    <row r="264" spans="1:5" x14ac:dyDescent="0.55000000000000004">
      <c r="A264" t="s">
        <v>498</v>
      </c>
      <c r="B264">
        <v>63</v>
      </c>
      <c r="C264">
        <v>643.5</v>
      </c>
      <c r="D264">
        <v>632</v>
      </c>
      <c r="E264">
        <v>14.53454</v>
      </c>
    </row>
    <row r="265" spans="1:5" x14ac:dyDescent="0.55000000000000004">
      <c r="A265" t="s">
        <v>499</v>
      </c>
      <c r="B265">
        <v>63</v>
      </c>
      <c r="C265">
        <v>655.5</v>
      </c>
      <c r="D265">
        <v>637</v>
      </c>
      <c r="E265">
        <v>14.53454</v>
      </c>
    </row>
    <row r="266" spans="1:5" x14ac:dyDescent="0.55000000000000004">
      <c r="A266" t="s">
        <v>500</v>
      </c>
      <c r="B266">
        <v>64</v>
      </c>
      <c r="C266">
        <v>643.5</v>
      </c>
      <c r="D266">
        <v>632</v>
      </c>
      <c r="E266">
        <v>14.53454</v>
      </c>
    </row>
    <row r="267" spans="1:5" x14ac:dyDescent="0.55000000000000004">
      <c r="A267" t="s">
        <v>501</v>
      </c>
      <c r="B267">
        <v>68</v>
      </c>
      <c r="C267">
        <v>628</v>
      </c>
      <c r="D267">
        <v>662.5</v>
      </c>
      <c r="E267">
        <v>15.074909999999999</v>
      </c>
    </row>
    <row r="268" spans="1:5" x14ac:dyDescent="0.55000000000000004">
      <c r="A268" t="s">
        <v>502</v>
      </c>
      <c r="B268">
        <v>65</v>
      </c>
      <c r="C268">
        <v>630.5</v>
      </c>
      <c r="D268">
        <v>641.5</v>
      </c>
      <c r="E268">
        <v>14.57748</v>
      </c>
    </row>
    <row r="269" spans="1:5" x14ac:dyDescent="0.55000000000000004">
      <c r="A269" t="s">
        <v>503</v>
      </c>
      <c r="B269">
        <v>64</v>
      </c>
      <c r="C269">
        <v>627.5</v>
      </c>
      <c r="D269">
        <v>635</v>
      </c>
      <c r="E269">
        <v>14.53454</v>
      </c>
    </row>
    <row r="270" spans="1:5" x14ac:dyDescent="0.55000000000000004">
      <c r="A270" t="s">
        <v>504</v>
      </c>
      <c r="B270">
        <v>65</v>
      </c>
      <c r="C270">
        <v>649</v>
      </c>
      <c r="D270">
        <v>644</v>
      </c>
      <c r="E270">
        <v>11.180440000000001</v>
      </c>
    </row>
    <row r="271" spans="1:5" x14ac:dyDescent="0.55000000000000004">
      <c r="A271" t="s">
        <v>505</v>
      </c>
      <c r="B271">
        <v>64</v>
      </c>
      <c r="C271">
        <v>653</v>
      </c>
      <c r="D271">
        <v>630.5</v>
      </c>
      <c r="E271">
        <v>14.08023</v>
      </c>
    </row>
    <row r="272" spans="1:5" x14ac:dyDescent="0.55000000000000004">
      <c r="A272" t="s">
        <v>506</v>
      </c>
      <c r="B272">
        <v>65</v>
      </c>
      <c r="C272">
        <v>648.5</v>
      </c>
      <c r="D272">
        <v>638</v>
      </c>
      <c r="E272">
        <v>14.53454</v>
      </c>
    </row>
    <row r="273" spans="1:5" x14ac:dyDescent="0.55000000000000004">
      <c r="A273" t="s">
        <v>507</v>
      </c>
      <c r="B273">
        <v>66</v>
      </c>
      <c r="C273">
        <v>645</v>
      </c>
      <c r="D273">
        <v>644</v>
      </c>
      <c r="E273">
        <v>11.180440000000001</v>
      </c>
    </row>
    <row r="274" spans="1:5" x14ac:dyDescent="0.55000000000000004">
      <c r="A274" t="s">
        <v>508</v>
      </c>
      <c r="B274">
        <v>65</v>
      </c>
      <c r="C274">
        <v>641.5</v>
      </c>
      <c r="D274">
        <v>635.5</v>
      </c>
      <c r="E274">
        <v>14.57748</v>
      </c>
    </row>
    <row r="275" spans="1:5" x14ac:dyDescent="0.55000000000000004">
      <c r="A275" t="s">
        <v>509</v>
      </c>
      <c r="B275">
        <v>65</v>
      </c>
      <c r="C275">
        <v>634.5</v>
      </c>
      <c r="D275">
        <v>640</v>
      </c>
      <c r="E275">
        <v>9.7083399999999997</v>
      </c>
    </row>
    <row r="276" spans="1:5" x14ac:dyDescent="0.55000000000000004">
      <c r="A276" t="s">
        <v>510</v>
      </c>
      <c r="B276">
        <v>68</v>
      </c>
      <c r="C276">
        <v>629.5</v>
      </c>
      <c r="D276">
        <v>662</v>
      </c>
      <c r="E276">
        <v>15.53232</v>
      </c>
    </row>
    <row r="277" spans="1:5" x14ac:dyDescent="0.55000000000000004">
      <c r="A277" t="s">
        <v>511</v>
      </c>
      <c r="B277">
        <v>53</v>
      </c>
      <c r="C277">
        <v>634.5</v>
      </c>
      <c r="D277">
        <v>645</v>
      </c>
      <c r="E277">
        <v>5.5902700000000003</v>
      </c>
    </row>
    <row r="278" spans="1:5" x14ac:dyDescent="0.55000000000000004">
      <c r="A278" t="s">
        <v>512</v>
      </c>
      <c r="B278">
        <v>53</v>
      </c>
      <c r="C278">
        <v>625.5</v>
      </c>
      <c r="D278">
        <v>647.5</v>
      </c>
      <c r="E278">
        <v>2.9155799999999998</v>
      </c>
    </row>
    <row r="279" spans="1:5" x14ac:dyDescent="0.55000000000000004">
      <c r="A279" t="s">
        <v>513</v>
      </c>
      <c r="B279">
        <v>52</v>
      </c>
      <c r="C279">
        <v>650.5</v>
      </c>
      <c r="D279">
        <v>636.5</v>
      </c>
      <c r="E279">
        <v>11.59751</v>
      </c>
    </row>
    <row r="280" spans="1:5" x14ac:dyDescent="0.55000000000000004">
      <c r="A280" t="s">
        <v>514</v>
      </c>
      <c r="B280">
        <v>52</v>
      </c>
      <c r="C280">
        <v>649.5</v>
      </c>
      <c r="D280">
        <v>640.5</v>
      </c>
      <c r="E280">
        <v>14.57748</v>
      </c>
    </row>
    <row r="281" spans="1:5" x14ac:dyDescent="0.55000000000000004">
      <c r="A281" t="s">
        <v>515</v>
      </c>
      <c r="B281">
        <v>51</v>
      </c>
      <c r="C281">
        <v>635.5</v>
      </c>
      <c r="D281">
        <v>630.5</v>
      </c>
      <c r="E281">
        <v>14.57748</v>
      </c>
    </row>
    <row r="282" spans="1:5" x14ac:dyDescent="0.55000000000000004">
      <c r="A282" t="s">
        <v>516</v>
      </c>
      <c r="B282">
        <v>51</v>
      </c>
      <c r="C282">
        <v>654.5</v>
      </c>
      <c r="D282">
        <v>630.5</v>
      </c>
      <c r="E282">
        <v>14.57748</v>
      </c>
    </row>
    <row r="283" spans="1:5" x14ac:dyDescent="0.55000000000000004">
      <c r="A283" t="s">
        <v>517</v>
      </c>
      <c r="B283">
        <v>55</v>
      </c>
      <c r="C283">
        <v>621.5</v>
      </c>
      <c r="D283">
        <v>673.5</v>
      </c>
      <c r="E283">
        <v>5.7009800000000004</v>
      </c>
    </row>
    <row r="284" spans="1:5" x14ac:dyDescent="0.55000000000000004">
      <c r="A284" t="s">
        <v>518</v>
      </c>
      <c r="B284">
        <v>52</v>
      </c>
      <c r="C284">
        <v>642</v>
      </c>
      <c r="D284">
        <v>641</v>
      </c>
      <c r="E284">
        <v>15.0334</v>
      </c>
    </row>
    <row r="285" spans="1:5" x14ac:dyDescent="0.55000000000000004">
      <c r="A285" t="s">
        <v>519</v>
      </c>
      <c r="B285">
        <v>52</v>
      </c>
      <c r="C285">
        <v>637.5</v>
      </c>
      <c r="D285">
        <v>637</v>
      </c>
      <c r="E285">
        <v>14.53454</v>
      </c>
    </row>
    <row r="286" spans="1:5" x14ac:dyDescent="0.55000000000000004">
      <c r="A286" t="s">
        <v>520</v>
      </c>
      <c r="B286">
        <v>53</v>
      </c>
      <c r="C286">
        <v>633</v>
      </c>
      <c r="D286">
        <v>649.5</v>
      </c>
      <c r="E286">
        <v>2.5001000000000002</v>
      </c>
    </row>
    <row r="287" spans="1:5" x14ac:dyDescent="0.55000000000000004">
      <c r="A287" t="s">
        <v>521</v>
      </c>
      <c r="B287">
        <v>52</v>
      </c>
      <c r="C287">
        <v>634.5</v>
      </c>
      <c r="D287">
        <v>634</v>
      </c>
      <c r="E287">
        <v>14.53454</v>
      </c>
    </row>
    <row r="288" spans="1:5" x14ac:dyDescent="0.55000000000000004">
      <c r="A288" t="s">
        <v>522</v>
      </c>
      <c r="B288">
        <v>52</v>
      </c>
      <c r="C288">
        <v>650</v>
      </c>
      <c r="D288">
        <v>633.5</v>
      </c>
      <c r="E288">
        <v>14.08023</v>
      </c>
    </row>
    <row r="289" spans="1:5" x14ac:dyDescent="0.55000000000000004">
      <c r="A289" t="s">
        <v>523</v>
      </c>
      <c r="B289">
        <v>52</v>
      </c>
      <c r="C289">
        <v>671</v>
      </c>
      <c r="D289">
        <v>635.5</v>
      </c>
      <c r="E289">
        <v>3.3542000000000001</v>
      </c>
    </row>
    <row r="290" spans="1:5" x14ac:dyDescent="0.55000000000000004">
      <c r="A290" t="s">
        <v>524</v>
      </c>
      <c r="B290">
        <v>52</v>
      </c>
      <c r="C290">
        <v>640.5</v>
      </c>
      <c r="D290">
        <v>641</v>
      </c>
      <c r="E290">
        <v>14.53454</v>
      </c>
    </row>
    <row r="291" spans="1:5" x14ac:dyDescent="0.55000000000000004">
      <c r="A291" t="s">
        <v>525</v>
      </c>
      <c r="B291">
        <v>53</v>
      </c>
      <c r="C291">
        <v>657</v>
      </c>
      <c r="D291">
        <v>635</v>
      </c>
      <c r="E291">
        <v>15.0334</v>
      </c>
    </row>
    <row r="292" spans="1:5" x14ac:dyDescent="0.55000000000000004">
      <c r="A292" t="s">
        <v>526</v>
      </c>
      <c r="B292">
        <v>53</v>
      </c>
      <c r="C292">
        <v>641</v>
      </c>
      <c r="D292">
        <v>636</v>
      </c>
      <c r="E292">
        <v>15.0334</v>
      </c>
    </row>
    <row r="293" spans="1:5" x14ac:dyDescent="0.55000000000000004">
      <c r="A293" t="s">
        <v>527</v>
      </c>
      <c r="B293">
        <v>54</v>
      </c>
      <c r="C293">
        <v>628.5</v>
      </c>
      <c r="D293">
        <v>645</v>
      </c>
      <c r="E293">
        <v>2.5001000000000002</v>
      </c>
    </row>
    <row r="294" spans="1:5" x14ac:dyDescent="0.55000000000000004">
      <c r="A294" t="s">
        <v>528</v>
      </c>
      <c r="B294">
        <v>53</v>
      </c>
      <c r="C294">
        <v>654</v>
      </c>
      <c r="D294">
        <v>634.5</v>
      </c>
      <c r="E294">
        <v>14.08023</v>
      </c>
    </row>
    <row r="295" spans="1:5" x14ac:dyDescent="0.55000000000000004">
      <c r="A295" t="s">
        <v>529</v>
      </c>
      <c r="B295">
        <v>53</v>
      </c>
      <c r="C295">
        <v>643</v>
      </c>
      <c r="D295">
        <v>641.5</v>
      </c>
      <c r="E295">
        <v>14.08023</v>
      </c>
    </row>
    <row r="296" spans="1:5" x14ac:dyDescent="0.55000000000000004">
      <c r="A296" t="s">
        <v>530</v>
      </c>
      <c r="B296">
        <v>54</v>
      </c>
      <c r="C296">
        <v>630</v>
      </c>
      <c r="D296">
        <v>644</v>
      </c>
      <c r="E296">
        <v>15.0334</v>
      </c>
    </row>
    <row r="297" spans="1:5" x14ac:dyDescent="0.55000000000000004">
      <c r="A297" t="s">
        <v>531</v>
      </c>
      <c r="B297">
        <v>56</v>
      </c>
      <c r="C297">
        <v>624.5</v>
      </c>
      <c r="D297">
        <v>671.5</v>
      </c>
      <c r="E297">
        <v>15.572509999999999</v>
      </c>
    </row>
    <row r="298" spans="1:5" x14ac:dyDescent="0.55000000000000004">
      <c r="A298" t="s">
        <v>532</v>
      </c>
      <c r="B298">
        <v>56</v>
      </c>
      <c r="C298">
        <v>607.5</v>
      </c>
      <c r="D298">
        <v>674</v>
      </c>
      <c r="E298">
        <v>16.530370000000001</v>
      </c>
    </row>
    <row r="299" spans="1:5" x14ac:dyDescent="0.55000000000000004">
      <c r="A299" t="s">
        <v>533</v>
      </c>
      <c r="B299">
        <v>53</v>
      </c>
      <c r="C299">
        <v>640</v>
      </c>
      <c r="D299">
        <v>638</v>
      </c>
      <c r="E299">
        <v>15.0334</v>
      </c>
    </row>
    <row r="300" spans="1:5" x14ac:dyDescent="0.55000000000000004">
      <c r="A300" t="s">
        <v>534</v>
      </c>
      <c r="B300">
        <v>53</v>
      </c>
      <c r="C300">
        <v>641.5</v>
      </c>
      <c r="D300">
        <v>635</v>
      </c>
      <c r="E300">
        <v>8.5587199999999992</v>
      </c>
    </row>
    <row r="301" spans="1:5" x14ac:dyDescent="0.55000000000000004">
      <c r="A301" t="s">
        <v>535</v>
      </c>
      <c r="B301">
        <v>52</v>
      </c>
      <c r="C301">
        <v>648</v>
      </c>
      <c r="D301">
        <v>632</v>
      </c>
      <c r="E301">
        <v>14.035769999999999</v>
      </c>
    </row>
    <row r="302" spans="1:5" x14ac:dyDescent="0.55000000000000004">
      <c r="A302" t="s">
        <v>536</v>
      </c>
      <c r="B302">
        <v>53</v>
      </c>
      <c r="C302">
        <v>640.5</v>
      </c>
      <c r="D302">
        <v>642</v>
      </c>
      <c r="E302">
        <v>14.53454</v>
      </c>
    </row>
    <row r="303" spans="1:5" x14ac:dyDescent="0.55000000000000004">
      <c r="A303" t="s">
        <v>537</v>
      </c>
      <c r="B303">
        <v>54</v>
      </c>
      <c r="C303">
        <v>651</v>
      </c>
      <c r="D303">
        <v>636.5</v>
      </c>
      <c r="E303">
        <v>13.086349999999999</v>
      </c>
    </row>
    <row r="304" spans="1:5" x14ac:dyDescent="0.55000000000000004">
      <c r="A304" t="s">
        <v>538</v>
      </c>
      <c r="B304">
        <v>55</v>
      </c>
      <c r="C304">
        <v>642.5</v>
      </c>
      <c r="D304">
        <v>644.5</v>
      </c>
      <c r="E304">
        <v>13.58318</v>
      </c>
    </row>
    <row r="305" spans="1:5" x14ac:dyDescent="0.55000000000000004">
      <c r="A305" t="s">
        <v>539</v>
      </c>
      <c r="B305">
        <v>55</v>
      </c>
      <c r="C305">
        <v>636</v>
      </c>
      <c r="D305">
        <v>644.5</v>
      </c>
      <c r="E305">
        <v>14.08023</v>
      </c>
    </row>
    <row r="306" spans="1:5" x14ac:dyDescent="0.55000000000000004">
      <c r="A306" t="s">
        <v>540</v>
      </c>
      <c r="B306">
        <v>54</v>
      </c>
      <c r="C306">
        <v>632.5</v>
      </c>
      <c r="D306">
        <v>641.5</v>
      </c>
      <c r="E306">
        <v>5.1479200000000001</v>
      </c>
    </row>
    <row r="307" spans="1:5" x14ac:dyDescent="0.55000000000000004">
      <c r="A307" t="s">
        <v>541</v>
      </c>
      <c r="B307">
        <v>54</v>
      </c>
      <c r="C307">
        <v>639</v>
      </c>
      <c r="D307">
        <v>643.5</v>
      </c>
      <c r="E307">
        <v>6.1847599999999998</v>
      </c>
    </row>
    <row r="308" spans="1:5" x14ac:dyDescent="0.55000000000000004">
      <c r="A308" t="s">
        <v>542</v>
      </c>
      <c r="B308">
        <v>54</v>
      </c>
      <c r="C308">
        <v>649.5</v>
      </c>
      <c r="D308">
        <v>637.5</v>
      </c>
      <c r="E308">
        <v>14.57748</v>
      </c>
    </row>
    <row r="309" spans="1:5" x14ac:dyDescent="0.55000000000000004">
      <c r="A309" t="s">
        <v>543</v>
      </c>
      <c r="B309">
        <v>54</v>
      </c>
      <c r="C309">
        <v>654.5</v>
      </c>
      <c r="D309">
        <v>640</v>
      </c>
      <c r="E309">
        <v>14.53454</v>
      </c>
    </row>
    <row r="310" spans="1:5" x14ac:dyDescent="0.55000000000000004">
      <c r="A310" t="s">
        <v>544</v>
      </c>
      <c r="B310">
        <v>54</v>
      </c>
      <c r="C310">
        <v>653</v>
      </c>
      <c r="D310">
        <v>635.5</v>
      </c>
      <c r="E310">
        <v>3.3542000000000001</v>
      </c>
    </row>
    <row r="311" spans="1:5" x14ac:dyDescent="0.55000000000000004">
      <c r="A311" t="s">
        <v>545</v>
      </c>
      <c r="B311">
        <v>54</v>
      </c>
      <c r="C311">
        <v>652.5</v>
      </c>
      <c r="D311">
        <v>636</v>
      </c>
      <c r="E311">
        <v>14.53454</v>
      </c>
    </row>
    <row r="312" spans="1:5" x14ac:dyDescent="0.55000000000000004">
      <c r="A312" t="s">
        <v>546</v>
      </c>
      <c r="B312">
        <v>53</v>
      </c>
      <c r="C312">
        <v>650.5</v>
      </c>
      <c r="D312">
        <v>632</v>
      </c>
      <c r="E312">
        <v>14.53454</v>
      </c>
    </row>
    <row r="313" spans="1:5" x14ac:dyDescent="0.55000000000000004">
      <c r="A313" t="s">
        <v>547</v>
      </c>
      <c r="B313">
        <v>54</v>
      </c>
      <c r="C313">
        <v>653</v>
      </c>
      <c r="D313">
        <v>643.5</v>
      </c>
      <c r="E313">
        <v>3.3542000000000001</v>
      </c>
    </row>
    <row r="314" spans="1:5" x14ac:dyDescent="0.55000000000000004">
      <c r="A314" t="s">
        <v>682</v>
      </c>
      <c r="B314">
        <v>58</v>
      </c>
      <c r="C314">
        <v>656.5</v>
      </c>
      <c r="D314">
        <v>635</v>
      </c>
      <c r="E314">
        <v>14.53454</v>
      </c>
    </row>
    <row r="315" spans="1:5" x14ac:dyDescent="0.55000000000000004">
      <c r="A315" t="s">
        <v>683</v>
      </c>
      <c r="B315">
        <v>59</v>
      </c>
      <c r="C315">
        <v>639.5</v>
      </c>
      <c r="D315">
        <v>637</v>
      </c>
      <c r="E315">
        <v>14.53454</v>
      </c>
    </row>
    <row r="316" spans="1:5" x14ac:dyDescent="0.55000000000000004">
      <c r="A316" t="s">
        <v>684</v>
      </c>
      <c r="B316">
        <v>58</v>
      </c>
      <c r="C316">
        <v>635</v>
      </c>
      <c r="D316">
        <v>631.5</v>
      </c>
      <c r="E316">
        <v>9.1242400000000004</v>
      </c>
    </row>
    <row r="317" spans="1:5" x14ac:dyDescent="0.55000000000000004">
      <c r="A317" t="s">
        <v>685</v>
      </c>
      <c r="B317">
        <v>59</v>
      </c>
      <c r="C317">
        <v>636.5</v>
      </c>
      <c r="D317">
        <v>640</v>
      </c>
      <c r="E317">
        <v>14.53454</v>
      </c>
    </row>
    <row r="318" spans="1:5" x14ac:dyDescent="0.55000000000000004">
      <c r="A318" t="s">
        <v>686</v>
      </c>
      <c r="B318">
        <v>59</v>
      </c>
      <c r="C318">
        <v>636.5</v>
      </c>
      <c r="D318">
        <v>636</v>
      </c>
      <c r="E318">
        <v>3.6401500000000002</v>
      </c>
    </row>
    <row r="319" spans="1:5" x14ac:dyDescent="0.55000000000000004">
      <c r="A319" t="s">
        <v>687</v>
      </c>
      <c r="B319">
        <v>60</v>
      </c>
      <c r="C319">
        <v>641.5</v>
      </c>
      <c r="D319">
        <v>638</v>
      </c>
      <c r="E319">
        <v>14.53454</v>
      </c>
    </row>
    <row r="320" spans="1:5" x14ac:dyDescent="0.55000000000000004">
      <c r="A320" t="s">
        <v>688</v>
      </c>
      <c r="B320">
        <v>59</v>
      </c>
      <c r="C320">
        <v>651.5</v>
      </c>
      <c r="D320">
        <v>633</v>
      </c>
      <c r="E320">
        <v>14.53454</v>
      </c>
    </row>
    <row r="321" spans="1:5" x14ac:dyDescent="0.55000000000000004">
      <c r="A321" t="s">
        <v>689</v>
      </c>
      <c r="B321">
        <v>59</v>
      </c>
      <c r="C321">
        <v>623.5</v>
      </c>
      <c r="D321">
        <v>632</v>
      </c>
      <c r="E321">
        <v>14.53454</v>
      </c>
    </row>
    <row r="322" spans="1:5" x14ac:dyDescent="0.55000000000000004">
      <c r="A322" t="s">
        <v>690</v>
      </c>
      <c r="B322">
        <v>59</v>
      </c>
      <c r="C322">
        <v>624</v>
      </c>
      <c r="D322">
        <v>634.5</v>
      </c>
      <c r="E322">
        <v>14.08023</v>
      </c>
    </row>
    <row r="323" spans="1:5" x14ac:dyDescent="0.55000000000000004">
      <c r="A323" t="s">
        <v>691</v>
      </c>
      <c r="B323">
        <v>59</v>
      </c>
      <c r="C323">
        <v>637.5</v>
      </c>
      <c r="D323">
        <v>633</v>
      </c>
      <c r="E323">
        <v>14.53454</v>
      </c>
    </row>
    <row r="324" spans="1:5" x14ac:dyDescent="0.55000000000000004">
      <c r="A324" t="s">
        <v>692</v>
      </c>
      <c r="B324">
        <v>60</v>
      </c>
      <c r="C324">
        <v>621.5</v>
      </c>
      <c r="D324">
        <v>639.5</v>
      </c>
      <c r="E324">
        <v>14.57748</v>
      </c>
    </row>
    <row r="325" spans="1:5" x14ac:dyDescent="0.55000000000000004">
      <c r="A325" t="s">
        <v>693</v>
      </c>
      <c r="B325">
        <v>60</v>
      </c>
      <c r="C325">
        <v>629</v>
      </c>
      <c r="D325">
        <v>634.5</v>
      </c>
      <c r="E325">
        <v>14.08023</v>
      </c>
    </row>
    <row r="326" spans="1:5" x14ac:dyDescent="0.55000000000000004">
      <c r="A326" t="s">
        <v>694</v>
      </c>
      <c r="B326">
        <v>61</v>
      </c>
      <c r="C326">
        <v>641</v>
      </c>
      <c r="D326">
        <v>634.5</v>
      </c>
      <c r="E326">
        <v>14.22156</v>
      </c>
    </row>
    <row r="327" spans="1:5" x14ac:dyDescent="0.55000000000000004">
      <c r="A327" t="s">
        <v>695</v>
      </c>
      <c r="B327">
        <v>62</v>
      </c>
      <c r="C327">
        <v>639</v>
      </c>
      <c r="D327">
        <v>637.5</v>
      </c>
      <c r="E327">
        <v>10.111969999999999</v>
      </c>
    </row>
    <row r="328" spans="1:5" x14ac:dyDescent="0.55000000000000004">
      <c r="A328" t="s">
        <v>696</v>
      </c>
      <c r="B328">
        <v>61</v>
      </c>
      <c r="C328">
        <v>635</v>
      </c>
      <c r="D328">
        <v>636</v>
      </c>
      <c r="E328">
        <v>15.0334</v>
      </c>
    </row>
    <row r="329" spans="1:5" x14ac:dyDescent="0.55000000000000004">
      <c r="A329" t="s">
        <v>697</v>
      </c>
      <c r="B329">
        <v>60</v>
      </c>
      <c r="C329">
        <v>653.5</v>
      </c>
      <c r="D329">
        <v>633</v>
      </c>
      <c r="E329">
        <v>14.53454</v>
      </c>
    </row>
    <row r="330" spans="1:5" x14ac:dyDescent="0.55000000000000004">
      <c r="A330" t="s">
        <v>698</v>
      </c>
      <c r="B330">
        <v>60</v>
      </c>
      <c r="C330">
        <v>634.5</v>
      </c>
      <c r="D330">
        <v>633</v>
      </c>
      <c r="E330">
        <v>9.7083399999999997</v>
      </c>
    </row>
    <row r="331" spans="1:5" x14ac:dyDescent="0.55000000000000004">
      <c r="A331" t="s">
        <v>699</v>
      </c>
      <c r="B331">
        <v>60</v>
      </c>
      <c r="C331">
        <v>625.5</v>
      </c>
      <c r="D331">
        <v>633</v>
      </c>
      <c r="E331">
        <v>14.53454</v>
      </c>
    </row>
    <row r="332" spans="1:5" x14ac:dyDescent="0.55000000000000004">
      <c r="A332" t="s">
        <v>700</v>
      </c>
      <c r="B332">
        <v>60</v>
      </c>
      <c r="C332">
        <v>649.5</v>
      </c>
      <c r="D332">
        <v>634</v>
      </c>
      <c r="E332">
        <v>14.53454</v>
      </c>
    </row>
    <row r="333" spans="1:5" x14ac:dyDescent="0.55000000000000004">
      <c r="A333" t="s">
        <v>701</v>
      </c>
      <c r="B333">
        <v>62</v>
      </c>
      <c r="C333">
        <v>640.5</v>
      </c>
      <c r="D333">
        <v>638.5</v>
      </c>
      <c r="E333">
        <v>14.57748</v>
      </c>
    </row>
    <row r="334" spans="1:5" x14ac:dyDescent="0.55000000000000004">
      <c r="A334" t="s">
        <v>702</v>
      </c>
      <c r="B334">
        <v>62</v>
      </c>
      <c r="C334">
        <v>624</v>
      </c>
      <c r="D334">
        <v>634.5</v>
      </c>
      <c r="E334">
        <v>7.4331300000000002</v>
      </c>
    </row>
    <row r="335" spans="1:5" x14ac:dyDescent="0.55000000000000004">
      <c r="A335" t="s">
        <v>703</v>
      </c>
      <c r="B335">
        <v>64</v>
      </c>
      <c r="C335">
        <v>636.5</v>
      </c>
      <c r="D335">
        <v>638</v>
      </c>
      <c r="E335">
        <v>14.53454</v>
      </c>
    </row>
    <row r="336" spans="1:5" x14ac:dyDescent="0.55000000000000004">
      <c r="A336" t="s">
        <v>704</v>
      </c>
      <c r="B336">
        <v>63</v>
      </c>
      <c r="C336">
        <v>642</v>
      </c>
      <c r="D336">
        <v>636</v>
      </c>
      <c r="E336">
        <v>15.0334</v>
      </c>
    </row>
    <row r="337" spans="1:5" x14ac:dyDescent="0.55000000000000004">
      <c r="A337" t="s">
        <v>705</v>
      </c>
      <c r="B337">
        <v>63</v>
      </c>
      <c r="C337">
        <v>633</v>
      </c>
      <c r="D337">
        <v>638</v>
      </c>
      <c r="E337">
        <v>9.2196400000000001</v>
      </c>
    </row>
    <row r="338" spans="1:5" x14ac:dyDescent="0.55000000000000004">
      <c r="A338" t="s">
        <v>706</v>
      </c>
      <c r="B338">
        <v>63</v>
      </c>
      <c r="C338">
        <v>643</v>
      </c>
      <c r="D338">
        <v>633.5</v>
      </c>
      <c r="E338">
        <v>10.111969999999999</v>
      </c>
    </row>
    <row r="339" spans="1:5" x14ac:dyDescent="0.55000000000000004">
      <c r="A339" t="s">
        <v>707</v>
      </c>
      <c r="B339">
        <v>63</v>
      </c>
      <c r="C339">
        <v>630.5</v>
      </c>
      <c r="D339">
        <v>639</v>
      </c>
      <c r="E339">
        <v>14.53454</v>
      </c>
    </row>
    <row r="340" spans="1:5" x14ac:dyDescent="0.55000000000000004">
      <c r="A340" t="s">
        <v>708</v>
      </c>
      <c r="B340">
        <v>62</v>
      </c>
      <c r="C340">
        <v>654</v>
      </c>
      <c r="D340">
        <v>632</v>
      </c>
      <c r="E340">
        <v>15.0334</v>
      </c>
    </row>
    <row r="341" spans="1:5" x14ac:dyDescent="0.55000000000000004">
      <c r="A341" t="s">
        <v>709</v>
      </c>
      <c r="B341">
        <v>63</v>
      </c>
      <c r="C341">
        <v>633.5</v>
      </c>
      <c r="D341">
        <v>636</v>
      </c>
      <c r="E341">
        <v>14.53454</v>
      </c>
    </row>
    <row r="342" spans="1:5" x14ac:dyDescent="0.55000000000000004">
      <c r="A342" t="s">
        <v>710</v>
      </c>
      <c r="B342">
        <v>62</v>
      </c>
      <c r="C342">
        <v>623.5</v>
      </c>
      <c r="D342">
        <v>635</v>
      </c>
      <c r="E342">
        <v>14.53454</v>
      </c>
    </row>
    <row r="343" spans="1:5" x14ac:dyDescent="0.55000000000000004">
      <c r="A343" t="s">
        <v>711</v>
      </c>
      <c r="B343">
        <v>62</v>
      </c>
      <c r="C343">
        <v>644</v>
      </c>
      <c r="D343">
        <v>633.5</v>
      </c>
      <c r="E343">
        <v>14.08023</v>
      </c>
    </row>
    <row r="344" spans="1:5" x14ac:dyDescent="0.55000000000000004">
      <c r="A344" t="s">
        <v>712</v>
      </c>
      <c r="B344">
        <v>63</v>
      </c>
      <c r="C344">
        <v>635.5</v>
      </c>
      <c r="D344">
        <v>635</v>
      </c>
      <c r="E344">
        <v>14.53454</v>
      </c>
    </row>
    <row r="345" spans="1:5" x14ac:dyDescent="0.55000000000000004">
      <c r="A345" t="s">
        <v>713</v>
      </c>
      <c r="B345">
        <v>62</v>
      </c>
      <c r="C345">
        <v>663</v>
      </c>
      <c r="D345">
        <v>635.5</v>
      </c>
      <c r="E345">
        <v>4.2721</v>
      </c>
    </row>
    <row r="346" spans="1:5" x14ac:dyDescent="0.55000000000000004">
      <c r="A346" t="s">
        <v>714</v>
      </c>
      <c r="B346">
        <v>65</v>
      </c>
      <c r="C346">
        <v>641</v>
      </c>
      <c r="D346">
        <v>637</v>
      </c>
      <c r="E346">
        <v>15.0334</v>
      </c>
    </row>
    <row r="347" spans="1:5" x14ac:dyDescent="0.55000000000000004">
      <c r="A347" t="s">
        <v>715</v>
      </c>
      <c r="B347">
        <v>65</v>
      </c>
      <c r="C347">
        <v>643.38463999999999</v>
      </c>
      <c r="D347">
        <v>635</v>
      </c>
      <c r="E347">
        <v>6.6906100000000004</v>
      </c>
    </row>
    <row r="348" spans="1:5" x14ac:dyDescent="0.55000000000000004">
      <c r="A348" t="s">
        <v>716</v>
      </c>
      <c r="B348">
        <v>65</v>
      </c>
      <c r="C348">
        <v>646.5</v>
      </c>
      <c r="D348">
        <v>634.5</v>
      </c>
      <c r="E348">
        <v>14.57748</v>
      </c>
    </row>
    <row r="349" spans="1:5" x14ac:dyDescent="0.55000000000000004">
      <c r="A349" t="s">
        <v>717</v>
      </c>
      <c r="B349">
        <v>64</v>
      </c>
      <c r="C349">
        <v>633.5</v>
      </c>
      <c r="D349">
        <v>633</v>
      </c>
      <c r="E349">
        <v>10.688879999999999</v>
      </c>
    </row>
    <row r="350" spans="1:5" x14ac:dyDescent="0.55000000000000004">
      <c r="A350" t="s">
        <v>718</v>
      </c>
      <c r="B350">
        <v>64</v>
      </c>
      <c r="C350">
        <v>631</v>
      </c>
      <c r="D350">
        <v>631.5</v>
      </c>
      <c r="E350">
        <v>14.08023</v>
      </c>
    </row>
    <row r="351" spans="1:5" x14ac:dyDescent="0.55000000000000004">
      <c r="A351" t="s">
        <v>719</v>
      </c>
      <c r="B351">
        <v>64</v>
      </c>
      <c r="C351">
        <v>641</v>
      </c>
      <c r="D351">
        <v>633</v>
      </c>
      <c r="E351">
        <v>15.0334</v>
      </c>
    </row>
    <row r="352" spans="1:5" x14ac:dyDescent="0.55000000000000004">
      <c r="A352" t="s">
        <v>720</v>
      </c>
      <c r="B352">
        <v>63</v>
      </c>
      <c r="C352">
        <v>625</v>
      </c>
      <c r="D352">
        <v>632</v>
      </c>
      <c r="E352">
        <v>14.035769999999999</v>
      </c>
    </row>
    <row r="353" spans="1:5" x14ac:dyDescent="0.55000000000000004">
      <c r="A353" t="s">
        <v>721</v>
      </c>
      <c r="B353">
        <v>65</v>
      </c>
      <c r="C353">
        <v>627.5</v>
      </c>
      <c r="D353">
        <v>638</v>
      </c>
      <c r="E353">
        <v>14.53454</v>
      </c>
    </row>
    <row r="354" spans="1:5" x14ac:dyDescent="0.55000000000000004">
      <c r="A354" t="s">
        <v>722</v>
      </c>
      <c r="B354">
        <v>65</v>
      </c>
      <c r="C354">
        <v>660</v>
      </c>
      <c r="D354">
        <v>635.5</v>
      </c>
      <c r="E354">
        <v>3.3542000000000001</v>
      </c>
    </row>
    <row r="355" spans="1:5" x14ac:dyDescent="0.55000000000000004">
      <c r="A355" t="s">
        <v>723</v>
      </c>
      <c r="B355">
        <v>64</v>
      </c>
      <c r="C355">
        <v>634</v>
      </c>
      <c r="D355">
        <v>636.5</v>
      </c>
      <c r="E355">
        <v>5.2202500000000001</v>
      </c>
    </row>
    <row r="356" spans="1:5" x14ac:dyDescent="0.55000000000000004">
      <c r="A356" t="s">
        <v>724</v>
      </c>
      <c r="B356">
        <v>63</v>
      </c>
      <c r="C356">
        <v>637.5</v>
      </c>
      <c r="D356">
        <v>633</v>
      </c>
      <c r="E356">
        <v>14.53454</v>
      </c>
    </row>
    <row r="357" spans="1:5" x14ac:dyDescent="0.55000000000000004">
      <c r="A357" t="s">
        <v>725</v>
      </c>
      <c r="B357">
        <v>63</v>
      </c>
      <c r="C357">
        <v>637.5</v>
      </c>
      <c r="D357">
        <v>631</v>
      </c>
      <c r="E357">
        <v>14.53454</v>
      </c>
    </row>
    <row r="358" spans="1:5" x14ac:dyDescent="0.55000000000000004">
      <c r="A358" t="s">
        <v>726</v>
      </c>
      <c r="B358">
        <v>64</v>
      </c>
      <c r="C358">
        <v>637</v>
      </c>
      <c r="D358">
        <v>634</v>
      </c>
      <c r="E358">
        <v>15.0334</v>
      </c>
    </row>
    <row r="359" spans="1:5" x14ac:dyDescent="0.55000000000000004">
      <c r="A359" t="s">
        <v>727</v>
      </c>
      <c r="B359">
        <v>64</v>
      </c>
      <c r="C359">
        <v>633.5</v>
      </c>
      <c r="D359">
        <v>633</v>
      </c>
      <c r="E359">
        <v>10.688879999999999</v>
      </c>
    </row>
    <row r="360" spans="1:5" x14ac:dyDescent="0.55000000000000004">
      <c r="A360" t="s">
        <v>728</v>
      </c>
      <c r="B360">
        <v>64</v>
      </c>
      <c r="C360">
        <v>634.5</v>
      </c>
      <c r="D360">
        <v>631</v>
      </c>
      <c r="E360">
        <v>14.53454</v>
      </c>
    </row>
    <row r="361" spans="1:5" x14ac:dyDescent="0.55000000000000004">
      <c r="A361" t="s">
        <v>729</v>
      </c>
      <c r="B361">
        <v>66</v>
      </c>
      <c r="C361">
        <v>621.5</v>
      </c>
      <c r="D361">
        <v>636.5</v>
      </c>
      <c r="E361">
        <v>14.57748</v>
      </c>
    </row>
    <row r="362" spans="1:5" x14ac:dyDescent="0.55000000000000004">
      <c r="A362" t="s">
        <v>730</v>
      </c>
      <c r="B362">
        <v>67</v>
      </c>
      <c r="C362">
        <v>631.5</v>
      </c>
      <c r="D362">
        <v>638</v>
      </c>
      <c r="E362">
        <v>14.53454</v>
      </c>
    </row>
    <row r="363" spans="1:5" x14ac:dyDescent="0.55000000000000004">
      <c r="A363" t="s">
        <v>731</v>
      </c>
      <c r="B363">
        <v>65</v>
      </c>
      <c r="C363">
        <v>634.5</v>
      </c>
      <c r="D363">
        <v>632</v>
      </c>
      <c r="E363">
        <v>14.53454</v>
      </c>
    </row>
    <row r="364" spans="1:5" x14ac:dyDescent="0.55000000000000004">
      <c r="A364" t="s">
        <v>732</v>
      </c>
      <c r="B364">
        <v>66</v>
      </c>
      <c r="C364">
        <v>634.5</v>
      </c>
      <c r="D364">
        <v>634.5</v>
      </c>
      <c r="E364">
        <v>14.57748</v>
      </c>
    </row>
    <row r="365" spans="1:5" x14ac:dyDescent="0.55000000000000004">
      <c r="A365" t="s">
        <v>733</v>
      </c>
      <c r="B365">
        <v>73</v>
      </c>
      <c r="C365">
        <v>635</v>
      </c>
      <c r="D365">
        <v>666</v>
      </c>
      <c r="E365">
        <v>16.031320000000001</v>
      </c>
    </row>
    <row r="366" spans="1:5" x14ac:dyDescent="0.55000000000000004">
      <c r="A366" t="s">
        <v>734</v>
      </c>
      <c r="B366">
        <v>68</v>
      </c>
      <c r="C366">
        <v>634.5</v>
      </c>
      <c r="D366">
        <v>639</v>
      </c>
      <c r="E366">
        <v>14.53454</v>
      </c>
    </row>
    <row r="367" spans="1:5" x14ac:dyDescent="0.55000000000000004">
      <c r="A367" t="s">
        <v>735</v>
      </c>
      <c r="B367">
        <v>66</v>
      </c>
      <c r="C367">
        <v>629</v>
      </c>
      <c r="D367">
        <v>632.5</v>
      </c>
      <c r="E367">
        <v>14.08023</v>
      </c>
    </row>
    <row r="368" spans="1:5" x14ac:dyDescent="0.55000000000000004">
      <c r="A368" t="s">
        <v>736</v>
      </c>
      <c r="B368">
        <v>67</v>
      </c>
      <c r="C368">
        <v>650.5</v>
      </c>
      <c r="D368">
        <v>636.5</v>
      </c>
      <c r="E368">
        <v>14.57748</v>
      </c>
    </row>
    <row r="369" spans="1:5" x14ac:dyDescent="0.55000000000000004">
      <c r="A369" t="s">
        <v>737</v>
      </c>
      <c r="B369">
        <v>67</v>
      </c>
      <c r="C369">
        <v>651.5</v>
      </c>
      <c r="D369">
        <v>636.5</v>
      </c>
      <c r="E369">
        <v>14.57748</v>
      </c>
    </row>
    <row r="370" spans="1:5" x14ac:dyDescent="0.55000000000000004">
      <c r="A370" t="s">
        <v>738</v>
      </c>
      <c r="B370">
        <v>67</v>
      </c>
      <c r="C370">
        <v>650</v>
      </c>
      <c r="D370">
        <v>636</v>
      </c>
      <c r="E370">
        <v>15.0334</v>
      </c>
    </row>
    <row r="371" spans="1:5" x14ac:dyDescent="0.55000000000000004">
      <c r="A371" t="s">
        <v>739</v>
      </c>
      <c r="B371">
        <v>65</v>
      </c>
      <c r="C371">
        <v>623.5</v>
      </c>
      <c r="D371">
        <v>632</v>
      </c>
      <c r="E371">
        <v>8.7322199999999999</v>
      </c>
    </row>
    <row r="372" spans="1:5" x14ac:dyDescent="0.55000000000000004">
      <c r="A372" t="s">
        <v>740</v>
      </c>
      <c r="B372">
        <v>68</v>
      </c>
      <c r="C372">
        <v>637.5</v>
      </c>
      <c r="D372">
        <v>639.5</v>
      </c>
      <c r="E372">
        <v>14.57748</v>
      </c>
    </row>
    <row r="373" spans="1:5" x14ac:dyDescent="0.55000000000000004">
      <c r="A373" t="s">
        <v>741</v>
      </c>
      <c r="B373">
        <v>66</v>
      </c>
      <c r="C373">
        <v>649.5</v>
      </c>
      <c r="D373">
        <v>635.5</v>
      </c>
      <c r="E373">
        <v>14.57748</v>
      </c>
    </row>
    <row r="374" spans="1:5" x14ac:dyDescent="0.55000000000000004">
      <c r="A374" t="s">
        <v>742</v>
      </c>
      <c r="B374">
        <v>69</v>
      </c>
      <c r="C374">
        <v>633</v>
      </c>
      <c r="D374">
        <v>636</v>
      </c>
      <c r="E374">
        <v>15.0334</v>
      </c>
    </row>
    <row r="375" spans="1:5" x14ac:dyDescent="0.55000000000000004">
      <c r="A375" t="s">
        <v>743</v>
      </c>
      <c r="B375">
        <v>69</v>
      </c>
      <c r="C375">
        <v>644</v>
      </c>
      <c r="D375">
        <v>634</v>
      </c>
      <c r="E375">
        <v>6.0828600000000002</v>
      </c>
    </row>
    <row r="376" spans="1:5" x14ac:dyDescent="0.55000000000000004">
      <c r="A376" t="s">
        <v>744</v>
      </c>
      <c r="B376">
        <v>67</v>
      </c>
      <c r="C376">
        <v>649.5</v>
      </c>
      <c r="D376">
        <v>632</v>
      </c>
      <c r="E376">
        <v>14.53454</v>
      </c>
    </row>
    <row r="377" spans="1:5" x14ac:dyDescent="0.55000000000000004">
      <c r="A377" t="s">
        <v>745</v>
      </c>
      <c r="B377">
        <v>66</v>
      </c>
      <c r="C377">
        <v>631.5</v>
      </c>
      <c r="D377">
        <v>631</v>
      </c>
      <c r="E377">
        <v>14.53454</v>
      </c>
    </row>
    <row r="378" spans="1:5" x14ac:dyDescent="0.55000000000000004">
      <c r="A378" t="s">
        <v>746</v>
      </c>
      <c r="B378">
        <v>68</v>
      </c>
      <c r="C378">
        <v>641</v>
      </c>
      <c r="D378">
        <v>634</v>
      </c>
      <c r="E378">
        <v>15.0334</v>
      </c>
    </row>
    <row r="379" spans="1:5" x14ac:dyDescent="0.55000000000000004">
      <c r="A379" t="s">
        <v>747</v>
      </c>
      <c r="B379">
        <v>69</v>
      </c>
      <c r="C379">
        <v>637.5</v>
      </c>
      <c r="D379">
        <v>636</v>
      </c>
      <c r="E379">
        <v>14.53454</v>
      </c>
    </row>
    <row r="380" spans="1:5" x14ac:dyDescent="0.55000000000000004">
      <c r="A380" t="s">
        <v>748</v>
      </c>
      <c r="B380">
        <v>68</v>
      </c>
      <c r="C380">
        <v>646</v>
      </c>
      <c r="D380">
        <v>632</v>
      </c>
      <c r="E380">
        <v>14.035769999999999</v>
      </c>
    </row>
    <row r="381" spans="1:5" x14ac:dyDescent="0.55000000000000004">
      <c r="A381" t="s">
        <v>749</v>
      </c>
      <c r="B381">
        <v>69</v>
      </c>
      <c r="C381">
        <v>637.5</v>
      </c>
      <c r="D381">
        <v>636</v>
      </c>
      <c r="E381">
        <v>14.53454</v>
      </c>
    </row>
    <row r="382" spans="1:5" x14ac:dyDescent="0.55000000000000004">
      <c r="A382" t="s">
        <v>750</v>
      </c>
      <c r="B382">
        <v>68</v>
      </c>
      <c r="C382">
        <v>649.5</v>
      </c>
      <c r="D382">
        <v>632.5</v>
      </c>
      <c r="E382">
        <v>2.9155799999999998</v>
      </c>
    </row>
    <row r="383" spans="1:5" x14ac:dyDescent="0.55000000000000004">
      <c r="A383" t="s">
        <v>751</v>
      </c>
      <c r="B383">
        <v>67</v>
      </c>
      <c r="C383">
        <v>650.5</v>
      </c>
      <c r="D383">
        <v>635</v>
      </c>
      <c r="E383">
        <v>14.53454</v>
      </c>
    </row>
    <row r="384" spans="1:5" x14ac:dyDescent="0.55000000000000004">
      <c r="A384" t="s">
        <v>752</v>
      </c>
      <c r="B384">
        <v>70</v>
      </c>
      <c r="C384">
        <v>635</v>
      </c>
      <c r="D384">
        <v>635</v>
      </c>
      <c r="E384">
        <v>15.0334</v>
      </c>
    </row>
    <row r="385" spans="1:5" x14ac:dyDescent="0.55000000000000004">
      <c r="A385" t="s">
        <v>753</v>
      </c>
      <c r="B385">
        <v>71</v>
      </c>
      <c r="C385">
        <v>662.5</v>
      </c>
      <c r="D385">
        <v>634.5</v>
      </c>
      <c r="E385">
        <v>3.8079900000000002</v>
      </c>
    </row>
    <row r="386" spans="1:5" x14ac:dyDescent="0.55000000000000004">
      <c r="A386" t="s">
        <v>754</v>
      </c>
      <c r="B386">
        <v>69</v>
      </c>
      <c r="C386">
        <v>624</v>
      </c>
      <c r="D386">
        <v>631</v>
      </c>
      <c r="E386">
        <v>14.035769999999999</v>
      </c>
    </row>
    <row r="387" spans="1:5" x14ac:dyDescent="0.55000000000000004">
      <c r="A387" t="s">
        <v>755</v>
      </c>
      <c r="B387">
        <v>71</v>
      </c>
      <c r="C387">
        <v>642.5</v>
      </c>
      <c r="D387">
        <v>631</v>
      </c>
      <c r="E387">
        <v>14.53454</v>
      </c>
    </row>
    <row r="388" spans="1:5" x14ac:dyDescent="0.55000000000000004">
      <c r="A388" t="s">
        <v>756</v>
      </c>
      <c r="B388">
        <v>71</v>
      </c>
      <c r="C388">
        <v>647.5</v>
      </c>
      <c r="D388">
        <v>635</v>
      </c>
      <c r="E388">
        <v>14.53454</v>
      </c>
    </row>
    <row r="389" spans="1:5" x14ac:dyDescent="0.55000000000000004">
      <c r="A389" t="s">
        <v>757</v>
      </c>
      <c r="B389">
        <v>72</v>
      </c>
      <c r="C389">
        <v>639</v>
      </c>
      <c r="D389">
        <v>636</v>
      </c>
      <c r="E389">
        <v>15.0334</v>
      </c>
    </row>
    <row r="390" spans="1:5" x14ac:dyDescent="0.55000000000000004">
      <c r="A390" t="s">
        <v>758</v>
      </c>
      <c r="B390">
        <v>73</v>
      </c>
      <c r="C390">
        <v>638.5</v>
      </c>
      <c r="D390">
        <v>635</v>
      </c>
      <c r="E390">
        <v>14.53454</v>
      </c>
    </row>
    <row r="391" spans="1:5" x14ac:dyDescent="0.55000000000000004">
      <c r="A391" t="s">
        <v>759</v>
      </c>
      <c r="B391">
        <v>72</v>
      </c>
      <c r="C391">
        <v>655.5</v>
      </c>
      <c r="D391">
        <v>631</v>
      </c>
      <c r="E391">
        <v>5.8524500000000002</v>
      </c>
    </row>
    <row r="392" spans="1:5" x14ac:dyDescent="0.55000000000000004">
      <c r="A392" t="s">
        <v>760</v>
      </c>
      <c r="B392">
        <v>73</v>
      </c>
      <c r="C392">
        <v>626.5</v>
      </c>
      <c r="D392">
        <v>632</v>
      </c>
      <c r="E392">
        <v>14.53454</v>
      </c>
    </row>
    <row r="393" spans="1:5" x14ac:dyDescent="0.55000000000000004">
      <c r="A393" t="s">
        <v>761</v>
      </c>
      <c r="B393">
        <v>75</v>
      </c>
      <c r="C393">
        <v>640</v>
      </c>
      <c r="D393">
        <v>636</v>
      </c>
      <c r="E393">
        <v>15.0334</v>
      </c>
    </row>
    <row r="394" spans="1:5" x14ac:dyDescent="0.55000000000000004">
      <c r="A394" t="s">
        <v>762</v>
      </c>
      <c r="B394">
        <v>73</v>
      </c>
      <c r="C394">
        <v>636.5</v>
      </c>
      <c r="D394">
        <v>635</v>
      </c>
      <c r="E394">
        <v>14.53454</v>
      </c>
    </row>
    <row r="395" spans="1:5" x14ac:dyDescent="0.55000000000000004">
      <c r="A395" t="s">
        <v>763</v>
      </c>
      <c r="B395">
        <v>73</v>
      </c>
      <c r="C395">
        <v>640</v>
      </c>
      <c r="D395">
        <v>631.5</v>
      </c>
      <c r="E395">
        <v>14.08023</v>
      </c>
    </row>
    <row r="396" spans="1:5" x14ac:dyDescent="0.55000000000000004">
      <c r="A396" t="s">
        <v>764</v>
      </c>
      <c r="B396">
        <v>73</v>
      </c>
      <c r="C396">
        <v>635</v>
      </c>
      <c r="D396">
        <v>633.5</v>
      </c>
      <c r="E396">
        <v>11.101900000000001</v>
      </c>
    </row>
    <row r="397" spans="1:5" x14ac:dyDescent="0.55000000000000004">
      <c r="A397" t="s">
        <v>765</v>
      </c>
      <c r="B397">
        <v>73</v>
      </c>
      <c r="C397">
        <v>653</v>
      </c>
      <c r="D397">
        <v>634</v>
      </c>
      <c r="E397">
        <v>3.1623800000000002</v>
      </c>
    </row>
    <row r="398" spans="1:5" x14ac:dyDescent="0.55000000000000004">
      <c r="A398" t="s">
        <v>766</v>
      </c>
      <c r="B398">
        <v>73</v>
      </c>
      <c r="C398">
        <v>640</v>
      </c>
      <c r="D398">
        <v>632</v>
      </c>
      <c r="E398">
        <v>14.035769999999999</v>
      </c>
    </row>
    <row r="399" spans="1:5" x14ac:dyDescent="0.55000000000000004">
      <c r="A399" t="s">
        <v>767</v>
      </c>
      <c r="B399">
        <v>72</v>
      </c>
      <c r="C399">
        <v>635.5</v>
      </c>
      <c r="D399">
        <v>631</v>
      </c>
      <c r="E399">
        <v>14.53454</v>
      </c>
    </row>
    <row r="400" spans="1:5" x14ac:dyDescent="0.55000000000000004">
      <c r="A400" t="s">
        <v>768</v>
      </c>
      <c r="B400">
        <v>75</v>
      </c>
      <c r="C400">
        <v>643</v>
      </c>
      <c r="D400">
        <v>636</v>
      </c>
      <c r="E400">
        <v>16.031320000000001</v>
      </c>
    </row>
    <row r="401" spans="1:5" x14ac:dyDescent="0.55000000000000004">
      <c r="A401" t="s">
        <v>769</v>
      </c>
      <c r="B401">
        <v>75</v>
      </c>
      <c r="C401">
        <v>649</v>
      </c>
      <c r="D401">
        <v>632.5</v>
      </c>
      <c r="E401">
        <v>2.5001000000000002</v>
      </c>
    </row>
    <row r="402" spans="1:5" x14ac:dyDescent="0.55000000000000004">
      <c r="A402" t="s">
        <v>770</v>
      </c>
      <c r="B402">
        <v>77</v>
      </c>
      <c r="C402">
        <v>640</v>
      </c>
      <c r="D402">
        <v>635.5</v>
      </c>
      <c r="E402">
        <v>15.074909999999999</v>
      </c>
    </row>
    <row r="403" spans="1:5" x14ac:dyDescent="0.55000000000000004">
      <c r="A403" t="s">
        <v>771</v>
      </c>
      <c r="B403">
        <v>75</v>
      </c>
      <c r="C403">
        <v>634.5</v>
      </c>
      <c r="D403">
        <v>631</v>
      </c>
      <c r="E403">
        <v>14.53454</v>
      </c>
    </row>
    <row r="404" spans="1:5" x14ac:dyDescent="0.55000000000000004">
      <c r="A404" t="s">
        <v>772</v>
      </c>
      <c r="B404">
        <v>75</v>
      </c>
      <c r="C404">
        <v>629</v>
      </c>
      <c r="D404">
        <v>634.5</v>
      </c>
      <c r="E404">
        <v>14.08023</v>
      </c>
    </row>
    <row r="405" spans="1:5" x14ac:dyDescent="0.55000000000000004">
      <c r="A405" t="s">
        <v>773</v>
      </c>
      <c r="B405">
        <v>75</v>
      </c>
      <c r="C405">
        <v>651.5</v>
      </c>
      <c r="D405">
        <v>632.5</v>
      </c>
      <c r="E405">
        <v>5.1479200000000001</v>
      </c>
    </row>
    <row r="406" spans="1:5" x14ac:dyDescent="0.55000000000000004">
      <c r="A406" t="s">
        <v>774</v>
      </c>
      <c r="B406">
        <v>76</v>
      </c>
      <c r="C406">
        <v>637.5</v>
      </c>
      <c r="D406">
        <v>634.5</v>
      </c>
      <c r="E406">
        <v>14.57748</v>
      </c>
    </row>
    <row r="407" spans="1:5" x14ac:dyDescent="0.55000000000000004">
      <c r="A407" t="s">
        <v>775</v>
      </c>
      <c r="B407">
        <v>75</v>
      </c>
      <c r="C407">
        <v>644.5</v>
      </c>
      <c r="D407">
        <v>631</v>
      </c>
      <c r="E407">
        <v>14.53454</v>
      </c>
    </row>
    <row r="408" spans="1:5" x14ac:dyDescent="0.55000000000000004">
      <c r="A408" t="s">
        <v>776</v>
      </c>
      <c r="B408">
        <v>76</v>
      </c>
      <c r="C408">
        <v>651</v>
      </c>
      <c r="D408">
        <v>630.5</v>
      </c>
      <c r="E408">
        <v>14.08023</v>
      </c>
    </row>
    <row r="409" spans="1:5" x14ac:dyDescent="0.55000000000000004">
      <c r="A409" t="s">
        <v>777</v>
      </c>
      <c r="B409">
        <v>76</v>
      </c>
      <c r="C409">
        <v>644.5</v>
      </c>
      <c r="D409">
        <v>635.5</v>
      </c>
      <c r="E409">
        <v>7.6486299999999998</v>
      </c>
    </row>
    <row r="410" spans="1:5" x14ac:dyDescent="0.55000000000000004">
      <c r="A410" t="s">
        <v>778</v>
      </c>
      <c r="B410">
        <v>75</v>
      </c>
      <c r="C410">
        <v>625.5</v>
      </c>
      <c r="D410">
        <v>633.5</v>
      </c>
      <c r="E410">
        <v>14.57748</v>
      </c>
    </row>
    <row r="411" spans="1:5" x14ac:dyDescent="0.55000000000000004">
      <c r="A411" t="s">
        <v>779</v>
      </c>
      <c r="B411">
        <v>76</v>
      </c>
      <c r="C411">
        <v>651.5</v>
      </c>
      <c r="D411">
        <v>633.5</v>
      </c>
      <c r="E411">
        <v>5.7009800000000004</v>
      </c>
    </row>
    <row r="412" spans="1:5" x14ac:dyDescent="0.55000000000000004">
      <c r="A412" t="s">
        <v>780</v>
      </c>
      <c r="B412">
        <v>77</v>
      </c>
      <c r="C412">
        <v>640</v>
      </c>
      <c r="D412">
        <v>636</v>
      </c>
      <c r="E412">
        <v>15.0334</v>
      </c>
    </row>
    <row r="413" spans="1:5" x14ac:dyDescent="0.55000000000000004">
      <c r="A413" t="s">
        <v>781</v>
      </c>
      <c r="B413">
        <v>75</v>
      </c>
      <c r="C413">
        <v>629.5</v>
      </c>
      <c r="D413">
        <v>634</v>
      </c>
      <c r="E413">
        <v>14.53454</v>
      </c>
    </row>
    <row r="414" spans="1:5" x14ac:dyDescent="0.55000000000000004">
      <c r="A414" t="s">
        <v>782</v>
      </c>
      <c r="B414">
        <v>77</v>
      </c>
      <c r="C414">
        <v>641.5</v>
      </c>
      <c r="D414">
        <v>632</v>
      </c>
      <c r="E414">
        <v>14.53454</v>
      </c>
    </row>
    <row r="415" spans="1:5" x14ac:dyDescent="0.55000000000000004">
      <c r="A415" t="s">
        <v>783</v>
      </c>
      <c r="B415">
        <v>78</v>
      </c>
      <c r="C415">
        <v>647</v>
      </c>
      <c r="D415">
        <v>632.5</v>
      </c>
      <c r="E415">
        <v>2.5001000000000002</v>
      </c>
    </row>
    <row r="416" spans="1:5" x14ac:dyDescent="0.55000000000000004">
      <c r="A416" t="s">
        <v>784</v>
      </c>
      <c r="B416">
        <v>79</v>
      </c>
      <c r="C416">
        <v>638.5</v>
      </c>
      <c r="D416">
        <v>632</v>
      </c>
      <c r="E416">
        <v>14.53454</v>
      </c>
    </row>
    <row r="417" spans="1:5" x14ac:dyDescent="0.55000000000000004">
      <c r="A417" t="s">
        <v>785</v>
      </c>
      <c r="B417">
        <v>79</v>
      </c>
      <c r="C417">
        <v>649.5</v>
      </c>
      <c r="D417">
        <v>634</v>
      </c>
      <c r="E417">
        <v>14.53454</v>
      </c>
    </row>
    <row r="418" spans="1:5" x14ac:dyDescent="0.55000000000000004">
      <c r="A418" t="s">
        <v>786</v>
      </c>
      <c r="B418">
        <v>80</v>
      </c>
      <c r="C418">
        <v>636.5</v>
      </c>
      <c r="D418">
        <v>634</v>
      </c>
      <c r="E418">
        <v>14.53454</v>
      </c>
    </row>
    <row r="419" spans="1:5" x14ac:dyDescent="0.55000000000000004">
      <c r="A419" t="s">
        <v>787</v>
      </c>
      <c r="B419">
        <v>79</v>
      </c>
      <c r="C419">
        <v>643.5</v>
      </c>
      <c r="D419">
        <v>633.5</v>
      </c>
      <c r="E419">
        <v>14.57748</v>
      </c>
    </row>
    <row r="420" spans="1:5" x14ac:dyDescent="0.55000000000000004">
      <c r="A420" t="s">
        <v>788</v>
      </c>
      <c r="B420">
        <v>79</v>
      </c>
      <c r="C420">
        <v>635.5</v>
      </c>
      <c r="D420">
        <v>632</v>
      </c>
      <c r="E420">
        <v>14.53454</v>
      </c>
    </row>
    <row r="421" spans="1:5" x14ac:dyDescent="0.55000000000000004">
      <c r="A421" t="s">
        <v>789</v>
      </c>
      <c r="B421">
        <v>80</v>
      </c>
      <c r="C421">
        <v>644.5</v>
      </c>
      <c r="D421">
        <v>635</v>
      </c>
      <c r="E421">
        <v>14.53454</v>
      </c>
    </row>
    <row r="422" spans="1:5" x14ac:dyDescent="0.55000000000000004">
      <c r="A422" t="s">
        <v>790</v>
      </c>
      <c r="B422">
        <v>80</v>
      </c>
      <c r="C422">
        <v>624.5</v>
      </c>
      <c r="D422">
        <v>634</v>
      </c>
      <c r="E422">
        <v>14.53454</v>
      </c>
    </row>
    <row r="423" spans="1:5" x14ac:dyDescent="0.55000000000000004">
      <c r="A423" t="s">
        <v>791</v>
      </c>
      <c r="B423">
        <v>78</v>
      </c>
      <c r="C423">
        <v>642</v>
      </c>
      <c r="D423">
        <v>635</v>
      </c>
      <c r="E423">
        <v>10.19814</v>
      </c>
    </row>
    <row r="424" spans="1:5" x14ac:dyDescent="0.55000000000000004">
      <c r="A424" t="s">
        <v>792</v>
      </c>
      <c r="B424">
        <v>79</v>
      </c>
      <c r="C424">
        <v>647</v>
      </c>
      <c r="D424">
        <v>631</v>
      </c>
      <c r="E424">
        <v>14.035769999999999</v>
      </c>
    </row>
    <row r="425" spans="1:5" x14ac:dyDescent="0.55000000000000004">
      <c r="A425" t="s">
        <v>801</v>
      </c>
      <c r="B425">
        <v>65</v>
      </c>
      <c r="C425">
        <v>637.5</v>
      </c>
      <c r="D425">
        <v>632</v>
      </c>
      <c r="E425">
        <v>14.53454</v>
      </c>
    </row>
    <row r="426" spans="1:5" x14ac:dyDescent="0.55000000000000004">
      <c r="A426" t="s">
        <v>802</v>
      </c>
      <c r="B426">
        <v>66</v>
      </c>
      <c r="C426">
        <v>637.5</v>
      </c>
      <c r="D426">
        <v>630.5</v>
      </c>
      <c r="E426">
        <v>14.57748</v>
      </c>
    </row>
    <row r="427" spans="1:5" x14ac:dyDescent="0.55000000000000004">
      <c r="A427" t="s">
        <v>803</v>
      </c>
      <c r="B427">
        <v>67</v>
      </c>
      <c r="C427">
        <v>628</v>
      </c>
      <c r="D427">
        <v>632.5</v>
      </c>
      <c r="E427">
        <v>14.08023</v>
      </c>
    </row>
    <row r="428" spans="1:5" x14ac:dyDescent="0.55000000000000004">
      <c r="A428" t="s">
        <v>804</v>
      </c>
      <c r="B428">
        <v>73</v>
      </c>
      <c r="C428">
        <v>634</v>
      </c>
      <c r="D428">
        <v>664.5</v>
      </c>
      <c r="E428">
        <v>15.074909999999999</v>
      </c>
    </row>
    <row r="429" spans="1:5" x14ac:dyDescent="0.55000000000000004">
      <c r="A429" t="s">
        <v>805</v>
      </c>
      <c r="B429">
        <v>67</v>
      </c>
      <c r="C429">
        <v>632.5</v>
      </c>
      <c r="D429">
        <v>634.5</v>
      </c>
      <c r="E429">
        <v>14.57748</v>
      </c>
    </row>
    <row r="430" spans="1:5" x14ac:dyDescent="0.55000000000000004">
      <c r="A430" t="s">
        <v>806</v>
      </c>
      <c r="B430">
        <v>66</v>
      </c>
      <c r="C430">
        <v>630.5</v>
      </c>
      <c r="D430">
        <v>630.5</v>
      </c>
      <c r="E430">
        <v>14.57748</v>
      </c>
    </row>
    <row r="431" spans="1:5" x14ac:dyDescent="0.55000000000000004">
      <c r="A431" t="s">
        <v>807</v>
      </c>
      <c r="B431">
        <v>66</v>
      </c>
      <c r="C431">
        <v>627</v>
      </c>
      <c r="D431">
        <v>636.5</v>
      </c>
      <c r="E431">
        <v>8.3816299999999995</v>
      </c>
    </row>
    <row r="432" spans="1:5" x14ac:dyDescent="0.55000000000000004">
      <c r="A432" t="s">
        <v>808</v>
      </c>
      <c r="B432">
        <v>73</v>
      </c>
      <c r="C432">
        <v>637.5</v>
      </c>
      <c r="D432">
        <v>670</v>
      </c>
      <c r="E432">
        <v>15.53232</v>
      </c>
    </row>
    <row r="433" spans="1:5" x14ac:dyDescent="0.55000000000000004">
      <c r="A433" t="s">
        <v>809</v>
      </c>
      <c r="B433">
        <v>67</v>
      </c>
      <c r="C433">
        <v>646.5</v>
      </c>
      <c r="D433">
        <v>633</v>
      </c>
      <c r="E433">
        <v>14.53454</v>
      </c>
    </row>
    <row r="434" spans="1:5" x14ac:dyDescent="0.55000000000000004">
      <c r="A434" t="s">
        <v>810</v>
      </c>
      <c r="B434">
        <v>68</v>
      </c>
      <c r="C434">
        <v>648.5</v>
      </c>
      <c r="D434">
        <v>633</v>
      </c>
      <c r="E434">
        <v>14.53454</v>
      </c>
    </row>
    <row r="435" spans="1:5" x14ac:dyDescent="0.55000000000000004">
      <c r="A435" t="s">
        <v>811</v>
      </c>
      <c r="B435">
        <v>68</v>
      </c>
      <c r="C435">
        <v>627.5</v>
      </c>
      <c r="D435">
        <v>634</v>
      </c>
      <c r="E435">
        <v>14.53454</v>
      </c>
    </row>
    <row r="436" spans="1:5" x14ac:dyDescent="0.55000000000000004">
      <c r="A436" t="s">
        <v>812</v>
      </c>
      <c r="B436">
        <v>68</v>
      </c>
      <c r="C436">
        <v>639.5</v>
      </c>
      <c r="D436">
        <v>637.5</v>
      </c>
      <c r="E436">
        <v>14.57748</v>
      </c>
    </row>
    <row r="437" spans="1:5" x14ac:dyDescent="0.55000000000000004">
      <c r="A437" t="s">
        <v>813</v>
      </c>
      <c r="B437">
        <v>69</v>
      </c>
      <c r="C437">
        <v>640</v>
      </c>
      <c r="D437">
        <v>638</v>
      </c>
      <c r="E437">
        <v>15.0334</v>
      </c>
    </row>
    <row r="438" spans="1:5" x14ac:dyDescent="0.55000000000000004">
      <c r="A438" t="s">
        <v>814</v>
      </c>
      <c r="B438">
        <v>68</v>
      </c>
      <c r="C438">
        <v>630.5</v>
      </c>
      <c r="D438">
        <v>638</v>
      </c>
      <c r="E438">
        <v>14.53454</v>
      </c>
    </row>
    <row r="439" spans="1:5" x14ac:dyDescent="0.55000000000000004">
      <c r="A439" t="s">
        <v>815</v>
      </c>
      <c r="B439">
        <v>72</v>
      </c>
      <c r="C439">
        <v>631</v>
      </c>
      <c r="D439">
        <v>670.5</v>
      </c>
      <c r="E439">
        <v>16.070260000000001</v>
      </c>
    </row>
    <row r="440" spans="1:5" x14ac:dyDescent="0.55000000000000004">
      <c r="A440" t="s">
        <v>816</v>
      </c>
      <c r="B440">
        <v>69</v>
      </c>
      <c r="C440">
        <v>627.5</v>
      </c>
      <c r="D440">
        <v>640</v>
      </c>
      <c r="E440">
        <v>14.53454</v>
      </c>
    </row>
    <row r="441" spans="1:5" x14ac:dyDescent="0.55000000000000004">
      <c r="A441" t="s">
        <v>817</v>
      </c>
      <c r="B441">
        <v>68</v>
      </c>
      <c r="C441">
        <v>637</v>
      </c>
      <c r="D441">
        <v>636.5</v>
      </c>
      <c r="E441">
        <v>7.1590100000000003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BEFEE-3D10-4851-A172-10E358B9AC89}">
  <sheetPr codeName="Sheet2"/>
  <dimension ref="A1"/>
  <sheetViews>
    <sheetView workbookViewId="0">
      <selection sqref="A1:L168"/>
    </sheetView>
  </sheetViews>
  <sheetFormatPr defaultRowHeight="18" x14ac:dyDescent="0.55000000000000004"/>
  <cols>
    <col min="1" max="1" width="8.6640625" customWidth="1"/>
  </cols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解析データ</vt:lpstr>
      <vt:lpstr>Pram</vt:lpstr>
      <vt:lpstr>球速データ</vt:lpstr>
      <vt:lpstr>output</vt:lpstr>
      <vt:lpstr>Sheet7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lavie url</dc:creator>
  <cp:lastModifiedBy>lavie url</cp:lastModifiedBy>
  <dcterms:created xsi:type="dcterms:W3CDTF">2020-05-24T06:34:22Z</dcterms:created>
  <dcterms:modified xsi:type="dcterms:W3CDTF">2020-05-30T14:35:04Z</dcterms:modified>
</cp:coreProperties>
</file>