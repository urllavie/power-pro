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rl_l\Desktop\パワプロ投球解析\PythonApplication1\PythonApplication1\"/>
    </mc:Choice>
  </mc:AlternateContent>
  <xr:revisionPtr revIDLastSave="0" documentId="13_ncr:1_{3DAE69E5-3532-4666-8D93-655D4C751599}" xr6:coauthVersionLast="45" xr6:coauthVersionMax="45" xr10:uidLastSave="{00000000-0000-0000-0000-000000000000}"/>
  <bookViews>
    <workbookView xWindow="33720" yWindow="-9165" windowWidth="29040" windowHeight="15840" xr2:uid="{DC37FFB4-60E8-4900-8BC1-282FA68B8F01}"/>
  </bookViews>
  <sheets>
    <sheet name="output" sheetId="7" r:id="rId1"/>
    <sheet name="グラフ" sheetId="15" r:id="rId2"/>
    <sheet name="換算球速グラフ" sheetId="20" r:id="rId3"/>
    <sheet name="球種変換表" sheetId="13" r:id="rId4"/>
    <sheet name="投手名変換" sheetId="25" r:id="rId5"/>
    <sheet name="球速変換" sheetId="24" r:id="rId6"/>
    <sheet name="投手データ" sheetId="14" r:id="rId7"/>
    <sheet name="投手特殊能力" sheetId="22" r:id="rId8"/>
    <sheet name="動画取得条件" sheetId="16" r:id="rId9"/>
    <sheet name="Prams" sheetId="17" r:id="rId10"/>
    <sheet name="球種情報" sheetId="18" r:id="rId11"/>
    <sheet name="球種ごとデータ" sheetId="21" r:id="rId12"/>
    <sheet name="Tweet" sheetId="23" r:id="rId13"/>
  </sheets>
  <definedNames>
    <definedName name="_xlnm._FilterDatabase" localSheetId="0" hidden="1">output!$A$1:$X$1402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383" i="7" l="1"/>
  <c r="S1383" i="7" s="1"/>
  <c r="T1383" i="7" s="1"/>
  <c r="L1384" i="7"/>
  <c r="S1384" i="7" s="1"/>
  <c r="T1384" i="7" s="1"/>
  <c r="L1385" i="7"/>
  <c r="S1385" i="7"/>
  <c r="T1385" i="7" s="1"/>
  <c r="L1386" i="7"/>
  <c r="S1386" i="7" s="1"/>
  <c r="T1386" i="7" s="1"/>
  <c r="L1387" i="7"/>
  <c r="S1387" i="7" s="1"/>
  <c r="T1387" i="7" s="1"/>
  <c r="L1388" i="7"/>
  <c r="S1388" i="7" s="1"/>
  <c r="T1388" i="7" s="1"/>
  <c r="L1389" i="7"/>
  <c r="S1389" i="7" s="1"/>
  <c r="T1389" i="7" s="1"/>
  <c r="L1390" i="7"/>
  <c r="S1390" i="7" s="1"/>
  <c r="T1390" i="7" s="1"/>
  <c r="L1391" i="7"/>
  <c r="S1391" i="7" s="1"/>
  <c r="T1391" i="7" s="1"/>
  <c r="L1392" i="7"/>
  <c r="S1392" i="7" s="1"/>
  <c r="T1392" i="7" s="1"/>
  <c r="L1393" i="7"/>
  <c r="S1393" i="7"/>
  <c r="T1393" i="7" s="1"/>
  <c r="L1394" i="7"/>
  <c r="S1394" i="7" s="1"/>
  <c r="T1394" i="7" s="1"/>
  <c r="L1395" i="7"/>
  <c r="S1395" i="7" s="1"/>
  <c r="T1395" i="7" s="1"/>
  <c r="L1396" i="7"/>
  <c r="S1396" i="7" s="1"/>
  <c r="T1396" i="7" s="1"/>
  <c r="L1397" i="7"/>
  <c r="S1397" i="7" s="1"/>
  <c r="T1397" i="7" s="1"/>
  <c r="L1398" i="7"/>
  <c r="S1398" i="7"/>
  <c r="T1398" i="7" s="1"/>
  <c r="L1399" i="7"/>
  <c r="S1399" i="7" s="1"/>
  <c r="T1399" i="7" s="1"/>
  <c r="L1400" i="7"/>
  <c r="S1400" i="7" s="1"/>
  <c r="T1400" i="7" s="1"/>
  <c r="L1401" i="7"/>
  <c r="S1401" i="7"/>
  <c r="T1401" i="7" s="1"/>
  <c r="L1402" i="7"/>
  <c r="S1402" i="7" s="1"/>
  <c r="T1402" i="7" s="1"/>
  <c r="J1383" i="7"/>
  <c r="K1386" i="7"/>
  <c r="J1387" i="7"/>
  <c r="K1390" i="7"/>
  <c r="J1391" i="7"/>
  <c r="K1394" i="7"/>
  <c r="J1395" i="7"/>
  <c r="K1398" i="7"/>
  <c r="J1399" i="7"/>
  <c r="K1402" i="7"/>
  <c r="J1400" i="7"/>
  <c r="J1401" i="7"/>
  <c r="J1386" i="7"/>
  <c r="K1389" i="7"/>
  <c r="J1398" i="7"/>
  <c r="K1383" i="7"/>
  <c r="J1384" i="7"/>
  <c r="K1387" i="7"/>
  <c r="J1388" i="7"/>
  <c r="K1391" i="7"/>
  <c r="J1392" i="7"/>
  <c r="K1395" i="7"/>
  <c r="J1396" i="7"/>
  <c r="K1399" i="7"/>
  <c r="J1394" i="7"/>
  <c r="K1384" i="7"/>
  <c r="J1385" i="7"/>
  <c r="K1388" i="7"/>
  <c r="J1389" i="7"/>
  <c r="K1392" i="7"/>
  <c r="J1393" i="7"/>
  <c r="K1396" i="7"/>
  <c r="J1397" i="7"/>
  <c r="K1400" i="7"/>
  <c r="K1385" i="7"/>
  <c r="J1390" i="7"/>
  <c r="K1393" i="7"/>
  <c r="K1397" i="7"/>
  <c r="K1401" i="7"/>
  <c r="J1402" i="7"/>
  <c r="R1402" i="7" l="1"/>
  <c r="R1390" i="7"/>
  <c r="R1397" i="7"/>
  <c r="R1393" i="7"/>
  <c r="R1389" i="7"/>
  <c r="R1385" i="7"/>
  <c r="R1394" i="7"/>
  <c r="R1396" i="7"/>
  <c r="R1392" i="7"/>
  <c r="R1388" i="7"/>
  <c r="R1384" i="7"/>
  <c r="R1398" i="7"/>
  <c r="R1386" i="7"/>
  <c r="R1401" i="7"/>
  <c r="R1400" i="7"/>
  <c r="R1399" i="7"/>
  <c r="R1395" i="7"/>
  <c r="R1391" i="7"/>
  <c r="R1387" i="7"/>
  <c r="R1383" i="7"/>
  <c r="L1212" i="7"/>
  <c r="S1212" i="7" s="1"/>
  <c r="T1212" i="7" s="1"/>
  <c r="L1213" i="7"/>
  <c r="S1213" i="7" s="1"/>
  <c r="T1213" i="7" s="1"/>
  <c r="L1214" i="7"/>
  <c r="S1214" i="7" s="1"/>
  <c r="T1214" i="7" s="1"/>
  <c r="L1215" i="7"/>
  <c r="S1215" i="7" s="1"/>
  <c r="T1215" i="7" s="1"/>
  <c r="L1216" i="7"/>
  <c r="S1216" i="7" s="1"/>
  <c r="T1216" i="7" s="1"/>
  <c r="L1217" i="7"/>
  <c r="S1217" i="7" s="1"/>
  <c r="T1217" i="7" s="1"/>
  <c r="L1218" i="7"/>
  <c r="S1218" i="7" s="1"/>
  <c r="T1218" i="7" s="1"/>
  <c r="L1219" i="7"/>
  <c r="S1219" i="7" s="1"/>
  <c r="T1219" i="7" s="1"/>
  <c r="L1220" i="7"/>
  <c r="S1220" i="7" s="1"/>
  <c r="T1220" i="7" s="1"/>
  <c r="L1221" i="7"/>
  <c r="S1221" i="7" s="1"/>
  <c r="T1221" i="7" s="1"/>
  <c r="L1222" i="7"/>
  <c r="S1222" i="7" s="1"/>
  <c r="T1222" i="7" s="1"/>
  <c r="L1223" i="7"/>
  <c r="S1223" i="7" s="1"/>
  <c r="T1223" i="7" s="1"/>
  <c r="L1224" i="7"/>
  <c r="S1224" i="7" s="1"/>
  <c r="T1224" i="7" s="1"/>
  <c r="L1225" i="7"/>
  <c r="S1225" i="7" s="1"/>
  <c r="T1225" i="7" s="1"/>
  <c r="L1226" i="7"/>
  <c r="S1226" i="7" s="1"/>
  <c r="T1226" i="7" s="1"/>
  <c r="L1227" i="7"/>
  <c r="S1227" i="7" s="1"/>
  <c r="T1227" i="7" s="1"/>
  <c r="L1228" i="7"/>
  <c r="S1228" i="7" s="1"/>
  <c r="T1228" i="7" s="1"/>
  <c r="L1229" i="7"/>
  <c r="S1229" i="7" s="1"/>
  <c r="T1229" i="7" s="1"/>
  <c r="L1230" i="7"/>
  <c r="S1230" i="7" s="1"/>
  <c r="T1230" i="7" s="1"/>
  <c r="L1231" i="7"/>
  <c r="S1231" i="7" s="1"/>
  <c r="T1231" i="7" s="1"/>
  <c r="L1232" i="7"/>
  <c r="S1232" i="7" s="1"/>
  <c r="T1232" i="7" s="1"/>
  <c r="L1233" i="7"/>
  <c r="S1233" i="7" s="1"/>
  <c r="T1233" i="7" s="1"/>
  <c r="L1234" i="7"/>
  <c r="S1234" i="7" s="1"/>
  <c r="T1234" i="7" s="1"/>
  <c r="L1235" i="7"/>
  <c r="S1235" i="7" s="1"/>
  <c r="T1235" i="7" s="1"/>
  <c r="L1236" i="7"/>
  <c r="S1236" i="7" s="1"/>
  <c r="T1236" i="7" s="1"/>
  <c r="L1237" i="7"/>
  <c r="S1237" i="7" s="1"/>
  <c r="T1237" i="7" s="1"/>
  <c r="L1238" i="7"/>
  <c r="S1238" i="7" s="1"/>
  <c r="T1238" i="7" s="1"/>
  <c r="L1239" i="7"/>
  <c r="S1239" i="7" s="1"/>
  <c r="T1239" i="7" s="1"/>
  <c r="L1240" i="7"/>
  <c r="S1240" i="7" s="1"/>
  <c r="T1240" i="7" s="1"/>
  <c r="L1241" i="7"/>
  <c r="S1241" i="7" s="1"/>
  <c r="T1241" i="7" s="1"/>
  <c r="L1242" i="7"/>
  <c r="S1242" i="7" s="1"/>
  <c r="T1242" i="7" s="1"/>
  <c r="L1243" i="7"/>
  <c r="S1243" i="7" s="1"/>
  <c r="T1243" i="7" s="1"/>
  <c r="L1244" i="7"/>
  <c r="S1244" i="7" s="1"/>
  <c r="T1244" i="7" s="1"/>
  <c r="L1245" i="7"/>
  <c r="S1245" i="7" s="1"/>
  <c r="T1245" i="7" s="1"/>
  <c r="L1246" i="7"/>
  <c r="S1246" i="7" s="1"/>
  <c r="T1246" i="7" s="1"/>
  <c r="L1247" i="7"/>
  <c r="S1247" i="7" s="1"/>
  <c r="T1247" i="7" s="1"/>
  <c r="L1248" i="7"/>
  <c r="S1248" i="7" s="1"/>
  <c r="T1248" i="7" s="1"/>
  <c r="L1249" i="7"/>
  <c r="S1249" i="7" s="1"/>
  <c r="T1249" i="7" s="1"/>
  <c r="L1250" i="7"/>
  <c r="S1250" i="7" s="1"/>
  <c r="T1250" i="7" s="1"/>
  <c r="L1251" i="7"/>
  <c r="S1251" i="7" s="1"/>
  <c r="T1251" i="7" s="1"/>
  <c r="L1252" i="7"/>
  <c r="S1252" i="7" s="1"/>
  <c r="T1252" i="7" s="1"/>
  <c r="L1253" i="7"/>
  <c r="S1253" i="7" s="1"/>
  <c r="T1253" i="7" s="1"/>
  <c r="L1254" i="7"/>
  <c r="S1254" i="7" s="1"/>
  <c r="T1254" i="7" s="1"/>
  <c r="L1255" i="7"/>
  <c r="S1255" i="7" s="1"/>
  <c r="T1255" i="7" s="1"/>
  <c r="L1256" i="7"/>
  <c r="S1256" i="7" s="1"/>
  <c r="T1256" i="7" s="1"/>
  <c r="L1257" i="7"/>
  <c r="S1257" i="7" s="1"/>
  <c r="T1257" i="7" s="1"/>
  <c r="L1258" i="7"/>
  <c r="S1258" i="7" s="1"/>
  <c r="T1258" i="7" s="1"/>
  <c r="L1259" i="7"/>
  <c r="S1259" i="7" s="1"/>
  <c r="T1259" i="7" s="1"/>
  <c r="L1260" i="7"/>
  <c r="S1260" i="7" s="1"/>
  <c r="T1260" i="7" s="1"/>
  <c r="L1261" i="7"/>
  <c r="S1261" i="7" s="1"/>
  <c r="T1261" i="7" s="1"/>
  <c r="L1262" i="7"/>
  <c r="S1262" i="7" s="1"/>
  <c r="T1262" i="7" s="1"/>
  <c r="L1263" i="7"/>
  <c r="S1263" i="7" s="1"/>
  <c r="T1263" i="7" s="1"/>
  <c r="L1264" i="7"/>
  <c r="S1264" i="7" s="1"/>
  <c r="T1264" i="7" s="1"/>
  <c r="L1265" i="7"/>
  <c r="S1265" i="7" s="1"/>
  <c r="T1265" i="7" s="1"/>
  <c r="L1266" i="7"/>
  <c r="S1266" i="7" s="1"/>
  <c r="T1266" i="7" s="1"/>
  <c r="L1267" i="7"/>
  <c r="S1267" i="7" s="1"/>
  <c r="T1267" i="7" s="1"/>
  <c r="L1268" i="7"/>
  <c r="S1268" i="7" s="1"/>
  <c r="T1268" i="7" s="1"/>
  <c r="L1269" i="7"/>
  <c r="S1269" i="7" s="1"/>
  <c r="T1269" i="7" s="1"/>
  <c r="L1270" i="7"/>
  <c r="S1270" i="7" s="1"/>
  <c r="T1270" i="7" s="1"/>
  <c r="L1271" i="7"/>
  <c r="S1271" i="7" s="1"/>
  <c r="T1271" i="7" s="1"/>
  <c r="L1272" i="7"/>
  <c r="S1272" i="7" s="1"/>
  <c r="T1272" i="7" s="1"/>
  <c r="L1273" i="7"/>
  <c r="S1273" i="7" s="1"/>
  <c r="T1273" i="7" s="1"/>
  <c r="L1274" i="7"/>
  <c r="S1274" i="7" s="1"/>
  <c r="T1274" i="7" s="1"/>
  <c r="L1275" i="7"/>
  <c r="S1275" i="7" s="1"/>
  <c r="T1275" i="7" s="1"/>
  <c r="L1276" i="7"/>
  <c r="S1276" i="7" s="1"/>
  <c r="T1276" i="7" s="1"/>
  <c r="L1277" i="7"/>
  <c r="S1277" i="7" s="1"/>
  <c r="T1277" i="7" s="1"/>
  <c r="L1278" i="7"/>
  <c r="S1278" i="7" s="1"/>
  <c r="T1278" i="7" s="1"/>
  <c r="L1279" i="7"/>
  <c r="S1279" i="7" s="1"/>
  <c r="T1279" i="7" s="1"/>
  <c r="L1280" i="7"/>
  <c r="S1280" i="7" s="1"/>
  <c r="T1280" i="7" s="1"/>
  <c r="L1281" i="7"/>
  <c r="S1281" i="7" s="1"/>
  <c r="T1281" i="7" s="1"/>
  <c r="L1282" i="7"/>
  <c r="S1282" i="7" s="1"/>
  <c r="T1282" i="7" s="1"/>
  <c r="L1283" i="7"/>
  <c r="S1283" i="7" s="1"/>
  <c r="T1283" i="7" s="1"/>
  <c r="L1284" i="7"/>
  <c r="S1284" i="7" s="1"/>
  <c r="T1284" i="7" s="1"/>
  <c r="L1285" i="7"/>
  <c r="S1285" i="7" s="1"/>
  <c r="T1285" i="7" s="1"/>
  <c r="L1286" i="7"/>
  <c r="S1286" i="7" s="1"/>
  <c r="T1286" i="7" s="1"/>
  <c r="L1287" i="7"/>
  <c r="S1287" i="7" s="1"/>
  <c r="T1287" i="7" s="1"/>
  <c r="L1288" i="7"/>
  <c r="S1288" i="7" s="1"/>
  <c r="T1288" i="7" s="1"/>
  <c r="L1289" i="7"/>
  <c r="S1289" i="7" s="1"/>
  <c r="T1289" i="7" s="1"/>
  <c r="L1290" i="7"/>
  <c r="S1290" i="7" s="1"/>
  <c r="T1290" i="7" s="1"/>
  <c r="L1291" i="7"/>
  <c r="S1291" i="7" s="1"/>
  <c r="T1291" i="7" s="1"/>
  <c r="L1292" i="7"/>
  <c r="S1292" i="7" s="1"/>
  <c r="T1292" i="7" s="1"/>
  <c r="L1293" i="7"/>
  <c r="S1293" i="7" s="1"/>
  <c r="T1293" i="7" s="1"/>
  <c r="L1294" i="7"/>
  <c r="S1294" i="7" s="1"/>
  <c r="T1294" i="7" s="1"/>
  <c r="L1295" i="7"/>
  <c r="S1295" i="7" s="1"/>
  <c r="T1295" i="7" s="1"/>
  <c r="L1296" i="7"/>
  <c r="S1296" i="7" s="1"/>
  <c r="T1296" i="7" s="1"/>
  <c r="L1297" i="7"/>
  <c r="S1297" i="7" s="1"/>
  <c r="T1297" i="7" s="1"/>
  <c r="L1298" i="7"/>
  <c r="S1298" i="7" s="1"/>
  <c r="T1298" i="7" s="1"/>
  <c r="L1299" i="7"/>
  <c r="S1299" i="7" s="1"/>
  <c r="T1299" i="7" s="1"/>
  <c r="L1300" i="7"/>
  <c r="S1300" i="7" s="1"/>
  <c r="T1300" i="7" s="1"/>
  <c r="L1301" i="7"/>
  <c r="S1301" i="7" s="1"/>
  <c r="T1301" i="7" s="1"/>
  <c r="L1302" i="7"/>
  <c r="S1302" i="7" s="1"/>
  <c r="T1302" i="7" s="1"/>
  <c r="L1303" i="7"/>
  <c r="S1303" i="7" s="1"/>
  <c r="T1303" i="7" s="1"/>
  <c r="L1304" i="7"/>
  <c r="S1304" i="7" s="1"/>
  <c r="T1304" i="7" s="1"/>
  <c r="L1305" i="7"/>
  <c r="S1305" i="7" s="1"/>
  <c r="T1305" i="7" s="1"/>
  <c r="L1306" i="7"/>
  <c r="S1306" i="7" s="1"/>
  <c r="T1306" i="7" s="1"/>
  <c r="L1307" i="7"/>
  <c r="S1307" i="7" s="1"/>
  <c r="T1307" i="7" s="1"/>
  <c r="L1308" i="7"/>
  <c r="S1308" i="7" s="1"/>
  <c r="T1308" i="7" s="1"/>
  <c r="L1309" i="7"/>
  <c r="S1309" i="7" s="1"/>
  <c r="T1309" i="7" s="1"/>
  <c r="L1310" i="7"/>
  <c r="S1310" i="7" s="1"/>
  <c r="T1310" i="7" s="1"/>
  <c r="L1311" i="7"/>
  <c r="S1311" i="7" s="1"/>
  <c r="T1311" i="7" s="1"/>
  <c r="L1312" i="7"/>
  <c r="S1312" i="7" s="1"/>
  <c r="T1312" i="7" s="1"/>
  <c r="L1313" i="7"/>
  <c r="S1313" i="7" s="1"/>
  <c r="T1313" i="7" s="1"/>
  <c r="L1314" i="7"/>
  <c r="S1314" i="7" s="1"/>
  <c r="T1314" i="7" s="1"/>
  <c r="L1315" i="7"/>
  <c r="S1315" i="7" s="1"/>
  <c r="T1315" i="7" s="1"/>
  <c r="L1316" i="7"/>
  <c r="S1316" i="7" s="1"/>
  <c r="T1316" i="7" s="1"/>
  <c r="L1317" i="7"/>
  <c r="S1317" i="7" s="1"/>
  <c r="T1317" i="7" s="1"/>
  <c r="L1318" i="7"/>
  <c r="S1318" i="7" s="1"/>
  <c r="T1318" i="7" s="1"/>
  <c r="L1319" i="7"/>
  <c r="S1319" i="7" s="1"/>
  <c r="T1319" i="7" s="1"/>
  <c r="L1320" i="7"/>
  <c r="S1320" i="7" s="1"/>
  <c r="T1320" i="7" s="1"/>
  <c r="L1321" i="7"/>
  <c r="S1321" i="7" s="1"/>
  <c r="T1321" i="7" s="1"/>
  <c r="L1322" i="7"/>
  <c r="S1322" i="7" s="1"/>
  <c r="T1322" i="7" s="1"/>
  <c r="L1323" i="7"/>
  <c r="S1323" i="7" s="1"/>
  <c r="T1323" i="7" s="1"/>
  <c r="L1324" i="7"/>
  <c r="S1324" i="7" s="1"/>
  <c r="T1324" i="7" s="1"/>
  <c r="L1325" i="7"/>
  <c r="S1325" i="7" s="1"/>
  <c r="T1325" i="7" s="1"/>
  <c r="L1326" i="7"/>
  <c r="S1326" i="7" s="1"/>
  <c r="T1326" i="7" s="1"/>
  <c r="L1327" i="7"/>
  <c r="S1327" i="7" s="1"/>
  <c r="T1327" i="7" s="1"/>
  <c r="L1328" i="7"/>
  <c r="S1328" i="7" s="1"/>
  <c r="T1328" i="7" s="1"/>
  <c r="L1329" i="7"/>
  <c r="S1329" i="7" s="1"/>
  <c r="T1329" i="7" s="1"/>
  <c r="L1330" i="7"/>
  <c r="S1330" i="7" s="1"/>
  <c r="T1330" i="7" s="1"/>
  <c r="L1331" i="7"/>
  <c r="S1331" i="7" s="1"/>
  <c r="T1331" i="7" s="1"/>
  <c r="L1332" i="7"/>
  <c r="S1332" i="7" s="1"/>
  <c r="T1332" i="7" s="1"/>
  <c r="L1333" i="7"/>
  <c r="S1333" i="7" s="1"/>
  <c r="T1333" i="7" s="1"/>
  <c r="L1334" i="7"/>
  <c r="S1334" i="7" s="1"/>
  <c r="T1334" i="7" s="1"/>
  <c r="L1335" i="7"/>
  <c r="S1335" i="7" s="1"/>
  <c r="T1335" i="7" s="1"/>
  <c r="L1336" i="7"/>
  <c r="S1336" i="7" s="1"/>
  <c r="T1336" i="7" s="1"/>
  <c r="L1337" i="7"/>
  <c r="S1337" i="7" s="1"/>
  <c r="T1337" i="7" s="1"/>
  <c r="L1338" i="7"/>
  <c r="S1338" i="7" s="1"/>
  <c r="T1338" i="7" s="1"/>
  <c r="L1339" i="7"/>
  <c r="S1339" i="7" s="1"/>
  <c r="T1339" i="7" s="1"/>
  <c r="L1340" i="7"/>
  <c r="S1340" i="7" s="1"/>
  <c r="T1340" i="7" s="1"/>
  <c r="L1341" i="7"/>
  <c r="S1341" i="7" s="1"/>
  <c r="T1341" i="7" s="1"/>
  <c r="L1342" i="7"/>
  <c r="S1342" i="7" s="1"/>
  <c r="T1342" i="7" s="1"/>
  <c r="L1343" i="7"/>
  <c r="S1343" i="7" s="1"/>
  <c r="T1343" i="7" s="1"/>
  <c r="L1344" i="7"/>
  <c r="S1344" i="7" s="1"/>
  <c r="T1344" i="7" s="1"/>
  <c r="L1345" i="7"/>
  <c r="S1345" i="7" s="1"/>
  <c r="T1345" i="7" s="1"/>
  <c r="L1346" i="7"/>
  <c r="S1346" i="7" s="1"/>
  <c r="T1346" i="7" s="1"/>
  <c r="L1347" i="7"/>
  <c r="S1347" i="7" s="1"/>
  <c r="T1347" i="7" s="1"/>
  <c r="L1348" i="7"/>
  <c r="S1348" i="7" s="1"/>
  <c r="T1348" i="7" s="1"/>
  <c r="L1349" i="7"/>
  <c r="S1349" i="7" s="1"/>
  <c r="T1349" i="7" s="1"/>
  <c r="L1350" i="7"/>
  <c r="S1350" i="7" s="1"/>
  <c r="T1350" i="7" s="1"/>
  <c r="L1351" i="7"/>
  <c r="S1351" i="7" s="1"/>
  <c r="T1351" i="7" s="1"/>
  <c r="L1352" i="7"/>
  <c r="S1352" i="7" s="1"/>
  <c r="T1352" i="7" s="1"/>
  <c r="L1353" i="7"/>
  <c r="S1353" i="7" s="1"/>
  <c r="T1353" i="7" s="1"/>
  <c r="L1354" i="7"/>
  <c r="S1354" i="7" s="1"/>
  <c r="T1354" i="7" s="1"/>
  <c r="L1355" i="7"/>
  <c r="S1355" i="7" s="1"/>
  <c r="T1355" i="7" s="1"/>
  <c r="L1356" i="7"/>
  <c r="S1356" i="7" s="1"/>
  <c r="T1356" i="7" s="1"/>
  <c r="L1357" i="7"/>
  <c r="S1357" i="7" s="1"/>
  <c r="T1357" i="7" s="1"/>
  <c r="L1358" i="7"/>
  <c r="S1358" i="7" s="1"/>
  <c r="T1358" i="7" s="1"/>
  <c r="L1359" i="7"/>
  <c r="S1359" i="7" s="1"/>
  <c r="T1359" i="7" s="1"/>
  <c r="L1360" i="7"/>
  <c r="S1360" i="7" s="1"/>
  <c r="T1360" i="7" s="1"/>
  <c r="L1361" i="7"/>
  <c r="S1361" i="7" s="1"/>
  <c r="T1361" i="7" s="1"/>
  <c r="L1362" i="7"/>
  <c r="S1362" i="7" s="1"/>
  <c r="T1362" i="7" s="1"/>
  <c r="L1363" i="7"/>
  <c r="S1363" i="7" s="1"/>
  <c r="T1363" i="7" s="1"/>
  <c r="L1364" i="7"/>
  <c r="S1364" i="7" s="1"/>
  <c r="T1364" i="7" s="1"/>
  <c r="L1365" i="7"/>
  <c r="S1365" i="7" s="1"/>
  <c r="T1365" i="7" s="1"/>
  <c r="L1366" i="7"/>
  <c r="S1366" i="7" s="1"/>
  <c r="T1366" i="7" s="1"/>
  <c r="L1367" i="7"/>
  <c r="S1367" i="7" s="1"/>
  <c r="T1367" i="7" s="1"/>
  <c r="L1368" i="7"/>
  <c r="S1368" i="7" s="1"/>
  <c r="T1368" i="7" s="1"/>
  <c r="L1369" i="7"/>
  <c r="S1369" i="7" s="1"/>
  <c r="T1369" i="7" s="1"/>
  <c r="L1370" i="7"/>
  <c r="S1370" i="7" s="1"/>
  <c r="T1370" i="7" s="1"/>
  <c r="L1371" i="7"/>
  <c r="S1371" i="7" s="1"/>
  <c r="T1371" i="7" s="1"/>
  <c r="L1372" i="7"/>
  <c r="S1372" i="7" s="1"/>
  <c r="T1372" i="7" s="1"/>
  <c r="L1373" i="7"/>
  <c r="S1373" i="7" s="1"/>
  <c r="T1373" i="7" s="1"/>
  <c r="L1374" i="7"/>
  <c r="S1374" i="7" s="1"/>
  <c r="T1374" i="7" s="1"/>
  <c r="L1375" i="7"/>
  <c r="S1375" i="7" s="1"/>
  <c r="T1375" i="7" s="1"/>
  <c r="L1376" i="7"/>
  <c r="S1376" i="7" s="1"/>
  <c r="T1376" i="7" s="1"/>
  <c r="L1377" i="7"/>
  <c r="S1377" i="7" s="1"/>
  <c r="T1377" i="7" s="1"/>
  <c r="L1378" i="7"/>
  <c r="S1378" i="7" s="1"/>
  <c r="T1378" i="7" s="1"/>
  <c r="L1379" i="7"/>
  <c r="S1379" i="7" s="1"/>
  <c r="T1379" i="7" s="1"/>
  <c r="L1380" i="7"/>
  <c r="S1380" i="7" s="1"/>
  <c r="T1380" i="7" s="1"/>
  <c r="L1381" i="7"/>
  <c r="S1381" i="7" s="1"/>
  <c r="T1381" i="7" s="1"/>
  <c r="L1382" i="7"/>
  <c r="S1382" i="7" s="1"/>
  <c r="T1382" i="7" s="1"/>
  <c r="M1399" i="7"/>
  <c r="M1387" i="7"/>
  <c r="M1383" i="7"/>
  <c r="M1389" i="7"/>
  <c r="M1397" i="7"/>
  <c r="M1400" i="7"/>
  <c r="M1396" i="7"/>
  <c r="M1392" i="7"/>
  <c r="M1388" i="7"/>
  <c r="M1384" i="7"/>
  <c r="M1401" i="7"/>
  <c r="M1391" i="7"/>
  <c r="M1393" i="7"/>
  <c r="M1385" i="7"/>
  <c r="M1402" i="7"/>
  <c r="M1398" i="7"/>
  <c r="M1394" i="7"/>
  <c r="M1390" i="7"/>
  <c r="M1386" i="7"/>
  <c r="M1395" i="7"/>
  <c r="U1395" i="7" l="1"/>
  <c r="V1395" i="7" s="1"/>
  <c r="W1395" i="7" s="1"/>
  <c r="U1386" i="7"/>
  <c r="V1386" i="7" s="1"/>
  <c r="W1386" i="7" s="1"/>
  <c r="U1390" i="7"/>
  <c r="V1390" i="7" s="1"/>
  <c r="W1390" i="7" s="1"/>
  <c r="U1394" i="7"/>
  <c r="V1394" i="7" s="1"/>
  <c r="W1394" i="7" s="1"/>
  <c r="U1398" i="7"/>
  <c r="V1398" i="7" s="1"/>
  <c r="W1398" i="7" s="1"/>
  <c r="U1402" i="7"/>
  <c r="V1402" i="7" s="1"/>
  <c r="W1402" i="7" s="1"/>
  <c r="U1385" i="7"/>
  <c r="V1385" i="7" s="1"/>
  <c r="W1385" i="7" s="1"/>
  <c r="U1393" i="7"/>
  <c r="V1393" i="7" s="1"/>
  <c r="W1393" i="7" s="1"/>
  <c r="U1391" i="7"/>
  <c r="V1391" i="7" s="1"/>
  <c r="W1391" i="7" s="1"/>
  <c r="U1401" i="7"/>
  <c r="V1401" i="7" s="1"/>
  <c r="W1401" i="7" s="1"/>
  <c r="U1384" i="7"/>
  <c r="V1384" i="7" s="1"/>
  <c r="W1384" i="7" s="1"/>
  <c r="U1388" i="7"/>
  <c r="V1388" i="7" s="1"/>
  <c r="W1388" i="7" s="1"/>
  <c r="U1392" i="7"/>
  <c r="V1392" i="7" s="1"/>
  <c r="W1392" i="7" s="1"/>
  <c r="U1396" i="7"/>
  <c r="V1396" i="7" s="1"/>
  <c r="W1396" i="7" s="1"/>
  <c r="U1400" i="7"/>
  <c r="V1400" i="7" s="1"/>
  <c r="W1400" i="7" s="1"/>
  <c r="U1397" i="7"/>
  <c r="V1397" i="7" s="1"/>
  <c r="W1397" i="7" s="1"/>
  <c r="U1389" i="7"/>
  <c r="V1389" i="7" s="1"/>
  <c r="W1389" i="7" s="1"/>
  <c r="U1383" i="7"/>
  <c r="V1383" i="7" s="1"/>
  <c r="W1383" i="7" s="1"/>
  <c r="U1387" i="7"/>
  <c r="V1387" i="7" s="1"/>
  <c r="W1387" i="7" s="1"/>
  <c r="U1399" i="7"/>
  <c r="V1399" i="7" s="1"/>
  <c r="W1399" i="7" s="1"/>
  <c r="L1133" i="7"/>
  <c r="S1133" i="7" s="1"/>
  <c r="T1133" i="7" s="1"/>
  <c r="L1134" i="7"/>
  <c r="S1134" i="7" s="1"/>
  <c r="T1134" i="7" s="1"/>
  <c r="L1135" i="7"/>
  <c r="S1135" i="7" s="1"/>
  <c r="T1135" i="7" s="1"/>
  <c r="L1136" i="7"/>
  <c r="S1136" i="7" s="1"/>
  <c r="T1136" i="7" s="1"/>
  <c r="L1137" i="7"/>
  <c r="S1137" i="7" s="1"/>
  <c r="T1137" i="7" s="1"/>
  <c r="L1138" i="7"/>
  <c r="S1138" i="7" s="1"/>
  <c r="T1138" i="7" s="1"/>
  <c r="L1139" i="7"/>
  <c r="S1139" i="7" s="1"/>
  <c r="T1139" i="7" s="1"/>
  <c r="L1140" i="7"/>
  <c r="S1140" i="7" s="1"/>
  <c r="T1140" i="7" s="1"/>
  <c r="L1141" i="7"/>
  <c r="S1141" i="7" s="1"/>
  <c r="T1141" i="7" s="1"/>
  <c r="L1142" i="7"/>
  <c r="S1142" i="7" s="1"/>
  <c r="T1142" i="7" s="1"/>
  <c r="L1143" i="7"/>
  <c r="S1143" i="7" s="1"/>
  <c r="T1143" i="7" s="1"/>
  <c r="L1144" i="7"/>
  <c r="S1144" i="7" s="1"/>
  <c r="T1144" i="7" s="1"/>
  <c r="L1145" i="7"/>
  <c r="S1145" i="7" s="1"/>
  <c r="T1145" i="7" s="1"/>
  <c r="L1146" i="7"/>
  <c r="S1146" i="7" s="1"/>
  <c r="T1146" i="7" s="1"/>
  <c r="L1147" i="7"/>
  <c r="S1147" i="7" s="1"/>
  <c r="T1147" i="7" s="1"/>
  <c r="L1148" i="7"/>
  <c r="S1148" i="7" s="1"/>
  <c r="T1148" i="7" s="1"/>
  <c r="L1149" i="7"/>
  <c r="S1149" i="7" s="1"/>
  <c r="T1149" i="7" s="1"/>
  <c r="L1150" i="7"/>
  <c r="S1150" i="7" s="1"/>
  <c r="T1150" i="7" s="1"/>
  <c r="L1151" i="7"/>
  <c r="S1151" i="7" s="1"/>
  <c r="T1151" i="7" s="1"/>
  <c r="L1152" i="7"/>
  <c r="S1152" i="7" s="1"/>
  <c r="T1152" i="7" s="1"/>
  <c r="L1153" i="7"/>
  <c r="S1153" i="7" s="1"/>
  <c r="T1153" i="7" s="1"/>
  <c r="L1154" i="7"/>
  <c r="S1154" i="7" s="1"/>
  <c r="T1154" i="7" s="1"/>
  <c r="L1155" i="7"/>
  <c r="S1155" i="7" s="1"/>
  <c r="T1155" i="7" s="1"/>
  <c r="L1156" i="7"/>
  <c r="S1156" i="7" s="1"/>
  <c r="T1156" i="7" s="1"/>
  <c r="L1157" i="7"/>
  <c r="S1157" i="7" s="1"/>
  <c r="T1157" i="7" s="1"/>
  <c r="L1158" i="7"/>
  <c r="S1158" i="7" s="1"/>
  <c r="T1158" i="7" s="1"/>
  <c r="L1159" i="7"/>
  <c r="S1159" i="7" s="1"/>
  <c r="T1159" i="7" s="1"/>
  <c r="L1160" i="7"/>
  <c r="S1160" i="7" s="1"/>
  <c r="T1160" i="7" s="1"/>
  <c r="L1161" i="7"/>
  <c r="S1161" i="7" s="1"/>
  <c r="T1161" i="7" s="1"/>
  <c r="L1162" i="7"/>
  <c r="S1162" i="7" s="1"/>
  <c r="T1162" i="7" s="1"/>
  <c r="L1163" i="7"/>
  <c r="S1163" i="7" s="1"/>
  <c r="T1163" i="7" s="1"/>
  <c r="L1164" i="7"/>
  <c r="S1164" i="7" s="1"/>
  <c r="T1164" i="7" s="1"/>
  <c r="L1165" i="7"/>
  <c r="S1165" i="7" s="1"/>
  <c r="T1165" i="7" s="1"/>
  <c r="L1166" i="7"/>
  <c r="S1166" i="7" s="1"/>
  <c r="T1166" i="7" s="1"/>
  <c r="L1167" i="7"/>
  <c r="S1167" i="7" s="1"/>
  <c r="T1167" i="7" s="1"/>
  <c r="L1168" i="7"/>
  <c r="S1168" i="7" s="1"/>
  <c r="T1168" i="7" s="1"/>
  <c r="L1169" i="7"/>
  <c r="S1169" i="7" s="1"/>
  <c r="T1169" i="7" s="1"/>
  <c r="L1170" i="7"/>
  <c r="S1170" i="7" s="1"/>
  <c r="T1170" i="7" s="1"/>
  <c r="L1171" i="7"/>
  <c r="S1171" i="7" s="1"/>
  <c r="T1171" i="7" s="1"/>
  <c r="L1172" i="7"/>
  <c r="S1172" i="7" s="1"/>
  <c r="T1172" i="7" s="1"/>
  <c r="L1173" i="7"/>
  <c r="S1173" i="7" s="1"/>
  <c r="T1173" i="7" s="1"/>
  <c r="L1174" i="7"/>
  <c r="S1174" i="7" s="1"/>
  <c r="T1174" i="7" s="1"/>
  <c r="L1175" i="7"/>
  <c r="S1175" i="7" s="1"/>
  <c r="T1175" i="7" s="1"/>
  <c r="L1176" i="7"/>
  <c r="S1176" i="7" s="1"/>
  <c r="T1176" i="7" s="1"/>
  <c r="L1177" i="7"/>
  <c r="S1177" i="7" s="1"/>
  <c r="T1177" i="7" s="1"/>
  <c r="L1178" i="7"/>
  <c r="S1178" i="7" s="1"/>
  <c r="T1178" i="7" s="1"/>
  <c r="L1179" i="7"/>
  <c r="S1179" i="7" s="1"/>
  <c r="T1179" i="7" s="1"/>
  <c r="L1180" i="7"/>
  <c r="S1180" i="7" s="1"/>
  <c r="T1180" i="7" s="1"/>
  <c r="L1181" i="7"/>
  <c r="S1181" i="7" s="1"/>
  <c r="T1181" i="7" s="1"/>
  <c r="L1182" i="7"/>
  <c r="S1182" i="7" s="1"/>
  <c r="T1182" i="7" s="1"/>
  <c r="L1183" i="7"/>
  <c r="S1183" i="7" s="1"/>
  <c r="T1183" i="7" s="1"/>
  <c r="L1184" i="7"/>
  <c r="S1184" i="7" s="1"/>
  <c r="T1184" i="7" s="1"/>
  <c r="L1185" i="7"/>
  <c r="S1185" i="7" s="1"/>
  <c r="T1185" i="7" s="1"/>
  <c r="L1186" i="7"/>
  <c r="S1186" i="7" s="1"/>
  <c r="T1186" i="7" s="1"/>
  <c r="L1187" i="7"/>
  <c r="S1187" i="7" s="1"/>
  <c r="T1187" i="7" s="1"/>
  <c r="L1188" i="7"/>
  <c r="S1188" i="7" s="1"/>
  <c r="T1188" i="7" s="1"/>
  <c r="L1189" i="7"/>
  <c r="S1189" i="7" s="1"/>
  <c r="T1189" i="7" s="1"/>
  <c r="L1190" i="7"/>
  <c r="S1190" i="7" s="1"/>
  <c r="T1190" i="7" s="1"/>
  <c r="L1191" i="7"/>
  <c r="S1191" i="7" s="1"/>
  <c r="T1191" i="7" s="1"/>
  <c r="L1192" i="7"/>
  <c r="S1192" i="7" s="1"/>
  <c r="T1192" i="7" s="1"/>
  <c r="L1193" i="7"/>
  <c r="S1193" i="7" s="1"/>
  <c r="T1193" i="7" s="1"/>
  <c r="L1194" i="7"/>
  <c r="S1194" i="7" s="1"/>
  <c r="T1194" i="7" s="1"/>
  <c r="L1195" i="7"/>
  <c r="S1195" i="7" s="1"/>
  <c r="T1195" i="7" s="1"/>
  <c r="L1196" i="7"/>
  <c r="S1196" i="7" s="1"/>
  <c r="T1196" i="7" s="1"/>
  <c r="L1197" i="7"/>
  <c r="S1197" i="7" s="1"/>
  <c r="T1197" i="7" s="1"/>
  <c r="L1198" i="7"/>
  <c r="S1198" i="7" s="1"/>
  <c r="T1198" i="7" s="1"/>
  <c r="L1199" i="7"/>
  <c r="S1199" i="7" s="1"/>
  <c r="T1199" i="7" s="1"/>
  <c r="L1200" i="7"/>
  <c r="S1200" i="7" s="1"/>
  <c r="T1200" i="7" s="1"/>
  <c r="L1201" i="7"/>
  <c r="S1201" i="7" s="1"/>
  <c r="T1201" i="7" s="1"/>
  <c r="L1202" i="7"/>
  <c r="S1202" i="7" s="1"/>
  <c r="T1202" i="7" s="1"/>
  <c r="L1203" i="7"/>
  <c r="S1203" i="7" s="1"/>
  <c r="T1203" i="7" s="1"/>
  <c r="L1204" i="7"/>
  <c r="S1204" i="7" s="1"/>
  <c r="T1204" i="7" s="1"/>
  <c r="L1205" i="7"/>
  <c r="S1205" i="7" s="1"/>
  <c r="T1205" i="7" s="1"/>
  <c r="L1206" i="7"/>
  <c r="S1206" i="7" s="1"/>
  <c r="T1206" i="7" s="1"/>
  <c r="L1207" i="7"/>
  <c r="S1207" i="7" s="1"/>
  <c r="T1207" i="7" s="1"/>
  <c r="L1208" i="7"/>
  <c r="S1208" i="7" s="1"/>
  <c r="T1208" i="7" s="1"/>
  <c r="L1209" i="7"/>
  <c r="S1209" i="7" s="1"/>
  <c r="T1209" i="7" s="1"/>
  <c r="L1210" i="7"/>
  <c r="S1210" i="7" s="1"/>
  <c r="T1210" i="7" s="1"/>
  <c r="L1211" i="7"/>
  <c r="S1211" i="7" s="1"/>
  <c r="T1211" i="7" s="1"/>
  <c r="B44" i="22" l="1"/>
  <c r="B45" i="22"/>
  <c r="B46" i="22"/>
  <c r="B47" i="22"/>
  <c r="B48" i="22"/>
  <c r="B49" i="22"/>
  <c r="B42" i="22"/>
  <c r="B43" i="22"/>
  <c r="B41" i="22"/>
  <c r="B34" i="22"/>
  <c r="B35" i="22"/>
  <c r="B36" i="22"/>
  <c r="B37" i="22"/>
  <c r="B38" i="22"/>
  <c r="B39" i="22"/>
  <c r="B40" i="22"/>
  <c r="B30" i="22" l="1"/>
  <c r="B31" i="22"/>
  <c r="B32" i="22"/>
  <c r="B33" i="22"/>
  <c r="L1083" i="7"/>
  <c r="S1083" i="7" s="1"/>
  <c r="T1083" i="7" s="1"/>
  <c r="L1084" i="7"/>
  <c r="S1084" i="7" s="1"/>
  <c r="T1084" i="7" s="1"/>
  <c r="L1085" i="7"/>
  <c r="S1085" i="7" s="1"/>
  <c r="T1085" i="7" s="1"/>
  <c r="L1086" i="7"/>
  <c r="S1086" i="7" s="1"/>
  <c r="T1086" i="7" s="1"/>
  <c r="L1087" i="7"/>
  <c r="S1087" i="7" s="1"/>
  <c r="T1087" i="7" s="1"/>
  <c r="L1088" i="7"/>
  <c r="S1088" i="7" s="1"/>
  <c r="T1088" i="7" s="1"/>
  <c r="L1089" i="7"/>
  <c r="S1089" i="7" s="1"/>
  <c r="T1089" i="7" s="1"/>
  <c r="L1090" i="7"/>
  <c r="S1090" i="7" s="1"/>
  <c r="T1090" i="7" s="1"/>
  <c r="L1091" i="7"/>
  <c r="S1091" i="7" s="1"/>
  <c r="T1091" i="7" s="1"/>
  <c r="L1092" i="7"/>
  <c r="S1092" i="7" s="1"/>
  <c r="T1092" i="7" s="1"/>
  <c r="L1093" i="7"/>
  <c r="S1093" i="7" s="1"/>
  <c r="T1093" i="7" s="1"/>
  <c r="L1094" i="7"/>
  <c r="S1094" i="7" s="1"/>
  <c r="T1094" i="7" s="1"/>
  <c r="L1095" i="7"/>
  <c r="S1095" i="7" s="1"/>
  <c r="T1095" i="7" s="1"/>
  <c r="L1096" i="7"/>
  <c r="S1096" i="7" s="1"/>
  <c r="T1096" i="7" s="1"/>
  <c r="L1097" i="7"/>
  <c r="S1097" i="7" s="1"/>
  <c r="T1097" i="7" s="1"/>
  <c r="L1098" i="7"/>
  <c r="S1098" i="7" s="1"/>
  <c r="T1098" i="7" s="1"/>
  <c r="L1099" i="7"/>
  <c r="S1099" i="7" s="1"/>
  <c r="T1099" i="7" s="1"/>
  <c r="L1100" i="7"/>
  <c r="S1100" i="7" s="1"/>
  <c r="T1100" i="7" s="1"/>
  <c r="L1101" i="7"/>
  <c r="S1101" i="7" s="1"/>
  <c r="T1101" i="7" s="1"/>
  <c r="L1102" i="7"/>
  <c r="S1102" i="7" s="1"/>
  <c r="T1102" i="7" s="1"/>
  <c r="L1103" i="7"/>
  <c r="S1103" i="7" s="1"/>
  <c r="T1103" i="7" s="1"/>
  <c r="L1104" i="7"/>
  <c r="S1104" i="7" s="1"/>
  <c r="T1104" i="7" s="1"/>
  <c r="L1105" i="7"/>
  <c r="S1105" i="7" s="1"/>
  <c r="T1105" i="7" s="1"/>
  <c r="L1106" i="7"/>
  <c r="S1106" i="7" s="1"/>
  <c r="T1106" i="7" s="1"/>
  <c r="L1107" i="7"/>
  <c r="S1107" i="7" s="1"/>
  <c r="T1107" i="7" s="1"/>
  <c r="L1108" i="7"/>
  <c r="S1108" i="7" s="1"/>
  <c r="T1108" i="7" s="1"/>
  <c r="L1109" i="7"/>
  <c r="S1109" i="7" s="1"/>
  <c r="T1109" i="7" s="1"/>
  <c r="L1110" i="7"/>
  <c r="S1110" i="7" s="1"/>
  <c r="T1110" i="7" s="1"/>
  <c r="L1111" i="7"/>
  <c r="S1111" i="7" s="1"/>
  <c r="T1111" i="7" s="1"/>
  <c r="L1112" i="7"/>
  <c r="S1112" i="7" s="1"/>
  <c r="T1112" i="7" s="1"/>
  <c r="L1113" i="7"/>
  <c r="S1113" i="7" s="1"/>
  <c r="T1113" i="7" s="1"/>
  <c r="L1114" i="7"/>
  <c r="S1114" i="7" s="1"/>
  <c r="T1114" i="7" s="1"/>
  <c r="L1115" i="7"/>
  <c r="S1115" i="7" s="1"/>
  <c r="T1115" i="7" s="1"/>
  <c r="L1116" i="7"/>
  <c r="S1116" i="7" s="1"/>
  <c r="T1116" i="7" s="1"/>
  <c r="L1117" i="7"/>
  <c r="S1117" i="7" s="1"/>
  <c r="T1117" i="7" s="1"/>
  <c r="L1118" i="7"/>
  <c r="S1118" i="7" s="1"/>
  <c r="T1118" i="7" s="1"/>
  <c r="L1119" i="7"/>
  <c r="S1119" i="7" s="1"/>
  <c r="T1119" i="7" s="1"/>
  <c r="L1120" i="7"/>
  <c r="S1120" i="7" s="1"/>
  <c r="T1120" i="7" s="1"/>
  <c r="L1121" i="7"/>
  <c r="S1121" i="7" s="1"/>
  <c r="T1121" i="7" s="1"/>
  <c r="L1122" i="7"/>
  <c r="S1122" i="7" s="1"/>
  <c r="T1122" i="7" s="1"/>
  <c r="L1123" i="7"/>
  <c r="S1123" i="7" s="1"/>
  <c r="T1123" i="7" s="1"/>
  <c r="L1124" i="7"/>
  <c r="S1124" i="7" s="1"/>
  <c r="T1124" i="7" s="1"/>
  <c r="L1125" i="7"/>
  <c r="S1125" i="7" s="1"/>
  <c r="T1125" i="7" s="1"/>
  <c r="L1126" i="7"/>
  <c r="S1126" i="7" s="1"/>
  <c r="T1126" i="7" s="1"/>
  <c r="L1127" i="7"/>
  <c r="S1127" i="7" s="1"/>
  <c r="T1127" i="7" s="1"/>
  <c r="L1128" i="7"/>
  <c r="S1128" i="7" s="1"/>
  <c r="T1128" i="7" s="1"/>
  <c r="L1129" i="7"/>
  <c r="S1129" i="7" s="1"/>
  <c r="T1129" i="7" s="1"/>
  <c r="L1130" i="7"/>
  <c r="S1130" i="7" s="1"/>
  <c r="T1130" i="7" s="1"/>
  <c r="L1131" i="7"/>
  <c r="S1131" i="7" s="1"/>
  <c r="T1131" i="7" s="1"/>
  <c r="L1132" i="7"/>
  <c r="S1132" i="7" s="1"/>
  <c r="T1132" i="7" s="1"/>
  <c r="L468" i="7" l="1"/>
  <c r="L343" i="7"/>
  <c r="L1003" i="7"/>
  <c r="S1003" i="7" s="1"/>
  <c r="T1003" i="7" s="1"/>
  <c r="L1004" i="7"/>
  <c r="S1004" i="7" s="1"/>
  <c r="T1004" i="7" s="1"/>
  <c r="L1005" i="7"/>
  <c r="S1005" i="7" s="1"/>
  <c r="T1005" i="7" s="1"/>
  <c r="L1006" i="7"/>
  <c r="S1006" i="7" s="1"/>
  <c r="T1006" i="7" s="1"/>
  <c r="L1007" i="7"/>
  <c r="S1007" i="7" s="1"/>
  <c r="T1007" i="7" s="1"/>
  <c r="L1008" i="7"/>
  <c r="S1008" i="7" s="1"/>
  <c r="T1008" i="7" s="1"/>
  <c r="L1009" i="7"/>
  <c r="S1009" i="7" s="1"/>
  <c r="T1009" i="7" s="1"/>
  <c r="L1010" i="7"/>
  <c r="S1010" i="7" s="1"/>
  <c r="T1010" i="7" s="1"/>
  <c r="L1011" i="7"/>
  <c r="S1011" i="7" s="1"/>
  <c r="T1011" i="7" s="1"/>
  <c r="L1012" i="7"/>
  <c r="S1012" i="7" s="1"/>
  <c r="T1012" i="7" s="1"/>
  <c r="L1013" i="7"/>
  <c r="S1013" i="7" s="1"/>
  <c r="T1013" i="7" s="1"/>
  <c r="L1014" i="7"/>
  <c r="S1014" i="7" s="1"/>
  <c r="T1014" i="7" s="1"/>
  <c r="L1015" i="7"/>
  <c r="S1015" i="7" s="1"/>
  <c r="T1015" i="7" s="1"/>
  <c r="L1016" i="7"/>
  <c r="S1016" i="7" s="1"/>
  <c r="T1016" i="7" s="1"/>
  <c r="L1017" i="7"/>
  <c r="S1017" i="7" s="1"/>
  <c r="T1017" i="7" s="1"/>
  <c r="L1018" i="7"/>
  <c r="S1018" i="7" s="1"/>
  <c r="T1018" i="7" s="1"/>
  <c r="L1019" i="7"/>
  <c r="S1019" i="7" s="1"/>
  <c r="T1019" i="7" s="1"/>
  <c r="L1020" i="7"/>
  <c r="S1020" i="7" s="1"/>
  <c r="T1020" i="7" s="1"/>
  <c r="L1021" i="7"/>
  <c r="S1021" i="7" s="1"/>
  <c r="T1021" i="7" s="1"/>
  <c r="L1022" i="7"/>
  <c r="S1022" i="7" s="1"/>
  <c r="T1022" i="7" s="1"/>
  <c r="L1023" i="7"/>
  <c r="S1023" i="7" s="1"/>
  <c r="T1023" i="7" s="1"/>
  <c r="L1024" i="7"/>
  <c r="S1024" i="7" s="1"/>
  <c r="T1024" i="7" s="1"/>
  <c r="L1025" i="7"/>
  <c r="S1025" i="7" s="1"/>
  <c r="T1025" i="7" s="1"/>
  <c r="L1026" i="7"/>
  <c r="S1026" i="7" s="1"/>
  <c r="T1026" i="7" s="1"/>
  <c r="L1027" i="7"/>
  <c r="S1027" i="7" s="1"/>
  <c r="T1027" i="7" s="1"/>
  <c r="L1028" i="7"/>
  <c r="S1028" i="7" s="1"/>
  <c r="T1028" i="7" s="1"/>
  <c r="L1029" i="7"/>
  <c r="S1029" i="7" s="1"/>
  <c r="T1029" i="7" s="1"/>
  <c r="L1030" i="7"/>
  <c r="S1030" i="7" s="1"/>
  <c r="T1030" i="7" s="1"/>
  <c r="L1031" i="7"/>
  <c r="S1031" i="7" s="1"/>
  <c r="T1031" i="7" s="1"/>
  <c r="L1032" i="7"/>
  <c r="S1032" i="7" s="1"/>
  <c r="T1032" i="7" s="1"/>
  <c r="L1033" i="7"/>
  <c r="S1033" i="7" s="1"/>
  <c r="T1033" i="7" s="1"/>
  <c r="L1034" i="7"/>
  <c r="S1034" i="7" s="1"/>
  <c r="T1034" i="7" s="1"/>
  <c r="L1035" i="7"/>
  <c r="S1035" i="7" s="1"/>
  <c r="T1035" i="7" s="1"/>
  <c r="L1036" i="7"/>
  <c r="S1036" i="7" s="1"/>
  <c r="T1036" i="7" s="1"/>
  <c r="L1037" i="7"/>
  <c r="S1037" i="7" s="1"/>
  <c r="T1037" i="7" s="1"/>
  <c r="L1038" i="7"/>
  <c r="S1038" i="7" s="1"/>
  <c r="T1038" i="7" s="1"/>
  <c r="L1039" i="7"/>
  <c r="S1039" i="7" s="1"/>
  <c r="T1039" i="7" s="1"/>
  <c r="L1040" i="7"/>
  <c r="S1040" i="7" s="1"/>
  <c r="T1040" i="7" s="1"/>
  <c r="L1041" i="7"/>
  <c r="S1041" i="7" s="1"/>
  <c r="T1041" i="7" s="1"/>
  <c r="L1042" i="7"/>
  <c r="S1042" i="7" s="1"/>
  <c r="T1042" i="7" s="1"/>
  <c r="L1043" i="7"/>
  <c r="S1043" i="7" s="1"/>
  <c r="T1043" i="7" s="1"/>
  <c r="L1044" i="7"/>
  <c r="S1044" i="7" s="1"/>
  <c r="T1044" i="7" s="1"/>
  <c r="L1045" i="7"/>
  <c r="S1045" i="7" s="1"/>
  <c r="T1045" i="7" s="1"/>
  <c r="L1046" i="7"/>
  <c r="S1046" i="7" s="1"/>
  <c r="T1046" i="7" s="1"/>
  <c r="L1047" i="7"/>
  <c r="S1047" i="7" s="1"/>
  <c r="T1047" i="7" s="1"/>
  <c r="L1048" i="7"/>
  <c r="S1048" i="7" s="1"/>
  <c r="T1048" i="7" s="1"/>
  <c r="L1049" i="7"/>
  <c r="S1049" i="7" s="1"/>
  <c r="T1049" i="7" s="1"/>
  <c r="L1050" i="7"/>
  <c r="S1050" i="7" s="1"/>
  <c r="T1050" i="7" s="1"/>
  <c r="L1051" i="7"/>
  <c r="S1051" i="7" s="1"/>
  <c r="T1051" i="7" s="1"/>
  <c r="L1052" i="7"/>
  <c r="S1052" i="7" s="1"/>
  <c r="T1052" i="7" s="1"/>
  <c r="L1053" i="7"/>
  <c r="S1053" i="7" s="1"/>
  <c r="T1053" i="7" s="1"/>
  <c r="L1054" i="7"/>
  <c r="S1054" i="7" s="1"/>
  <c r="T1054" i="7" s="1"/>
  <c r="L1055" i="7"/>
  <c r="S1055" i="7" s="1"/>
  <c r="T1055" i="7" s="1"/>
  <c r="L1056" i="7"/>
  <c r="S1056" i="7" s="1"/>
  <c r="T1056" i="7" s="1"/>
  <c r="L1057" i="7"/>
  <c r="S1057" i="7" s="1"/>
  <c r="T1057" i="7" s="1"/>
  <c r="L1058" i="7"/>
  <c r="S1058" i="7" s="1"/>
  <c r="T1058" i="7" s="1"/>
  <c r="L1059" i="7"/>
  <c r="S1059" i="7" s="1"/>
  <c r="T1059" i="7" s="1"/>
  <c r="L1060" i="7"/>
  <c r="S1060" i="7" s="1"/>
  <c r="T1060" i="7" s="1"/>
  <c r="L1061" i="7"/>
  <c r="S1061" i="7" s="1"/>
  <c r="T1061" i="7" s="1"/>
  <c r="L1062" i="7"/>
  <c r="S1062" i="7" s="1"/>
  <c r="T1062" i="7" s="1"/>
  <c r="L1063" i="7"/>
  <c r="S1063" i="7" s="1"/>
  <c r="T1063" i="7" s="1"/>
  <c r="L1064" i="7"/>
  <c r="S1064" i="7" s="1"/>
  <c r="T1064" i="7" s="1"/>
  <c r="L1065" i="7"/>
  <c r="S1065" i="7" s="1"/>
  <c r="T1065" i="7" s="1"/>
  <c r="L1066" i="7"/>
  <c r="S1066" i="7" s="1"/>
  <c r="T1066" i="7" s="1"/>
  <c r="L1067" i="7"/>
  <c r="S1067" i="7" s="1"/>
  <c r="T1067" i="7" s="1"/>
  <c r="L1068" i="7"/>
  <c r="S1068" i="7" s="1"/>
  <c r="T1068" i="7" s="1"/>
  <c r="L1069" i="7"/>
  <c r="S1069" i="7" s="1"/>
  <c r="T1069" i="7" s="1"/>
  <c r="L1070" i="7"/>
  <c r="S1070" i="7" s="1"/>
  <c r="T1070" i="7" s="1"/>
  <c r="L1071" i="7"/>
  <c r="S1071" i="7" s="1"/>
  <c r="T1071" i="7" s="1"/>
  <c r="L1072" i="7"/>
  <c r="S1072" i="7" s="1"/>
  <c r="T1072" i="7" s="1"/>
  <c r="L1073" i="7"/>
  <c r="S1073" i="7" s="1"/>
  <c r="T1073" i="7" s="1"/>
  <c r="L1074" i="7"/>
  <c r="S1074" i="7" s="1"/>
  <c r="T1074" i="7" s="1"/>
  <c r="L1075" i="7"/>
  <c r="S1075" i="7" s="1"/>
  <c r="T1075" i="7" s="1"/>
  <c r="L1076" i="7"/>
  <c r="S1076" i="7" s="1"/>
  <c r="T1076" i="7" s="1"/>
  <c r="L1077" i="7"/>
  <c r="S1077" i="7" s="1"/>
  <c r="T1077" i="7" s="1"/>
  <c r="L1078" i="7"/>
  <c r="S1078" i="7" s="1"/>
  <c r="T1078" i="7" s="1"/>
  <c r="L1079" i="7"/>
  <c r="S1079" i="7" s="1"/>
  <c r="T1079" i="7" s="1"/>
  <c r="L1080" i="7"/>
  <c r="S1080" i="7" s="1"/>
  <c r="T1080" i="7" s="1"/>
  <c r="L1081" i="7"/>
  <c r="S1081" i="7" s="1"/>
  <c r="T1081" i="7" s="1"/>
  <c r="L1082" i="7"/>
  <c r="S1082" i="7" s="1"/>
  <c r="T1082" i="7" s="1"/>
  <c r="R1029" i="7" l="1"/>
  <c r="L946" i="7"/>
  <c r="S946" i="7" s="1"/>
  <c r="T946" i="7" s="1"/>
  <c r="L947" i="7"/>
  <c r="S947" i="7" s="1"/>
  <c r="T947" i="7" s="1"/>
  <c r="L948" i="7"/>
  <c r="S948" i="7" s="1"/>
  <c r="T948" i="7" s="1"/>
  <c r="L949" i="7"/>
  <c r="S949" i="7" s="1"/>
  <c r="T949" i="7" s="1"/>
  <c r="L950" i="7"/>
  <c r="S950" i="7" s="1"/>
  <c r="T950" i="7" s="1"/>
  <c r="L951" i="7"/>
  <c r="S951" i="7" s="1"/>
  <c r="T951" i="7" s="1"/>
  <c r="L952" i="7"/>
  <c r="S952" i="7" s="1"/>
  <c r="T952" i="7" s="1"/>
  <c r="L953" i="7"/>
  <c r="S953" i="7" s="1"/>
  <c r="T953" i="7" s="1"/>
  <c r="L954" i="7"/>
  <c r="S954" i="7" s="1"/>
  <c r="T954" i="7" s="1"/>
  <c r="L955" i="7"/>
  <c r="S955" i="7" s="1"/>
  <c r="T955" i="7" s="1"/>
  <c r="L956" i="7"/>
  <c r="S956" i="7" s="1"/>
  <c r="T956" i="7" s="1"/>
  <c r="L957" i="7"/>
  <c r="S957" i="7" s="1"/>
  <c r="T957" i="7" s="1"/>
  <c r="L958" i="7"/>
  <c r="S958" i="7" s="1"/>
  <c r="T958" i="7" s="1"/>
  <c r="L959" i="7"/>
  <c r="S959" i="7" s="1"/>
  <c r="T959" i="7" s="1"/>
  <c r="L960" i="7"/>
  <c r="S960" i="7" s="1"/>
  <c r="T960" i="7" s="1"/>
  <c r="L961" i="7"/>
  <c r="S961" i="7" s="1"/>
  <c r="T961" i="7" s="1"/>
  <c r="L962" i="7"/>
  <c r="S962" i="7" s="1"/>
  <c r="T962" i="7" s="1"/>
  <c r="L963" i="7"/>
  <c r="S963" i="7" s="1"/>
  <c r="T963" i="7" s="1"/>
  <c r="L964" i="7"/>
  <c r="S964" i="7" s="1"/>
  <c r="T964" i="7" s="1"/>
  <c r="L965" i="7"/>
  <c r="S965" i="7" s="1"/>
  <c r="T965" i="7" s="1"/>
  <c r="L966" i="7"/>
  <c r="S966" i="7" s="1"/>
  <c r="T966" i="7" s="1"/>
  <c r="L967" i="7"/>
  <c r="S967" i="7" s="1"/>
  <c r="T967" i="7" s="1"/>
  <c r="L968" i="7"/>
  <c r="S968" i="7" s="1"/>
  <c r="T968" i="7" s="1"/>
  <c r="L969" i="7"/>
  <c r="S969" i="7" s="1"/>
  <c r="T969" i="7" s="1"/>
  <c r="L970" i="7"/>
  <c r="S970" i="7" s="1"/>
  <c r="T970" i="7" s="1"/>
  <c r="L971" i="7"/>
  <c r="S971" i="7" s="1"/>
  <c r="T971" i="7" s="1"/>
  <c r="L972" i="7"/>
  <c r="S972" i="7" s="1"/>
  <c r="T972" i="7" s="1"/>
  <c r="L973" i="7"/>
  <c r="S973" i="7" s="1"/>
  <c r="T973" i="7" s="1"/>
  <c r="L974" i="7"/>
  <c r="S974" i="7" s="1"/>
  <c r="T974" i="7" s="1"/>
  <c r="L975" i="7"/>
  <c r="S975" i="7" s="1"/>
  <c r="T975" i="7" s="1"/>
  <c r="L976" i="7"/>
  <c r="S976" i="7" s="1"/>
  <c r="T976" i="7" s="1"/>
  <c r="L977" i="7"/>
  <c r="S977" i="7" s="1"/>
  <c r="T977" i="7" s="1"/>
  <c r="L978" i="7"/>
  <c r="S978" i="7" s="1"/>
  <c r="T978" i="7" s="1"/>
  <c r="L979" i="7"/>
  <c r="S979" i="7" s="1"/>
  <c r="T979" i="7" s="1"/>
  <c r="L980" i="7"/>
  <c r="S980" i="7" s="1"/>
  <c r="T980" i="7" s="1"/>
  <c r="L981" i="7"/>
  <c r="S981" i="7" s="1"/>
  <c r="T981" i="7" s="1"/>
  <c r="L982" i="7"/>
  <c r="S982" i="7" s="1"/>
  <c r="T982" i="7" s="1"/>
  <c r="L983" i="7"/>
  <c r="S983" i="7" s="1"/>
  <c r="T983" i="7" s="1"/>
  <c r="L984" i="7"/>
  <c r="S984" i="7" s="1"/>
  <c r="T984" i="7" s="1"/>
  <c r="L985" i="7"/>
  <c r="S985" i="7" s="1"/>
  <c r="T985" i="7" s="1"/>
  <c r="L986" i="7"/>
  <c r="S986" i="7" s="1"/>
  <c r="T986" i="7" s="1"/>
  <c r="L987" i="7"/>
  <c r="S987" i="7" s="1"/>
  <c r="T987" i="7" s="1"/>
  <c r="L988" i="7"/>
  <c r="S988" i="7" s="1"/>
  <c r="T988" i="7" s="1"/>
  <c r="L989" i="7"/>
  <c r="S989" i="7" s="1"/>
  <c r="T989" i="7" s="1"/>
  <c r="L990" i="7"/>
  <c r="S990" i="7" s="1"/>
  <c r="T990" i="7" s="1"/>
  <c r="L991" i="7"/>
  <c r="S991" i="7" s="1"/>
  <c r="T991" i="7" s="1"/>
  <c r="L992" i="7"/>
  <c r="S992" i="7" s="1"/>
  <c r="T992" i="7" s="1"/>
  <c r="L993" i="7"/>
  <c r="S993" i="7" s="1"/>
  <c r="T993" i="7" s="1"/>
  <c r="L994" i="7"/>
  <c r="S994" i="7" s="1"/>
  <c r="T994" i="7" s="1"/>
  <c r="L995" i="7"/>
  <c r="S995" i="7" s="1"/>
  <c r="T995" i="7" s="1"/>
  <c r="L996" i="7"/>
  <c r="S996" i="7" s="1"/>
  <c r="T996" i="7" s="1"/>
  <c r="L997" i="7"/>
  <c r="S997" i="7" s="1"/>
  <c r="T997" i="7" s="1"/>
  <c r="L998" i="7"/>
  <c r="S998" i="7" s="1"/>
  <c r="T998" i="7" s="1"/>
  <c r="L999" i="7"/>
  <c r="S999" i="7" s="1"/>
  <c r="T999" i="7" s="1"/>
  <c r="L1000" i="7"/>
  <c r="S1000" i="7" s="1"/>
  <c r="T1000" i="7" s="1"/>
  <c r="L1001" i="7"/>
  <c r="S1001" i="7" s="1"/>
  <c r="T1001" i="7" s="1"/>
  <c r="L1002" i="7"/>
  <c r="S1002" i="7" s="1"/>
  <c r="T1002" i="7" s="1"/>
  <c r="R14" i="7" l="1"/>
  <c r="R125" i="7"/>
  <c r="R127" i="7"/>
  <c r="R202" i="7"/>
  <c r="R213" i="7"/>
  <c r="R217" i="7"/>
  <c r="R236" i="7"/>
  <c r="R244" i="7"/>
  <c r="R256" i="7"/>
  <c r="R268" i="7"/>
  <c r="R284" i="7"/>
  <c r="R289" i="7"/>
  <c r="R290" i="7"/>
  <c r="R291" i="7"/>
  <c r="R292" i="7"/>
  <c r="R294" i="7"/>
  <c r="R298" i="7"/>
  <c r="R300" i="7"/>
  <c r="R304" i="7"/>
  <c r="R306" i="7"/>
  <c r="R307" i="7"/>
  <c r="R344" i="7"/>
  <c r="R382" i="7"/>
  <c r="R425" i="7"/>
  <c r="R461" i="7"/>
  <c r="R462" i="7"/>
  <c r="R468" i="7"/>
  <c r="R472" i="7"/>
  <c r="R475" i="7"/>
  <c r="R508" i="7"/>
  <c r="R560" i="7"/>
  <c r="R652" i="7"/>
  <c r="R657" i="7"/>
  <c r="R685" i="7"/>
  <c r="R835" i="7"/>
  <c r="R907" i="7"/>
  <c r="R916" i="7"/>
  <c r="R918" i="7"/>
  <c r="R919" i="7"/>
  <c r="R920" i="7"/>
  <c r="R922" i="7"/>
  <c r="L910" i="7" l="1"/>
  <c r="S910" i="7" s="1"/>
  <c r="T910" i="7" s="1"/>
  <c r="L911" i="7"/>
  <c r="S911" i="7" s="1"/>
  <c r="T911" i="7" s="1"/>
  <c r="L912" i="7"/>
  <c r="S912" i="7" s="1"/>
  <c r="T912" i="7" s="1"/>
  <c r="L913" i="7"/>
  <c r="S913" i="7" s="1"/>
  <c r="T913" i="7" s="1"/>
  <c r="L914" i="7"/>
  <c r="S914" i="7" s="1"/>
  <c r="T914" i="7" s="1"/>
  <c r="L915" i="7"/>
  <c r="S915" i="7" s="1"/>
  <c r="T915" i="7" s="1"/>
  <c r="L916" i="7"/>
  <c r="S916" i="7" s="1"/>
  <c r="T916" i="7" s="1"/>
  <c r="L917" i="7"/>
  <c r="S917" i="7" s="1"/>
  <c r="T917" i="7" s="1"/>
  <c r="L918" i="7"/>
  <c r="S918" i="7" s="1"/>
  <c r="T918" i="7" s="1"/>
  <c r="L919" i="7"/>
  <c r="S919" i="7" s="1"/>
  <c r="T919" i="7" s="1"/>
  <c r="L920" i="7"/>
  <c r="S920" i="7" s="1"/>
  <c r="T920" i="7" s="1"/>
  <c r="L921" i="7"/>
  <c r="S921" i="7" s="1"/>
  <c r="T921" i="7" s="1"/>
  <c r="L922" i="7"/>
  <c r="S922" i="7" s="1"/>
  <c r="T922" i="7" s="1"/>
  <c r="L923" i="7"/>
  <c r="S923" i="7" s="1"/>
  <c r="T923" i="7" s="1"/>
  <c r="L924" i="7"/>
  <c r="S924" i="7" s="1"/>
  <c r="T924" i="7" s="1"/>
  <c r="L925" i="7"/>
  <c r="S925" i="7" s="1"/>
  <c r="T925" i="7" s="1"/>
  <c r="L926" i="7"/>
  <c r="S926" i="7" s="1"/>
  <c r="T926" i="7" s="1"/>
  <c r="L927" i="7"/>
  <c r="S927" i="7" s="1"/>
  <c r="T927" i="7" s="1"/>
  <c r="L928" i="7"/>
  <c r="S928" i="7" s="1"/>
  <c r="T928" i="7" s="1"/>
  <c r="L929" i="7"/>
  <c r="S929" i="7" s="1"/>
  <c r="T929" i="7" s="1"/>
  <c r="L930" i="7"/>
  <c r="S930" i="7" s="1"/>
  <c r="T930" i="7" s="1"/>
  <c r="L931" i="7"/>
  <c r="S931" i="7" s="1"/>
  <c r="T931" i="7" s="1"/>
  <c r="L932" i="7"/>
  <c r="S932" i="7" s="1"/>
  <c r="T932" i="7" s="1"/>
  <c r="L933" i="7"/>
  <c r="S933" i="7" s="1"/>
  <c r="T933" i="7" s="1"/>
  <c r="L934" i="7"/>
  <c r="S934" i="7" s="1"/>
  <c r="T934" i="7" s="1"/>
  <c r="L935" i="7"/>
  <c r="S935" i="7" s="1"/>
  <c r="T935" i="7" s="1"/>
  <c r="L936" i="7"/>
  <c r="S936" i="7" s="1"/>
  <c r="T936" i="7" s="1"/>
  <c r="L937" i="7"/>
  <c r="S937" i="7" s="1"/>
  <c r="T937" i="7" s="1"/>
  <c r="L938" i="7"/>
  <c r="S938" i="7" s="1"/>
  <c r="T938" i="7" s="1"/>
  <c r="L939" i="7"/>
  <c r="S939" i="7" s="1"/>
  <c r="T939" i="7" s="1"/>
  <c r="L940" i="7"/>
  <c r="S940" i="7" s="1"/>
  <c r="T940" i="7" s="1"/>
  <c r="L941" i="7"/>
  <c r="S941" i="7" s="1"/>
  <c r="T941" i="7" s="1"/>
  <c r="L942" i="7"/>
  <c r="S942" i="7" s="1"/>
  <c r="T942" i="7" s="1"/>
  <c r="L943" i="7"/>
  <c r="S943" i="7" s="1"/>
  <c r="T943" i="7" s="1"/>
  <c r="L944" i="7"/>
  <c r="S944" i="7" s="1"/>
  <c r="T944" i="7" s="1"/>
  <c r="L945" i="7"/>
  <c r="S945" i="7" s="1"/>
  <c r="T945" i="7" s="1"/>
  <c r="L457" i="7"/>
  <c r="S457" i="7" s="1"/>
  <c r="T457" i="7" s="1"/>
  <c r="L458" i="7"/>
  <c r="S458" i="7" s="1"/>
  <c r="T458" i="7" s="1"/>
  <c r="L459" i="7"/>
  <c r="S459" i="7" s="1"/>
  <c r="T459" i="7" s="1"/>
  <c r="L460" i="7"/>
  <c r="S460" i="7" s="1"/>
  <c r="T460" i="7" s="1"/>
  <c r="L461" i="7"/>
  <c r="S461" i="7" s="1"/>
  <c r="T461" i="7" s="1"/>
  <c r="L462" i="7"/>
  <c r="S462" i="7" s="1"/>
  <c r="T462" i="7" s="1"/>
  <c r="L463" i="7"/>
  <c r="S463" i="7" s="1"/>
  <c r="T463" i="7" s="1"/>
  <c r="L464" i="7"/>
  <c r="S464" i="7" s="1"/>
  <c r="T464" i="7" s="1"/>
  <c r="L465" i="7"/>
  <c r="S465" i="7" s="1"/>
  <c r="T465" i="7" s="1"/>
  <c r="L466" i="7"/>
  <c r="S466" i="7" s="1"/>
  <c r="T466" i="7" s="1"/>
  <c r="L467" i="7"/>
  <c r="S467" i="7" s="1"/>
  <c r="T467" i="7" s="1"/>
  <c r="S468" i="7"/>
  <c r="T468" i="7" s="1"/>
  <c r="L469" i="7"/>
  <c r="S469" i="7" s="1"/>
  <c r="T469" i="7" s="1"/>
  <c r="L470" i="7"/>
  <c r="S470" i="7" s="1"/>
  <c r="T470" i="7" s="1"/>
  <c r="L471" i="7"/>
  <c r="S471" i="7" s="1"/>
  <c r="T471" i="7" s="1"/>
  <c r="L472" i="7"/>
  <c r="S472" i="7" s="1"/>
  <c r="T472" i="7" s="1"/>
  <c r="L473" i="7"/>
  <c r="S473" i="7" s="1"/>
  <c r="T473" i="7" s="1"/>
  <c r="L474" i="7"/>
  <c r="S474" i="7" s="1"/>
  <c r="T474" i="7" s="1"/>
  <c r="L475" i="7"/>
  <c r="S475" i="7" s="1"/>
  <c r="T475" i="7" s="1"/>
  <c r="L476" i="7"/>
  <c r="S476" i="7" s="1"/>
  <c r="T476" i="7" s="1"/>
  <c r="L477" i="7"/>
  <c r="S477" i="7" s="1"/>
  <c r="T477" i="7" s="1"/>
  <c r="L478" i="7"/>
  <c r="S478" i="7" s="1"/>
  <c r="T478" i="7" s="1"/>
  <c r="L479" i="7"/>
  <c r="S479" i="7" s="1"/>
  <c r="T479" i="7" s="1"/>
  <c r="L480" i="7"/>
  <c r="S480" i="7" s="1"/>
  <c r="T480" i="7" s="1"/>
  <c r="L481" i="7"/>
  <c r="S481" i="7" s="1"/>
  <c r="T481" i="7" s="1"/>
  <c r="L482" i="7"/>
  <c r="S482" i="7" s="1"/>
  <c r="T482" i="7" s="1"/>
  <c r="L483" i="7"/>
  <c r="S483" i="7" s="1"/>
  <c r="T483" i="7" s="1"/>
  <c r="L484" i="7"/>
  <c r="S484" i="7" s="1"/>
  <c r="T484" i="7" s="1"/>
  <c r="L485" i="7"/>
  <c r="S485" i="7" s="1"/>
  <c r="T485" i="7" s="1"/>
  <c r="L486" i="7"/>
  <c r="S486" i="7" s="1"/>
  <c r="T486" i="7" s="1"/>
  <c r="L487" i="7"/>
  <c r="S487" i="7" s="1"/>
  <c r="T487" i="7" s="1"/>
  <c r="L488" i="7"/>
  <c r="S488" i="7" s="1"/>
  <c r="T488" i="7" s="1"/>
  <c r="L489" i="7"/>
  <c r="S489" i="7" s="1"/>
  <c r="T489" i="7" s="1"/>
  <c r="L490" i="7"/>
  <c r="S490" i="7" s="1"/>
  <c r="T490" i="7" s="1"/>
  <c r="L491" i="7"/>
  <c r="S491" i="7" s="1"/>
  <c r="T491" i="7" s="1"/>
  <c r="L492" i="7"/>
  <c r="S492" i="7" s="1"/>
  <c r="T492" i="7" s="1"/>
  <c r="L493" i="7"/>
  <c r="S493" i="7" s="1"/>
  <c r="T493" i="7" s="1"/>
  <c r="L494" i="7"/>
  <c r="S494" i="7" s="1"/>
  <c r="T494" i="7" s="1"/>
  <c r="L495" i="7"/>
  <c r="S495" i="7" s="1"/>
  <c r="T495" i="7" s="1"/>
  <c r="L496" i="7"/>
  <c r="S496" i="7" s="1"/>
  <c r="T496" i="7" s="1"/>
  <c r="L497" i="7"/>
  <c r="S497" i="7" s="1"/>
  <c r="T497" i="7" s="1"/>
  <c r="L498" i="7"/>
  <c r="S498" i="7" s="1"/>
  <c r="T498" i="7" s="1"/>
  <c r="L499" i="7"/>
  <c r="S499" i="7" s="1"/>
  <c r="T499" i="7" s="1"/>
  <c r="L500" i="7"/>
  <c r="S500" i="7" s="1"/>
  <c r="T500" i="7" s="1"/>
  <c r="L501" i="7"/>
  <c r="S501" i="7" s="1"/>
  <c r="T501" i="7" s="1"/>
  <c r="L502" i="7"/>
  <c r="S502" i="7" s="1"/>
  <c r="T502" i="7" s="1"/>
  <c r="L503" i="7"/>
  <c r="S503" i="7" s="1"/>
  <c r="T503" i="7" s="1"/>
  <c r="L504" i="7"/>
  <c r="S504" i="7" s="1"/>
  <c r="T504" i="7" s="1"/>
  <c r="L505" i="7"/>
  <c r="S505" i="7" s="1"/>
  <c r="T505" i="7" s="1"/>
  <c r="L506" i="7"/>
  <c r="S506" i="7" s="1"/>
  <c r="T506" i="7" s="1"/>
  <c r="L507" i="7"/>
  <c r="S507" i="7" s="1"/>
  <c r="T507" i="7" s="1"/>
  <c r="L508" i="7"/>
  <c r="S508" i="7" s="1"/>
  <c r="T508" i="7" s="1"/>
  <c r="L509" i="7"/>
  <c r="S509" i="7" s="1"/>
  <c r="T509" i="7" s="1"/>
  <c r="L510" i="7"/>
  <c r="S510" i="7" s="1"/>
  <c r="T510" i="7" s="1"/>
  <c r="L511" i="7"/>
  <c r="S511" i="7" s="1"/>
  <c r="T511" i="7" s="1"/>
  <c r="L512" i="7"/>
  <c r="S512" i="7" s="1"/>
  <c r="T512" i="7" s="1"/>
  <c r="L513" i="7"/>
  <c r="S513" i="7" s="1"/>
  <c r="T513" i="7" s="1"/>
  <c r="L514" i="7"/>
  <c r="S514" i="7" s="1"/>
  <c r="T514" i="7" s="1"/>
  <c r="L515" i="7"/>
  <c r="S515" i="7" s="1"/>
  <c r="T515" i="7" s="1"/>
  <c r="L516" i="7"/>
  <c r="S516" i="7" s="1"/>
  <c r="T516" i="7" s="1"/>
  <c r="L517" i="7"/>
  <c r="S517" i="7" s="1"/>
  <c r="T517" i="7" s="1"/>
  <c r="L518" i="7"/>
  <c r="S518" i="7" s="1"/>
  <c r="T518" i="7" s="1"/>
  <c r="L519" i="7"/>
  <c r="S519" i="7" s="1"/>
  <c r="T519" i="7" s="1"/>
  <c r="L520" i="7"/>
  <c r="S520" i="7" s="1"/>
  <c r="T520" i="7" s="1"/>
  <c r="L521" i="7"/>
  <c r="S521" i="7" s="1"/>
  <c r="T521" i="7" s="1"/>
  <c r="L522" i="7"/>
  <c r="S522" i="7" s="1"/>
  <c r="T522" i="7" s="1"/>
  <c r="L523" i="7"/>
  <c r="S523" i="7" s="1"/>
  <c r="T523" i="7" s="1"/>
  <c r="L524" i="7"/>
  <c r="S524" i="7" s="1"/>
  <c r="T524" i="7" s="1"/>
  <c r="L525" i="7"/>
  <c r="S525" i="7" s="1"/>
  <c r="T525" i="7" s="1"/>
  <c r="L526" i="7"/>
  <c r="S526" i="7" s="1"/>
  <c r="T526" i="7" s="1"/>
  <c r="L527" i="7"/>
  <c r="S527" i="7" s="1"/>
  <c r="T527" i="7" s="1"/>
  <c r="L528" i="7"/>
  <c r="S528" i="7" s="1"/>
  <c r="T528" i="7" s="1"/>
  <c r="L529" i="7"/>
  <c r="S529" i="7" s="1"/>
  <c r="T529" i="7" s="1"/>
  <c r="L530" i="7"/>
  <c r="S530" i="7" s="1"/>
  <c r="T530" i="7" s="1"/>
  <c r="L531" i="7"/>
  <c r="S531" i="7" s="1"/>
  <c r="T531" i="7" s="1"/>
  <c r="L532" i="7"/>
  <c r="S532" i="7" s="1"/>
  <c r="T532" i="7" s="1"/>
  <c r="L533" i="7"/>
  <c r="S533" i="7" s="1"/>
  <c r="T533" i="7" s="1"/>
  <c r="L534" i="7"/>
  <c r="S534" i="7" s="1"/>
  <c r="T534" i="7" s="1"/>
  <c r="L535" i="7"/>
  <c r="S535" i="7" s="1"/>
  <c r="T535" i="7" s="1"/>
  <c r="L536" i="7"/>
  <c r="S536" i="7" s="1"/>
  <c r="T536" i="7" s="1"/>
  <c r="L537" i="7"/>
  <c r="S537" i="7" s="1"/>
  <c r="T537" i="7" s="1"/>
  <c r="L538" i="7"/>
  <c r="S538" i="7" s="1"/>
  <c r="T538" i="7" s="1"/>
  <c r="L539" i="7"/>
  <c r="S539" i="7" s="1"/>
  <c r="T539" i="7" s="1"/>
  <c r="L540" i="7"/>
  <c r="S540" i="7" s="1"/>
  <c r="T540" i="7" s="1"/>
  <c r="L541" i="7"/>
  <c r="S541" i="7" s="1"/>
  <c r="T541" i="7" s="1"/>
  <c r="L542" i="7"/>
  <c r="S542" i="7" s="1"/>
  <c r="T542" i="7" s="1"/>
  <c r="L543" i="7"/>
  <c r="S543" i="7" s="1"/>
  <c r="T543" i="7" s="1"/>
  <c r="L544" i="7"/>
  <c r="S544" i="7" s="1"/>
  <c r="T544" i="7" s="1"/>
  <c r="L545" i="7"/>
  <c r="S545" i="7" s="1"/>
  <c r="T545" i="7" s="1"/>
  <c r="L546" i="7"/>
  <c r="S546" i="7" s="1"/>
  <c r="T546" i="7" s="1"/>
  <c r="L547" i="7"/>
  <c r="S547" i="7" s="1"/>
  <c r="T547" i="7" s="1"/>
  <c r="L548" i="7"/>
  <c r="S548" i="7" s="1"/>
  <c r="T548" i="7" s="1"/>
  <c r="L549" i="7"/>
  <c r="S549" i="7" s="1"/>
  <c r="T549" i="7" s="1"/>
  <c r="L550" i="7"/>
  <c r="S550" i="7" s="1"/>
  <c r="T550" i="7" s="1"/>
  <c r="L551" i="7"/>
  <c r="S551" i="7" s="1"/>
  <c r="T551" i="7" s="1"/>
  <c r="L552" i="7"/>
  <c r="S552" i="7" s="1"/>
  <c r="T552" i="7" s="1"/>
  <c r="L553" i="7"/>
  <c r="S553" i="7" s="1"/>
  <c r="T553" i="7" s="1"/>
  <c r="L554" i="7"/>
  <c r="S554" i="7" s="1"/>
  <c r="T554" i="7" s="1"/>
  <c r="L555" i="7"/>
  <c r="S555" i="7" s="1"/>
  <c r="T555" i="7" s="1"/>
  <c r="L556" i="7"/>
  <c r="S556" i="7" s="1"/>
  <c r="T556" i="7" s="1"/>
  <c r="L557" i="7"/>
  <c r="S557" i="7" s="1"/>
  <c r="T557" i="7" s="1"/>
  <c r="L558" i="7"/>
  <c r="S558" i="7" s="1"/>
  <c r="T558" i="7" s="1"/>
  <c r="L559" i="7"/>
  <c r="S559" i="7" s="1"/>
  <c r="T559" i="7" s="1"/>
  <c r="L560" i="7"/>
  <c r="S560" i="7" s="1"/>
  <c r="T560" i="7" s="1"/>
  <c r="L561" i="7"/>
  <c r="S561" i="7" s="1"/>
  <c r="T561" i="7" s="1"/>
  <c r="L562" i="7"/>
  <c r="S562" i="7" s="1"/>
  <c r="T562" i="7" s="1"/>
  <c r="L563" i="7"/>
  <c r="S563" i="7" s="1"/>
  <c r="T563" i="7" s="1"/>
  <c r="L564" i="7"/>
  <c r="S564" i="7" s="1"/>
  <c r="T564" i="7" s="1"/>
  <c r="L565" i="7"/>
  <c r="S565" i="7" s="1"/>
  <c r="T565" i="7" s="1"/>
  <c r="L566" i="7"/>
  <c r="S566" i="7" s="1"/>
  <c r="T566" i="7" s="1"/>
  <c r="L567" i="7"/>
  <c r="S567" i="7" s="1"/>
  <c r="T567" i="7" s="1"/>
  <c r="L568" i="7"/>
  <c r="S568" i="7" s="1"/>
  <c r="T568" i="7" s="1"/>
  <c r="L569" i="7"/>
  <c r="S569" i="7" s="1"/>
  <c r="T569" i="7" s="1"/>
  <c r="L570" i="7"/>
  <c r="S570" i="7" s="1"/>
  <c r="T570" i="7" s="1"/>
  <c r="L571" i="7"/>
  <c r="S571" i="7" s="1"/>
  <c r="T571" i="7" s="1"/>
  <c r="L572" i="7"/>
  <c r="S572" i="7" s="1"/>
  <c r="T572" i="7" s="1"/>
  <c r="L573" i="7"/>
  <c r="S573" i="7" s="1"/>
  <c r="T573" i="7" s="1"/>
  <c r="L574" i="7"/>
  <c r="S574" i="7" s="1"/>
  <c r="T574" i="7" s="1"/>
  <c r="L575" i="7"/>
  <c r="S575" i="7" s="1"/>
  <c r="T575" i="7" s="1"/>
  <c r="L576" i="7"/>
  <c r="S576" i="7" s="1"/>
  <c r="T576" i="7" s="1"/>
  <c r="L577" i="7"/>
  <c r="S577" i="7" s="1"/>
  <c r="T577" i="7" s="1"/>
  <c r="L578" i="7"/>
  <c r="S578" i="7" s="1"/>
  <c r="T578" i="7" s="1"/>
  <c r="L579" i="7"/>
  <c r="S579" i="7" s="1"/>
  <c r="T579" i="7" s="1"/>
  <c r="L580" i="7"/>
  <c r="S580" i="7" s="1"/>
  <c r="T580" i="7" s="1"/>
  <c r="L581" i="7"/>
  <c r="S581" i="7" s="1"/>
  <c r="T581" i="7" s="1"/>
  <c r="L582" i="7"/>
  <c r="S582" i="7" s="1"/>
  <c r="T582" i="7" s="1"/>
  <c r="L583" i="7"/>
  <c r="S583" i="7" s="1"/>
  <c r="T583" i="7" s="1"/>
  <c r="L584" i="7"/>
  <c r="S584" i="7" s="1"/>
  <c r="T584" i="7" s="1"/>
  <c r="L585" i="7"/>
  <c r="S585" i="7" s="1"/>
  <c r="T585" i="7" s="1"/>
  <c r="L586" i="7"/>
  <c r="S586" i="7" s="1"/>
  <c r="T586" i="7" s="1"/>
  <c r="L587" i="7"/>
  <c r="S587" i="7" s="1"/>
  <c r="T587" i="7" s="1"/>
  <c r="L588" i="7"/>
  <c r="S588" i="7" s="1"/>
  <c r="T588" i="7" s="1"/>
  <c r="L589" i="7"/>
  <c r="S589" i="7" s="1"/>
  <c r="T589" i="7" s="1"/>
  <c r="L590" i="7"/>
  <c r="S590" i="7" s="1"/>
  <c r="T590" i="7" s="1"/>
  <c r="L591" i="7"/>
  <c r="S591" i="7" s="1"/>
  <c r="T591" i="7" s="1"/>
  <c r="L592" i="7"/>
  <c r="S592" i="7" s="1"/>
  <c r="T592" i="7" s="1"/>
  <c r="L593" i="7"/>
  <c r="S593" i="7" s="1"/>
  <c r="T593" i="7" s="1"/>
  <c r="L594" i="7"/>
  <c r="S594" i="7" s="1"/>
  <c r="T594" i="7" s="1"/>
  <c r="L595" i="7"/>
  <c r="S595" i="7" s="1"/>
  <c r="T595" i="7" s="1"/>
  <c r="L596" i="7"/>
  <c r="S596" i="7" s="1"/>
  <c r="T596" i="7" s="1"/>
  <c r="L597" i="7"/>
  <c r="S597" i="7" s="1"/>
  <c r="T597" i="7" s="1"/>
  <c r="L598" i="7"/>
  <c r="S598" i="7" s="1"/>
  <c r="T598" i="7" s="1"/>
  <c r="L599" i="7"/>
  <c r="S599" i="7" s="1"/>
  <c r="T599" i="7" s="1"/>
  <c r="L600" i="7"/>
  <c r="S600" i="7" s="1"/>
  <c r="T600" i="7" s="1"/>
  <c r="L601" i="7"/>
  <c r="S601" i="7" s="1"/>
  <c r="T601" i="7" s="1"/>
  <c r="L602" i="7"/>
  <c r="S602" i="7" s="1"/>
  <c r="T602" i="7" s="1"/>
  <c r="L603" i="7"/>
  <c r="S603" i="7" s="1"/>
  <c r="T603" i="7" s="1"/>
  <c r="L604" i="7"/>
  <c r="S604" i="7" s="1"/>
  <c r="T604" i="7" s="1"/>
  <c r="L605" i="7"/>
  <c r="S605" i="7" s="1"/>
  <c r="T605" i="7" s="1"/>
  <c r="L606" i="7"/>
  <c r="S606" i="7" s="1"/>
  <c r="T606" i="7" s="1"/>
  <c r="L607" i="7"/>
  <c r="S607" i="7" s="1"/>
  <c r="T607" i="7" s="1"/>
  <c r="L608" i="7"/>
  <c r="S608" i="7" s="1"/>
  <c r="T608" i="7" s="1"/>
  <c r="L609" i="7"/>
  <c r="S609" i="7" s="1"/>
  <c r="T609" i="7" s="1"/>
  <c r="L610" i="7"/>
  <c r="S610" i="7" s="1"/>
  <c r="T610" i="7" s="1"/>
  <c r="L611" i="7"/>
  <c r="S611" i="7" s="1"/>
  <c r="T611" i="7" s="1"/>
  <c r="L612" i="7"/>
  <c r="S612" i="7" s="1"/>
  <c r="T612" i="7" s="1"/>
  <c r="L613" i="7"/>
  <c r="S613" i="7" s="1"/>
  <c r="T613" i="7" s="1"/>
  <c r="L614" i="7"/>
  <c r="S614" i="7" s="1"/>
  <c r="T614" i="7" s="1"/>
  <c r="L615" i="7"/>
  <c r="S615" i="7" s="1"/>
  <c r="T615" i="7" s="1"/>
  <c r="L616" i="7"/>
  <c r="S616" i="7" s="1"/>
  <c r="T616" i="7" s="1"/>
  <c r="L617" i="7"/>
  <c r="S617" i="7" s="1"/>
  <c r="T617" i="7" s="1"/>
  <c r="L618" i="7"/>
  <c r="S618" i="7" s="1"/>
  <c r="T618" i="7" s="1"/>
  <c r="L619" i="7"/>
  <c r="S619" i="7" s="1"/>
  <c r="T619" i="7" s="1"/>
  <c r="L620" i="7"/>
  <c r="S620" i="7" s="1"/>
  <c r="T620" i="7" s="1"/>
  <c r="L621" i="7"/>
  <c r="S621" i="7" s="1"/>
  <c r="T621" i="7" s="1"/>
  <c r="L622" i="7"/>
  <c r="S622" i="7" s="1"/>
  <c r="T622" i="7" s="1"/>
  <c r="L623" i="7"/>
  <c r="S623" i="7" s="1"/>
  <c r="T623" i="7" s="1"/>
  <c r="L624" i="7"/>
  <c r="S624" i="7" s="1"/>
  <c r="T624" i="7" s="1"/>
  <c r="L625" i="7"/>
  <c r="S625" i="7" s="1"/>
  <c r="T625" i="7" s="1"/>
  <c r="L626" i="7"/>
  <c r="S626" i="7" s="1"/>
  <c r="T626" i="7" s="1"/>
  <c r="L627" i="7"/>
  <c r="S627" i="7" s="1"/>
  <c r="T627" i="7" s="1"/>
  <c r="L628" i="7"/>
  <c r="S628" i="7" s="1"/>
  <c r="T628" i="7" s="1"/>
  <c r="L629" i="7"/>
  <c r="S629" i="7" s="1"/>
  <c r="T629" i="7" s="1"/>
  <c r="L630" i="7"/>
  <c r="S630" i="7" s="1"/>
  <c r="T630" i="7" s="1"/>
  <c r="L631" i="7"/>
  <c r="S631" i="7" s="1"/>
  <c r="T631" i="7" s="1"/>
  <c r="L632" i="7"/>
  <c r="S632" i="7" s="1"/>
  <c r="T632" i="7" s="1"/>
  <c r="L633" i="7"/>
  <c r="S633" i="7" s="1"/>
  <c r="T633" i="7" s="1"/>
  <c r="L634" i="7"/>
  <c r="S634" i="7" s="1"/>
  <c r="T634" i="7" s="1"/>
  <c r="L635" i="7"/>
  <c r="S635" i="7" s="1"/>
  <c r="T635" i="7" s="1"/>
  <c r="L636" i="7"/>
  <c r="S636" i="7" s="1"/>
  <c r="T636" i="7" s="1"/>
  <c r="L637" i="7"/>
  <c r="S637" i="7" s="1"/>
  <c r="T637" i="7" s="1"/>
  <c r="L638" i="7"/>
  <c r="S638" i="7" s="1"/>
  <c r="T638" i="7" s="1"/>
  <c r="L639" i="7"/>
  <c r="S639" i="7" s="1"/>
  <c r="T639" i="7" s="1"/>
  <c r="L640" i="7"/>
  <c r="S640" i="7" s="1"/>
  <c r="T640" i="7" s="1"/>
  <c r="L641" i="7"/>
  <c r="S641" i="7" s="1"/>
  <c r="T641" i="7" s="1"/>
  <c r="L642" i="7"/>
  <c r="S642" i="7" s="1"/>
  <c r="T642" i="7" s="1"/>
  <c r="L643" i="7"/>
  <c r="S643" i="7" s="1"/>
  <c r="T643" i="7" s="1"/>
  <c r="L644" i="7"/>
  <c r="S644" i="7" s="1"/>
  <c r="T644" i="7" s="1"/>
  <c r="L645" i="7"/>
  <c r="S645" i="7" s="1"/>
  <c r="T645" i="7" s="1"/>
  <c r="L646" i="7"/>
  <c r="S646" i="7" s="1"/>
  <c r="T646" i="7" s="1"/>
  <c r="L647" i="7"/>
  <c r="S647" i="7" s="1"/>
  <c r="T647" i="7" s="1"/>
  <c r="L648" i="7"/>
  <c r="S648" i="7" s="1"/>
  <c r="T648" i="7" s="1"/>
  <c r="L649" i="7"/>
  <c r="S649" i="7" s="1"/>
  <c r="T649" i="7" s="1"/>
  <c r="L650" i="7"/>
  <c r="S650" i="7" s="1"/>
  <c r="T650" i="7" s="1"/>
  <c r="L651" i="7"/>
  <c r="S651" i="7" s="1"/>
  <c r="T651" i="7" s="1"/>
  <c r="L652" i="7"/>
  <c r="S652" i="7" s="1"/>
  <c r="T652" i="7" s="1"/>
  <c r="L653" i="7"/>
  <c r="S653" i="7" s="1"/>
  <c r="T653" i="7" s="1"/>
  <c r="L654" i="7"/>
  <c r="S654" i="7" s="1"/>
  <c r="T654" i="7" s="1"/>
  <c r="L655" i="7"/>
  <c r="S655" i="7" s="1"/>
  <c r="T655" i="7" s="1"/>
  <c r="L656" i="7"/>
  <c r="S656" i="7" s="1"/>
  <c r="T656" i="7" s="1"/>
  <c r="L657" i="7"/>
  <c r="S657" i="7" s="1"/>
  <c r="T657" i="7" s="1"/>
  <c r="L658" i="7"/>
  <c r="S658" i="7" s="1"/>
  <c r="T658" i="7" s="1"/>
  <c r="L659" i="7"/>
  <c r="S659" i="7" s="1"/>
  <c r="T659" i="7" s="1"/>
  <c r="L660" i="7"/>
  <c r="S660" i="7" s="1"/>
  <c r="T660" i="7" s="1"/>
  <c r="L661" i="7"/>
  <c r="S661" i="7" s="1"/>
  <c r="T661" i="7" s="1"/>
  <c r="L662" i="7"/>
  <c r="S662" i="7" s="1"/>
  <c r="T662" i="7" s="1"/>
  <c r="L663" i="7"/>
  <c r="S663" i="7" s="1"/>
  <c r="T663" i="7" s="1"/>
  <c r="L664" i="7"/>
  <c r="S664" i="7" s="1"/>
  <c r="T664" i="7" s="1"/>
  <c r="L665" i="7"/>
  <c r="S665" i="7" s="1"/>
  <c r="T665" i="7" s="1"/>
  <c r="L666" i="7"/>
  <c r="S666" i="7" s="1"/>
  <c r="T666" i="7" s="1"/>
  <c r="L667" i="7"/>
  <c r="S667" i="7" s="1"/>
  <c r="T667" i="7" s="1"/>
  <c r="L668" i="7"/>
  <c r="S668" i="7" s="1"/>
  <c r="T668" i="7" s="1"/>
  <c r="L669" i="7"/>
  <c r="S669" i="7" s="1"/>
  <c r="T669" i="7" s="1"/>
  <c r="L670" i="7"/>
  <c r="S670" i="7" s="1"/>
  <c r="T670" i="7" s="1"/>
  <c r="L671" i="7"/>
  <c r="S671" i="7" s="1"/>
  <c r="T671" i="7" s="1"/>
  <c r="L672" i="7"/>
  <c r="S672" i="7" s="1"/>
  <c r="T672" i="7" s="1"/>
  <c r="L673" i="7"/>
  <c r="S673" i="7" s="1"/>
  <c r="T673" i="7" s="1"/>
  <c r="L674" i="7"/>
  <c r="S674" i="7" s="1"/>
  <c r="T674" i="7" s="1"/>
  <c r="L675" i="7"/>
  <c r="S675" i="7" s="1"/>
  <c r="T675" i="7" s="1"/>
  <c r="L676" i="7"/>
  <c r="S676" i="7" s="1"/>
  <c r="T676" i="7" s="1"/>
  <c r="L677" i="7"/>
  <c r="S677" i="7" s="1"/>
  <c r="T677" i="7" s="1"/>
  <c r="L678" i="7"/>
  <c r="S678" i="7" s="1"/>
  <c r="T678" i="7" s="1"/>
  <c r="L679" i="7"/>
  <c r="S679" i="7" s="1"/>
  <c r="T679" i="7" s="1"/>
  <c r="L680" i="7"/>
  <c r="S680" i="7" s="1"/>
  <c r="T680" i="7" s="1"/>
  <c r="L681" i="7"/>
  <c r="S681" i="7" s="1"/>
  <c r="T681" i="7" s="1"/>
  <c r="L682" i="7"/>
  <c r="S682" i="7" s="1"/>
  <c r="T682" i="7" s="1"/>
  <c r="L683" i="7"/>
  <c r="S683" i="7" s="1"/>
  <c r="T683" i="7" s="1"/>
  <c r="L684" i="7"/>
  <c r="S684" i="7" s="1"/>
  <c r="T684" i="7" s="1"/>
  <c r="L685" i="7"/>
  <c r="S685" i="7" s="1"/>
  <c r="T685" i="7" s="1"/>
  <c r="L686" i="7"/>
  <c r="S686" i="7" s="1"/>
  <c r="T686" i="7" s="1"/>
  <c r="L687" i="7"/>
  <c r="S687" i="7" s="1"/>
  <c r="T687" i="7" s="1"/>
  <c r="L688" i="7"/>
  <c r="S688" i="7" s="1"/>
  <c r="T688" i="7" s="1"/>
  <c r="L689" i="7"/>
  <c r="S689" i="7" s="1"/>
  <c r="T689" i="7" s="1"/>
  <c r="L690" i="7"/>
  <c r="S690" i="7" s="1"/>
  <c r="T690" i="7" s="1"/>
  <c r="L691" i="7"/>
  <c r="S691" i="7" s="1"/>
  <c r="T691" i="7" s="1"/>
  <c r="L692" i="7"/>
  <c r="S692" i="7" s="1"/>
  <c r="T692" i="7" s="1"/>
  <c r="L693" i="7"/>
  <c r="S693" i="7" s="1"/>
  <c r="T693" i="7" s="1"/>
  <c r="L694" i="7"/>
  <c r="S694" i="7" s="1"/>
  <c r="T694" i="7" s="1"/>
  <c r="L695" i="7"/>
  <c r="S695" i="7" s="1"/>
  <c r="T695" i="7" s="1"/>
  <c r="L696" i="7"/>
  <c r="S696" i="7" s="1"/>
  <c r="T696" i="7" s="1"/>
  <c r="L697" i="7"/>
  <c r="S697" i="7" s="1"/>
  <c r="T697" i="7" s="1"/>
  <c r="L698" i="7"/>
  <c r="S698" i="7" s="1"/>
  <c r="T698" i="7" s="1"/>
  <c r="L699" i="7"/>
  <c r="S699" i="7" s="1"/>
  <c r="T699" i="7" s="1"/>
  <c r="L700" i="7"/>
  <c r="S700" i="7" s="1"/>
  <c r="T700" i="7" s="1"/>
  <c r="L701" i="7"/>
  <c r="S701" i="7" s="1"/>
  <c r="T701" i="7" s="1"/>
  <c r="L702" i="7"/>
  <c r="S702" i="7" s="1"/>
  <c r="T702" i="7" s="1"/>
  <c r="L703" i="7"/>
  <c r="S703" i="7" s="1"/>
  <c r="T703" i="7" s="1"/>
  <c r="L704" i="7"/>
  <c r="S704" i="7" s="1"/>
  <c r="T704" i="7" s="1"/>
  <c r="L705" i="7"/>
  <c r="S705" i="7" s="1"/>
  <c r="T705" i="7" s="1"/>
  <c r="L706" i="7"/>
  <c r="S706" i="7" s="1"/>
  <c r="T706" i="7" s="1"/>
  <c r="L707" i="7"/>
  <c r="S707" i="7" s="1"/>
  <c r="T707" i="7" s="1"/>
  <c r="L708" i="7"/>
  <c r="S708" i="7" s="1"/>
  <c r="T708" i="7" s="1"/>
  <c r="L709" i="7"/>
  <c r="S709" i="7" s="1"/>
  <c r="T709" i="7" s="1"/>
  <c r="L710" i="7"/>
  <c r="S710" i="7" s="1"/>
  <c r="T710" i="7" s="1"/>
  <c r="L711" i="7"/>
  <c r="S711" i="7" s="1"/>
  <c r="T711" i="7" s="1"/>
  <c r="L712" i="7"/>
  <c r="S712" i="7" s="1"/>
  <c r="T712" i="7" s="1"/>
  <c r="L713" i="7"/>
  <c r="S713" i="7" s="1"/>
  <c r="T713" i="7" s="1"/>
  <c r="L714" i="7"/>
  <c r="S714" i="7" s="1"/>
  <c r="T714" i="7" s="1"/>
  <c r="L715" i="7"/>
  <c r="S715" i="7" s="1"/>
  <c r="T715" i="7" s="1"/>
  <c r="L716" i="7"/>
  <c r="S716" i="7" s="1"/>
  <c r="T716" i="7" s="1"/>
  <c r="L717" i="7"/>
  <c r="S717" i="7" s="1"/>
  <c r="T717" i="7" s="1"/>
  <c r="L718" i="7"/>
  <c r="S718" i="7" s="1"/>
  <c r="T718" i="7" s="1"/>
  <c r="L719" i="7"/>
  <c r="S719" i="7" s="1"/>
  <c r="T719" i="7" s="1"/>
  <c r="L720" i="7"/>
  <c r="S720" i="7" s="1"/>
  <c r="T720" i="7" s="1"/>
  <c r="L721" i="7"/>
  <c r="S721" i="7" s="1"/>
  <c r="T721" i="7" s="1"/>
  <c r="L722" i="7"/>
  <c r="S722" i="7" s="1"/>
  <c r="T722" i="7" s="1"/>
  <c r="L723" i="7"/>
  <c r="S723" i="7" s="1"/>
  <c r="T723" i="7" s="1"/>
  <c r="L724" i="7"/>
  <c r="S724" i="7" s="1"/>
  <c r="T724" i="7" s="1"/>
  <c r="L725" i="7"/>
  <c r="S725" i="7" s="1"/>
  <c r="T725" i="7" s="1"/>
  <c r="L726" i="7"/>
  <c r="S726" i="7" s="1"/>
  <c r="T726" i="7" s="1"/>
  <c r="L727" i="7"/>
  <c r="S727" i="7" s="1"/>
  <c r="T727" i="7" s="1"/>
  <c r="L728" i="7"/>
  <c r="S728" i="7" s="1"/>
  <c r="T728" i="7" s="1"/>
  <c r="L729" i="7"/>
  <c r="S729" i="7" s="1"/>
  <c r="T729" i="7" s="1"/>
  <c r="L730" i="7"/>
  <c r="S730" i="7" s="1"/>
  <c r="T730" i="7" s="1"/>
  <c r="L731" i="7"/>
  <c r="S731" i="7" s="1"/>
  <c r="T731" i="7" s="1"/>
  <c r="L732" i="7"/>
  <c r="S732" i="7" s="1"/>
  <c r="T732" i="7" s="1"/>
  <c r="L733" i="7"/>
  <c r="S733" i="7" s="1"/>
  <c r="T733" i="7" s="1"/>
  <c r="L734" i="7"/>
  <c r="S734" i="7" s="1"/>
  <c r="T734" i="7" s="1"/>
  <c r="L735" i="7"/>
  <c r="S735" i="7" s="1"/>
  <c r="T735" i="7" s="1"/>
  <c r="L736" i="7"/>
  <c r="S736" i="7" s="1"/>
  <c r="T736" i="7" s="1"/>
  <c r="L737" i="7"/>
  <c r="S737" i="7" s="1"/>
  <c r="T737" i="7" s="1"/>
  <c r="L738" i="7"/>
  <c r="S738" i="7" s="1"/>
  <c r="T738" i="7" s="1"/>
  <c r="L739" i="7"/>
  <c r="S739" i="7" s="1"/>
  <c r="T739" i="7" s="1"/>
  <c r="L740" i="7"/>
  <c r="S740" i="7" s="1"/>
  <c r="T740" i="7" s="1"/>
  <c r="L741" i="7"/>
  <c r="S741" i="7" s="1"/>
  <c r="T741" i="7" s="1"/>
  <c r="L742" i="7"/>
  <c r="S742" i="7" s="1"/>
  <c r="T742" i="7" s="1"/>
  <c r="L743" i="7"/>
  <c r="S743" i="7" s="1"/>
  <c r="T743" i="7" s="1"/>
  <c r="L744" i="7"/>
  <c r="S744" i="7" s="1"/>
  <c r="T744" i="7" s="1"/>
  <c r="L745" i="7"/>
  <c r="S745" i="7" s="1"/>
  <c r="T745" i="7" s="1"/>
  <c r="L746" i="7"/>
  <c r="S746" i="7" s="1"/>
  <c r="T746" i="7" s="1"/>
  <c r="L747" i="7"/>
  <c r="S747" i="7" s="1"/>
  <c r="T747" i="7" s="1"/>
  <c r="L748" i="7"/>
  <c r="S748" i="7" s="1"/>
  <c r="T748" i="7" s="1"/>
  <c r="L749" i="7"/>
  <c r="S749" i="7" s="1"/>
  <c r="T749" i="7" s="1"/>
  <c r="L750" i="7"/>
  <c r="S750" i="7" s="1"/>
  <c r="T750" i="7" s="1"/>
  <c r="L751" i="7"/>
  <c r="S751" i="7" s="1"/>
  <c r="T751" i="7" s="1"/>
  <c r="L752" i="7"/>
  <c r="S752" i="7" s="1"/>
  <c r="T752" i="7" s="1"/>
  <c r="L753" i="7"/>
  <c r="S753" i="7" s="1"/>
  <c r="T753" i="7" s="1"/>
  <c r="L754" i="7"/>
  <c r="S754" i="7" s="1"/>
  <c r="T754" i="7" s="1"/>
  <c r="L755" i="7"/>
  <c r="S755" i="7" s="1"/>
  <c r="T755" i="7" s="1"/>
  <c r="L756" i="7"/>
  <c r="S756" i="7" s="1"/>
  <c r="T756" i="7" s="1"/>
  <c r="L757" i="7"/>
  <c r="S757" i="7" s="1"/>
  <c r="T757" i="7" s="1"/>
  <c r="L758" i="7"/>
  <c r="S758" i="7" s="1"/>
  <c r="T758" i="7" s="1"/>
  <c r="L759" i="7"/>
  <c r="S759" i="7" s="1"/>
  <c r="T759" i="7" s="1"/>
  <c r="L760" i="7"/>
  <c r="S760" i="7" s="1"/>
  <c r="T760" i="7" s="1"/>
  <c r="L761" i="7"/>
  <c r="S761" i="7" s="1"/>
  <c r="T761" i="7" s="1"/>
  <c r="L762" i="7"/>
  <c r="S762" i="7" s="1"/>
  <c r="T762" i="7" s="1"/>
  <c r="L763" i="7"/>
  <c r="S763" i="7" s="1"/>
  <c r="T763" i="7" s="1"/>
  <c r="L764" i="7"/>
  <c r="S764" i="7" s="1"/>
  <c r="T764" i="7" s="1"/>
  <c r="L765" i="7"/>
  <c r="S765" i="7" s="1"/>
  <c r="T765" i="7" s="1"/>
  <c r="L766" i="7"/>
  <c r="S766" i="7" s="1"/>
  <c r="T766" i="7" s="1"/>
  <c r="L767" i="7"/>
  <c r="S767" i="7" s="1"/>
  <c r="T767" i="7" s="1"/>
  <c r="L768" i="7"/>
  <c r="S768" i="7" s="1"/>
  <c r="T768" i="7" s="1"/>
  <c r="L769" i="7"/>
  <c r="S769" i="7" s="1"/>
  <c r="T769" i="7" s="1"/>
  <c r="L770" i="7"/>
  <c r="S770" i="7" s="1"/>
  <c r="T770" i="7" s="1"/>
  <c r="L771" i="7"/>
  <c r="S771" i="7" s="1"/>
  <c r="T771" i="7" s="1"/>
  <c r="L772" i="7"/>
  <c r="S772" i="7" s="1"/>
  <c r="T772" i="7" s="1"/>
  <c r="L773" i="7"/>
  <c r="S773" i="7" s="1"/>
  <c r="T773" i="7" s="1"/>
  <c r="L774" i="7"/>
  <c r="S774" i="7" s="1"/>
  <c r="T774" i="7" s="1"/>
  <c r="L775" i="7"/>
  <c r="S775" i="7" s="1"/>
  <c r="T775" i="7" s="1"/>
  <c r="L776" i="7"/>
  <c r="S776" i="7" s="1"/>
  <c r="T776" i="7" s="1"/>
  <c r="L777" i="7"/>
  <c r="S777" i="7" s="1"/>
  <c r="T777" i="7" s="1"/>
  <c r="L778" i="7"/>
  <c r="S778" i="7" s="1"/>
  <c r="T778" i="7" s="1"/>
  <c r="L779" i="7"/>
  <c r="S779" i="7" s="1"/>
  <c r="T779" i="7" s="1"/>
  <c r="L780" i="7"/>
  <c r="S780" i="7" s="1"/>
  <c r="T780" i="7" s="1"/>
  <c r="L781" i="7"/>
  <c r="S781" i="7" s="1"/>
  <c r="T781" i="7" s="1"/>
  <c r="L782" i="7"/>
  <c r="S782" i="7" s="1"/>
  <c r="T782" i="7" s="1"/>
  <c r="L783" i="7"/>
  <c r="S783" i="7" s="1"/>
  <c r="T783" i="7" s="1"/>
  <c r="L784" i="7"/>
  <c r="S784" i="7" s="1"/>
  <c r="T784" i="7" s="1"/>
  <c r="L785" i="7"/>
  <c r="S785" i="7" s="1"/>
  <c r="T785" i="7" s="1"/>
  <c r="L786" i="7"/>
  <c r="S786" i="7" s="1"/>
  <c r="T786" i="7" s="1"/>
  <c r="L787" i="7"/>
  <c r="S787" i="7" s="1"/>
  <c r="T787" i="7" s="1"/>
  <c r="L788" i="7"/>
  <c r="S788" i="7" s="1"/>
  <c r="T788" i="7" s="1"/>
  <c r="L789" i="7"/>
  <c r="S789" i="7" s="1"/>
  <c r="T789" i="7" s="1"/>
  <c r="L790" i="7"/>
  <c r="S790" i="7" s="1"/>
  <c r="T790" i="7" s="1"/>
  <c r="L791" i="7"/>
  <c r="S791" i="7" s="1"/>
  <c r="T791" i="7" s="1"/>
  <c r="L792" i="7"/>
  <c r="S792" i="7" s="1"/>
  <c r="T792" i="7" s="1"/>
  <c r="L793" i="7"/>
  <c r="S793" i="7" s="1"/>
  <c r="T793" i="7" s="1"/>
  <c r="L794" i="7"/>
  <c r="S794" i="7" s="1"/>
  <c r="T794" i="7" s="1"/>
  <c r="L795" i="7"/>
  <c r="S795" i="7" s="1"/>
  <c r="T795" i="7" s="1"/>
  <c r="L796" i="7"/>
  <c r="S796" i="7" s="1"/>
  <c r="T796" i="7" s="1"/>
  <c r="L797" i="7"/>
  <c r="S797" i="7" s="1"/>
  <c r="T797" i="7" s="1"/>
  <c r="L798" i="7"/>
  <c r="S798" i="7" s="1"/>
  <c r="T798" i="7" s="1"/>
  <c r="L799" i="7"/>
  <c r="S799" i="7" s="1"/>
  <c r="T799" i="7" s="1"/>
  <c r="L800" i="7"/>
  <c r="S800" i="7" s="1"/>
  <c r="T800" i="7" s="1"/>
  <c r="L801" i="7"/>
  <c r="S801" i="7" s="1"/>
  <c r="T801" i="7" s="1"/>
  <c r="L802" i="7"/>
  <c r="S802" i="7" s="1"/>
  <c r="T802" i="7" s="1"/>
  <c r="L803" i="7"/>
  <c r="S803" i="7" s="1"/>
  <c r="T803" i="7" s="1"/>
  <c r="L804" i="7"/>
  <c r="S804" i="7" s="1"/>
  <c r="T804" i="7" s="1"/>
  <c r="L805" i="7"/>
  <c r="S805" i="7" s="1"/>
  <c r="T805" i="7" s="1"/>
  <c r="L806" i="7"/>
  <c r="S806" i="7" s="1"/>
  <c r="T806" i="7" s="1"/>
  <c r="L807" i="7"/>
  <c r="S807" i="7" s="1"/>
  <c r="T807" i="7" s="1"/>
  <c r="L808" i="7"/>
  <c r="S808" i="7" s="1"/>
  <c r="T808" i="7" s="1"/>
  <c r="L809" i="7"/>
  <c r="S809" i="7" s="1"/>
  <c r="T809" i="7" s="1"/>
  <c r="L810" i="7"/>
  <c r="S810" i="7" s="1"/>
  <c r="T810" i="7" s="1"/>
  <c r="L811" i="7"/>
  <c r="S811" i="7" s="1"/>
  <c r="T811" i="7" s="1"/>
  <c r="L812" i="7"/>
  <c r="S812" i="7" s="1"/>
  <c r="T812" i="7" s="1"/>
  <c r="L813" i="7"/>
  <c r="S813" i="7" s="1"/>
  <c r="T813" i="7" s="1"/>
  <c r="L814" i="7"/>
  <c r="S814" i="7" s="1"/>
  <c r="T814" i="7" s="1"/>
  <c r="L815" i="7"/>
  <c r="S815" i="7" s="1"/>
  <c r="T815" i="7" s="1"/>
  <c r="L816" i="7"/>
  <c r="S816" i="7" s="1"/>
  <c r="T816" i="7" s="1"/>
  <c r="L817" i="7"/>
  <c r="S817" i="7" s="1"/>
  <c r="T817" i="7" s="1"/>
  <c r="L818" i="7"/>
  <c r="S818" i="7" s="1"/>
  <c r="T818" i="7" s="1"/>
  <c r="L819" i="7"/>
  <c r="S819" i="7" s="1"/>
  <c r="T819" i="7" s="1"/>
  <c r="L820" i="7"/>
  <c r="S820" i="7" s="1"/>
  <c r="T820" i="7" s="1"/>
  <c r="L821" i="7"/>
  <c r="S821" i="7" s="1"/>
  <c r="T821" i="7" s="1"/>
  <c r="L822" i="7"/>
  <c r="S822" i="7" s="1"/>
  <c r="T822" i="7" s="1"/>
  <c r="L823" i="7"/>
  <c r="S823" i="7" s="1"/>
  <c r="T823" i="7" s="1"/>
  <c r="L824" i="7"/>
  <c r="S824" i="7" s="1"/>
  <c r="T824" i="7" s="1"/>
  <c r="L825" i="7"/>
  <c r="S825" i="7" s="1"/>
  <c r="T825" i="7" s="1"/>
  <c r="L826" i="7"/>
  <c r="S826" i="7" s="1"/>
  <c r="T826" i="7" s="1"/>
  <c r="L827" i="7"/>
  <c r="S827" i="7" s="1"/>
  <c r="T827" i="7" s="1"/>
  <c r="L828" i="7"/>
  <c r="S828" i="7" s="1"/>
  <c r="T828" i="7" s="1"/>
  <c r="L829" i="7"/>
  <c r="S829" i="7" s="1"/>
  <c r="T829" i="7" s="1"/>
  <c r="L830" i="7"/>
  <c r="S830" i="7" s="1"/>
  <c r="T830" i="7" s="1"/>
  <c r="L831" i="7"/>
  <c r="S831" i="7" s="1"/>
  <c r="T831" i="7" s="1"/>
  <c r="L832" i="7"/>
  <c r="S832" i="7" s="1"/>
  <c r="T832" i="7" s="1"/>
  <c r="L833" i="7"/>
  <c r="S833" i="7" s="1"/>
  <c r="T833" i="7" s="1"/>
  <c r="L834" i="7"/>
  <c r="S834" i="7" s="1"/>
  <c r="T834" i="7" s="1"/>
  <c r="L835" i="7"/>
  <c r="S835" i="7" s="1"/>
  <c r="T835" i="7" s="1"/>
  <c r="L836" i="7"/>
  <c r="S836" i="7" s="1"/>
  <c r="T836" i="7" s="1"/>
  <c r="L837" i="7"/>
  <c r="S837" i="7" s="1"/>
  <c r="T837" i="7" s="1"/>
  <c r="L838" i="7"/>
  <c r="S838" i="7" s="1"/>
  <c r="T838" i="7" s="1"/>
  <c r="L839" i="7"/>
  <c r="S839" i="7" s="1"/>
  <c r="T839" i="7" s="1"/>
  <c r="L840" i="7"/>
  <c r="S840" i="7" s="1"/>
  <c r="T840" i="7" s="1"/>
  <c r="L841" i="7"/>
  <c r="S841" i="7" s="1"/>
  <c r="T841" i="7" s="1"/>
  <c r="L842" i="7"/>
  <c r="S842" i="7" s="1"/>
  <c r="T842" i="7" s="1"/>
  <c r="L843" i="7"/>
  <c r="S843" i="7" s="1"/>
  <c r="T843" i="7" s="1"/>
  <c r="L844" i="7"/>
  <c r="S844" i="7" s="1"/>
  <c r="T844" i="7" s="1"/>
  <c r="L845" i="7"/>
  <c r="S845" i="7" s="1"/>
  <c r="T845" i="7" s="1"/>
  <c r="L846" i="7"/>
  <c r="S846" i="7" s="1"/>
  <c r="T846" i="7" s="1"/>
  <c r="L847" i="7"/>
  <c r="S847" i="7" s="1"/>
  <c r="T847" i="7" s="1"/>
  <c r="L848" i="7"/>
  <c r="S848" i="7" s="1"/>
  <c r="T848" i="7" s="1"/>
  <c r="L849" i="7"/>
  <c r="S849" i="7" s="1"/>
  <c r="T849" i="7" s="1"/>
  <c r="L850" i="7"/>
  <c r="S850" i="7" s="1"/>
  <c r="T850" i="7" s="1"/>
  <c r="L851" i="7"/>
  <c r="S851" i="7" s="1"/>
  <c r="T851" i="7" s="1"/>
  <c r="L852" i="7"/>
  <c r="S852" i="7" s="1"/>
  <c r="T852" i="7" s="1"/>
  <c r="L853" i="7"/>
  <c r="S853" i="7" s="1"/>
  <c r="T853" i="7" s="1"/>
  <c r="L854" i="7"/>
  <c r="S854" i="7" s="1"/>
  <c r="T854" i="7" s="1"/>
  <c r="L855" i="7"/>
  <c r="S855" i="7" s="1"/>
  <c r="T855" i="7" s="1"/>
  <c r="L856" i="7"/>
  <c r="S856" i="7" s="1"/>
  <c r="T856" i="7" s="1"/>
  <c r="L857" i="7"/>
  <c r="S857" i="7" s="1"/>
  <c r="T857" i="7" s="1"/>
  <c r="L858" i="7"/>
  <c r="S858" i="7" s="1"/>
  <c r="T858" i="7" s="1"/>
  <c r="L859" i="7"/>
  <c r="S859" i="7" s="1"/>
  <c r="T859" i="7" s="1"/>
  <c r="L860" i="7"/>
  <c r="S860" i="7" s="1"/>
  <c r="T860" i="7" s="1"/>
  <c r="L861" i="7"/>
  <c r="S861" i="7" s="1"/>
  <c r="T861" i="7" s="1"/>
  <c r="L862" i="7"/>
  <c r="S862" i="7" s="1"/>
  <c r="T862" i="7" s="1"/>
  <c r="L863" i="7"/>
  <c r="S863" i="7" s="1"/>
  <c r="T863" i="7" s="1"/>
  <c r="L864" i="7"/>
  <c r="S864" i="7" s="1"/>
  <c r="T864" i="7" s="1"/>
  <c r="L865" i="7"/>
  <c r="S865" i="7" s="1"/>
  <c r="T865" i="7" s="1"/>
  <c r="L866" i="7"/>
  <c r="S866" i="7" s="1"/>
  <c r="T866" i="7" s="1"/>
  <c r="L867" i="7"/>
  <c r="S867" i="7" s="1"/>
  <c r="T867" i="7" s="1"/>
  <c r="L868" i="7"/>
  <c r="S868" i="7" s="1"/>
  <c r="T868" i="7" s="1"/>
  <c r="L869" i="7"/>
  <c r="S869" i="7" s="1"/>
  <c r="T869" i="7" s="1"/>
  <c r="L870" i="7"/>
  <c r="S870" i="7" s="1"/>
  <c r="T870" i="7" s="1"/>
  <c r="L871" i="7"/>
  <c r="S871" i="7" s="1"/>
  <c r="T871" i="7" s="1"/>
  <c r="L872" i="7"/>
  <c r="S872" i="7" s="1"/>
  <c r="T872" i="7" s="1"/>
  <c r="L873" i="7"/>
  <c r="S873" i="7" s="1"/>
  <c r="T873" i="7" s="1"/>
  <c r="L874" i="7"/>
  <c r="S874" i="7" s="1"/>
  <c r="T874" i="7" s="1"/>
  <c r="L875" i="7"/>
  <c r="S875" i="7" s="1"/>
  <c r="T875" i="7" s="1"/>
  <c r="L876" i="7"/>
  <c r="S876" i="7" s="1"/>
  <c r="T876" i="7" s="1"/>
  <c r="L877" i="7"/>
  <c r="S877" i="7" s="1"/>
  <c r="T877" i="7" s="1"/>
  <c r="L878" i="7"/>
  <c r="S878" i="7" s="1"/>
  <c r="T878" i="7" s="1"/>
  <c r="L879" i="7"/>
  <c r="S879" i="7" s="1"/>
  <c r="T879" i="7" s="1"/>
  <c r="L880" i="7"/>
  <c r="S880" i="7" s="1"/>
  <c r="T880" i="7" s="1"/>
  <c r="L881" i="7"/>
  <c r="S881" i="7" s="1"/>
  <c r="T881" i="7" s="1"/>
  <c r="L882" i="7"/>
  <c r="S882" i="7" s="1"/>
  <c r="T882" i="7" s="1"/>
  <c r="L883" i="7"/>
  <c r="S883" i="7" s="1"/>
  <c r="T883" i="7" s="1"/>
  <c r="L884" i="7"/>
  <c r="S884" i="7" s="1"/>
  <c r="T884" i="7" s="1"/>
  <c r="L885" i="7"/>
  <c r="S885" i="7" s="1"/>
  <c r="T885" i="7" s="1"/>
  <c r="L886" i="7"/>
  <c r="S886" i="7" s="1"/>
  <c r="T886" i="7" s="1"/>
  <c r="L887" i="7"/>
  <c r="S887" i="7" s="1"/>
  <c r="T887" i="7" s="1"/>
  <c r="L888" i="7"/>
  <c r="S888" i="7" s="1"/>
  <c r="T888" i="7" s="1"/>
  <c r="L889" i="7"/>
  <c r="S889" i="7" s="1"/>
  <c r="T889" i="7" s="1"/>
  <c r="L890" i="7"/>
  <c r="S890" i="7" s="1"/>
  <c r="T890" i="7" s="1"/>
  <c r="L891" i="7"/>
  <c r="S891" i="7" s="1"/>
  <c r="T891" i="7" s="1"/>
  <c r="L892" i="7"/>
  <c r="S892" i="7" s="1"/>
  <c r="T892" i="7" s="1"/>
  <c r="L893" i="7"/>
  <c r="S893" i="7" s="1"/>
  <c r="T893" i="7" s="1"/>
  <c r="L894" i="7"/>
  <c r="S894" i="7" s="1"/>
  <c r="T894" i="7" s="1"/>
  <c r="L895" i="7"/>
  <c r="S895" i="7" s="1"/>
  <c r="T895" i="7" s="1"/>
  <c r="L896" i="7"/>
  <c r="S896" i="7" s="1"/>
  <c r="T896" i="7" s="1"/>
  <c r="L897" i="7"/>
  <c r="S897" i="7" s="1"/>
  <c r="T897" i="7" s="1"/>
  <c r="L898" i="7"/>
  <c r="S898" i="7" s="1"/>
  <c r="T898" i="7" s="1"/>
  <c r="L899" i="7"/>
  <c r="S899" i="7" s="1"/>
  <c r="T899" i="7" s="1"/>
  <c r="L900" i="7"/>
  <c r="S900" i="7" s="1"/>
  <c r="T900" i="7" s="1"/>
  <c r="L901" i="7"/>
  <c r="S901" i="7" s="1"/>
  <c r="T901" i="7" s="1"/>
  <c r="L902" i="7"/>
  <c r="S902" i="7" s="1"/>
  <c r="T902" i="7" s="1"/>
  <c r="L903" i="7"/>
  <c r="S903" i="7" s="1"/>
  <c r="T903" i="7" s="1"/>
  <c r="L904" i="7"/>
  <c r="S904" i="7" s="1"/>
  <c r="T904" i="7" s="1"/>
  <c r="L905" i="7"/>
  <c r="S905" i="7" s="1"/>
  <c r="T905" i="7" s="1"/>
  <c r="L906" i="7"/>
  <c r="S906" i="7" s="1"/>
  <c r="T906" i="7" s="1"/>
  <c r="L907" i="7"/>
  <c r="S907" i="7" s="1"/>
  <c r="T907" i="7" s="1"/>
  <c r="L908" i="7"/>
  <c r="S908" i="7" s="1"/>
  <c r="T908" i="7" s="1"/>
  <c r="L909" i="7"/>
  <c r="S909" i="7" s="1"/>
  <c r="T909" i="7" s="1"/>
  <c r="B9" i="17" l="1"/>
  <c r="L3" i="7"/>
  <c r="S3" i="7" s="1"/>
  <c r="T3" i="7" s="1"/>
  <c r="L4" i="7"/>
  <c r="S4" i="7" s="1"/>
  <c r="T4" i="7" s="1"/>
  <c r="L5" i="7"/>
  <c r="S5" i="7" s="1"/>
  <c r="T5" i="7" s="1"/>
  <c r="L6" i="7"/>
  <c r="S6" i="7" s="1"/>
  <c r="T6" i="7" s="1"/>
  <c r="L7" i="7"/>
  <c r="S7" i="7" s="1"/>
  <c r="T7" i="7" s="1"/>
  <c r="L8" i="7"/>
  <c r="S8" i="7" s="1"/>
  <c r="T8" i="7" s="1"/>
  <c r="L9" i="7"/>
  <c r="S9" i="7" s="1"/>
  <c r="T9" i="7" s="1"/>
  <c r="L10" i="7"/>
  <c r="S10" i="7" s="1"/>
  <c r="T10" i="7" s="1"/>
  <c r="L11" i="7"/>
  <c r="S11" i="7" s="1"/>
  <c r="T11" i="7" s="1"/>
  <c r="L12" i="7"/>
  <c r="S12" i="7" s="1"/>
  <c r="T12" i="7" s="1"/>
  <c r="L13" i="7"/>
  <c r="S13" i="7" s="1"/>
  <c r="T13" i="7" s="1"/>
  <c r="L14" i="7"/>
  <c r="S14" i="7" s="1"/>
  <c r="T14" i="7" s="1"/>
  <c r="L15" i="7"/>
  <c r="S15" i="7" s="1"/>
  <c r="T15" i="7" s="1"/>
  <c r="L16" i="7"/>
  <c r="S16" i="7" s="1"/>
  <c r="T16" i="7" s="1"/>
  <c r="L17" i="7"/>
  <c r="S17" i="7" s="1"/>
  <c r="T17" i="7" s="1"/>
  <c r="L18" i="7"/>
  <c r="S18" i="7" s="1"/>
  <c r="T18" i="7" s="1"/>
  <c r="L19" i="7"/>
  <c r="S19" i="7" s="1"/>
  <c r="T19" i="7" s="1"/>
  <c r="L20" i="7"/>
  <c r="S20" i="7" s="1"/>
  <c r="T20" i="7" s="1"/>
  <c r="L21" i="7"/>
  <c r="S21" i="7" s="1"/>
  <c r="T21" i="7" s="1"/>
  <c r="L22" i="7"/>
  <c r="S22" i="7" s="1"/>
  <c r="T22" i="7" s="1"/>
  <c r="L23" i="7"/>
  <c r="S23" i="7" s="1"/>
  <c r="T23" i="7" s="1"/>
  <c r="L24" i="7"/>
  <c r="S24" i="7" s="1"/>
  <c r="T24" i="7" s="1"/>
  <c r="L25" i="7"/>
  <c r="S25" i="7" s="1"/>
  <c r="T25" i="7" s="1"/>
  <c r="L26" i="7"/>
  <c r="S26" i="7" s="1"/>
  <c r="T26" i="7" s="1"/>
  <c r="L27" i="7"/>
  <c r="S27" i="7" s="1"/>
  <c r="T27" i="7" s="1"/>
  <c r="L28" i="7"/>
  <c r="S28" i="7" s="1"/>
  <c r="T28" i="7" s="1"/>
  <c r="L29" i="7"/>
  <c r="S29" i="7" s="1"/>
  <c r="T29" i="7" s="1"/>
  <c r="L30" i="7"/>
  <c r="S30" i="7" s="1"/>
  <c r="T30" i="7" s="1"/>
  <c r="L31" i="7"/>
  <c r="S31" i="7" s="1"/>
  <c r="T31" i="7" s="1"/>
  <c r="L32" i="7"/>
  <c r="S32" i="7" s="1"/>
  <c r="T32" i="7" s="1"/>
  <c r="L33" i="7"/>
  <c r="S33" i="7" s="1"/>
  <c r="T33" i="7" s="1"/>
  <c r="L34" i="7"/>
  <c r="S34" i="7" s="1"/>
  <c r="T34" i="7" s="1"/>
  <c r="L35" i="7"/>
  <c r="S35" i="7" s="1"/>
  <c r="T35" i="7" s="1"/>
  <c r="L36" i="7"/>
  <c r="S36" i="7" s="1"/>
  <c r="T36" i="7" s="1"/>
  <c r="L37" i="7"/>
  <c r="S37" i="7" s="1"/>
  <c r="T37" i="7" s="1"/>
  <c r="L38" i="7"/>
  <c r="S38" i="7" s="1"/>
  <c r="T38" i="7" s="1"/>
  <c r="L39" i="7"/>
  <c r="S39" i="7" s="1"/>
  <c r="T39" i="7" s="1"/>
  <c r="L40" i="7"/>
  <c r="S40" i="7" s="1"/>
  <c r="T40" i="7" s="1"/>
  <c r="L41" i="7"/>
  <c r="S41" i="7" s="1"/>
  <c r="T41" i="7" s="1"/>
  <c r="L42" i="7"/>
  <c r="S42" i="7" s="1"/>
  <c r="T42" i="7" s="1"/>
  <c r="L43" i="7"/>
  <c r="S43" i="7" s="1"/>
  <c r="T43" i="7" s="1"/>
  <c r="L44" i="7"/>
  <c r="S44" i="7" s="1"/>
  <c r="T44" i="7" s="1"/>
  <c r="L45" i="7"/>
  <c r="S45" i="7" s="1"/>
  <c r="T45" i="7" s="1"/>
  <c r="L46" i="7"/>
  <c r="S46" i="7" s="1"/>
  <c r="T46" i="7" s="1"/>
  <c r="L47" i="7"/>
  <c r="S47" i="7" s="1"/>
  <c r="T47" i="7" s="1"/>
  <c r="L48" i="7"/>
  <c r="S48" i="7" s="1"/>
  <c r="T48" i="7" s="1"/>
  <c r="L49" i="7"/>
  <c r="S49" i="7" s="1"/>
  <c r="T49" i="7" s="1"/>
  <c r="L50" i="7"/>
  <c r="S50" i="7" s="1"/>
  <c r="T50" i="7" s="1"/>
  <c r="L51" i="7"/>
  <c r="S51" i="7" s="1"/>
  <c r="T51" i="7" s="1"/>
  <c r="L52" i="7"/>
  <c r="S52" i="7" s="1"/>
  <c r="T52" i="7" s="1"/>
  <c r="L53" i="7"/>
  <c r="S53" i="7" s="1"/>
  <c r="T53" i="7" s="1"/>
  <c r="L54" i="7"/>
  <c r="S54" i="7" s="1"/>
  <c r="T54" i="7" s="1"/>
  <c r="L55" i="7"/>
  <c r="S55" i="7" s="1"/>
  <c r="T55" i="7" s="1"/>
  <c r="L56" i="7"/>
  <c r="S56" i="7" s="1"/>
  <c r="T56" i="7" s="1"/>
  <c r="L57" i="7"/>
  <c r="S57" i="7" s="1"/>
  <c r="T57" i="7" s="1"/>
  <c r="L58" i="7"/>
  <c r="S58" i="7" s="1"/>
  <c r="T58" i="7" s="1"/>
  <c r="L59" i="7"/>
  <c r="S59" i="7" s="1"/>
  <c r="T59" i="7" s="1"/>
  <c r="L60" i="7"/>
  <c r="S60" i="7" s="1"/>
  <c r="T60" i="7" s="1"/>
  <c r="L61" i="7"/>
  <c r="S61" i="7" s="1"/>
  <c r="T61" i="7" s="1"/>
  <c r="L62" i="7"/>
  <c r="S62" i="7" s="1"/>
  <c r="T62" i="7" s="1"/>
  <c r="L63" i="7"/>
  <c r="S63" i="7" s="1"/>
  <c r="T63" i="7" s="1"/>
  <c r="L64" i="7"/>
  <c r="S64" i="7" s="1"/>
  <c r="T64" i="7" s="1"/>
  <c r="L65" i="7"/>
  <c r="S65" i="7" s="1"/>
  <c r="T65" i="7" s="1"/>
  <c r="L66" i="7"/>
  <c r="S66" i="7" s="1"/>
  <c r="T66" i="7" s="1"/>
  <c r="L67" i="7"/>
  <c r="S67" i="7" s="1"/>
  <c r="T67" i="7" s="1"/>
  <c r="L68" i="7"/>
  <c r="S68" i="7" s="1"/>
  <c r="T68" i="7" s="1"/>
  <c r="L69" i="7"/>
  <c r="S69" i="7" s="1"/>
  <c r="T69" i="7" s="1"/>
  <c r="L70" i="7"/>
  <c r="S70" i="7" s="1"/>
  <c r="T70" i="7" s="1"/>
  <c r="L71" i="7"/>
  <c r="S71" i="7" s="1"/>
  <c r="T71" i="7" s="1"/>
  <c r="L72" i="7"/>
  <c r="S72" i="7" s="1"/>
  <c r="T72" i="7" s="1"/>
  <c r="L73" i="7"/>
  <c r="S73" i="7" s="1"/>
  <c r="T73" i="7" s="1"/>
  <c r="L74" i="7"/>
  <c r="S74" i="7" s="1"/>
  <c r="T74" i="7" s="1"/>
  <c r="L75" i="7"/>
  <c r="S75" i="7" s="1"/>
  <c r="T75" i="7" s="1"/>
  <c r="L76" i="7"/>
  <c r="S76" i="7" s="1"/>
  <c r="T76" i="7" s="1"/>
  <c r="L77" i="7"/>
  <c r="S77" i="7" s="1"/>
  <c r="T77" i="7" s="1"/>
  <c r="L78" i="7"/>
  <c r="S78" i="7" s="1"/>
  <c r="T78" i="7" s="1"/>
  <c r="L79" i="7"/>
  <c r="S79" i="7" s="1"/>
  <c r="T79" i="7" s="1"/>
  <c r="L80" i="7"/>
  <c r="S80" i="7" s="1"/>
  <c r="T80" i="7" s="1"/>
  <c r="L81" i="7"/>
  <c r="S81" i="7" s="1"/>
  <c r="T81" i="7" s="1"/>
  <c r="L82" i="7"/>
  <c r="S82" i="7" s="1"/>
  <c r="T82" i="7" s="1"/>
  <c r="L83" i="7"/>
  <c r="S83" i="7" s="1"/>
  <c r="T83" i="7" s="1"/>
  <c r="L84" i="7"/>
  <c r="S84" i="7" s="1"/>
  <c r="T84" i="7" s="1"/>
  <c r="L85" i="7"/>
  <c r="S85" i="7" s="1"/>
  <c r="T85" i="7" s="1"/>
  <c r="L86" i="7"/>
  <c r="S86" i="7" s="1"/>
  <c r="T86" i="7" s="1"/>
  <c r="L87" i="7"/>
  <c r="S87" i="7" s="1"/>
  <c r="T87" i="7" s="1"/>
  <c r="L88" i="7"/>
  <c r="S88" i="7" s="1"/>
  <c r="T88" i="7" s="1"/>
  <c r="L89" i="7"/>
  <c r="S89" i="7" s="1"/>
  <c r="T89" i="7" s="1"/>
  <c r="L90" i="7"/>
  <c r="S90" i="7" s="1"/>
  <c r="T90" i="7" s="1"/>
  <c r="L91" i="7"/>
  <c r="S91" i="7" s="1"/>
  <c r="T91" i="7" s="1"/>
  <c r="L92" i="7"/>
  <c r="S92" i="7" s="1"/>
  <c r="T92" i="7" s="1"/>
  <c r="L93" i="7"/>
  <c r="S93" i="7" s="1"/>
  <c r="T93" i="7" s="1"/>
  <c r="L94" i="7"/>
  <c r="S94" i="7" s="1"/>
  <c r="T94" i="7" s="1"/>
  <c r="L95" i="7"/>
  <c r="S95" i="7" s="1"/>
  <c r="T95" i="7" s="1"/>
  <c r="L96" i="7"/>
  <c r="S96" i="7" s="1"/>
  <c r="T96" i="7" s="1"/>
  <c r="L97" i="7"/>
  <c r="S97" i="7" s="1"/>
  <c r="T97" i="7" s="1"/>
  <c r="L98" i="7"/>
  <c r="S98" i="7" s="1"/>
  <c r="T98" i="7" s="1"/>
  <c r="L99" i="7"/>
  <c r="S99" i="7" s="1"/>
  <c r="T99" i="7" s="1"/>
  <c r="L100" i="7"/>
  <c r="S100" i="7" s="1"/>
  <c r="T100" i="7" s="1"/>
  <c r="L101" i="7"/>
  <c r="S101" i="7" s="1"/>
  <c r="T101" i="7" s="1"/>
  <c r="L102" i="7"/>
  <c r="S102" i="7" s="1"/>
  <c r="T102" i="7" s="1"/>
  <c r="L103" i="7"/>
  <c r="S103" i="7" s="1"/>
  <c r="T103" i="7" s="1"/>
  <c r="L104" i="7"/>
  <c r="S104" i="7" s="1"/>
  <c r="T104" i="7" s="1"/>
  <c r="L105" i="7"/>
  <c r="S105" i="7" s="1"/>
  <c r="T105" i="7" s="1"/>
  <c r="L106" i="7"/>
  <c r="S106" i="7" s="1"/>
  <c r="T106" i="7" s="1"/>
  <c r="L107" i="7"/>
  <c r="S107" i="7" s="1"/>
  <c r="T107" i="7" s="1"/>
  <c r="L108" i="7"/>
  <c r="S108" i="7" s="1"/>
  <c r="T108" i="7" s="1"/>
  <c r="L109" i="7"/>
  <c r="S109" i="7" s="1"/>
  <c r="T109" i="7" s="1"/>
  <c r="L110" i="7"/>
  <c r="S110" i="7" s="1"/>
  <c r="T110" i="7" s="1"/>
  <c r="L111" i="7"/>
  <c r="S111" i="7" s="1"/>
  <c r="T111" i="7" s="1"/>
  <c r="L112" i="7"/>
  <c r="S112" i="7" s="1"/>
  <c r="T112" i="7" s="1"/>
  <c r="L113" i="7"/>
  <c r="S113" i="7" s="1"/>
  <c r="T113" i="7" s="1"/>
  <c r="L114" i="7"/>
  <c r="S114" i="7" s="1"/>
  <c r="T114" i="7" s="1"/>
  <c r="L115" i="7"/>
  <c r="S115" i="7" s="1"/>
  <c r="T115" i="7" s="1"/>
  <c r="L116" i="7"/>
  <c r="S116" i="7" s="1"/>
  <c r="T116" i="7" s="1"/>
  <c r="L117" i="7"/>
  <c r="S117" i="7" s="1"/>
  <c r="T117" i="7" s="1"/>
  <c r="L118" i="7"/>
  <c r="S118" i="7" s="1"/>
  <c r="T118" i="7" s="1"/>
  <c r="L119" i="7"/>
  <c r="S119" i="7" s="1"/>
  <c r="T119" i="7" s="1"/>
  <c r="L120" i="7"/>
  <c r="S120" i="7" s="1"/>
  <c r="T120" i="7" s="1"/>
  <c r="L121" i="7"/>
  <c r="S121" i="7" s="1"/>
  <c r="T121" i="7" s="1"/>
  <c r="L122" i="7"/>
  <c r="S122" i="7" s="1"/>
  <c r="T122" i="7" s="1"/>
  <c r="L123" i="7"/>
  <c r="S123" i="7" s="1"/>
  <c r="T123" i="7" s="1"/>
  <c r="L124" i="7"/>
  <c r="S124" i="7" s="1"/>
  <c r="T124" i="7" s="1"/>
  <c r="L125" i="7"/>
  <c r="S125" i="7" s="1"/>
  <c r="T125" i="7" s="1"/>
  <c r="L126" i="7"/>
  <c r="S126" i="7" s="1"/>
  <c r="T126" i="7" s="1"/>
  <c r="L127" i="7"/>
  <c r="S127" i="7" s="1"/>
  <c r="T127" i="7" s="1"/>
  <c r="L128" i="7"/>
  <c r="S128" i="7" s="1"/>
  <c r="T128" i="7" s="1"/>
  <c r="L129" i="7"/>
  <c r="S129" i="7" s="1"/>
  <c r="T129" i="7" s="1"/>
  <c r="L130" i="7"/>
  <c r="S130" i="7" s="1"/>
  <c r="T130" i="7" s="1"/>
  <c r="L131" i="7"/>
  <c r="S131" i="7" s="1"/>
  <c r="T131" i="7" s="1"/>
  <c r="L132" i="7"/>
  <c r="S132" i="7" s="1"/>
  <c r="T132" i="7" s="1"/>
  <c r="L133" i="7"/>
  <c r="S133" i="7" s="1"/>
  <c r="T133" i="7" s="1"/>
  <c r="L134" i="7"/>
  <c r="S134" i="7" s="1"/>
  <c r="T134" i="7" s="1"/>
  <c r="L135" i="7"/>
  <c r="S135" i="7" s="1"/>
  <c r="T135" i="7" s="1"/>
  <c r="L136" i="7"/>
  <c r="S136" i="7" s="1"/>
  <c r="T136" i="7" s="1"/>
  <c r="L137" i="7"/>
  <c r="S137" i="7" s="1"/>
  <c r="T137" i="7" s="1"/>
  <c r="L138" i="7"/>
  <c r="S138" i="7" s="1"/>
  <c r="T138" i="7" s="1"/>
  <c r="L139" i="7"/>
  <c r="S139" i="7" s="1"/>
  <c r="T139" i="7" s="1"/>
  <c r="L140" i="7"/>
  <c r="S140" i="7" s="1"/>
  <c r="T140" i="7" s="1"/>
  <c r="L141" i="7"/>
  <c r="S141" i="7" s="1"/>
  <c r="T141" i="7" s="1"/>
  <c r="L142" i="7"/>
  <c r="S142" i="7" s="1"/>
  <c r="T142" i="7" s="1"/>
  <c r="L143" i="7"/>
  <c r="S143" i="7" s="1"/>
  <c r="T143" i="7" s="1"/>
  <c r="L144" i="7"/>
  <c r="S144" i="7" s="1"/>
  <c r="T144" i="7" s="1"/>
  <c r="L145" i="7"/>
  <c r="S145" i="7" s="1"/>
  <c r="T145" i="7" s="1"/>
  <c r="L146" i="7"/>
  <c r="S146" i="7" s="1"/>
  <c r="T146" i="7" s="1"/>
  <c r="L147" i="7"/>
  <c r="S147" i="7" s="1"/>
  <c r="T147" i="7" s="1"/>
  <c r="L148" i="7"/>
  <c r="S148" i="7" s="1"/>
  <c r="T148" i="7" s="1"/>
  <c r="L149" i="7"/>
  <c r="S149" i="7" s="1"/>
  <c r="T149" i="7" s="1"/>
  <c r="L150" i="7"/>
  <c r="S150" i="7" s="1"/>
  <c r="T150" i="7" s="1"/>
  <c r="L151" i="7"/>
  <c r="S151" i="7" s="1"/>
  <c r="T151" i="7" s="1"/>
  <c r="L152" i="7"/>
  <c r="S152" i="7" s="1"/>
  <c r="T152" i="7" s="1"/>
  <c r="L153" i="7"/>
  <c r="S153" i="7" s="1"/>
  <c r="T153" i="7" s="1"/>
  <c r="L154" i="7"/>
  <c r="S154" i="7" s="1"/>
  <c r="T154" i="7" s="1"/>
  <c r="L155" i="7"/>
  <c r="S155" i="7" s="1"/>
  <c r="T155" i="7" s="1"/>
  <c r="L156" i="7"/>
  <c r="S156" i="7" s="1"/>
  <c r="T156" i="7" s="1"/>
  <c r="L157" i="7"/>
  <c r="S157" i="7" s="1"/>
  <c r="T157" i="7" s="1"/>
  <c r="L158" i="7"/>
  <c r="S158" i="7" s="1"/>
  <c r="T158" i="7" s="1"/>
  <c r="L159" i="7"/>
  <c r="S159" i="7" s="1"/>
  <c r="T159" i="7" s="1"/>
  <c r="L160" i="7"/>
  <c r="S160" i="7" s="1"/>
  <c r="T160" i="7" s="1"/>
  <c r="L161" i="7"/>
  <c r="S161" i="7" s="1"/>
  <c r="T161" i="7" s="1"/>
  <c r="L162" i="7"/>
  <c r="S162" i="7" s="1"/>
  <c r="T162" i="7" s="1"/>
  <c r="L163" i="7"/>
  <c r="S163" i="7" s="1"/>
  <c r="T163" i="7" s="1"/>
  <c r="L164" i="7"/>
  <c r="S164" i="7" s="1"/>
  <c r="T164" i="7" s="1"/>
  <c r="L165" i="7"/>
  <c r="S165" i="7" s="1"/>
  <c r="T165" i="7" s="1"/>
  <c r="L166" i="7"/>
  <c r="S166" i="7" s="1"/>
  <c r="T166" i="7" s="1"/>
  <c r="L167" i="7"/>
  <c r="S167" i="7" s="1"/>
  <c r="T167" i="7" s="1"/>
  <c r="L168" i="7"/>
  <c r="S168" i="7" s="1"/>
  <c r="T168" i="7" s="1"/>
  <c r="L169" i="7"/>
  <c r="S169" i="7" s="1"/>
  <c r="T169" i="7" s="1"/>
  <c r="L170" i="7"/>
  <c r="S170" i="7" s="1"/>
  <c r="T170" i="7" s="1"/>
  <c r="L171" i="7"/>
  <c r="S171" i="7" s="1"/>
  <c r="T171" i="7" s="1"/>
  <c r="L172" i="7"/>
  <c r="S172" i="7" s="1"/>
  <c r="T172" i="7" s="1"/>
  <c r="L173" i="7"/>
  <c r="S173" i="7" s="1"/>
  <c r="T173" i="7" s="1"/>
  <c r="L174" i="7"/>
  <c r="S174" i="7" s="1"/>
  <c r="T174" i="7" s="1"/>
  <c r="L175" i="7"/>
  <c r="S175" i="7" s="1"/>
  <c r="T175" i="7" s="1"/>
  <c r="L176" i="7"/>
  <c r="S176" i="7" s="1"/>
  <c r="T176" i="7" s="1"/>
  <c r="L177" i="7"/>
  <c r="S177" i="7" s="1"/>
  <c r="T177" i="7" s="1"/>
  <c r="L178" i="7"/>
  <c r="S178" i="7" s="1"/>
  <c r="T178" i="7" s="1"/>
  <c r="L179" i="7"/>
  <c r="S179" i="7" s="1"/>
  <c r="T179" i="7" s="1"/>
  <c r="L180" i="7"/>
  <c r="S180" i="7" s="1"/>
  <c r="T180" i="7" s="1"/>
  <c r="L181" i="7"/>
  <c r="S181" i="7" s="1"/>
  <c r="T181" i="7" s="1"/>
  <c r="L182" i="7"/>
  <c r="S182" i="7" s="1"/>
  <c r="T182" i="7" s="1"/>
  <c r="L183" i="7"/>
  <c r="S183" i="7" s="1"/>
  <c r="T183" i="7" s="1"/>
  <c r="L184" i="7"/>
  <c r="S184" i="7" s="1"/>
  <c r="T184" i="7" s="1"/>
  <c r="L185" i="7"/>
  <c r="S185" i="7" s="1"/>
  <c r="T185" i="7" s="1"/>
  <c r="L186" i="7"/>
  <c r="S186" i="7" s="1"/>
  <c r="T186" i="7" s="1"/>
  <c r="L187" i="7"/>
  <c r="S187" i="7" s="1"/>
  <c r="T187" i="7" s="1"/>
  <c r="L188" i="7"/>
  <c r="S188" i="7" s="1"/>
  <c r="T188" i="7" s="1"/>
  <c r="L189" i="7"/>
  <c r="S189" i="7" s="1"/>
  <c r="T189" i="7" s="1"/>
  <c r="L190" i="7"/>
  <c r="S190" i="7" s="1"/>
  <c r="T190" i="7" s="1"/>
  <c r="L191" i="7"/>
  <c r="S191" i="7" s="1"/>
  <c r="T191" i="7" s="1"/>
  <c r="L192" i="7"/>
  <c r="S192" i="7" s="1"/>
  <c r="T192" i="7" s="1"/>
  <c r="L193" i="7"/>
  <c r="S193" i="7" s="1"/>
  <c r="T193" i="7" s="1"/>
  <c r="L194" i="7"/>
  <c r="S194" i="7" s="1"/>
  <c r="T194" i="7" s="1"/>
  <c r="L195" i="7"/>
  <c r="S195" i="7" s="1"/>
  <c r="T195" i="7" s="1"/>
  <c r="L196" i="7"/>
  <c r="S196" i="7" s="1"/>
  <c r="T196" i="7" s="1"/>
  <c r="L197" i="7"/>
  <c r="S197" i="7" s="1"/>
  <c r="T197" i="7" s="1"/>
  <c r="L198" i="7"/>
  <c r="S198" i="7" s="1"/>
  <c r="T198" i="7" s="1"/>
  <c r="L199" i="7"/>
  <c r="S199" i="7" s="1"/>
  <c r="T199" i="7" s="1"/>
  <c r="L200" i="7"/>
  <c r="S200" i="7" s="1"/>
  <c r="T200" i="7" s="1"/>
  <c r="L201" i="7"/>
  <c r="S201" i="7" s="1"/>
  <c r="T201" i="7" s="1"/>
  <c r="L202" i="7"/>
  <c r="S202" i="7" s="1"/>
  <c r="T202" i="7" s="1"/>
  <c r="L203" i="7"/>
  <c r="S203" i="7" s="1"/>
  <c r="T203" i="7" s="1"/>
  <c r="L204" i="7"/>
  <c r="S204" i="7" s="1"/>
  <c r="T204" i="7" s="1"/>
  <c r="L205" i="7"/>
  <c r="S205" i="7" s="1"/>
  <c r="T205" i="7" s="1"/>
  <c r="L206" i="7"/>
  <c r="S206" i="7" s="1"/>
  <c r="T206" i="7" s="1"/>
  <c r="L207" i="7"/>
  <c r="S207" i="7" s="1"/>
  <c r="T207" i="7" s="1"/>
  <c r="L208" i="7"/>
  <c r="S208" i="7" s="1"/>
  <c r="T208" i="7" s="1"/>
  <c r="L209" i="7"/>
  <c r="S209" i="7" s="1"/>
  <c r="T209" i="7" s="1"/>
  <c r="L210" i="7"/>
  <c r="S210" i="7" s="1"/>
  <c r="T210" i="7" s="1"/>
  <c r="L211" i="7"/>
  <c r="S211" i="7" s="1"/>
  <c r="T211" i="7" s="1"/>
  <c r="L212" i="7"/>
  <c r="S212" i="7" s="1"/>
  <c r="T212" i="7" s="1"/>
  <c r="L213" i="7"/>
  <c r="S213" i="7" s="1"/>
  <c r="T213" i="7" s="1"/>
  <c r="L214" i="7"/>
  <c r="S214" i="7" s="1"/>
  <c r="T214" i="7" s="1"/>
  <c r="L215" i="7"/>
  <c r="S215" i="7" s="1"/>
  <c r="T215" i="7" s="1"/>
  <c r="L216" i="7"/>
  <c r="S216" i="7" s="1"/>
  <c r="T216" i="7" s="1"/>
  <c r="L217" i="7"/>
  <c r="S217" i="7" s="1"/>
  <c r="T217" i="7" s="1"/>
  <c r="L218" i="7"/>
  <c r="S218" i="7" s="1"/>
  <c r="T218" i="7" s="1"/>
  <c r="L219" i="7"/>
  <c r="S219" i="7" s="1"/>
  <c r="T219" i="7" s="1"/>
  <c r="L220" i="7"/>
  <c r="S220" i="7" s="1"/>
  <c r="T220" i="7" s="1"/>
  <c r="L221" i="7"/>
  <c r="S221" i="7" s="1"/>
  <c r="T221" i="7" s="1"/>
  <c r="L222" i="7"/>
  <c r="S222" i="7" s="1"/>
  <c r="T222" i="7" s="1"/>
  <c r="L223" i="7"/>
  <c r="S223" i="7" s="1"/>
  <c r="T223" i="7" s="1"/>
  <c r="L224" i="7"/>
  <c r="S224" i="7" s="1"/>
  <c r="T224" i="7" s="1"/>
  <c r="L225" i="7"/>
  <c r="S225" i="7" s="1"/>
  <c r="T225" i="7" s="1"/>
  <c r="L226" i="7"/>
  <c r="S226" i="7" s="1"/>
  <c r="T226" i="7" s="1"/>
  <c r="L227" i="7"/>
  <c r="S227" i="7" s="1"/>
  <c r="T227" i="7" s="1"/>
  <c r="L228" i="7"/>
  <c r="S228" i="7" s="1"/>
  <c r="T228" i="7" s="1"/>
  <c r="L229" i="7"/>
  <c r="S229" i="7" s="1"/>
  <c r="T229" i="7" s="1"/>
  <c r="L230" i="7"/>
  <c r="S230" i="7" s="1"/>
  <c r="T230" i="7" s="1"/>
  <c r="L231" i="7"/>
  <c r="S231" i="7" s="1"/>
  <c r="T231" i="7" s="1"/>
  <c r="L232" i="7"/>
  <c r="S232" i="7" s="1"/>
  <c r="T232" i="7" s="1"/>
  <c r="L233" i="7"/>
  <c r="S233" i="7" s="1"/>
  <c r="T233" i="7" s="1"/>
  <c r="L234" i="7"/>
  <c r="S234" i="7" s="1"/>
  <c r="T234" i="7" s="1"/>
  <c r="L235" i="7"/>
  <c r="S235" i="7" s="1"/>
  <c r="T235" i="7" s="1"/>
  <c r="L236" i="7"/>
  <c r="S236" i="7" s="1"/>
  <c r="T236" i="7" s="1"/>
  <c r="L237" i="7"/>
  <c r="S237" i="7" s="1"/>
  <c r="T237" i="7" s="1"/>
  <c r="L238" i="7"/>
  <c r="S238" i="7" s="1"/>
  <c r="T238" i="7" s="1"/>
  <c r="L239" i="7"/>
  <c r="S239" i="7" s="1"/>
  <c r="T239" i="7" s="1"/>
  <c r="L240" i="7"/>
  <c r="S240" i="7" s="1"/>
  <c r="T240" i="7" s="1"/>
  <c r="L241" i="7"/>
  <c r="S241" i="7" s="1"/>
  <c r="T241" i="7" s="1"/>
  <c r="L242" i="7"/>
  <c r="S242" i="7" s="1"/>
  <c r="T242" i="7" s="1"/>
  <c r="L243" i="7"/>
  <c r="S243" i="7" s="1"/>
  <c r="T243" i="7" s="1"/>
  <c r="L244" i="7"/>
  <c r="S244" i="7" s="1"/>
  <c r="T244" i="7" s="1"/>
  <c r="L245" i="7"/>
  <c r="S245" i="7" s="1"/>
  <c r="T245" i="7" s="1"/>
  <c r="L246" i="7"/>
  <c r="S246" i="7" s="1"/>
  <c r="T246" i="7" s="1"/>
  <c r="L247" i="7"/>
  <c r="S247" i="7" s="1"/>
  <c r="T247" i="7" s="1"/>
  <c r="L248" i="7"/>
  <c r="S248" i="7" s="1"/>
  <c r="T248" i="7" s="1"/>
  <c r="L249" i="7"/>
  <c r="S249" i="7" s="1"/>
  <c r="T249" i="7" s="1"/>
  <c r="L250" i="7"/>
  <c r="S250" i="7" s="1"/>
  <c r="T250" i="7" s="1"/>
  <c r="L251" i="7"/>
  <c r="S251" i="7" s="1"/>
  <c r="T251" i="7" s="1"/>
  <c r="L252" i="7"/>
  <c r="S252" i="7" s="1"/>
  <c r="T252" i="7" s="1"/>
  <c r="L253" i="7"/>
  <c r="S253" i="7" s="1"/>
  <c r="T253" i="7" s="1"/>
  <c r="L254" i="7"/>
  <c r="S254" i="7" s="1"/>
  <c r="T254" i="7" s="1"/>
  <c r="L255" i="7"/>
  <c r="S255" i="7" s="1"/>
  <c r="T255" i="7" s="1"/>
  <c r="L256" i="7"/>
  <c r="S256" i="7" s="1"/>
  <c r="T256" i="7" s="1"/>
  <c r="L257" i="7"/>
  <c r="S257" i="7" s="1"/>
  <c r="T257" i="7" s="1"/>
  <c r="L258" i="7"/>
  <c r="S258" i="7" s="1"/>
  <c r="T258" i="7" s="1"/>
  <c r="L259" i="7"/>
  <c r="S259" i="7" s="1"/>
  <c r="T259" i="7" s="1"/>
  <c r="L260" i="7"/>
  <c r="S260" i="7" s="1"/>
  <c r="T260" i="7" s="1"/>
  <c r="L261" i="7"/>
  <c r="S261" i="7" s="1"/>
  <c r="T261" i="7" s="1"/>
  <c r="L262" i="7"/>
  <c r="S262" i="7" s="1"/>
  <c r="T262" i="7" s="1"/>
  <c r="L263" i="7"/>
  <c r="S263" i="7" s="1"/>
  <c r="T263" i="7" s="1"/>
  <c r="L264" i="7"/>
  <c r="S264" i="7" s="1"/>
  <c r="T264" i="7" s="1"/>
  <c r="L265" i="7"/>
  <c r="S265" i="7" s="1"/>
  <c r="T265" i="7" s="1"/>
  <c r="L266" i="7"/>
  <c r="S266" i="7" s="1"/>
  <c r="T266" i="7" s="1"/>
  <c r="L267" i="7"/>
  <c r="S267" i="7" s="1"/>
  <c r="T267" i="7" s="1"/>
  <c r="L268" i="7"/>
  <c r="S268" i="7" s="1"/>
  <c r="T268" i="7" s="1"/>
  <c r="L269" i="7"/>
  <c r="S269" i="7" s="1"/>
  <c r="T269" i="7" s="1"/>
  <c r="L270" i="7"/>
  <c r="S270" i="7" s="1"/>
  <c r="T270" i="7" s="1"/>
  <c r="L271" i="7"/>
  <c r="S271" i="7" s="1"/>
  <c r="T271" i="7" s="1"/>
  <c r="L272" i="7"/>
  <c r="S272" i="7" s="1"/>
  <c r="T272" i="7" s="1"/>
  <c r="L273" i="7"/>
  <c r="S273" i="7" s="1"/>
  <c r="T273" i="7" s="1"/>
  <c r="L274" i="7"/>
  <c r="S274" i="7" s="1"/>
  <c r="T274" i="7" s="1"/>
  <c r="L275" i="7"/>
  <c r="S275" i="7" s="1"/>
  <c r="T275" i="7" s="1"/>
  <c r="L276" i="7"/>
  <c r="S276" i="7" s="1"/>
  <c r="T276" i="7" s="1"/>
  <c r="L277" i="7"/>
  <c r="S277" i="7" s="1"/>
  <c r="T277" i="7" s="1"/>
  <c r="L278" i="7"/>
  <c r="S278" i="7" s="1"/>
  <c r="T278" i="7" s="1"/>
  <c r="L279" i="7"/>
  <c r="S279" i="7" s="1"/>
  <c r="T279" i="7" s="1"/>
  <c r="L280" i="7"/>
  <c r="S280" i="7" s="1"/>
  <c r="T280" i="7" s="1"/>
  <c r="L281" i="7"/>
  <c r="S281" i="7" s="1"/>
  <c r="T281" i="7" s="1"/>
  <c r="L282" i="7"/>
  <c r="S282" i="7" s="1"/>
  <c r="T282" i="7" s="1"/>
  <c r="L283" i="7"/>
  <c r="S283" i="7" s="1"/>
  <c r="T283" i="7" s="1"/>
  <c r="L284" i="7"/>
  <c r="S284" i="7" s="1"/>
  <c r="T284" i="7" s="1"/>
  <c r="L285" i="7"/>
  <c r="S285" i="7" s="1"/>
  <c r="T285" i="7" s="1"/>
  <c r="L286" i="7"/>
  <c r="S286" i="7" s="1"/>
  <c r="T286" i="7" s="1"/>
  <c r="L287" i="7"/>
  <c r="S287" i="7" s="1"/>
  <c r="T287" i="7" s="1"/>
  <c r="L288" i="7"/>
  <c r="S288" i="7" s="1"/>
  <c r="T288" i="7" s="1"/>
  <c r="L289" i="7"/>
  <c r="S289" i="7" s="1"/>
  <c r="T289" i="7" s="1"/>
  <c r="L290" i="7"/>
  <c r="S290" i="7" s="1"/>
  <c r="T290" i="7" s="1"/>
  <c r="L291" i="7"/>
  <c r="S291" i="7" s="1"/>
  <c r="T291" i="7" s="1"/>
  <c r="L292" i="7"/>
  <c r="S292" i="7" s="1"/>
  <c r="T292" i="7" s="1"/>
  <c r="L293" i="7"/>
  <c r="S293" i="7" s="1"/>
  <c r="T293" i="7" s="1"/>
  <c r="L294" i="7"/>
  <c r="S294" i="7" s="1"/>
  <c r="T294" i="7" s="1"/>
  <c r="L295" i="7"/>
  <c r="S295" i="7" s="1"/>
  <c r="T295" i="7" s="1"/>
  <c r="L296" i="7"/>
  <c r="S296" i="7" s="1"/>
  <c r="T296" i="7" s="1"/>
  <c r="L297" i="7"/>
  <c r="S297" i="7" s="1"/>
  <c r="T297" i="7" s="1"/>
  <c r="L298" i="7"/>
  <c r="S298" i="7" s="1"/>
  <c r="T298" i="7" s="1"/>
  <c r="L299" i="7"/>
  <c r="S299" i="7" s="1"/>
  <c r="T299" i="7" s="1"/>
  <c r="L300" i="7"/>
  <c r="S300" i="7" s="1"/>
  <c r="T300" i="7" s="1"/>
  <c r="L301" i="7"/>
  <c r="S301" i="7" s="1"/>
  <c r="T301" i="7" s="1"/>
  <c r="L302" i="7"/>
  <c r="S302" i="7" s="1"/>
  <c r="T302" i="7" s="1"/>
  <c r="L303" i="7"/>
  <c r="S303" i="7" s="1"/>
  <c r="T303" i="7" s="1"/>
  <c r="L304" i="7"/>
  <c r="S304" i="7" s="1"/>
  <c r="T304" i="7" s="1"/>
  <c r="L305" i="7"/>
  <c r="S305" i="7" s="1"/>
  <c r="T305" i="7" s="1"/>
  <c r="L306" i="7"/>
  <c r="S306" i="7" s="1"/>
  <c r="T306" i="7" s="1"/>
  <c r="L307" i="7"/>
  <c r="S307" i="7" s="1"/>
  <c r="T307" i="7" s="1"/>
  <c r="L308" i="7"/>
  <c r="S308" i="7" s="1"/>
  <c r="T308" i="7" s="1"/>
  <c r="L309" i="7"/>
  <c r="S309" i="7" s="1"/>
  <c r="T309" i="7" s="1"/>
  <c r="L310" i="7"/>
  <c r="S310" i="7" s="1"/>
  <c r="T310" i="7" s="1"/>
  <c r="L311" i="7"/>
  <c r="S311" i="7" s="1"/>
  <c r="T311" i="7" s="1"/>
  <c r="L312" i="7"/>
  <c r="S312" i="7" s="1"/>
  <c r="T312" i="7" s="1"/>
  <c r="L313" i="7"/>
  <c r="S313" i="7" s="1"/>
  <c r="T313" i="7" s="1"/>
  <c r="L314" i="7"/>
  <c r="S314" i="7" s="1"/>
  <c r="T314" i="7" s="1"/>
  <c r="L315" i="7"/>
  <c r="S315" i="7" s="1"/>
  <c r="T315" i="7" s="1"/>
  <c r="L316" i="7"/>
  <c r="S316" i="7" s="1"/>
  <c r="T316" i="7" s="1"/>
  <c r="L317" i="7"/>
  <c r="S317" i="7" s="1"/>
  <c r="T317" i="7" s="1"/>
  <c r="L318" i="7"/>
  <c r="S318" i="7" s="1"/>
  <c r="T318" i="7" s="1"/>
  <c r="L319" i="7"/>
  <c r="S319" i="7" s="1"/>
  <c r="T319" i="7" s="1"/>
  <c r="L320" i="7"/>
  <c r="S320" i="7" s="1"/>
  <c r="T320" i="7" s="1"/>
  <c r="L321" i="7"/>
  <c r="S321" i="7" s="1"/>
  <c r="T321" i="7" s="1"/>
  <c r="L322" i="7"/>
  <c r="S322" i="7" s="1"/>
  <c r="T322" i="7" s="1"/>
  <c r="L323" i="7"/>
  <c r="S323" i="7" s="1"/>
  <c r="T323" i="7" s="1"/>
  <c r="L324" i="7"/>
  <c r="S324" i="7" s="1"/>
  <c r="T324" i="7" s="1"/>
  <c r="L325" i="7"/>
  <c r="S325" i="7" s="1"/>
  <c r="T325" i="7" s="1"/>
  <c r="L326" i="7"/>
  <c r="S326" i="7" s="1"/>
  <c r="T326" i="7" s="1"/>
  <c r="L327" i="7"/>
  <c r="S327" i="7" s="1"/>
  <c r="T327" i="7" s="1"/>
  <c r="L328" i="7"/>
  <c r="S328" i="7" s="1"/>
  <c r="T328" i="7" s="1"/>
  <c r="L329" i="7"/>
  <c r="S329" i="7" s="1"/>
  <c r="T329" i="7" s="1"/>
  <c r="L330" i="7"/>
  <c r="S330" i="7" s="1"/>
  <c r="T330" i="7" s="1"/>
  <c r="L331" i="7"/>
  <c r="S331" i="7" s="1"/>
  <c r="T331" i="7" s="1"/>
  <c r="L332" i="7"/>
  <c r="S332" i="7" s="1"/>
  <c r="T332" i="7" s="1"/>
  <c r="L333" i="7"/>
  <c r="S333" i="7" s="1"/>
  <c r="T333" i="7" s="1"/>
  <c r="L334" i="7"/>
  <c r="S334" i="7" s="1"/>
  <c r="T334" i="7" s="1"/>
  <c r="L335" i="7"/>
  <c r="S335" i="7" s="1"/>
  <c r="T335" i="7" s="1"/>
  <c r="L336" i="7"/>
  <c r="S336" i="7" s="1"/>
  <c r="T336" i="7" s="1"/>
  <c r="L337" i="7"/>
  <c r="S337" i="7" s="1"/>
  <c r="T337" i="7" s="1"/>
  <c r="L338" i="7"/>
  <c r="S338" i="7" s="1"/>
  <c r="T338" i="7" s="1"/>
  <c r="L339" i="7"/>
  <c r="S339" i="7" s="1"/>
  <c r="T339" i="7" s="1"/>
  <c r="L340" i="7"/>
  <c r="S340" i="7" s="1"/>
  <c r="T340" i="7" s="1"/>
  <c r="L341" i="7"/>
  <c r="S341" i="7" s="1"/>
  <c r="T341" i="7" s="1"/>
  <c r="L342" i="7"/>
  <c r="S342" i="7" s="1"/>
  <c r="T342" i="7" s="1"/>
  <c r="S343" i="7"/>
  <c r="T343" i="7" s="1"/>
  <c r="L344" i="7"/>
  <c r="S344" i="7" s="1"/>
  <c r="T344" i="7" s="1"/>
  <c r="L345" i="7"/>
  <c r="S345" i="7" s="1"/>
  <c r="T345" i="7" s="1"/>
  <c r="L346" i="7"/>
  <c r="S346" i="7" s="1"/>
  <c r="T346" i="7" s="1"/>
  <c r="L347" i="7"/>
  <c r="S347" i="7" s="1"/>
  <c r="T347" i="7" s="1"/>
  <c r="L348" i="7"/>
  <c r="S348" i="7" s="1"/>
  <c r="T348" i="7" s="1"/>
  <c r="L349" i="7"/>
  <c r="S349" i="7" s="1"/>
  <c r="T349" i="7" s="1"/>
  <c r="L350" i="7"/>
  <c r="S350" i="7" s="1"/>
  <c r="T350" i="7" s="1"/>
  <c r="L351" i="7"/>
  <c r="S351" i="7" s="1"/>
  <c r="T351" i="7" s="1"/>
  <c r="L352" i="7"/>
  <c r="S352" i="7" s="1"/>
  <c r="T352" i="7" s="1"/>
  <c r="L353" i="7"/>
  <c r="S353" i="7" s="1"/>
  <c r="T353" i="7" s="1"/>
  <c r="L354" i="7"/>
  <c r="S354" i="7" s="1"/>
  <c r="T354" i="7" s="1"/>
  <c r="L355" i="7"/>
  <c r="S355" i="7" s="1"/>
  <c r="T355" i="7" s="1"/>
  <c r="L356" i="7"/>
  <c r="S356" i="7" s="1"/>
  <c r="T356" i="7" s="1"/>
  <c r="L357" i="7"/>
  <c r="S357" i="7" s="1"/>
  <c r="T357" i="7" s="1"/>
  <c r="L358" i="7"/>
  <c r="S358" i="7" s="1"/>
  <c r="T358" i="7" s="1"/>
  <c r="L359" i="7"/>
  <c r="S359" i="7" s="1"/>
  <c r="T359" i="7" s="1"/>
  <c r="L360" i="7"/>
  <c r="S360" i="7" s="1"/>
  <c r="T360" i="7" s="1"/>
  <c r="L361" i="7"/>
  <c r="S361" i="7" s="1"/>
  <c r="T361" i="7" s="1"/>
  <c r="L362" i="7"/>
  <c r="S362" i="7" s="1"/>
  <c r="T362" i="7" s="1"/>
  <c r="L363" i="7"/>
  <c r="S363" i="7" s="1"/>
  <c r="T363" i="7" s="1"/>
  <c r="L364" i="7"/>
  <c r="S364" i="7" s="1"/>
  <c r="T364" i="7" s="1"/>
  <c r="L365" i="7"/>
  <c r="S365" i="7" s="1"/>
  <c r="T365" i="7" s="1"/>
  <c r="L366" i="7"/>
  <c r="S366" i="7" s="1"/>
  <c r="T366" i="7" s="1"/>
  <c r="L367" i="7"/>
  <c r="S367" i="7" s="1"/>
  <c r="T367" i="7" s="1"/>
  <c r="L368" i="7"/>
  <c r="S368" i="7" s="1"/>
  <c r="T368" i="7" s="1"/>
  <c r="L369" i="7"/>
  <c r="S369" i="7" s="1"/>
  <c r="T369" i="7" s="1"/>
  <c r="L370" i="7"/>
  <c r="S370" i="7" s="1"/>
  <c r="T370" i="7" s="1"/>
  <c r="L371" i="7"/>
  <c r="S371" i="7" s="1"/>
  <c r="T371" i="7" s="1"/>
  <c r="L372" i="7"/>
  <c r="S372" i="7" s="1"/>
  <c r="T372" i="7" s="1"/>
  <c r="L373" i="7"/>
  <c r="S373" i="7" s="1"/>
  <c r="T373" i="7" s="1"/>
  <c r="L374" i="7"/>
  <c r="S374" i="7" s="1"/>
  <c r="T374" i="7" s="1"/>
  <c r="L375" i="7"/>
  <c r="S375" i="7" s="1"/>
  <c r="T375" i="7" s="1"/>
  <c r="L376" i="7"/>
  <c r="S376" i="7" s="1"/>
  <c r="T376" i="7" s="1"/>
  <c r="L377" i="7"/>
  <c r="S377" i="7" s="1"/>
  <c r="T377" i="7" s="1"/>
  <c r="L378" i="7"/>
  <c r="S378" i="7" s="1"/>
  <c r="T378" i="7" s="1"/>
  <c r="L379" i="7"/>
  <c r="S379" i="7" s="1"/>
  <c r="T379" i="7" s="1"/>
  <c r="L380" i="7"/>
  <c r="S380" i="7" s="1"/>
  <c r="T380" i="7" s="1"/>
  <c r="L381" i="7"/>
  <c r="S381" i="7" s="1"/>
  <c r="T381" i="7" s="1"/>
  <c r="L382" i="7"/>
  <c r="S382" i="7" s="1"/>
  <c r="T382" i="7" s="1"/>
  <c r="L383" i="7"/>
  <c r="S383" i="7" s="1"/>
  <c r="T383" i="7" s="1"/>
  <c r="L384" i="7"/>
  <c r="S384" i="7" s="1"/>
  <c r="T384" i="7" s="1"/>
  <c r="L385" i="7"/>
  <c r="S385" i="7" s="1"/>
  <c r="T385" i="7" s="1"/>
  <c r="L386" i="7"/>
  <c r="S386" i="7" s="1"/>
  <c r="T386" i="7" s="1"/>
  <c r="L387" i="7"/>
  <c r="S387" i="7" s="1"/>
  <c r="T387" i="7" s="1"/>
  <c r="L388" i="7"/>
  <c r="S388" i="7" s="1"/>
  <c r="T388" i="7" s="1"/>
  <c r="L389" i="7"/>
  <c r="S389" i="7" s="1"/>
  <c r="T389" i="7" s="1"/>
  <c r="L390" i="7"/>
  <c r="S390" i="7" s="1"/>
  <c r="T390" i="7" s="1"/>
  <c r="L391" i="7"/>
  <c r="S391" i="7" s="1"/>
  <c r="T391" i="7" s="1"/>
  <c r="L392" i="7"/>
  <c r="S392" i="7" s="1"/>
  <c r="T392" i="7" s="1"/>
  <c r="L393" i="7"/>
  <c r="S393" i="7" s="1"/>
  <c r="T393" i="7" s="1"/>
  <c r="L394" i="7"/>
  <c r="S394" i="7" s="1"/>
  <c r="T394" i="7" s="1"/>
  <c r="L395" i="7"/>
  <c r="S395" i="7" s="1"/>
  <c r="T395" i="7" s="1"/>
  <c r="L396" i="7"/>
  <c r="S396" i="7" s="1"/>
  <c r="T396" i="7" s="1"/>
  <c r="L397" i="7"/>
  <c r="S397" i="7" s="1"/>
  <c r="T397" i="7" s="1"/>
  <c r="L398" i="7"/>
  <c r="S398" i="7" s="1"/>
  <c r="T398" i="7" s="1"/>
  <c r="L399" i="7"/>
  <c r="S399" i="7" s="1"/>
  <c r="T399" i="7" s="1"/>
  <c r="L400" i="7"/>
  <c r="S400" i="7" s="1"/>
  <c r="T400" i="7" s="1"/>
  <c r="L401" i="7"/>
  <c r="S401" i="7" s="1"/>
  <c r="T401" i="7" s="1"/>
  <c r="L402" i="7"/>
  <c r="S402" i="7" s="1"/>
  <c r="T402" i="7" s="1"/>
  <c r="L403" i="7"/>
  <c r="S403" i="7" s="1"/>
  <c r="T403" i="7" s="1"/>
  <c r="L404" i="7"/>
  <c r="S404" i="7" s="1"/>
  <c r="T404" i="7" s="1"/>
  <c r="L405" i="7"/>
  <c r="S405" i="7" s="1"/>
  <c r="T405" i="7" s="1"/>
  <c r="L406" i="7"/>
  <c r="S406" i="7" s="1"/>
  <c r="T406" i="7" s="1"/>
  <c r="L407" i="7"/>
  <c r="S407" i="7" s="1"/>
  <c r="T407" i="7" s="1"/>
  <c r="L408" i="7"/>
  <c r="S408" i="7" s="1"/>
  <c r="T408" i="7" s="1"/>
  <c r="L409" i="7"/>
  <c r="S409" i="7" s="1"/>
  <c r="T409" i="7" s="1"/>
  <c r="L410" i="7"/>
  <c r="S410" i="7" s="1"/>
  <c r="T410" i="7" s="1"/>
  <c r="L411" i="7"/>
  <c r="S411" i="7" s="1"/>
  <c r="T411" i="7" s="1"/>
  <c r="L412" i="7"/>
  <c r="S412" i="7" s="1"/>
  <c r="T412" i="7" s="1"/>
  <c r="L413" i="7"/>
  <c r="S413" i="7" s="1"/>
  <c r="T413" i="7" s="1"/>
  <c r="L414" i="7"/>
  <c r="S414" i="7" s="1"/>
  <c r="T414" i="7" s="1"/>
  <c r="L415" i="7"/>
  <c r="S415" i="7" s="1"/>
  <c r="T415" i="7" s="1"/>
  <c r="L416" i="7"/>
  <c r="S416" i="7" s="1"/>
  <c r="T416" i="7" s="1"/>
  <c r="L417" i="7"/>
  <c r="S417" i="7" s="1"/>
  <c r="T417" i="7" s="1"/>
  <c r="L418" i="7"/>
  <c r="S418" i="7" s="1"/>
  <c r="T418" i="7" s="1"/>
  <c r="L419" i="7"/>
  <c r="S419" i="7" s="1"/>
  <c r="T419" i="7" s="1"/>
  <c r="L420" i="7"/>
  <c r="S420" i="7" s="1"/>
  <c r="T420" i="7" s="1"/>
  <c r="L421" i="7"/>
  <c r="S421" i="7" s="1"/>
  <c r="T421" i="7" s="1"/>
  <c r="L422" i="7"/>
  <c r="S422" i="7" s="1"/>
  <c r="T422" i="7" s="1"/>
  <c r="L423" i="7"/>
  <c r="S423" i="7" s="1"/>
  <c r="T423" i="7" s="1"/>
  <c r="L424" i="7"/>
  <c r="S424" i="7" s="1"/>
  <c r="T424" i="7" s="1"/>
  <c r="L425" i="7"/>
  <c r="S425" i="7" s="1"/>
  <c r="T425" i="7" s="1"/>
  <c r="L426" i="7"/>
  <c r="S426" i="7" s="1"/>
  <c r="T426" i="7" s="1"/>
  <c r="L427" i="7"/>
  <c r="S427" i="7" s="1"/>
  <c r="T427" i="7" s="1"/>
  <c r="L428" i="7"/>
  <c r="S428" i="7" s="1"/>
  <c r="T428" i="7" s="1"/>
  <c r="L429" i="7"/>
  <c r="S429" i="7" s="1"/>
  <c r="T429" i="7" s="1"/>
  <c r="L430" i="7"/>
  <c r="S430" i="7" s="1"/>
  <c r="T430" i="7" s="1"/>
  <c r="L431" i="7"/>
  <c r="S431" i="7" s="1"/>
  <c r="T431" i="7" s="1"/>
  <c r="L432" i="7"/>
  <c r="S432" i="7" s="1"/>
  <c r="T432" i="7" s="1"/>
  <c r="L433" i="7"/>
  <c r="S433" i="7" s="1"/>
  <c r="T433" i="7" s="1"/>
  <c r="L434" i="7"/>
  <c r="S434" i="7" s="1"/>
  <c r="T434" i="7" s="1"/>
  <c r="L435" i="7"/>
  <c r="S435" i="7" s="1"/>
  <c r="T435" i="7" s="1"/>
  <c r="L436" i="7"/>
  <c r="S436" i="7" s="1"/>
  <c r="T436" i="7" s="1"/>
  <c r="L437" i="7"/>
  <c r="S437" i="7" s="1"/>
  <c r="T437" i="7" s="1"/>
  <c r="L438" i="7"/>
  <c r="S438" i="7" s="1"/>
  <c r="T438" i="7" s="1"/>
  <c r="L439" i="7"/>
  <c r="S439" i="7" s="1"/>
  <c r="T439" i="7" s="1"/>
  <c r="L440" i="7"/>
  <c r="S440" i="7" s="1"/>
  <c r="T440" i="7" s="1"/>
  <c r="L441" i="7"/>
  <c r="S441" i="7" s="1"/>
  <c r="T441" i="7" s="1"/>
  <c r="L442" i="7"/>
  <c r="S442" i="7" s="1"/>
  <c r="T442" i="7" s="1"/>
  <c r="L443" i="7"/>
  <c r="S443" i="7" s="1"/>
  <c r="T443" i="7" s="1"/>
  <c r="L444" i="7"/>
  <c r="S444" i="7" s="1"/>
  <c r="T444" i="7" s="1"/>
  <c r="L445" i="7"/>
  <c r="S445" i="7" s="1"/>
  <c r="T445" i="7" s="1"/>
  <c r="L446" i="7"/>
  <c r="S446" i="7" s="1"/>
  <c r="T446" i="7" s="1"/>
  <c r="L447" i="7"/>
  <c r="S447" i="7" s="1"/>
  <c r="T447" i="7" s="1"/>
  <c r="L448" i="7"/>
  <c r="S448" i="7" s="1"/>
  <c r="T448" i="7" s="1"/>
  <c r="L449" i="7"/>
  <c r="S449" i="7" s="1"/>
  <c r="T449" i="7" s="1"/>
  <c r="L450" i="7"/>
  <c r="S450" i="7" s="1"/>
  <c r="T450" i="7" s="1"/>
  <c r="L451" i="7"/>
  <c r="S451" i="7" s="1"/>
  <c r="T451" i="7" s="1"/>
  <c r="L452" i="7"/>
  <c r="S452" i="7" s="1"/>
  <c r="T452" i="7" s="1"/>
  <c r="L453" i="7"/>
  <c r="S453" i="7" s="1"/>
  <c r="T453" i="7" s="1"/>
  <c r="L454" i="7"/>
  <c r="S454" i="7" s="1"/>
  <c r="T454" i="7" s="1"/>
  <c r="L455" i="7"/>
  <c r="S455" i="7" s="1"/>
  <c r="T455" i="7" s="1"/>
  <c r="L456" i="7"/>
  <c r="S456" i="7" s="1"/>
  <c r="T456" i="7" s="1"/>
  <c r="L2" i="7"/>
  <c r="S2" i="7" s="1"/>
  <c r="T2" i="7" s="1"/>
  <c r="B16" i="22" l="1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" i="22"/>
  <c r="B4" i="22"/>
  <c r="B5" i="22"/>
  <c r="B6" i="22"/>
  <c r="B7" i="22"/>
  <c r="B8" i="22"/>
  <c r="B9" i="22"/>
  <c r="B10" i="22"/>
  <c r="B11" i="22"/>
  <c r="B12" i="22"/>
  <c r="B13" i="22"/>
  <c r="B14" i="22"/>
  <c r="B15" i="22"/>
  <c r="B2" i="22"/>
  <c r="B1" i="22"/>
  <c r="K1377" i="7"/>
  <c r="K1340" i="7"/>
  <c r="K1375" i="7"/>
  <c r="K1355" i="7"/>
  <c r="K1379" i="7"/>
  <c r="K1381" i="7"/>
  <c r="K1368" i="7"/>
  <c r="K1352" i="7"/>
  <c r="K1373" i="7"/>
  <c r="K1357" i="7"/>
  <c r="K1341" i="7"/>
  <c r="K1325" i="7"/>
  <c r="K1305" i="7"/>
  <c r="K1370" i="7"/>
  <c r="K1354" i="7"/>
  <c r="K1338" i="7"/>
  <c r="K1322" i="7"/>
  <c r="K1277" i="7"/>
  <c r="K1339" i="7"/>
  <c r="K1323" i="7"/>
  <c r="K1297" i="7"/>
  <c r="K1310" i="7"/>
  <c r="K1294" i="7"/>
  <c r="K1278" i="7"/>
  <c r="K1315" i="7"/>
  <c r="K1299" i="7"/>
  <c r="K1283" i="7"/>
  <c r="K1308" i="7"/>
  <c r="K1292" i="7"/>
  <c r="K1276" i="7"/>
  <c r="K1251" i="7"/>
  <c r="K1264" i="7"/>
  <c r="K1244" i="7"/>
  <c r="K1265" i="7"/>
  <c r="K1240" i="7"/>
  <c r="K1254" i="7"/>
  <c r="K1230" i="7"/>
  <c r="K1214" i="7"/>
  <c r="K1235" i="7"/>
  <c r="K1219" i="7"/>
  <c r="K1228" i="7"/>
  <c r="K1212" i="7"/>
  <c r="K1233" i="7"/>
  <c r="K1217" i="7"/>
  <c r="K1211" i="7"/>
  <c r="K1189" i="7"/>
  <c r="K1182" i="7"/>
  <c r="K1134" i="7"/>
  <c r="K1166" i="7"/>
  <c r="K1112" i="7"/>
  <c r="K1040" i="7"/>
  <c r="K1038" i="7"/>
  <c r="K1031" i="7"/>
  <c r="K1066" i="7"/>
  <c r="K984" i="7"/>
  <c r="K1007" i="7"/>
  <c r="K959" i="7"/>
  <c r="K1079" i="7"/>
  <c r="K952" i="7"/>
  <c r="K983" i="7"/>
  <c r="K970" i="7"/>
  <c r="K1188" i="7"/>
  <c r="K1202" i="7"/>
  <c r="K1193" i="7"/>
  <c r="K1159" i="7"/>
  <c r="K1135" i="7"/>
  <c r="K1119" i="7"/>
  <c r="K945" i="7"/>
  <c r="K1014" i="7"/>
  <c r="K1076" i="7"/>
  <c r="K1095" i="7"/>
  <c r="K1022" i="7"/>
  <c r="K946" i="7"/>
  <c r="K949" i="7"/>
  <c r="K1091" i="7"/>
  <c r="K1006" i="7"/>
  <c r="K986" i="7"/>
  <c r="K969" i="7"/>
  <c r="K1047" i="7"/>
  <c r="K1008" i="7"/>
  <c r="K964" i="7"/>
  <c r="K1018" i="7"/>
  <c r="K973" i="7"/>
  <c r="K1208" i="7"/>
  <c r="K1180" i="7"/>
  <c r="K1205" i="7"/>
  <c r="K1162" i="7"/>
  <c r="K1174" i="7"/>
  <c r="K1126" i="7"/>
  <c r="K963" i="7"/>
  <c r="K1101" i="7"/>
  <c r="K1061" i="7"/>
  <c r="K1093" i="7"/>
  <c r="K1055" i="7"/>
  <c r="K1210" i="7"/>
  <c r="K1116" i="7"/>
  <c r="K1108" i="7"/>
  <c r="K1104" i="7"/>
  <c r="K1005" i="7"/>
  <c r="K994" i="7"/>
  <c r="K1164" i="7"/>
  <c r="K1170" i="7"/>
  <c r="K950" i="7"/>
  <c r="K1067" i="7"/>
  <c r="K975" i="7"/>
  <c r="K1146" i="7"/>
  <c r="K1199" i="7"/>
  <c r="K1153" i="7"/>
  <c r="K1073" i="7"/>
  <c r="K1176" i="7"/>
  <c r="K1032" i="7"/>
  <c r="K1371" i="7"/>
  <c r="K1344" i="7"/>
  <c r="K1348" i="7"/>
  <c r="K1380" i="7"/>
  <c r="K1364" i="7"/>
  <c r="K1336" i="7"/>
  <c r="K1369" i="7"/>
  <c r="K1353" i="7"/>
  <c r="K1337" i="7"/>
  <c r="K1321" i="7"/>
  <c r="K1289" i="7"/>
  <c r="K1366" i="7"/>
  <c r="K1350" i="7"/>
  <c r="K1334" i="7"/>
  <c r="K1318" i="7"/>
  <c r="K1351" i="7"/>
  <c r="K1335" i="7"/>
  <c r="K1324" i="7"/>
  <c r="K1301" i="7"/>
  <c r="K1382" i="7"/>
  <c r="K1363" i="7"/>
  <c r="K1372" i="7"/>
  <c r="K1316" i="7"/>
  <c r="K1345" i="7"/>
  <c r="K1312" i="7"/>
  <c r="K1358" i="7"/>
  <c r="K1326" i="7"/>
  <c r="K1343" i="7"/>
  <c r="K1314" i="7"/>
  <c r="K1248" i="7"/>
  <c r="K1290" i="7"/>
  <c r="K1271" i="7"/>
  <c r="K1303" i="7"/>
  <c r="K1279" i="7"/>
  <c r="K1300" i="7"/>
  <c r="K1280" i="7"/>
  <c r="K1249" i="7"/>
  <c r="K1256" i="7"/>
  <c r="K1269" i="7"/>
  <c r="K1266" i="7"/>
  <c r="K1238" i="7"/>
  <c r="K1218" i="7"/>
  <c r="K1231" i="7"/>
  <c r="K1236" i="7"/>
  <c r="K1216" i="7"/>
  <c r="K1229" i="7"/>
  <c r="K1130" i="7"/>
  <c r="K1206" i="7"/>
  <c r="K1173" i="7"/>
  <c r="K1144" i="7"/>
  <c r="K1089" i="7"/>
  <c r="K985" i="7"/>
  <c r="K1097" i="7"/>
  <c r="K1092" i="7"/>
  <c r="K955" i="7"/>
  <c r="K1037" i="7"/>
  <c r="K1088" i="7"/>
  <c r="K972" i="7"/>
  <c r="K1019" i="7"/>
  <c r="K1125" i="7"/>
  <c r="K1187" i="7"/>
  <c r="K1171" i="7"/>
  <c r="K1142" i="7"/>
  <c r="K1096" i="7"/>
  <c r="K995" i="7"/>
  <c r="K1100" i="7"/>
  <c r="K1065" i="7"/>
  <c r="K997" i="7"/>
  <c r="K978" i="7"/>
  <c r="K1043" i="7"/>
  <c r="K971" i="7"/>
  <c r="K954" i="7"/>
  <c r="K980" i="7"/>
  <c r="K1110" i="7"/>
  <c r="K1084" i="7"/>
  <c r="K1077" i="7"/>
  <c r="K1203" i="7"/>
  <c r="K1177" i="7"/>
  <c r="K1143" i="7"/>
  <c r="K1141" i="7"/>
  <c r="K1015" i="7"/>
  <c r="K1058" i="7"/>
  <c r="K966" i="7"/>
  <c r="K1046" i="7"/>
  <c r="K1201" i="7"/>
  <c r="K1070" i="7"/>
  <c r="K1048" i="7"/>
  <c r="K1053" i="7"/>
  <c r="K1127" i="7"/>
  <c r="K1139" i="7"/>
  <c r="K1094" i="7"/>
  <c r="K982" i="7"/>
  <c r="K1155" i="7"/>
  <c r="K1183" i="7"/>
  <c r="K979" i="7"/>
  <c r="K1109" i="7"/>
  <c r="K1168" i="7"/>
  <c r="K1156" i="7"/>
  <c r="K992" i="7"/>
  <c r="K1059" i="7"/>
  <c r="K1035" i="7"/>
  <c r="K1167" i="7"/>
  <c r="K1107" i="7"/>
  <c r="K1013" i="7"/>
  <c r="K1175" i="7"/>
  <c r="K1069" i="7"/>
  <c r="K1359" i="7"/>
  <c r="K1342" i="7"/>
  <c r="K1327" i="7"/>
  <c r="K1282" i="7"/>
  <c r="K1291" i="7"/>
  <c r="K1288" i="7"/>
  <c r="K1268" i="7"/>
  <c r="K1257" i="7"/>
  <c r="K1226" i="7"/>
  <c r="K1223" i="7"/>
  <c r="K1241" i="7"/>
  <c r="K1172" i="7"/>
  <c r="K1149" i="7"/>
  <c r="K1030" i="7"/>
  <c r="K1000" i="7"/>
  <c r="K951" i="7"/>
  <c r="K1191" i="7"/>
  <c r="K1158" i="7"/>
  <c r="K1011" i="7"/>
  <c r="K1078" i="7"/>
  <c r="K1063" i="7"/>
  <c r="K1140" i="7"/>
  <c r="K1051" i="7"/>
  <c r="K1198" i="7"/>
  <c r="K1099" i="7"/>
  <c r="K1039" i="7"/>
  <c r="K987" i="7"/>
  <c r="K1029" i="7"/>
  <c r="K1194" i="7"/>
  <c r="K1120" i="7"/>
  <c r="K1154" i="7"/>
  <c r="K1328" i="7"/>
  <c r="K1349" i="7"/>
  <c r="K1362" i="7"/>
  <c r="K1319" i="7"/>
  <c r="K1298" i="7"/>
  <c r="K1307" i="7"/>
  <c r="K1284" i="7"/>
  <c r="K1260" i="7"/>
  <c r="K1253" i="7"/>
  <c r="K1367" i="7"/>
  <c r="K1332" i="7"/>
  <c r="K1360" i="7"/>
  <c r="K1365" i="7"/>
  <c r="K1333" i="7"/>
  <c r="K1378" i="7"/>
  <c r="K1346" i="7"/>
  <c r="K1309" i="7"/>
  <c r="K1331" i="7"/>
  <c r="K1313" i="7"/>
  <c r="K1306" i="7"/>
  <c r="K1286" i="7"/>
  <c r="K1259" i="7"/>
  <c r="K1295" i="7"/>
  <c r="K1263" i="7"/>
  <c r="K1296" i="7"/>
  <c r="K1274" i="7"/>
  <c r="K1272" i="7"/>
  <c r="K1252" i="7"/>
  <c r="K1261" i="7"/>
  <c r="K1262" i="7"/>
  <c r="K1234" i="7"/>
  <c r="K1247" i="7"/>
  <c r="K1227" i="7"/>
  <c r="K1232" i="7"/>
  <c r="K1245" i="7"/>
  <c r="K1225" i="7"/>
  <c r="K1192" i="7"/>
  <c r="K1181" i="7"/>
  <c r="K1165" i="7"/>
  <c r="K1136" i="7"/>
  <c r="K1098" i="7"/>
  <c r="K1045" i="7"/>
  <c r="K996" i="7"/>
  <c r="K1028" i="7"/>
  <c r="K968" i="7"/>
  <c r="K990" i="7"/>
  <c r="K1012" i="7"/>
  <c r="K958" i="7"/>
  <c r="K1074" i="7"/>
  <c r="K1207" i="7"/>
  <c r="K1179" i="7"/>
  <c r="K1163" i="7"/>
  <c r="K1161" i="7"/>
  <c r="K1080" i="7"/>
  <c r="K960" i="7"/>
  <c r="K1023" i="7"/>
  <c r="K1010" i="7"/>
  <c r="K957" i="7"/>
  <c r="K1020" i="7"/>
  <c r="K956" i="7"/>
  <c r="K988" i="7"/>
  <c r="K948" i="7"/>
  <c r="K961" i="7"/>
  <c r="K998" i="7"/>
  <c r="K1105" i="7"/>
  <c r="K1103" i="7"/>
  <c r="K1190" i="7"/>
  <c r="K1132" i="7"/>
  <c r="K1057" i="7"/>
  <c r="K1027" i="7"/>
  <c r="K1160" i="7"/>
  <c r="K1060" i="7"/>
  <c r="K1042" i="7"/>
  <c r="K962" i="7"/>
  <c r="K1068" i="7"/>
  <c r="K993" i="7"/>
  <c r="K1285" i="7"/>
  <c r="K1356" i="7"/>
  <c r="K1361" i="7"/>
  <c r="K1329" i="7"/>
  <c r="K1374" i="7"/>
  <c r="K1293" i="7"/>
  <c r="K1281" i="7"/>
  <c r="K1302" i="7"/>
  <c r="K1311" i="7"/>
  <c r="K1246" i="7"/>
  <c r="K1270" i="7"/>
  <c r="K1242" i="7"/>
  <c r="K1258" i="7"/>
  <c r="K1243" i="7"/>
  <c r="K1224" i="7"/>
  <c r="K1221" i="7"/>
  <c r="K1195" i="7"/>
  <c r="K1147" i="7"/>
  <c r="K1034" i="7"/>
  <c r="K1117" i="7"/>
  <c r="K965" i="7"/>
  <c r="K1129" i="7"/>
  <c r="K974" i="7"/>
  <c r="K1017" i="7"/>
  <c r="K1209" i="7"/>
  <c r="K1145" i="7"/>
  <c r="K1025" i="7"/>
  <c r="K1128" i="7"/>
  <c r="K999" i="7"/>
  <c r="K1124" i="7"/>
  <c r="K953" i="7"/>
  <c r="K976" i="7"/>
  <c r="K1106" i="7"/>
  <c r="K1049" i="7"/>
  <c r="K1151" i="7"/>
  <c r="K1148" i="7"/>
  <c r="K1102" i="7"/>
  <c r="K1050" i="7"/>
  <c r="K1138" i="7"/>
  <c r="K1033" i="7"/>
  <c r="K1137" i="7"/>
  <c r="K1081" i="7"/>
  <c r="K1036" i="7"/>
  <c r="K1041" i="7"/>
  <c r="K1064" i="7"/>
  <c r="K1131" i="7"/>
  <c r="K1376" i="7"/>
  <c r="K1320" i="7"/>
  <c r="K1317" i="7"/>
  <c r="K1330" i="7"/>
  <c r="K1347" i="7"/>
  <c r="K1255" i="7"/>
  <c r="K1275" i="7"/>
  <c r="K1287" i="7"/>
  <c r="K1304" i="7"/>
  <c r="K1267" i="7"/>
  <c r="K1273" i="7"/>
  <c r="K1250" i="7"/>
  <c r="K1222" i="7"/>
  <c r="K1239" i="7"/>
  <c r="K1213" i="7"/>
  <c r="K1133" i="7"/>
  <c r="K1021" i="7"/>
  <c r="K1114" i="7"/>
  <c r="K1150" i="7"/>
  <c r="K1122" i="7"/>
  <c r="K1071" i="7"/>
  <c r="K1062" i="7"/>
  <c r="K1169" i="7"/>
  <c r="K989" i="7"/>
  <c r="K1056" i="7"/>
  <c r="K1072" i="7"/>
  <c r="K1083" i="7"/>
  <c r="K1157" i="7"/>
  <c r="K947" i="7"/>
  <c r="K981" i="7"/>
  <c r="K1220" i="7"/>
  <c r="K1052" i="7"/>
  <c r="K1111" i="7"/>
  <c r="K1009" i="7"/>
  <c r="K1082" i="7"/>
  <c r="K1184" i="7"/>
  <c r="K1200" i="7"/>
  <c r="K967" i="7"/>
  <c r="K1086" i="7"/>
  <c r="K1152" i="7"/>
  <c r="K1115" i="7"/>
  <c r="K1178" i="7"/>
  <c r="K1118" i="7"/>
  <c r="K1113" i="7"/>
  <c r="K1026" i="7"/>
  <c r="K1186" i="7"/>
  <c r="K1215" i="7"/>
  <c r="K1204" i="7"/>
  <c r="K1002" i="7"/>
  <c r="K1123" i="7"/>
  <c r="K1044" i="7"/>
  <c r="K1121" i="7"/>
  <c r="K1075" i="7"/>
  <c r="K1087" i="7"/>
  <c r="K977" i="7"/>
  <c r="K1054" i="7"/>
  <c r="K1090" i="7"/>
  <c r="K1197" i="7"/>
  <c r="K1196" i="7"/>
  <c r="K1085" i="7"/>
  <c r="K1003" i="7"/>
  <c r="K1004" i="7"/>
  <c r="K1237" i="7"/>
  <c r="K1024" i="7"/>
  <c r="K1016" i="7"/>
  <c r="K1185" i="7"/>
  <c r="K991" i="7"/>
  <c r="K1001" i="7"/>
  <c r="P1130" i="7" l="1"/>
  <c r="Q3" i="18"/>
  <c r="Q4" i="18"/>
  <c r="Q5" i="18"/>
  <c r="Q6" i="18"/>
  <c r="Q7" i="18"/>
  <c r="Q8" i="18"/>
  <c r="Q9" i="18"/>
  <c r="Q10" i="18"/>
  <c r="Q11" i="18"/>
  <c r="Q12" i="18"/>
  <c r="Q13" i="18"/>
  <c r="Q14" i="18"/>
  <c r="Q15" i="18"/>
  <c r="Q16" i="18"/>
  <c r="Q17" i="18"/>
  <c r="Q18" i="18"/>
  <c r="Q19" i="18"/>
  <c r="Q20" i="18"/>
  <c r="Q21" i="18"/>
  <c r="Q22" i="18"/>
  <c r="Q23" i="18"/>
  <c r="Q24" i="18"/>
  <c r="Q25" i="18"/>
  <c r="Q26" i="18"/>
  <c r="Q27" i="18"/>
  <c r="Q28" i="18"/>
  <c r="Q29" i="18"/>
  <c r="Q2" i="18"/>
  <c r="B8" i="17" l="1"/>
  <c r="J1284" i="7"/>
  <c r="J1362" i="7"/>
  <c r="J1375" i="7"/>
  <c r="J1355" i="7"/>
  <c r="J1380" i="7"/>
  <c r="J1335" i="7"/>
  <c r="J1372" i="7"/>
  <c r="J1352" i="7"/>
  <c r="J1336" i="7"/>
  <c r="J1320" i="7"/>
  <c r="J1377" i="7"/>
  <c r="J1349" i="7"/>
  <c r="J1333" i="7"/>
  <c r="J1312" i="7"/>
  <c r="J1254" i="7"/>
  <c r="J1338" i="7"/>
  <c r="J1322" i="7"/>
  <c r="J1274" i="7"/>
  <c r="J1301" i="7"/>
  <c r="J1285" i="7"/>
  <c r="J1314" i="7"/>
  <c r="J1298" i="7"/>
  <c r="J1282" i="7"/>
  <c r="J1262" i="7"/>
  <c r="J1295" i="7"/>
  <c r="J1279" i="7"/>
  <c r="J1271" i="7"/>
  <c r="J1255" i="7"/>
  <c r="J1272" i="7"/>
  <c r="J1256" i="7"/>
  <c r="J1265" i="7"/>
  <c r="J1243" i="7"/>
  <c r="J1229" i="7"/>
  <c r="J1246" i="7"/>
  <c r="J1230" i="7"/>
  <c r="J1214" i="7"/>
  <c r="J1227" i="7"/>
  <c r="J1248" i="7"/>
  <c r="J1232" i="7"/>
  <c r="J1212" i="7"/>
  <c r="J1166" i="7"/>
  <c r="J1198" i="7"/>
  <c r="J1161" i="7"/>
  <c r="J1156" i="7"/>
  <c r="J1126" i="7"/>
  <c r="J1106" i="7"/>
  <c r="J1107" i="7"/>
  <c r="J1172" i="7"/>
  <c r="J1127" i="7"/>
  <c r="J1188" i="7"/>
  <c r="J1209" i="7"/>
  <c r="J1179" i="7"/>
  <c r="J1147" i="7"/>
  <c r="J1154" i="7"/>
  <c r="J1088" i="7"/>
  <c r="J1104" i="7"/>
  <c r="J1089" i="7"/>
  <c r="J1190" i="7"/>
  <c r="J1144" i="7"/>
  <c r="J1096" i="7"/>
  <c r="J1206" i="7"/>
  <c r="J1167" i="7"/>
  <c r="J1093" i="7"/>
  <c r="J1187" i="7"/>
  <c r="J1358" i="7"/>
  <c r="J1378" i="7"/>
  <c r="J1339" i="7"/>
  <c r="J1371" i="7"/>
  <c r="J1347" i="7"/>
  <c r="J1354" i="7"/>
  <c r="J1319" i="7"/>
  <c r="J1368" i="7"/>
  <c r="J1348" i="7"/>
  <c r="J1332" i="7"/>
  <c r="J1316" i="7"/>
  <c r="J1373" i="7"/>
  <c r="J1345" i="7"/>
  <c r="J1329" i="7"/>
  <c r="J1308" i="7"/>
  <c r="J1350" i="7"/>
  <c r="J1334" i="7"/>
  <c r="J1315" i="7"/>
  <c r="J1313" i="7"/>
  <c r="J1297" i="7"/>
  <c r="J1281" i="7"/>
  <c r="J1310" i="7"/>
  <c r="J1294" i="7"/>
  <c r="J1278" i="7"/>
  <c r="J1307" i="7"/>
  <c r="J1291" i="7"/>
  <c r="J1266" i="7"/>
  <c r="J1267" i="7"/>
  <c r="J1251" i="7"/>
  <c r="J1268" i="7"/>
  <c r="J1252" i="7"/>
  <c r="J1261" i="7"/>
  <c r="J1241" i="7"/>
  <c r="J1221" i="7"/>
  <c r="J1242" i="7"/>
  <c r="J1226" i="7"/>
  <c r="J1239" i="7"/>
  <c r="J1223" i="7"/>
  <c r="J1244" i="7"/>
  <c r="J1228" i="7"/>
  <c r="J1208" i="7"/>
  <c r="J1199" i="7"/>
  <c r="J1181" i="7"/>
  <c r="J1173" i="7"/>
  <c r="J1140" i="7"/>
  <c r="J1112" i="7"/>
  <c r="J1100" i="7"/>
  <c r="J1132" i="7"/>
  <c r="J1139" i="7"/>
  <c r="J1102" i="7"/>
  <c r="J1143" i="7"/>
  <c r="J1210" i="7"/>
  <c r="J1164" i="7"/>
  <c r="J1171" i="7"/>
  <c r="J1138" i="7"/>
  <c r="J1117" i="7"/>
  <c r="J1113" i="7"/>
  <c r="J1196" i="7"/>
  <c r="J1185" i="7"/>
  <c r="J1133" i="7"/>
  <c r="J1197" i="7"/>
  <c r="J1207" i="7"/>
  <c r="J1189" i="7"/>
  <c r="J1145" i="7"/>
  <c r="J1148" i="7"/>
  <c r="J1090" i="7"/>
  <c r="J1086" i="7"/>
  <c r="J1129" i="7"/>
  <c r="J1178" i="7"/>
  <c r="J1141" i="7"/>
  <c r="J1124" i="7"/>
  <c r="J1200" i="7"/>
  <c r="J1153" i="7"/>
  <c r="J1135" i="7"/>
  <c r="J1094" i="7"/>
  <c r="J1123" i="7"/>
  <c r="J1203" i="7"/>
  <c r="J1118" i="7"/>
  <c r="J1381" i="7"/>
  <c r="J1374" i="7"/>
  <c r="J1323" i="7"/>
  <c r="J1367" i="7"/>
  <c r="J1331" i="7"/>
  <c r="J1379" i="7"/>
  <c r="J1300" i="7"/>
  <c r="J1364" i="7"/>
  <c r="J1344" i="7"/>
  <c r="J1328" i="7"/>
  <c r="J1304" i="7"/>
  <c r="J1365" i="7"/>
  <c r="J1341" i="7"/>
  <c r="J1321" i="7"/>
  <c r="J1292" i="7"/>
  <c r="J1346" i="7"/>
  <c r="J1330" i="7"/>
  <c r="J1296" i="7"/>
  <c r="J1309" i="7"/>
  <c r="J1293" i="7"/>
  <c r="J1277" i="7"/>
  <c r="J1306" i="7"/>
  <c r="J1290" i="7"/>
  <c r="J1273" i="7"/>
  <c r="J1303" i="7"/>
  <c r="J1287" i="7"/>
  <c r="J1250" i="7"/>
  <c r="J1263" i="7"/>
  <c r="J1249" i="7"/>
  <c r="J1264" i="7"/>
  <c r="J1247" i="7"/>
  <c r="J1257" i="7"/>
  <c r="J1237" i="7"/>
  <c r="J1217" i="7"/>
  <c r="J1238" i="7"/>
  <c r="J1222" i="7"/>
  <c r="J1235" i="7"/>
  <c r="J1219" i="7"/>
  <c r="J1240" i="7"/>
  <c r="J1224" i="7"/>
  <c r="J1192" i="7"/>
  <c r="J1159" i="7"/>
  <c r="J1183" i="7"/>
  <c r="J1157" i="7"/>
  <c r="J1158" i="7"/>
  <c r="J1085" i="7"/>
  <c r="J1110" i="7"/>
  <c r="J1109" i="7"/>
  <c r="J1146" i="7"/>
  <c r="J1205" i="7"/>
  <c r="J1211" i="7"/>
  <c r="J1194" i="7"/>
  <c r="J1151" i="7"/>
  <c r="J1152" i="7"/>
  <c r="J1121" i="7"/>
  <c r="J1115" i="7"/>
  <c r="J1091" i="7"/>
  <c r="J1180" i="7"/>
  <c r="J1149" i="7"/>
  <c r="J1083" i="7"/>
  <c r="J1191" i="7"/>
  <c r="J1165" i="7"/>
  <c r="J1095" i="7"/>
  <c r="J1160" i="7"/>
  <c r="J1343" i="7"/>
  <c r="J1366" i="7"/>
  <c r="J1382" i="7"/>
  <c r="J1363" i="7"/>
  <c r="J1311" i="7"/>
  <c r="J1351" i="7"/>
  <c r="J1376" i="7"/>
  <c r="J1360" i="7"/>
  <c r="J1340" i="7"/>
  <c r="J1324" i="7"/>
  <c r="J1288" i="7"/>
  <c r="J1353" i="7"/>
  <c r="J1337" i="7"/>
  <c r="J1317" i="7"/>
  <c r="J1270" i="7"/>
  <c r="J1342" i="7"/>
  <c r="J1326" i="7"/>
  <c r="J1280" i="7"/>
  <c r="J1305" i="7"/>
  <c r="J1289" i="7"/>
  <c r="J1258" i="7"/>
  <c r="J1302" i="7"/>
  <c r="J1286" i="7"/>
  <c r="J1269" i="7"/>
  <c r="J1299" i="7"/>
  <c r="J1283" i="7"/>
  <c r="J1275" i="7"/>
  <c r="J1259" i="7"/>
  <c r="J1276" i="7"/>
  <c r="J1260" i="7"/>
  <c r="J1245" i="7"/>
  <c r="J1253" i="7"/>
  <c r="J1233" i="7"/>
  <c r="J1213" i="7"/>
  <c r="J1234" i="7"/>
  <c r="J1218" i="7"/>
  <c r="J1231" i="7"/>
  <c r="J1215" i="7"/>
  <c r="J1236" i="7"/>
  <c r="J1220" i="7"/>
  <c r="J1170" i="7"/>
  <c r="J1186" i="7"/>
  <c r="J1168" i="7"/>
  <c r="J1175" i="7"/>
  <c r="J1142" i="7"/>
  <c r="J1122" i="7"/>
  <c r="J1108" i="7"/>
  <c r="J1087" i="7"/>
  <c r="J1101" i="7"/>
  <c r="J1204" i="7"/>
  <c r="J1195" i="7"/>
  <c r="J1177" i="7"/>
  <c r="J1169" i="7"/>
  <c r="J1136" i="7"/>
  <c r="J1119" i="7"/>
  <c r="J1084" i="7"/>
  <c r="J1116" i="7"/>
  <c r="J1174" i="7"/>
  <c r="J1163" i="7"/>
  <c r="J1097" i="7"/>
  <c r="J1184" i="7"/>
  <c r="J1201" i="7"/>
  <c r="J1176" i="7"/>
  <c r="J1137" i="7"/>
  <c r="J1150" i="7"/>
  <c r="J1099" i="7"/>
  <c r="J1120" i="7"/>
  <c r="J1092" i="7"/>
  <c r="J1202" i="7"/>
  <c r="J1162" i="7"/>
  <c r="J1098" i="7"/>
  <c r="J1193" i="7"/>
  <c r="J1155" i="7"/>
  <c r="J1134" i="7"/>
  <c r="J1114" i="7"/>
  <c r="J1182" i="7"/>
  <c r="J1128" i="7"/>
  <c r="J1103" i="7"/>
  <c r="R1212" i="7" l="1"/>
  <c r="R1216" i="7"/>
  <c r="R1220" i="7"/>
  <c r="R1224" i="7"/>
  <c r="R1228" i="7"/>
  <c r="R1232" i="7"/>
  <c r="R1236" i="7"/>
  <c r="R1240" i="7"/>
  <c r="R1244" i="7"/>
  <c r="R1248" i="7"/>
  <c r="R1215" i="7"/>
  <c r="R1219" i="7"/>
  <c r="R1223" i="7"/>
  <c r="R1227" i="7"/>
  <c r="R1231" i="7"/>
  <c r="R1235" i="7"/>
  <c r="R1239" i="7"/>
  <c r="R1214" i="7"/>
  <c r="R1218" i="7"/>
  <c r="R1222" i="7"/>
  <c r="R1226" i="7"/>
  <c r="R1230" i="7"/>
  <c r="R1234" i="7"/>
  <c r="R1238" i="7"/>
  <c r="R1242" i="7"/>
  <c r="R1246" i="7"/>
  <c r="R1213" i="7"/>
  <c r="R1217" i="7"/>
  <c r="R1221" i="7"/>
  <c r="R1225" i="7"/>
  <c r="R1229" i="7"/>
  <c r="R1233" i="7"/>
  <c r="R1237" i="7"/>
  <c r="R1241" i="7"/>
  <c r="R1243" i="7"/>
  <c r="R1253" i="7"/>
  <c r="R1257" i="7"/>
  <c r="R1261" i="7"/>
  <c r="R1265" i="7"/>
  <c r="R1245" i="7"/>
  <c r="R1247" i="7"/>
  <c r="R1252" i="7"/>
  <c r="R1256" i="7"/>
  <c r="R1260" i="7"/>
  <c r="R1264" i="7"/>
  <c r="R1268" i="7"/>
  <c r="R1272" i="7"/>
  <c r="R1276" i="7"/>
  <c r="R1249" i="7"/>
  <c r="R1251" i="7"/>
  <c r="R1255" i="7"/>
  <c r="R1259" i="7"/>
  <c r="R1263" i="7"/>
  <c r="R1267" i="7"/>
  <c r="R1271" i="7"/>
  <c r="R1275" i="7"/>
  <c r="R1250" i="7"/>
  <c r="R1266" i="7"/>
  <c r="R1279" i="7"/>
  <c r="R1283" i="7"/>
  <c r="R1287" i="7"/>
  <c r="R1291" i="7"/>
  <c r="R1295" i="7"/>
  <c r="R1299" i="7"/>
  <c r="R1303" i="7"/>
  <c r="R1307" i="7"/>
  <c r="R1262" i="7"/>
  <c r="R1269" i="7"/>
  <c r="R1273" i="7"/>
  <c r="R1278" i="7"/>
  <c r="R1282" i="7"/>
  <c r="R1286" i="7"/>
  <c r="R1290" i="7"/>
  <c r="R1294" i="7"/>
  <c r="R1298" i="7"/>
  <c r="R1302" i="7"/>
  <c r="R1306" i="7"/>
  <c r="R1310" i="7"/>
  <c r="R1314" i="7"/>
  <c r="R1258" i="7"/>
  <c r="R1277" i="7"/>
  <c r="R1281" i="7"/>
  <c r="R1285" i="7"/>
  <c r="R1289" i="7"/>
  <c r="R1293" i="7"/>
  <c r="R1297" i="7"/>
  <c r="R1301" i="7"/>
  <c r="R1305" i="7"/>
  <c r="R1309" i="7"/>
  <c r="R1313" i="7"/>
  <c r="R1274" i="7"/>
  <c r="R1280" i="7"/>
  <c r="R1296" i="7"/>
  <c r="R1315" i="7"/>
  <c r="R1318" i="7"/>
  <c r="R1322" i="7"/>
  <c r="R1326" i="7"/>
  <c r="R1330" i="7"/>
  <c r="R1334" i="7"/>
  <c r="R1338" i="7"/>
  <c r="R1342" i="7"/>
  <c r="R1346" i="7"/>
  <c r="R1350" i="7"/>
  <c r="R1254" i="7"/>
  <c r="R1270" i="7"/>
  <c r="R1292" i="7"/>
  <c r="R1308" i="7"/>
  <c r="R1312" i="7"/>
  <c r="R1317" i="7"/>
  <c r="R1321" i="7"/>
  <c r="R1325" i="7"/>
  <c r="R1329" i="7"/>
  <c r="R1333" i="7"/>
  <c r="R1337" i="7"/>
  <c r="R1341" i="7"/>
  <c r="R1345" i="7"/>
  <c r="R1349" i="7"/>
  <c r="R1353" i="7"/>
  <c r="R1357" i="7"/>
  <c r="R1361" i="7"/>
  <c r="R1365" i="7"/>
  <c r="R1369" i="7"/>
  <c r="R1373" i="7"/>
  <c r="R1377" i="7"/>
  <c r="R1288" i="7"/>
  <c r="R1304" i="7"/>
  <c r="R1316" i="7"/>
  <c r="R1320" i="7"/>
  <c r="R1324" i="7"/>
  <c r="R1328" i="7"/>
  <c r="R1332" i="7"/>
  <c r="R1336" i="7"/>
  <c r="R1340" i="7"/>
  <c r="R1344" i="7"/>
  <c r="R1348" i="7"/>
  <c r="R1352" i="7"/>
  <c r="R1356" i="7"/>
  <c r="R1360" i="7"/>
  <c r="R1364" i="7"/>
  <c r="R1368" i="7"/>
  <c r="R1372" i="7"/>
  <c r="R1376" i="7"/>
  <c r="R1300" i="7"/>
  <c r="R1319" i="7"/>
  <c r="R1335" i="7"/>
  <c r="R1351" i="7"/>
  <c r="R1379" i="7"/>
  <c r="R1354" i="7"/>
  <c r="R1380" i="7"/>
  <c r="R1311" i="7"/>
  <c r="R1331" i="7"/>
  <c r="R1347" i="7"/>
  <c r="R1355" i="7"/>
  <c r="R1359" i="7"/>
  <c r="R1363" i="7"/>
  <c r="R1367" i="7"/>
  <c r="R1371" i="7"/>
  <c r="R1375" i="7"/>
  <c r="R1382" i="7"/>
  <c r="R1323" i="7"/>
  <c r="R1339" i="7"/>
  <c r="R1362" i="7"/>
  <c r="R1366" i="7"/>
  <c r="R1370" i="7"/>
  <c r="R1374" i="7"/>
  <c r="R1378" i="7"/>
  <c r="R1284" i="7"/>
  <c r="R1327" i="7"/>
  <c r="R1343" i="7"/>
  <c r="R1381" i="7"/>
  <c r="R1358" i="7"/>
  <c r="R1133" i="7"/>
  <c r="R1134" i="7"/>
  <c r="R1138" i="7"/>
  <c r="R1142" i="7"/>
  <c r="R1146" i="7"/>
  <c r="R1150" i="7"/>
  <c r="R1154" i="7"/>
  <c r="R1158" i="7"/>
  <c r="R1162" i="7"/>
  <c r="R1135" i="7"/>
  <c r="R1136" i="7"/>
  <c r="R1140" i="7"/>
  <c r="R1144" i="7"/>
  <c r="R1148" i="7"/>
  <c r="R1152" i="7"/>
  <c r="R1156" i="7"/>
  <c r="R1160" i="7"/>
  <c r="R1167" i="7"/>
  <c r="R1171" i="7"/>
  <c r="R1175" i="7"/>
  <c r="R1139" i="7"/>
  <c r="R1137" i="7"/>
  <c r="R1147" i="7"/>
  <c r="R1157" i="7"/>
  <c r="R1163" i="7"/>
  <c r="R1165" i="7"/>
  <c r="R1169" i="7"/>
  <c r="R1173" i="7"/>
  <c r="R1141" i="7"/>
  <c r="R1145" i="7"/>
  <c r="R1151" i="7"/>
  <c r="R1161" i="7"/>
  <c r="R1149" i="7"/>
  <c r="R1155" i="7"/>
  <c r="R1164" i="7"/>
  <c r="R1168" i="7"/>
  <c r="R1172" i="7"/>
  <c r="R1176" i="7"/>
  <c r="R1179" i="7"/>
  <c r="R1183" i="7"/>
  <c r="R1187" i="7"/>
  <c r="R1153" i="7"/>
  <c r="R1177" i="7"/>
  <c r="R1181" i="7"/>
  <c r="R1185" i="7"/>
  <c r="R1189" i="7"/>
  <c r="R1194" i="7"/>
  <c r="R1198" i="7"/>
  <c r="R1202" i="7"/>
  <c r="R1206" i="7"/>
  <c r="R1210" i="7"/>
  <c r="R1186" i="7"/>
  <c r="R1190" i="7"/>
  <c r="R1201" i="7"/>
  <c r="R1209" i="7"/>
  <c r="R1159" i="7"/>
  <c r="R1174" i="7"/>
  <c r="R1191" i="7"/>
  <c r="R1195" i="7"/>
  <c r="R1199" i="7"/>
  <c r="R1203" i="7"/>
  <c r="R1207" i="7"/>
  <c r="R1211" i="7"/>
  <c r="R1166" i="7"/>
  <c r="R1178" i="7"/>
  <c r="R1193" i="7"/>
  <c r="R1143" i="7"/>
  <c r="R1170" i="7"/>
  <c r="R1180" i="7"/>
  <c r="R1184" i="7"/>
  <c r="R1188" i="7"/>
  <c r="R1192" i="7"/>
  <c r="R1196" i="7"/>
  <c r="R1200" i="7"/>
  <c r="R1204" i="7"/>
  <c r="R1208" i="7"/>
  <c r="R1182" i="7"/>
  <c r="R1197" i="7"/>
  <c r="R1205" i="7"/>
  <c r="R1083" i="7"/>
  <c r="R1087" i="7"/>
  <c r="R1091" i="7"/>
  <c r="R1095" i="7"/>
  <c r="R1099" i="7"/>
  <c r="R1103" i="7"/>
  <c r="R1107" i="7"/>
  <c r="R1111" i="7"/>
  <c r="R1084" i="7"/>
  <c r="R1088" i="7"/>
  <c r="R1092" i="7"/>
  <c r="R1096" i="7"/>
  <c r="R1100" i="7"/>
  <c r="R1085" i="7"/>
  <c r="R1089" i="7"/>
  <c r="R1093" i="7"/>
  <c r="R1097" i="7"/>
  <c r="R1101" i="7"/>
  <c r="R1105" i="7"/>
  <c r="R1109" i="7"/>
  <c r="R1113" i="7"/>
  <c r="R1086" i="7"/>
  <c r="R1094" i="7"/>
  <c r="R1102" i="7"/>
  <c r="R1108" i="7"/>
  <c r="R1115" i="7"/>
  <c r="R1119" i="7"/>
  <c r="R1123" i="7"/>
  <c r="R1127" i="7"/>
  <c r="R1131" i="7"/>
  <c r="R1106" i="7"/>
  <c r="R1112" i="7"/>
  <c r="R1116" i="7"/>
  <c r="R1120" i="7"/>
  <c r="R1124" i="7"/>
  <c r="R1128" i="7"/>
  <c r="R1132" i="7"/>
  <c r="R1104" i="7"/>
  <c r="R1114" i="7"/>
  <c r="R1090" i="7"/>
  <c r="R1098" i="7"/>
  <c r="R1110" i="7"/>
  <c r="R1117" i="7"/>
  <c r="R1121" i="7"/>
  <c r="R1125" i="7"/>
  <c r="R1129" i="7"/>
  <c r="R1130" i="7"/>
  <c r="R1118" i="7"/>
  <c r="R1122" i="7"/>
  <c r="R1126" i="7"/>
  <c r="R1004" i="7"/>
  <c r="R1052" i="7"/>
  <c r="R967" i="7"/>
  <c r="R970" i="7"/>
  <c r="R972" i="7"/>
  <c r="B2" i="23"/>
  <c r="B3" i="23"/>
  <c r="B1" i="23"/>
  <c r="F17" i="18" l="1"/>
  <c r="G17" i="18"/>
  <c r="F18" i="18"/>
  <c r="G18" i="18"/>
  <c r="F19" i="18"/>
  <c r="G19" i="18"/>
  <c r="F20" i="18"/>
  <c r="G20" i="18"/>
  <c r="F21" i="18"/>
  <c r="G21" i="18"/>
  <c r="F22" i="18"/>
  <c r="G22" i="18"/>
  <c r="F23" i="18"/>
  <c r="G23" i="18"/>
  <c r="F24" i="18"/>
  <c r="G24" i="18"/>
  <c r="F25" i="18"/>
  <c r="G25" i="18"/>
  <c r="F27" i="18"/>
  <c r="G27" i="18"/>
  <c r="F28" i="18"/>
  <c r="G28" i="18"/>
  <c r="G15" i="18"/>
  <c r="F15" i="18"/>
  <c r="B3" i="17"/>
  <c r="B2" i="17"/>
  <c r="B1" i="17"/>
  <c r="N1402" i="7"/>
  <c r="N1398" i="7"/>
  <c r="N1394" i="7"/>
  <c r="N1386" i="7"/>
  <c r="N1397" i="7"/>
  <c r="N1393" i="7"/>
  <c r="N1389" i="7"/>
  <c r="N1385" i="7"/>
  <c r="N1401" i="7"/>
  <c r="N1400" i="7"/>
  <c r="N1396" i="7"/>
  <c r="N1392" i="7"/>
  <c r="N1388" i="7"/>
  <c r="N1384" i="7"/>
  <c r="N1390" i="7"/>
  <c r="N1399" i="7"/>
  <c r="N1395" i="7"/>
  <c r="N1391" i="7"/>
  <c r="N1387" i="7"/>
  <c r="N1383" i="7"/>
  <c r="O1383" i="7" l="1"/>
  <c r="P1383" i="7" s="1"/>
  <c r="O1387" i="7"/>
  <c r="P1387" i="7" s="1"/>
  <c r="O1391" i="7"/>
  <c r="P1391" i="7" s="1"/>
  <c r="O1395" i="7"/>
  <c r="P1395" i="7" s="1"/>
  <c r="O1399" i="7"/>
  <c r="P1399" i="7" s="1"/>
  <c r="O1390" i="7"/>
  <c r="P1390" i="7" s="1"/>
  <c r="O1384" i="7"/>
  <c r="P1384" i="7" s="1"/>
  <c r="O1388" i="7"/>
  <c r="P1388" i="7" s="1"/>
  <c r="O1392" i="7"/>
  <c r="P1392" i="7" s="1"/>
  <c r="O1396" i="7"/>
  <c r="P1396" i="7" s="1"/>
  <c r="O1400" i="7"/>
  <c r="P1400" i="7" s="1"/>
  <c r="O1401" i="7"/>
  <c r="P1401" i="7" s="1"/>
  <c r="O1385" i="7"/>
  <c r="P1385" i="7" s="1"/>
  <c r="O1389" i="7"/>
  <c r="P1389" i="7" s="1"/>
  <c r="O1393" i="7"/>
  <c r="P1393" i="7" s="1"/>
  <c r="O1397" i="7"/>
  <c r="P1397" i="7" s="1"/>
  <c r="O1386" i="7"/>
  <c r="P1386" i="7" s="1"/>
  <c r="O1394" i="7"/>
  <c r="P1394" i="7" s="1"/>
  <c r="O1398" i="7"/>
  <c r="P1398" i="7" s="1"/>
  <c r="O1402" i="7"/>
  <c r="P1402" i="7" s="1"/>
  <c r="R987" i="7"/>
  <c r="R976" i="7"/>
  <c r="R1014" i="7"/>
  <c r="R1022" i="7"/>
  <c r="R1055" i="7"/>
  <c r="R1059" i="7"/>
  <c r="M1144" i="7"/>
  <c r="M1188" i="7"/>
  <c r="M1159" i="7"/>
  <c r="M1167" i="7"/>
  <c r="M1182" i="7"/>
  <c r="M1187" i="7"/>
  <c r="M1184" i="7"/>
  <c r="M1157" i="7"/>
  <c r="M1199" i="7"/>
  <c r="M1133" i="7"/>
  <c r="M1168" i="7"/>
  <c r="M1138" i="7"/>
  <c r="M1192" i="7"/>
  <c r="M1135" i="7"/>
  <c r="M1186" i="7"/>
  <c r="M1173" i="7"/>
  <c r="M1179" i="7"/>
  <c r="M1203" i="7"/>
  <c r="M1141" i="7"/>
  <c r="M1183" i="7"/>
  <c r="M1221" i="7"/>
  <c r="M1237" i="7"/>
  <c r="M1216" i="7"/>
  <c r="M1232" i="7"/>
  <c r="M1223" i="7"/>
  <c r="M1239" i="7"/>
  <c r="M1218" i="7"/>
  <c r="M1234" i="7"/>
  <c r="M1258" i="7"/>
  <c r="M1253" i="7"/>
  <c r="M1269" i="7"/>
  <c r="M1252" i="7"/>
  <c r="M1268" i="7"/>
  <c r="M1267" i="7"/>
  <c r="M1280" i="7"/>
  <c r="M1296" i="7"/>
  <c r="M1246" i="7"/>
  <c r="M1287" i="7"/>
  <c r="M1303" i="7"/>
  <c r="M1259" i="7"/>
  <c r="M1282" i="7"/>
  <c r="M1298" i="7"/>
  <c r="M1248" i="7"/>
  <c r="M1313" i="7"/>
  <c r="M1327" i="7"/>
  <c r="M1343" i="7"/>
  <c r="M1293" i="7"/>
  <c r="M1326" i="7"/>
  <c r="M1342" i="7"/>
  <c r="M1358" i="7"/>
  <c r="M1374" i="7"/>
  <c r="M1312" i="7"/>
  <c r="M1329" i="7"/>
  <c r="M1345" i="7"/>
  <c r="M1361" i="7"/>
  <c r="M1316" i="7"/>
  <c r="M1356" i="7"/>
  <c r="M1372" i="7"/>
  <c r="M1285" i="7"/>
  <c r="M1363" i="7"/>
  <c r="M1359" i="7"/>
  <c r="M1382" i="7"/>
  <c r="M1377" i="7"/>
  <c r="N1374" i="7"/>
  <c r="N1354" i="7"/>
  <c r="N1315" i="7"/>
  <c r="N1366" i="7"/>
  <c r="N1381" i="7"/>
  <c r="N1367" i="7"/>
  <c r="N1343" i="7"/>
  <c r="N1376" i="7"/>
  <c r="N1360" i="7"/>
  <c r="N1344" i="7"/>
  <c r="N1328" i="7"/>
  <c r="N1313" i="7"/>
  <c r="N1377" i="7"/>
  <c r="N1361" i="7"/>
  <c r="N1345" i="7"/>
  <c r="N1329" i="7"/>
  <c r="N1300" i="7"/>
  <c r="N1342" i="7"/>
  <c r="N1326" i="7"/>
  <c r="N1304" i="7"/>
  <c r="N1301" i="7"/>
  <c r="N1285" i="7"/>
  <c r="N1270" i="7"/>
  <c r="N1314" i="7"/>
  <c r="N1298" i="7"/>
  <c r="N1282" i="7"/>
  <c r="N1303" i="7"/>
  <c r="N1287" i="7"/>
  <c r="N1269" i="7"/>
  <c r="N1271" i="7"/>
  <c r="N1255" i="7"/>
  <c r="N1237" i="7"/>
  <c r="N1221" i="7"/>
  <c r="N1268" i="7"/>
  <c r="N1252" i="7"/>
  <c r="N1261" i="7"/>
  <c r="N1242" i="7"/>
  <c r="N1226" i="7"/>
  <c r="N1235" i="7"/>
  <c r="N1219" i="7"/>
  <c r="N1240" i="7"/>
  <c r="N1224" i="7"/>
  <c r="N1145" i="7"/>
  <c r="N1195" i="7"/>
  <c r="N1177" i="7"/>
  <c r="N1169" i="7"/>
  <c r="N1152" i="7"/>
  <c r="J1061" i="7"/>
  <c r="K201" i="7"/>
  <c r="J1057" i="7"/>
  <c r="K47" i="7"/>
  <c r="J1031" i="7"/>
  <c r="K600" i="7"/>
  <c r="J1034" i="7"/>
  <c r="K683" i="7"/>
  <c r="K809" i="7"/>
  <c r="K646" i="7"/>
  <c r="K889" i="7"/>
  <c r="K720" i="7"/>
  <c r="K522" i="7"/>
  <c r="K258" i="7"/>
  <c r="M1196" i="7"/>
  <c r="M1206" i="7"/>
  <c r="M1208" i="7"/>
  <c r="M1154" i="7"/>
  <c r="M1134" i="7"/>
  <c r="M1178" i="7"/>
  <c r="M1198" i="7"/>
  <c r="M1201" i="7"/>
  <c r="M1153" i="7"/>
  <c r="M1209" i="7"/>
  <c r="M1169" i="7"/>
  <c r="M1194" i="7"/>
  <c r="M1197" i="7"/>
  <c r="M1205" i="7"/>
  <c r="M1146" i="7"/>
  <c r="M1152" i="7"/>
  <c r="M1171" i="7"/>
  <c r="M1185" i="7"/>
  <c r="M1160" i="7"/>
  <c r="M1176" i="7"/>
  <c r="M1225" i="7"/>
  <c r="M1241" i="7"/>
  <c r="M1220" i="7"/>
  <c r="M1236" i="7"/>
  <c r="M1227" i="7"/>
  <c r="M1243" i="7"/>
  <c r="M1222" i="7"/>
  <c r="M1238" i="7"/>
  <c r="M1262" i="7"/>
  <c r="M1257" i="7"/>
  <c r="M1273" i="7"/>
  <c r="M1256" i="7"/>
  <c r="M1272" i="7"/>
  <c r="M1270" i="7"/>
  <c r="M1284" i="7"/>
  <c r="M1300" i="7"/>
  <c r="M1263" i="7"/>
  <c r="M1291" i="7"/>
  <c r="M1307" i="7"/>
  <c r="M1271" i="7"/>
  <c r="M1286" i="7"/>
  <c r="M1302" i="7"/>
  <c r="M1255" i="7"/>
  <c r="M1314" i="7"/>
  <c r="M1331" i="7"/>
  <c r="M1347" i="7"/>
  <c r="M1309" i="7"/>
  <c r="M1330" i="7"/>
  <c r="M1346" i="7"/>
  <c r="M1362" i="7"/>
  <c r="M1378" i="7"/>
  <c r="M1317" i="7"/>
  <c r="M1333" i="7"/>
  <c r="M1349" i="7"/>
  <c r="M1365" i="7"/>
  <c r="M1320" i="7"/>
  <c r="M1360" i="7"/>
  <c r="M1376" i="7"/>
  <c r="M1332" i="7"/>
  <c r="M1328" i="7"/>
  <c r="M1367" i="7"/>
  <c r="M1301" i="7"/>
  <c r="N1347" i="7"/>
  <c r="N1370" i="7"/>
  <c r="N1351" i="7"/>
  <c r="N1308" i="7"/>
  <c r="N1382" i="7"/>
  <c r="N1379" i="7"/>
  <c r="N1363" i="7"/>
  <c r="N1327" i="7"/>
  <c r="N1372" i="7"/>
  <c r="N1356" i="7"/>
  <c r="N1340" i="7"/>
  <c r="N1324" i="7"/>
  <c r="N1311" i="7"/>
  <c r="N1373" i="7"/>
  <c r="N1357" i="7"/>
  <c r="N1341" i="7"/>
  <c r="N1325" i="7"/>
  <c r="N1284" i="7"/>
  <c r="N1338" i="7"/>
  <c r="N1322" i="7"/>
  <c r="N1288" i="7"/>
  <c r="N1297" i="7"/>
  <c r="N1281" i="7"/>
  <c r="N1266" i="7"/>
  <c r="N1310" i="7"/>
  <c r="N1294" i="7"/>
  <c r="N1278" i="7"/>
  <c r="N1299" i="7"/>
  <c r="N1283" i="7"/>
  <c r="N1258" i="7"/>
  <c r="N1267" i="7"/>
  <c r="N1251" i="7"/>
  <c r="N1233" i="7"/>
  <c r="N1217" i="7"/>
  <c r="N1264" i="7"/>
  <c r="N1249" i="7"/>
  <c r="N1257" i="7"/>
  <c r="N1238" i="7"/>
  <c r="N1222" i="7"/>
  <c r="N1231" i="7"/>
  <c r="N1215" i="7"/>
  <c r="N1236" i="7"/>
  <c r="N1220" i="7"/>
  <c r="N1196" i="7"/>
  <c r="N1180" i="7"/>
  <c r="N1179" i="7"/>
  <c r="N1141" i="7"/>
  <c r="N1136" i="7"/>
  <c r="M1163" i="7"/>
  <c r="M1147" i="7"/>
  <c r="M1180" i="7"/>
  <c r="M1211" i="7"/>
  <c r="M1166" i="7"/>
  <c r="M1158" i="7"/>
  <c r="M1190" i="7"/>
  <c r="M1137" i="7"/>
  <c r="M1204" i="7"/>
  <c r="M1142" i="7"/>
  <c r="M1148" i="7"/>
  <c r="M1155" i="7"/>
  <c r="M1136" i="7"/>
  <c r="M1174" i="7"/>
  <c r="M1195" i="7"/>
  <c r="M1149" i="7"/>
  <c r="M1150" i="7"/>
  <c r="M1151" i="7"/>
  <c r="M1164" i="7"/>
  <c r="M1213" i="7"/>
  <c r="M1229" i="7"/>
  <c r="M1245" i="7"/>
  <c r="M1224" i="7"/>
  <c r="M1215" i="7"/>
  <c r="M1231" i="7"/>
  <c r="M1247" i="7"/>
  <c r="M1226" i="7"/>
  <c r="M1250" i="7"/>
  <c r="M1266" i="7"/>
  <c r="M1261" i="7"/>
  <c r="M1242" i="7"/>
  <c r="M1260" i="7"/>
  <c r="M1249" i="7"/>
  <c r="M1274" i="7"/>
  <c r="M1288" i="7"/>
  <c r="M1304" i="7"/>
  <c r="M1279" i="7"/>
  <c r="M1295" i="7"/>
  <c r="M1311" i="7"/>
  <c r="M1275" i="7"/>
  <c r="M1290" i="7"/>
  <c r="M1306" i="7"/>
  <c r="M1281" i="7"/>
  <c r="M1319" i="7"/>
  <c r="M1335" i="7"/>
  <c r="M1351" i="7"/>
  <c r="M1318" i="7"/>
  <c r="M1334" i="7"/>
  <c r="M1350" i="7"/>
  <c r="M1366" i="7"/>
  <c r="M1289" i="7"/>
  <c r="M1321" i="7"/>
  <c r="M1337" i="7"/>
  <c r="M1353" i="7"/>
  <c r="M1369" i="7"/>
  <c r="M1336" i="7"/>
  <c r="M1364" i="7"/>
  <c r="M1380" i="7"/>
  <c r="M1348" i="7"/>
  <c r="M1344" i="7"/>
  <c r="M1371" i="7"/>
  <c r="M1324" i="7"/>
  <c r="N1331" i="7"/>
  <c r="N1362" i="7"/>
  <c r="N1335" i="7"/>
  <c r="N1276" i="7"/>
  <c r="N1339" i="7"/>
  <c r="N1375" i="7"/>
  <c r="N1359" i="7"/>
  <c r="N1292" i="7"/>
  <c r="N1368" i="7"/>
  <c r="N1352" i="7"/>
  <c r="N1336" i="7"/>
  <c r="N1320" i="7"/>
  <c r="N1296" i="7"/>
  <c r="N1369" i="7"/>
  <c r="N1353" i="7"/>
  <c r="N1337" i="7"/>
  <c r="N1321" i="7"/>
  <c r="N1350" i="7"/>
  <c r="N1334" i="7"/>
  <c r="N1318" i="7"/>
  <c r="N1309" i="7"/>
  <c r="N1293" i="7"/>
  <c r="N1277" i="7"/>
  <c r="N1250" i="7"/>
  <c r="N1306" i="7"/>
  <c r="N1290" i="7"/>
  <c r="N1254" i="7"/>
  <c r="N1295" i="7"/>
  <c r="M1172" i="7"/>
  <c r="M1177" i="7"/>
  <c r="M1202" i="7"/>
  <c r="M1162" i="7"/>
  <c r="M1189" i="7"/>
  <c r="M1207" i="7"/>
  <c r="M1161" i="7"/>
  <c r="M1143" i="7"/>
  <c r="M1139" i="7"/>
  <c r="M1165" i="7"/>
  <c r="M1140" i="7"/>
  <c r="M1200" i="7"/>
  <c r="M1175" i="7"/>
  <c r="M1193" i="7"/>
  <c r="M1210" i="7"/>
  <c r="M1181" i="7"/>
  <c r="M1191" i="7"/>
  <c r="M1145" i="7"/>
  <c r="M1156" i="7"/>
  <c r="M1170" i="7"/>
  <c r="M1217" i="7"/>
  <c r="M1233" i="7"/>
  <c r="M1212" i="7"/>
  <c r="M1228" i="7"/>
  <c r="M1219" i="7"/>
  <c r="M1235" i="7"/>
  <c r="M1214" i="7"/>
  <c r="M1230" i="7"/>
  <c r="M1254" i="7"/>
  <c r="M1240" i="7"/>
  <c r="M1265" i="7"/>
  <c r="M1244" i="7"/>
  <c r="M1264" i="7"/>
  <c r="M1251" i="7"/>
  <c r="M1276" i="7"/>
  <c r="M1292" i="7"/>
  <c r="M1308" i="7"/>
  <c r="M1283" i="7"/>
  <c r="M1299" i="7"/>
  <c r="M1315" i="7"/>
  <c r="M1278" i="7"/>
  <c r="M1294" i="7"/>
  <c r="M1310" i="7"/>
  <c r="M1297" i="7"/>
  <c r="M1323" i="7"/>
  <c r="M1339" i="7"/>
  <c r="M1277" i="7"/>
  <c r="M1322" i="7"/>
  <c r="M1338" i="7"/>
  <c r="M1354" i="7"/>
  <c r="M1370" i="7"/>
  <c r="M1305" i="7"/>
  <c r="M1325" i="7"/>
  <c r="M1341" i="7"/>
  <c r="M1357" i="7"/>
  <c r="M1373" i="7"/>
  <c r="M1352" i="7"/>
  <c r="M1368" i="7"/>
  <c r="M1381" i="7"/>
  <c r="M1379" i="7"/>
  <c r="M1355" i="7"/>
  <c r="M1375" i="7"/>
  <c r="M1340" i="7"/>
  <c r="N1378" i="7"/>
  <c r="N1358" i="7"/>
  <c r="N1319" i="7"/>
  <c r="N1380" i="7"/>
  <c r="N1323" i="7"/>
  <c r="N1371" i="7"/>
  <c r="N1355" i="7"/>
  <c r="N1262" i="7"/>
  <c r="N1364" i="7"/>
  <c r="N1348" i="7"/>
  <c r="N1332" i="7"/>
  <c r="N1316" i="7"/>
  <c r="N1280" i="7"/>
  <c r="N1365" i="7"/>
  <c r="N1349" i="7"/>
  <c r="N1333" i="7"/>
  <c r="N1317" i="7"/>
  <c r="N1346" i="7"/>
  <c r="N1330" i="7"/>
  <c r="N1312" i="7"/>
  <c r="N1305" i="7"/>
  <c r="N1289" i="7"/>
  <c r="N1274" i="7"/>
  <c r="N1247" i="7"/>
  <c r="N1302" i="7"/>
  <c r="N1286" i="7"/>
  <c r="N1307" i="7"/>
  <c r="N1291" i="7"/>
  <c r="N1273" i="7"/>
  <c r="N1275" i="7"/>
  <c r="N1259" i="7"/>
  <c r="N1241" i="7"/>
  <c r="N1225" i="7"/>
  <c r="N1272" i="7"/>
  <c r="N1256" i="7"/>
  <c r="N1265" i="7"/>
  <c r="N1246" i="7"/>
  <c r="N1230" i="7"/>
  <c r="N1214" i="7"/>
  <c r="N1223" i="7"/>
  <c r="N1244" i="7"/>
  <c r="N1228" i="7"/>
  <c r="N1212" i="7"/>
  <c r="N1211" i="7"/>
  <c r="N1194" i="7"/>
  <c r="N1164" i="7"/>
  <c r="N1171" i="7"/>
  <c r="N1134" i="7"/>
  <c r="K87" i="7"/>
  <c r="K796" i="7"/>
  <c r="K551" i="7"/>
  <c r="K811" i="7"/>
  <c r="K245" i="7"/>
  <c r="K777" i="7"/>
  <c r="K788" i="7"/>
  <c r="K123" i="7"/>
  <c r="K188" i="7"/>
  <c r="K341" i="7"/>
  <c r="K641" i="7"/>
  <c r="K89" i="7"/>
  <c r="K573" i="7"/>
  <c r="K939" i="7"/>
  <c r="K38" i="7"/>
  <c r="K818" i="7"/>
  <c r="N1279" i="7"/>
  <c r="N1229" i="7"/>
  <c r="N1253" i="7"/>
  <c r="N1248" i="7"/>
  <c r="N1210" i="7"/>
  <c r="K672" i="7"/>
  <c r="K805" i="7"/>
  <c r="K114" i="7"/>
  <c r="K619" i="7"/>
  <c r="K899" i="7"/>
  <c r="J1072" i="7"/>
  <c r="J1054" i="7"/>
  <c r="K595" i="7"/>
  <c r="K283" i="7"/>
  <c r="K607" i="7"/>
  <c r="K524" i="7"/>
  <c r="K748" i="7"/>
  <c r="K208" i="7"/>
  <c r="K741" i="7"/>
  <c r="K902" i="7"/>
  <c r="K246" i="7"/>
  <c r="K886" i="7"/>
  <c r="K823" i="7"/>
  <c r="K745" i="7"/>
  <c r="K901" i="7"/>
  <c r="N1188" i="7"/>
  <c r="N1166" i="7"/>
  <c r="N1167" i="7"/>
  <c r="J1007" i="7"/>
  <c r="K510" i="7"/>
  <c r="K227" i="7"/>
  <c r="K538" i="7"/>
  <c r="K23" i="7"/>
  <c r="K568" i="7"/>
  <c r="K222" i="7"/>
  <c r="K924" i="7"/>
  <c r="K812" i="7"/>
  <c r="K92" i="7"/>
  <c r="K134" i="7"/>
  <c r="K152" i="7"/>
  <c r="K844" i="7"/>
  <c r="K107" i="7"/>
  <c r="K162" i="7"/>
  <c r="K42" i="7"/>
  <c r="K285" i="7"/>
  <c r="J1032" i="7"/>
  <c r="K895" i="7"/>
  <c r="K647" i="7"/>
  <c r="J1047" i="7"/>
  <c r="K128" i="7"/>
  <c r="K655" i="7"/>
  <c r="K102" i="7"/>
  <c r="K173" i="7"/>
  <c r="J1002" i="7"/>
  <c r="K813" i="7"/>
  <c r="K523" i="7"/>
  <c r="J978" i="7"/>
  <c r="K45" i="7"/>
  <c r="K197" i="7"/>
  <c r="K793" i="7"/>
  <c r="J963" i="7"/>
  <c r="K877" i="7"/>
  <c r="K561" i="7"/>
  <c r="K868" i="7"/>
  <c r="K73" i="7"/>
  <c r="K704" i="7"/>
  <c r="K218" i="7"/>
  <c r="K41" i="7"/>
  <c r="K659" i="7"/>
  <c r="K513" i="7"/>
  <c r="K767" i="7"/>
  <c r="K499" i="7"/>
  <c r="K771" i="7"/>
  <c r="K603" i="7"/>
  <c r="K753" i="7"/>
  <c r="K129" i="7"/>
  <c r="M1042" i="7"/>
  <c r="M1081" i="7"/>
  <c r="N1130" i="7"/>
  <c r="N1053" i="7"/>
  <c r="M1014" i="7"/>
  <c r="M1113" i="7"/>
  <c r="N1058" i="7"/>
  <c r="M1025" i="7"/>
  <c r="M1087" i="7"/>
  <c r="N1127" i="7"/>
  <c r="N1004" i="7"/>
  <c r="N1079" i="7"/>
  <c r="N1192" i="7"/>
  <c r="N1163" i="7"/>
  <c r="N1160" i="7"/>
  <c r="K752" i="7"/>
  <c r="K33" i="7"/>
  <c r="K935" i="7"/>
  <c r="J1018" i="7"/>
  <c r="K531" i="7"/>
  <c r="K259" i="7"/>
  <c r="K836" i="7"/>
  <c r="K572" i="7"/>
  <c r="K743" i="7"/>
  <c r="K798" i="7"/>
  <c r="J1010" i="7"/>
  <c r="J1071" i="7"/>
  <c r="K120" i="7"/>
  <c r="K517" i="7"/>
  <c r="K735" i="7"/>
  <c r="K432" i="7"/>
  <c r="K608" i="7"/>
  <c r="K558" i="7"/>
  <c r="K158" i="7"/>
  <c r="K890" i="7"/>
  <c r="K167" i="7"/>
  <c r="K602" i="7"/>
  <c r="K10" i="7"/>
  <c r="K450" i="7"/>
  <c r="K273" i="7"/>
  <c r="K765" i="7"/>
  <c r="K756" i="7"/>
  <c r="K657" i="7"/>
  <c r="K511" i="7"/>
  <c r="K148" i="7"/>
  <c r="K532" i="7"/>
  <c r="J983" i="7"/>
  <c r="K625" i="7"/>
  <c r="K456" i="7"/>
  <c r="K139" i="7"/>
  <c r="K848" i="7"/>
  <c r="M1063" i="7"/>
  <c r="N1245" i="7"/>
  <c r="N1213" i="7"/>
  <c r="N1234" i="7"/>
  <c r="N1232" i="7"/>
  <c r="N1159" i="7"/>
  <c r="K237" i="7"/>
  <c r="K465" i="7"/>
  <c r="K113" i="7"/>
  <c r="J1040" i="7"/>
  <c r="J1013" i="7"/>
  <c r="J1012" i="7"/>
  <c r="K711" i="7"/>
  <c r="J1081" i="7"/>
  <c r="K733" i="7"/>
  <c r="K727" i="7"/>
  <c r="K785" i="7"/>
  <c r="K25" i="7"/>
  <c r="K917" i="7"/>
  <c r="J1066" i="7"/>
  <c r="K463" i="7"/>
  <c r="J1078" i="7"/>
  <c r="K68" i="7"/>
  <c r="J1037" i="7"/>
  <c r="K786" i="7"/>
  <c r="N1204" i="7"/>
  <c r="N1193" i="7"/>
  <c r="N1153" i="7"/>
  <c r="N1144" i="7"/>
  <c r="K627" i="7"/>
  <c r="K936" i="7"/>
  <c r="K624" i="7"/>
  <c r="K527" i="7"/>
  <c r="J1068" i="7"/>
  <c r="K691" i="7"/>
  <c r="J1036" i="7"/>
  <c r="K882" i="7"/>
  <c r="K232" i="7"/>
  <c r="J1011" i="7"/>
  <c r="K667" i="7"/>
  <c r="K548" i="7"/>
  <c r="J1016" i="7"/>
  <c r="K200" i="7"/>
  <c r="K591" i="7"/>
  <c r="K842" i="7"/>
  <c r="K554" i="7"/>
  <c r="K835" i="7"/>
  <c r="K814" i="7"/>
  <c r="K433" i="7"/>
  <c r="K699" i="7"/>
  <c r="K643" i="7"/>
  <c r="K918" i="7"/>
  <c r="K234" i="7"/>
  <c r="K247" i="7"/>
  <c r="K507" i="7"/>
  <c r="K135" i="7"/>
  <c r="K852" i="7"/>
  <c r="J979" i="7"/>
  <c r="K154" i="7"/>
  <c r="K500" i="7"/>
  <c r="K124" i="7"/>
  <c r="J988" i="7"/>
  <c r="K233" i="7"/>
  <c r="K875" i="7"/>
  <c r="K526" i="7"/>
  <c r="K136" i="7"/>
  <c r="K762" i="7"/>
  <c r="K580" i="7"/>
  <c r="K825" i="7"/>
  <c r="K138" i="7"/>
  <c r="J954" i="7"/>
  <c r="K916" i="7"/>
  <c r="K125" i="7"/>
  <c r="K75" i="7"/>
  <c r="J985" i="7"/>
  <c r="K705" i="7"/>
  <c r="K616" i="7"/>
  <c r="M1036" i="7"/>
  <c r="M1094" i="7"/>
  <c r="N1124" i="7"/>
  <c r="M1033" i="7"/>
  <c r="M1046" i="7"/>
  <c r="N1129" i="7"/>
  <c r="N1056" i="7"/>
  <c r="M1028" i="7"/>
  <c r="M1114" i="7"/>
  <c r="N1096" i="7"/>
  <c r="N1036" i="7"/>
  <c r="N1016" i="7"/>
  <c r="N1197" i="7"/>
  <c r="N1157" i="7"/>
  <c r="N1162" i="7"/>
  <c r="K269" i="7"/>
  <c r="K164" i="7"/>
  <c r="K896" i="7"/>
  <c r="K900" i="7"/>
  <c r="K174" i="7"/>
  <c r="K540" i="7"/>
  <c r="K436" i="7"/>
  <c r="K76" i="7"/>
  <c r="K220" i="7"/>
  <c r="K907" i="7"/>
  <c r="K682" i="7"/>
  <c r="K725" i="7"/>
  <c r="K676" i="7"/>
  <c r="K764" i="7"/>
  <c r="K611" i="7"/>
  <c r="K226" i="7"/>
  <c r="K449" i="7"/>
  <c r="K452" i="7"/>
  <c r="K435" i="7"/>
  <c r="K254" i="7"/>
  <c r="K784" i="7"/>
  <c r="J951" i="7"/>
  <c r="K204" i="7"/>
  <c r="K707" i="7"/>
  <c r="K617" i="7"/>
  <c r="K942" i="7"/>
  <c r="K653" i="7"/>
  <c r="K40" i="7"/>
  <c r="K271" i="7"/>
  <c r="K169" i="7"/>
  <c r="K838" i="7"/>
  <c r="K758" i="7"/>
  <c r="K24" i="7"/>
  <c r="K910" i="7"/>
  <c r="K827" i="7"/>
  <c r="K430" i="7"/>
  <c r="M1076" i="7"/>
  <c r="N1263" i="7"/>
  <c r="N1260" i="7"/>
  <c r="N1218" i="7"/>
  <c r="N1216" i="7"/>
  <c r="N1147" i="7"/>
  <c r="K754" i="7"/>
  <c r="K713" i="7"/>
  <c r="K536" i="7"/>
  <c r="K559" i="7"/>
  <c r="K59" i="7"/>
  <c r="K925" i="7"/>
  <c r="K501" i="7"/>
  <c r="K97" i="7"/>
  <c r="K912" i="7"/>
  <c r="K610" i="7"/>
  <c r="K570" i="7"/>
  <c r="K661" i="7"/>
  <c r="K4" i="7"/>
  <c r="K709" i="7"/>
  <c r="K881" i="7"/>
  <c r="K503" i="7"/>
  <c r="K235" i="7"/>
  <c r="K874" i="7"/>
  <c r="K575" i="7"/>
  <c r="N1186" i="7"/>
  <c r="N1189" i="7"/>
  <c r="N1161" i="7"/>
  <c r="N1154" i="7"/>
  <c r="K938" i="7"/>
  <c r="J1003" i="7"/>
  <c r="K721" i="7"/>
  <c r="K5" i="7"/>
  <c r="K714" i="7"/>
  <c r="K913" i="7"/>
  <c r="K534" i="7"/>
  <c r="K726" i="7"/>
  <c r="K636" i="7"/>
  <c r="K824" i="7"/>
  <c r="K542" i="7"/>
  <c r="K795" i="7"/>
  <c r="K8" i="7"/>
  <c r="K566" i="7"/>
  <c r="K519" i="7"/>
  <c r="J1082" i="7"/>
  <c r="K587" i="7"/>
  <c r="K590" i="7"/>
  <c r="J1048" i="7"/>
  <c r="K530" i="7"/>
  <c r="K277" i="7"/>
  <c r="K19" i="7"/>
  <c r="K673" i="7"/>
  <c r="K34" i="7"/>
  <c r="K239" i="7"/>
  <c r="K181" i="7"/>
  <c r="K67" i="7"/>
  <c r="K518" i="7"/>
  <c r="K498" i="7"/>
  <c r="K648" i="7"/>
  <c r="J977" i="7"/>
  <c r="K469" i="7"/>
  <c r="K81" i="7"/>
  <c r="J995" i="7"/>
  <c r="K645" i="7"/>
  <c r="K919" i="7"/>
  <c r="K101" i="7"/>
  <c r="K742" i="7"/>
  <c r="J990" i="7"/>
  <c r="K770" i="7"/>
  <c r="K480" i="7"/>
  <c r="K718" i="7"/>
  <c r="K931" i="7"/>
  <c r="K937" i="7"/>
  <c r="K586" i="7"/>
  <c r="K111" i="7"/>
  <c r="K166" i="7"/>
  <c r="K118" i="7"/>
  <c r="M1044" i="7"/>
  <c r="M1108" i="7"/>
  <c r="N1087" i="7"/>
  <c r="M1034" i="7"/>
  <c r="M1083" i="7"/>
  <c r="N1131" i="7"/>
  <c r="N1074" i="7"/>
  <c r="M1026" i="7"/>
  <c r="M1116" i="7"/>
  <c r="N1069" i="7"/>
  <c r="N1065" i="7"/>
  <c r="M1078" i="7"/>
  <c r="N1184" i="7"/>
  <c r="N1173" i="7"/>
  <c r="N1138" i="7"/>
  <c r="K905" i="7"/>
  <c r="K660" i="7"/>
  <c r="K35" i="7"/>
  <c r="K841" i="7"/>
  <c r="K508" i="7"/>
  <c r="J1035" i="7"/>
  <c r="K802" i="7"/>
  <c r="K790" i="7"/>
  <c r="K78" i="7"/>
  <c r="K100" i="7"/>
  <c r="K210" i="7"/>
  <c r="K214" i="7"/>
  <c r="J1026" i="7"/>
  <c r="K807" i="7"/>
  <c r="K719" i="7"/>
  <c r="K833" i="7"/>
  <c r="K485" i="7"/>
  <c r="J957" i="7"/>
  <c r="J999" i="7"/>
  <c r="K90" i="7"/>
  <c r="K177" i="7"/>
  <c r="K706" i="7"/>
  <c r="K843" i="7"/>
  <c r="K589" i="7"/>
  <c r="K579" i="7"/>
  <c r="K739" i="7"/>
  <c r="K563" i="7"/>
  <c r="J948" i="7"/>
  <c r="J1000" i="7"/>
  <c r="K808" i="7"/>
  <c r="K196" i="7"/>
  <c r="K175" i="7"/>
  <c r="K854" i="7"/>
  <c r="K571" i="7"/>
  <c r="K133" i="7"/>
  <c r="K891" i="7"/>
  <c r="N1243" i="7"/>
  <c r="N1239" i="7"/>
  <c r="N1227" i="7"/>
  <c r="N1182" i="7"/>
  <c r="N1150" i="7"/>
  <c r="K424" i="7"/>
  <c r="K620" i="7"/>
  <c r="K94" i="7"/>
  <c r="K857" i="7"/>
  <c r="K893" i="7"/>
  <c r="K562" i="7"/>
  <c r="K165" i="7"/>
  <c r="K598" i="7"/>
  <c r="J1058" i="7"/>
  <c r="K864" i="7"/>
  <c r="J1074" i="7"/>
  <c r="K36" i="7"/>
  <c r="J1027" i="7"/>
  <c r="K799" i="7"/>
  <c r="K126" i="7"/>
  <c r="K577" i="7"/>
  <c r="K915" i="7"/>
  <c r="K621" i="7"/>
  <c r="K58" i="7"/>
  <c r="N1207" i="7"/>
  <c r="N1187" i="7"/>
  <c r="N1151" i="7"/>
  <c r="N1133" i="7"/>
  <c r="K781" i="7"/>
  <c r="K908" i="7"/>
  <c r="J1073" i="7"/>
  <c r="K157" i="7"/>
  <c r="J1067" i="7"/>
  <c r="K250" i="7"/>
  <c r="K804" i="7"/>
  <c r="J1038" i="7"/>
  <c r="K850" i="7"/>
  <c r="K3" i="7"/>
  <c r="J1020" i="7"/>
  <c r="K578" i="7"/>
  <c r="K37" i="7"/>
  <c r="J1015" i="7"/>
  <c r="K261" i="7"/>
  <c r="K423" i="7"/>
  <c r="K846" i="7"/>
  <c r="K198" i="7"/>
  <c r="K60" i="7"/>
  <c r="K729" i="7"/>
  <c r="K244" i="7"/>
  <c r="K451" i="7"/>
  <c r="K688" i="7"/>
  <c r="K791" i="7"/>
  <c r="K867" i="7"/>
  <c r="K71" i="7"/>
  <c r="K539" i="7"/>
  <c r="K425" i="7"/>
  <c r="K98" i="7"/>
  <c r="K626" i="7"/>
  <c r="K651" i="7"/>
  <c r="K669" i="7"/>
  <c r="K251" i="7"/>
  <c r="K596" i="7"/>
  <c r="K153" i="7"/>
  <c r="K525" i="7"/>
  <c r="K217" i="7"/>
  <c r="K132" i="7"/>
  <c r="K130" i="7"/>
  <c r="K677" i="7"/>
  <c r="K556" i="7"/>
  <c r="J947" i="7"/>
  <c r="K61" i="7"/>
  <c r="K768" i="7"/>
  <c r="K72" i="7"/>
  <c r="K856" i="7"/>
  <c r="J965" i="7"/>
  <c r="K63" i="7"/>
  <c r="M1075" i="7"/>
  <c r="M1127" i="7"/>
  <c r="N1060" i="7"/>
  <c r="M1013" i="7"/>
  <c r="M1107" i="7"/>
  <c r="N1100" i="7"/>
  <c r="M1021" i="7"/>
  <c r="M1004" i="7"/>
  <c r="N1125" i="7"/>
  <c r="N1067" i="7"/>
  <c r="N1085" i="7"/>
  <c r="M1082" i="7"/>
  <c r="N1202" i="7"/>
  <c r="N1155" i="7"/>
  <c r="K280" i="7"/>
  <c r="J1053" i="7"/>
  <c r="K761" i="7"/>
  <c r="K180" i="7"/>
  <c r="K927" i="7"/>
  <c r="K678" i="7"/>
  <c r="K512" i="7"/>
  <c r="K828" i="7"/>
  <c r="J1046" i="7"/>
  <c r="J1076" i="7"/>
  <c r="K665" i="7"/>
  <c r="K182" i="7"/>
  <c r="K286" i="7"/>
  <c r="K420" i="7"/>
  <c r="K515" i="7"/>
  <c r="J1050" i="7"/>
  <c r="K253" i="7"/>
  <c r="K757" i="7"/>
  <c r="K605" i="7"/>
  <c r="J981" i="7"/>
  <c r="K28" i="7"/>
  <c r="K279" i="7"/>
  <c r="K14" i="7"/>
  <c r="K543" i="7"/>
  <c r="K243" i="7"/>
  <c r="K434" i="7"/>
  <c r="K55" i="7"/>
  <c r="K873" i="7"/>
  <c r="K792" i="7"/>
  <c r="K789" i="7"/>
  <c r="K109" i="7"/>
  <c r="J946" i="7"/>
  <c r="K716" i="7"/>
  <c r="K491" i="7"/>
  <c r="K257" i="7"/>
  <c r="K7" i="7"/>
  <c r="M1057" i="7"/>
  <c r="M1071" i="7"/>
  <c r="N1101" i="7"/>
  <c r="M1023" i="7"/>
  <c r="M1128" i="7"/>
  <c r="N1038" i="7"/>
  <c r="M1009" i="7"/>
  <c r="N1110" i="7"/>
  <c r="N1075" i="7"/>
  <c r="M1062" i="7"/>
  <c r="M1106" i="7"/>
  <c r="N1104" i="7"/>
  <c r="N1033" i="7"/>
  <c r="N1051" i="7"/>
  <c r="N1203" i="7"/>
  <c r="N1172" i="7"/>
  <c r="N1158" i="7"/>
  <c r="K794" i="7"/>
  <c r="K684" i="7"/>
  <c r="K564" i="7"/>
  <c r="J1017" i="7"/>
  <c r="J1077" i="7"/>
  <c r="K594" i="7"/>
  <c r="K224" i="7"/>
  <c r="K734" i="7"/>
  <c r="K638" i="7"/>
  <c r="K679" i="7"/>
  <c r="K567" i="7"/>
  <c r="K284" i="7"/>
  <c r="K613" i="7"/>
  <c r="K185" i="7"/>
  <c r="K663" i="7"/>
  <c r="K457" i="7"/>
  <c r="K189" i="7"/>
  <c r="K11" i="7"/>
  <c r="K289" i="7"/>
  <c r="K472" i="7"/>
  <c r="K675" i="7"/>
  <c r="K747" i="7"/>
  <c r="K932" i="7"/>
  <c r="K606" i="7"/>
  <c r="K769" i="7"/>
  <c r="K505" i="7"/>
  <c r="K668" i="7"/>
  <c r="K904" i="7"/>
  <c r="K272" i="7"/>
  <c r="K194" i="7"/>
  <c r="K168" i="7"/>
  <c r="K920" i="7"/>
  <c r="K909" i="7"/>
  <c r="K241" i="7"/>
  <c r="K470" i="7"/>
  <c r="K203" i="7"/>
  <c r="M1030" i="7"/>
  <c r="N1117" i="7"/>
  <c r="M1007" i="7"/>
  <c r="M1126" i="7"/>
  <c r="N1044" i="7"/>
  <c r="M1005" i="7"/>
  <c r="N1102" i="7"/>
  <c r="N1077" i="7"/>
  <c r="M1035" i="7"/>
  <c r="M1051" i="7"/>
  <c r="N1121" i="7"/>
  <c r="N1030" i="7"/>
  <c r="N1088" i="7"/>
  <c r="N1178" i="7"/>
  <c r="N1174" i="7"/>
  <c r="N1148" i="7"/>
  <c r="K122" i="7"/>
  <c r="K462" i="7"/>
  <c r="K623" i="7"/>
  <c r="K150" i="7"/>
  <c r="K159" i="7"/>
  <c r="K190" i="7"/>
  <c r="K674" i="7"/>
  <c r="K477" i="7"/>
  <c r="K176" i="7"/>
  <c r="K184" i="7"/>
  <c r="K644" i="7"/>
  <c r="J1021" i="7"/>
  <c r="K797" i="7"/>
  <c r="K103" i="7"/>
  <c r="K740" i="7"/>
  <c r="K628" i="7"/>
  <c r="K697" i="7"/>
  <c r="K746" i="7"/>
  <c r="K861" i="7"/>
  <c r="K685" i="7"/>
  <c r="K186" i="7"/>
  <c r="K53" i="7"/>
  <c r="K584" i="7"/>
  <c r="K690" i="7"/>
  <c r="J1062" i="7"/>
  <c r="K473" i="7"/>
  <c r="K622" i="7"/>
  <c r="K888" i="7"/>
  <c r="K229" i="7"/>
  <c r="K670" i="7"/>
  <c r="K693" i="7"/>
  <c r="K834" i="7"/>
  <c r="K121" i="7"/>
  <c r="K897" i="7"/>
  <c r="M1073" i="7"/>
  <c r="M1054" i="7"/>
  <c r="N1014" i="7"/>
  <c r="N1132" i="7"/>
  <c r="M1022" i="7"/>
  <c r="N1094" i="7"/>
  <c r="N1059" i="7"/>
  <c r="K514" i="7"/>
  <c r="K248" i="7"/>
  <c r="J997" i="7"/>
  <c r="N1046" i="7"/>
  <c r="M1043" i="7"/>
  <c r="K831" i="7"/>
  <c r="K832" i="7"/>
  <c r="K858" i="7"/>
  <c r="K242" i="7"/>
  <c r="K443" i="7"/>
  <c r="K597" i="7"/>
  <c r="K225" i="7"/>
  <c r="N1108" i="7"/>
  <c r="M1067" i="7"/>
  <c r="N1206" i="7"/>
  <c r="K717" i="7"/>
  <c r="K614" i="7"/>
  <c r="K266" i="7"/>
  <c r="K862" i="7"/>
  <c r="K15" i="7"/>
  <c r="J969" i="7"/>
  <c r="K215" i="7"/>
  <c r="K260" i="7"/>
  <c r="K149" i="7"/>
  <c r="K509" i="7"/>
  <c r="K236" i="7"/>
  <c r="K142" i="7"/>
  <c r="K766" i="7"/>
  <c r="M1122" i="7"/>
  <c r="M1072" i="7"/>
  <c r="M1080" i="7"/>
  <c r="N1023" i="7"/>
  <c r="M1008" i="7"/>
  <c r="N1091" i="7"/>
  <c r="N1009" i="7"/>
  <c r="K144" i="7"/>
  <c r="K926" i="7"/>
  <c r="K775" i="7"/>
  <c r="K782" i="7"/>
  <c r="K287" i="7"/>
  <c r="K906" i="7"/>
  <c r="J992" i="7"/>
  <c r="K839" i="7"/>
  <c r="K898" i="7"/>
  <c r="K88" i="7"/>
  <c r="K193" i="7"/>
  <c r="M1048" i="7"/>
  <c r="M1132" i="7"/>
  <c r="M1088" i="7"/>
  <c r="N1010" i="7"/>
  <c r="K708" i="7"/>
  <c r="K444" i="7"/>
  <c r="K869" i="7"/>
  <c r="K849" i="7"/>
  <c r="K52" i="7"/>
  <c r="K428" i="7"/>
  <c r="K183" i="7"/>
  <c r="M1031" i="7"/>
  <c r="M1102" i="7"/>
  <c r="M1047" i="7"/>
  <c r="N1015" i="7"/>
  <c r="K429" i="7"/>
  <c r="K110" i="7"/>
  <c r="K872" i="7"/>
  <c r="N1118" i="7"/>
  <c r="N1201" i="7"/>
  <c r="K85" i="7"/>
  <c r="K545" i="7"/>
  <c r="J974" i="7"/>
  <c r="M1104" i="7"/>
  <c r="M1124" i="7"/>
  <c r="N1170" i="7"/>
  <c r="K574" i="7"/>
  <c r="K870" i="7"/>
  <c r="N1105" i="7"/>
  <c r="M1095" i="7"/>
  <c r="N1017" i="7"/>
  <c r="M1027" i="7"/>
  <c r="N1112" i="7"/>
  <c r="M1019" i="7"/>
  <c r="M1084" i="7"/>
  <c r="N1095" i="7"/>
  <c r="N1119" i="7"/>
  <c r="M1029" i="7"/>
  <c r="M1093" i="7"/>
  <c r="N1089" i="7"/>
  <c r="N1047" i="7"/>
  <c r="N1021" i="7"/>
  <c r="N1209" i="7"/>
  <c r="N1165" i="7"/>
  <c r="J1045" i="7"/>
  <c r="K6" i="7"/>
  <c r="K202" i="7"/>
  <c r="K105" i="7"/>
  <c r="K46" i="7"/>
  <c r="K581" i="7"/>
  <c r="K702" i="7"/>
  <c r="J1070" i="7"/>
  <c r="K686" i="7"/>
  <c r="K774" i="7"/>
  <c r="K730" i="7"/>
  <c r="K31" i="7"/>
  <c r="K223" i="7"/>
  <c r="J1019" i="7"/>
  <c r="J1049" i="7"/>
  <c r="K486" i="7"/>
  <c r="K219" i="7"/>
  <c r="K230" i="7"/>
  <c r="K160" i="7"/>
  <c r="J427" i="7"/>
  <c r="K637" i="7"/>
  <c r="K427" i="7"/>
  <c r="K93" i="7"/>
  <c r="K829" i="7"/>
  <c r="K151" i="7"/>
  <c r="K521" i="7"/>
  <c r="K649" i="7"/>
  <c r="K79" i="7"/>
  <c r="K340" i="7"/>
  <c r="J984" i="7"/>
  <c r="K221" i="7"/>
  <c r="K80" i="7"/>
  <c r="K26" i="7"/>
  <c r="J982" i="7"/>
  <c r="J964" i="7"/>
  <c r="K810" i="7"/>
  <c r="K821" i="7"/>
  <c r="M1041" i="7"/>
  <c r="N1103" i="7"/>
  <c r="M1058" i="7"/>
  <c r="M1117" i="7"/>
  <c r="N1066" i="7"/>
  <c r="M1038" i="7"/>
  <c r="N1109" i="7"/>
  <c r="N1054" i="7"/>
  <c r="M1003" i="7"/>
  <c r="M1091" i="7"/>
  <c r="N1123" i="7"/>
  <c r="N1007" i="7"/>
  <c r="N1013" i="7"/>
  <c r="N1199" i="7"/>
  <c r="N1168" i="7"/>
  <c r="N1146" i="7"/>
  <c r="K448" i="7"/>
  <c r="K560" i="7"/>
  <c r="K585" i="7"/>
  <c r="K755" i="7"/>
  <c r="J1056" i="7"/>
  <c r="K680" i="7"/>
  <c r="K692" i="7"/>
  <c r="K145" i="7"/>
  <c r="K863" i="7"/>
  <c r="K471" i="7"/>
  <c r="K773" i="7"/>
  <c r="J1030" i="7"/>
  <c r="K723" i="7"/>
  <c r="K553" i="7"/>
  <c r="K541" i="7"/>
  <c r="K609" i="7"/>
  <c r="K57" i="7"/>
  <c r="K104" i="7"/>
  <c r="K732" i="7"/>
  <c r="K50" i="7"/>
  <c r="N1191" i="7"/>
  <c r="K476" i="7"/>
  <c r="J1079" i="7"/>
  <c r="K800" i="7"/>
  <c r="K141" i="7"/>
  <c r="K944" i="7"/>
  <c r="K847" i="7"/>
  <c r="K209" i="7"/>
  <c r="K635" i="7"/>
  <c r="K91" i="7"/>
  <c r="K21" i="7"/>
  <c r="K760" i="7"/>
  <c r="K687" i="7"/>
  <c r="K851" i="7"/>
  <c r="M1101" i="7"/>
  <c r="M1040" i="7"/>
  <c r="M1056" i="7"/>
  <c r="N1006" i="7"/>
  <c r="M1010" i="7"/>
  <c r="N1107" i="7"/>
  <c r="N1052" i="7"/>
  <c r="K475" i="7"/>
  <c r="K845" i="7"/>
  <c r="M1052" i="7"/>
  <c r="M1086" i="7"/>
  <c r="N1098" i="7"/>
  <c r="K520" i="7"/>
  <c r="K211" i="7"/>
  <c r="K147" i="7"/>
  <c r="K731" i="7"/>
  <c r="K537" i="7"/>
  <c r="K634" i="7"/>
  <c r="M1065" i="7"/>
  <c r="M1064" i="7"/>
  <c r="M1121" i="7"/>
  <c r="N1137" i="7"/>
  <c r="K170" i="7"/>
  <c r="K99" i="7"/>
  <c r="K599" i="7"/>
  <c r="J1024" i="7"/>
  <c r="K274" i="7"/>
  <c r="K694" i="7"/>
  <c r="K533" i="7"/>
  <c r="K453" i="7"/>
  <c r="K231" i="7"/>
  <c r="K421" i="7"/>
  <c r="K593" i="7"/>
  <c r="K583" i="7"/>
  <c r="K892" i="7"/>
  <c r="N1090" i="7"/>
  <c r="M1131" i="7"/>
  <c r="M1012" i="7"/>
  <c r="N1029" i="7"/>
  <c r="M1090" i="7"/>
  <c r="N1040" i="7"/>
  <c r="N1200" i="7"/>
  <c r="K859" i="7"/>
  <c r="K171" i="7"/>
  <c r="K506" i="7"/>
  <c r="K64" i="7"/>
  <c r="J971" i="7"/>
  <c r="M1103" i="7"/>
  <c r="J959" i="7"/>
  <c r="N1111" i="7"/>
  <c r="N1039" i="7"/>
  <c r="K56" i="7"/>
  <c r="M1110" i="7"/>
  <c r="M1111" i="7"/>
  <c r="N1068" i="7"/>
  <c r="M1016" i="7"/>
  <c r="N1097" i="7"/>
  <c r="M1060" i="7"/>
  <c r="M1119" i="7"/>
  <c r="N1005" i="7"/>
  <c r="N1034" i="7"/>
  <c r="M1070" i="7"/>
  <c r="M1097" i="7"/>
  <c r="N1064" i="7"/>
  <c r="N1049" i="7"/>
  <c r="N1176" i="7"/>
  <c r="N1198" i="7"/>
  <c r="N1143" i="7"/>
  <c r="K516" i="7"/>
  <c r="J1033" i="7"/>
  <c r="J1041" i="7"/>
  <c r="K192" i="7"/>
  <c r="K632" i="7"/>
  <c r="K127" i="7"/>
  <c r="K652" i="7"/>
  <c r="K816" i="7"/>
  <c r="K32" i="7"/>
  <c r="J1039" i="7"/>
  <c r="K84" i="7"/>
  <c r="K116" i="7"/>
  <c r="K9" i="7"/>
  <c r="K137" i="7"/>
  <c r="K806" i="7"/>
  <c r="J1005" i="7"/>
  <c r="K255" i="7"/>
  <c r="K262" i="7"/>
  <c r="K212" i="7"/>
  <c r="J966" i="7"/>
  <c r="K240" i="7"/>
  <c r="K715" i="7"/>
  <c r="K263" i="7"/>
  <c r="K249" i="7"/>
  <c r="K29" i="7"/>
  <c r="J993" i="7"/>
  <c r="J1001" i="7"/>
  <c r="K12" i="7"/>
  <c r="K787" i="7"/>
  <c r="J950" i="7"/>
  <c r="K22" i="7"/>
  <c r="J960" i="7"/>
  <c r="K179" i="7"/>
  <c r="K161" i="7"/>
  <c r="K826" i="7"/>
  <c r="K146" i="7"/>
  <c r="M1074" i="7"/>
  <c r="M1092" i="7"/>
  <c r="N1081" i="7"/>
  <c r="M1053" i="7"/>
  <c r="N1120" i="7"/>
  <c r="M1018" i="7"/>
  <c r="M1100" i="7"/>
  <c r="N1080" i="7"/>
  <c r="N1071" i="7"/>
  <c r="M1066" i="7"/>
  <c r="M1118" i="7"/>
  <c r="N1092" i="7"/>
  <c r="N1050" i="7"/>
  <c r="N1020" i="7"/>
  <c r="N1205" i="7"/>
  <c r="N1149" i="7"/>
  <c r="J1063" i="7"/>
  <c r="K749" i="7"/>
  <c r="K876" i="7"/>
  <c r="K911" i="7"/>
  <c r="K437" i="7"/>
  <c r="K95" i="7"/>
  <c r="K879" i="7"/>
  <c r="J1065" i="7"/>
  <c r="J1080" i="7"/>
  <c r="K550" i="7"/>
  <c r="K281" i="7"/>
  <c r="K546" i="7"/>
  <c r="K615" i="7"/>
  <c r="K108" i="7"/>
  <c r="J1025" i="7"/>
  <c r="J1069" i="7"/>
  <c r="K276" i="7"/>
  <c r="K13" i="7"/>
  <c r="K82" i="7"/>
  <c r="K117" i="7"/>
  <c r="J955" i="7"/>
  <c r="N1135" i="7"/>
  <c r="K933" i="7"/>
  <c r="K656" i="7"/>
  <c r="K502" i="7"/>
  <c r="K703" i="7"/>
  <c r="K62" i="7"/>
  <c r="K552" i="7"/>
  <c r="K278" i="7"/>
  <c r="K772" i="7"/>
  <c r="K710" i="7"/>
  <c r="K275" i="7"/>
  <c r="K66" i="7"/>
  <c r="K83" i="7"/>
  <c r="K728" i="7"/>
  <c r="N1086" i="7"/>
  <c r="M1115" i="7"/>
  <c r="M1079" i="7"/>
  <c r="N1037" i="7"/>
  <c r="M1011" i="7"/>
  <c r="N1041" i="7"/>
  <c r="K20" i="7"/>
  <c r="K140" i="7"/>
  <c r="K270" i="7"/>
  <c r="M1037" i="7"/>
  <c r="N1093" i="7"/>
  <c r="N1072" i="7"/>
  <c r="K106" i="7"/>
  <c r="K191" i="7"/>
  <c r="K238" i="7"/>
  <c r="I29" i="18"/>
  <c r="J998" i="7"/>
  <c r="J953" i="7"/>
  <c r="M1129" i="7"/>
  <c r="M1125" i="7"/>
  <c r="N1078" i="7"/>
  <c r="J1006" i="7"/>
  <c r="K696" i="7"/>
  <c r="J1043" i="7"/>
  <c r="K74" i="7"/>
  <c r="K640" i="7"/>
  <c r="J952" i="7"/>
  <c r="K112" i="7"/>
  <c r="J968" i="7"/>
  <c r="J975" i="7"/>
  <c r="K689" i="7"/>
  <c r="K712" i="7"/>
  <c r="K837" i="7"/>
  <c r="J991" i="7"/>
  <c r="M1069" i="7"/>
  <c r="N1035" i="7"/>
  <c r="N1113" i="7"/>
  <c r="M1130" i="7"/>
  <c r="N1022" i="7"/>
  <c r="M1123" i="7"/>
  <c r="N1062" i="7"/>
  <c r="N1181" i="7"/>
  <c r="J1009" i="7"/>
  <c r="K853" i="7"/>
  <c r="J1028" i="7"/>
  <c r="K860" i="7"/>
  <c r="K724" i="7"/>
  <c r="J949" i="7"/>
  <c r="J980" i="7"/>
  <c r="J961" i="7"/>
  <c r="K840" i="7"/>
  <c r="N1099" i="7"/>
  <c r="J989" i="7"/>
  <c r="N1083" i="7"/>
  <c r="N1106" i="7"/>
  <c r="M1061" i="7"/>
  <c r="M1112" i="7"/>
  <c r="N1045" i="7"/>
  <c r="M1049" i="7"/>
  <c r="N1126" i="7"/>
  <c r="N1003" i="7"/>
  <c r="N1008" i="7"/>
  <c r="M1015" i="7"/>
  <c r="N1122" i="7"/>
  <c r="N1011" i="7"/>
  <c r="N1114" i="7"/>
  <c r="N1190" i="7"/>
  <c r="N1183" i="7"/>
  <c r="N1156" i="7"/>
  <c r="K698" i="7"/>
  <c r="K737" i="7"/>
  <c r="K18" i="7"/>
  <c r="J1008" i="7"/>
  <c r="K549" i="7"/>
  <c r="K228" i="7"/>
  <c r="K70" i="7"/>
  <c r="K96" i="7"/>
  <c r="K195" i="7"/>
  <c r="K156" i="7"/>
  <c r="K426" i="7"/>
  <c r="J1044" i="7"/>
  <c r="K143" i="7"/>
  <c r="K701" i="7"/>
  <c r="K535" i="7"/>
  <c r="K582" i="7"/>
  <c r="K750" i="7"/>
  <c r="K454" i="7"/>
  <c r="K504" i="7"/>
  <c r="K736" i="7"/>
  <c r="K441" i="7"/>
  <c r="J973" i="7"/>
  <c r="K163" i="7"/>
  <c r="K489" i="7"/>
  <c r="K557" i="7"/>
  <c r="K199" i="7"/>
  <c r="J986" i="7"/>
  <c r="K817" i="7"/>
  <c r="K654" i="7"/>
  <c r="K738" i="7"/>
  <c r="K44" i="7"/>
  <c r="K65" i="7"/>
  <c r="K267" i="7"/>
  <c r="K16" i="7"/>
  <c r="K131" i="7"/>
  <c r="K264" i="7"/>
  <c r="M1006" i="7"/>
  <c r="M1105" i="7"/>
  <c r="N1043" i="7"/>
  <c r="M1098" i="7"/>
  <c r="N1084" i="7"/>
  <c r="M1045" i="7"/>
  <c r="M1089" i="7"/>
  <c r="N1055" i="7"/>
  <c r="N1027" i="7"/>
  <c r="M1020" i="7"/>
  <c r="M1120" i="7"/>
  <c r="N1070" i="7"/>
  <c r="N1048" i="7"/>
  <c r="N1208" i="7"/>
  <c r="N1185" i="7"/>
  <c r="N1139" i="7"/>
  <c r="K930" i="7"/>
  <c r="K940" i="7"/>
  <c r="J1051" i="7"/>
  <c r="K776" i="7"/>
  <c r="K455" i="7"/>
  <c r="K282" i="7"/>
  <c r="K565" i="7"/>
  <c r="K213" i="7"/>
  <c r="K943" i="7"/>
  <c r="J1042" i="7"/>
  <c r="J1060" i="7"/>
  <c r="K207" i="7"/>
  <c r="K528" i="7"/>
  <c r="K630" i="7"/>
  <c r="K658" i="7"/>
  <c r="K588" i="7"/>
  <c r="K671" i="7"/>
  <c r="K547" i="7"/>
  <c r="K51" i="7"/>
  <c r="K529" i="7"/>
  <c r="K48" i="7"/>
  <c r="N1142" i="7"/>
  <c r="K569" i="7"/>
  <c r="K206" i="7"/>
  <c r="J1023" i="7"/>
  <c r="K17" i="7"/>
  <c r="K803" i="7"/>
  <c r="K288" i="7"/>
  <c r="K459" i="7"/>
  <c r="J956" i="7"/>
  <c r="K2" i="7"/>
  <c r="K481" i="7"/>
  <c r="K187" i="7"/>
  <c r="J958" i="7"/>
  <c r="M1032" i="7"/>
  <c r="N1031" i="7"/>
  <c r="N1115" i="7"/>
  <c r="M1085" i="7"/>
  <c r="N1076" i="7"/>
  <c r="M1109" i="7"/>
  <c r="N1019" i="7"/>
  <c r="K119" i="7"/>
  <c r="K695" i="7"/>
  <c r="K446" i="7"/>
  <c r="M1099" i="7"/>
  <c r="N1025" i="7"/>
  <c r="N1140" i="7"/>
  <c r="K39" i="7"/>
  <c r="K86" i="7"/>
  <c r="K43" i="7"/>
  <c r="K447" i="7"/>
  <c r="J962" i="7"/>
  <c r="K642" i="7"/>
  <c r="M1039" i="7"/>
  <c r="N1012" i="7"/>
  <c r="N1073" i="7"/>
  <c r="J1064" i="7"/>
  <c r="K855" i="7"/>
  <c r="K172" i="7"/>
  <c r="K865" i="7"/>
  <c r="K866" i="7"/>
  <c r="K30" i="7"/>
  <c r="K265" i="7"/>
  <c r="K178" i="7"/>
  <c r="K155" i="7"/>
  <c r="K54" i="7"/>
  <c r="K77" i="7"/>
  <c r="K27" i="7"/>
  <c r="K576" i="7"/>
  <c r="M1050" i="7"/>
  <c r="M1068" i="7"/>
  <c r="N1063" i="7"/>
  <c r="N1116" i="7"/>
  <c r="M1017" i="7"/>
  <c r="N1128" i="7"/>
  <c r="N1028" i="7"/>
  <c r="N1175" i="7"/>
  <c r="J1075" i="7"/>
  <c r="K445" i="7"/>
  <c r="K681" i="7"/>
  <c r="K763" i="7"/>
  <c r="K256" i="7"/>
  <c r="K592" i="7"/>
  <c r="K914" i="7"/>
  <c r="K885" i="7"/>
  <c r="K544" i="7"/>
  <c r="K883" i="7"/>
  <c r="N1061" i="7"/>
  <c r="M1077" i="7"/>
  <c r="M1024" i="7"/>
  <c r="N1026" i="7"/>
  <c r="K922" i="7"/>
  <c r="K820" i="7"/>
  <c r="K115" i="7"/>
  <c r="K216" i="7"/>
  <c r="K205" i="7"/>
  <c r="K555" i="7"/>
  <c r="K929" i="7"/>
  <c r="N1082" i="7"/>
  <c r="M1059" i="7"/>
  <c r="N1018" i="7"/>
  <c r="N1042" i="7"/>
  <c r="K830" i="7"/>
  <c r="K923" i="7"/>
  <c r="M1055" i="7"/>
  <c r="N1057" i="7"/>
  <c r="K69" i="7"/>
  <c r="K633" i="7"/>
  <c r="J994" i="7"/>
  <c r="M1096" i="7"/>
  <c r="J996" i="7"/>
  <c r="N1032" i="7"/>
  <c r="K822" i="7"/>
  <c r="K49" i="7"/>
  <c r="N1024" i="7"/>
  <c r="O1024" i="7" l="1"/>
  <c r="P1024" i="7" s="1"/>
  <c r="O1032" i="7"/>
  <c r="P1032" i="7" s="1"/>
  <c r="R996" i="7"/>
  <c r="U1096" i="7"/>
  <c r="V1096" i="7" s="1"/>
  <c r="W1096" i="7" s="1"/>
  <c r="R994" i="7"/>
  <c r="O1057" i="7"/>
  <c r="P1057" i="7" s="1"/>
  <c r="U1055" i="7"/>
  <c r="V1055" i="7" s="1"/>
  <c r="W1055" i="7" s="1"/>
  <c r="O1042" i="7"/>
  <c r="P1042" i="7" s="1"/>
  <c r="O1018" i="7"/>
  <c r="P1018" i="7" s="1"/>
  <c r="U1059" i="7"/>
  <c r="V1059" i="7" s="1"/>
  <c r="W1059" i="7" s="1"/>
  <c r="O1082" i="7"/>
  <c r="P1082" i="7" s="1"/>
  <c r="O1026" i="7"/>
  <c r="P1026" i="7" s="1"/>
  <c r="U1024" i="7"/>
  <c r="V1024" i="7" s="1"/>
  <c r="W1024" i="7" s="1"/>
  <c r="U1077" i="7"/>
  <c r="V1077" i="7" s="1"/>
  <c r="W1077" i="7" s="1"/>
  <c r="O1061" i="7"/>
  <c r="P1061" i="7" s="1"/>
  <c r="R1075" i="7"/>
  <c r="O1175" i="7"/>
  <c r="P1175" i="7" s="1"/>
  <c r="O1028" i="7"/>
  <c r="P1028" i="7" s="1"/>
  <c r="O1128" i="7"/>
  <c r="P1128" i="7" s="1"/>
  <c r="U1017" i="7"/>
  <c r="V1017" i="7" s="1"/>
  <c r="W1017" i="7" s="1"/>
  <c r="O1116" i="7"/>
  <c r="P1116" i="7" s="1"/>
  <c r="O1063" i="7"/>
  <c r="P1063" i="7" s="1"/>
  <c r="U1068" i="7"/>
  <c r="V1068" i="7" s="1"/>
  <c r="W1068" i="7" s="1"/>
  <c r="U1050" i="7"/>
  <c r="V1050" i="7" s="1"/>
  <c r="W1050" i="7" s="1"/>
  <c r="R1064" i="7"/>
  <c r="O1073" i="7"/>
  <c r="P1073" i="7" s="1"/>
  <c r="O1012" i="7"/>
  <c r="P1012" i="7" s="1"/>
  <c r="U1039" i="7"/>
  <c r="V1039" i="7" s="1"/>
  <c r="W1039" i="7" s="1"/>
  <c r="R962" i="7"/>
  <c r="O1140" i="7"/>
  <c r="P1140" i="7" s="1"/>
  <c r="O1025" i="7"/>
  <c r="P1025" i="7" s="1"/>
  <c r="U1099" i="7"/>
  <c r="V1099" i="7" s="1"/>
  <c r="W1099" i="7" s="1"/>
  <c r="O1019" i="7"/>
  <c r="P1019" i="7" s="1"/>
  <c r="U1109" i="7"/>
  <c r="V1109" i="7" s="1"/>
  <c r="W1109" i="7" s="1"/>
  <c r="O1076" i="7"/>
  <c r="P1076" i="7" s="1"/>
  <c r="U1085" i="7"/>
  <c r="V1085" i="7" s="1"/>
  <c r="W1085" i="7" s="1"/>
  <c r="O1115" i="7"/>
  <c r="P1115" i="7" s="1"/>
  <c r="O1031" i="7"/>
  <c r="P1031" i="7" s="1"/>
  <c r="U1032" i="7"/>
  <c r="V1032" i="7" s="1"/>
  <c r="W1032" i="7" s="1"/>
  <c r="R958" i="7"/>
  <c r="R956" i="7"/>
  <c r="R1023" i="7"/>
  <c r="O1142" i="7"/>
  <c r="P1142" i="7" s="1"/>
  <c r="R1060" i="7"/>
  <c r="R1042" i="7"/>
  <c r="R1051" i="7"/>
  <c r="O1139" i="7"/>
  <c r="P1139" i="7" s="1"/>
  <c r="O1185" i="7"/>
  <c r="P1185" i="7" s="1"/>
  <c r="O1208" i="7"/>
  <c r="P1208" i="7" s="1"/>
  <c r="O1048" i="7"/>
  <c r="P1048" i="7" s="1"/>
  <c r="O1070" i="7"/>
  <c r="P1070" i="7" s="1"/>
  <c r="U1120" i="7"/>
  <c r="V1120" i="7" s="1"/>
  <c r="W1120" i="7" s="1"/>
  <c r="U1020" i="7"/>
  <c r="V1020" i="7" s="1"/>
  <c r="W1020" i="7" s="1"/>
  <c r="O1027" i="7"/>
  <c r="P1027" i="7" s="1"/>
  <c r="O1055" i="7"/>
  <c r="P1055" i="7" s="1"/>
  <c r="U1089" i="7"/>
  <c r="V1089" i="7" s="1"/>
  <c r="W1089" i="7" s="1"/>
  <c r="U1045" i="7"/>
  <c r="V1045" i="7" s="1"/>
  <c r="W1045" i="7" s="1"/>
  <c r="O1084" i="7"/>
  <c r="P1084" i="7" s="1"/>
  <c r="U1098" i="7"/>
  <c r="V1098" i="7" s="1"/>
  <c r="W1098" i="7" s="1"/>
  <c r="O1043" i="7"/>
  <c r="P1043" i="7" s="1"/>
  <c r="U1105" i="7"/>
  <c r="V1105" i="7" s="1"/>
  <c r="W1105" i="7" s="1"/>
  <c r="U1006" i="7"/>
  <c r="V1006" i="7" s="1"/>
  <c r="W1006" i="7" s="1"/>
  <c r="R986" i="7"/>
  <c r="R973" i="7"/>
  <c r="R1044" i="7"/>
  <c r="R1008" i="7"/>
  <c r="O1156" i="7"/>
  <c r="P1156" i="7" s="1"/>
  <c r="O1183" i="7"/>
  <c r="P1183" i="7" s="1"/>
  <c r="O1190" i="7"/>
  <c r="P1190" i="7" s="1"/>
  <c r="O1114" i="7"/>
  <c r="P1114" i="7" s="1"/>
  <c r="O1011" i="7"/>
  <c r="P1011" i="7" s="1"/>
  <c r="O1122" i="7"/>
  <c r="P1122" i="7" s="1"/>
  <c r="U1015" i="7"/>
  <c r="V1015" i="7" s="1"/>
  <c r="W1015" i="7" s="1"/>
  <c r="O1008" i="7"/>
  <c r="P1008" i="7" s="1"/>
  <c r="O1003" i="7"/>
  <c r="P1003" i="7" s="1"/>
  <c r="O1126" i="7"/>
  <c r="P1126" i="7" s="1"/>
  <c r="U1049" i="7"/>
  <c r="V1049" i="7" s="1"/>
  <c r="W1049" i="7" s="1"/>
  <c r="O1045" i="7"/>
  <c r="P1045" i="7" s="1"/>
  <c r="U1112" i="7"/>
  <c r="V1112" i="7" s="1"/>
  <c r="W1112" i="7" s="1"/>
  <c r="U1061" i="7"/>
  <c r="V1061" i="7" s="1"/>
  <c r="W1061" i="7" s="1"/>
  <c r="O1106" i="7"/>
  <c r="P1106" i="7" s="1"/>
  <c r="O1083" i="7"/>
  <c r="P1083" i="7" s="1"/>
  <c r="R989" i="7"/>
  <c r="O1099" i="7"/>
  <c r="P1099" i="7" s="1"/>
  <c r="R961" i="7"/>
  <c r="R980" i="7"/>
  <c r="R949" i="7"/>
  <c r="R1028" i="7"/>
  <c r="R1009" i="7"/>
  <c r="O1181" i="7"/>
  <c r="P1181" i="7" s="1"/>
  <c r="O1062" i="7"/>
  <c r="P1062" i="7" s="1"/>
  <c r="U1123" i="7"/>
  <c r="V1123" i="7" s="1"/>
  <c r="W1123" i="7" s="1"/>
  <c r="O1022" i="7"/>
  <c r="P1022" i="7" s="1"/>
  <c r="U1130" i="7"/>
  <c r="V1130" i="7" s="1"/>
  <c r="W1130" i="7" s="1"/>
  <c r="O1113" i="7"/>
  <c r="P1113" i="7" s="1"/>
  <c r="O1035" i="7"/>
  <c r="P1035" i="7" s="1"/>
  <c r="U1069" i="7"/>
  <c r="V1069" i="7" s="1"/>
  <c r="W1069" i="7" s="1"/>
  <c r="R991" i="7"/>
  <c r="R975" i="7"/>
  <c r="R968" i="7"/>
  <c r="R952" i="7"/>
  <c r="R1043" i="7"/>
  <c r="R1006" i="7"/>
  <c r="O1078" i="7"/>
  <c r="P1078" i="7" s="1"/>
  <c r="U1125" i="7"/>
  <c r="V1125" i="7" s="1"/>
  <c r="W1125" i="7" s="1"/>
  <c r="U1129" i="7"/>
  <c r="V1129" i="7" s="1"/>
  <c r="W1129" i="7" s="1"/>
  <c r="R953" i="7"/>
  <c r="R998" i="7"/>
  <c r="O1072" i="7"/>
  <c r="P1072" i="7" s="1"/>
  <c r="O1093" i="7"/>
  <c r="P1093" i="7" s="1"/>
  <c r="U1037" i="7"/>
  <c r="V1037" i="7" s="1"/>
  <c r="W1037" i="7" s="1"/>
  <c r="O1041" i="7"/>
  <c r="P1041" i="7" s="1"/>
  <c r="U1011" i="7"/>
  <c r="V1011" i="7" s="1"/>
  <c r="W1011" i="7" s="1"/>
  <c r="O1037" i="7"/>
  <c r="P1037" i="7" s="1"/>
  <c r="U1079" i="7"/>
  <c r="V1079" i="7" s="1"/>
  <c r="W1079" i="7" s="1"/>
  <c r="U1115" i="7"/>
  <c r="V1115" i="7" s="1"/>
  <c r="W1115" i="7" s="1"/>
  <c r="O1086" i="7"/>
  <c r="P1086" i="7" s="1"/>
  <c r="O1135" i="7"/>
  <c r="P1135" i="7" s="1"/>
  <c r="R955" i="7"/>
  <c r="R1069" i="7"/>
  <c r="R1025" i="7"/>
  <c r="R1080" i="7"/>
  <c r="R1065" i="7"/>
  <c r="R1063" i="7"/>
  <c r="O1149" i="7"/>
  <c r="P1149" i="7" s="1"/>
  <c r="O1205" i="7"/>
  <c r="P1205" i="7" s="1"/>
  <c r="O1020" i="7"/>
  <c r="P1020" i="7" s="1"/>
  <c r="O1050" i="7"/>
  <c r="P1050" i="7" s="1"/>
  <c r="O1092" i="7"/>
  <c r="P1092" i="7" s="1"/>
  <c r="U1118" i="7"/>
  <c r="V1118" i="7" s="1"/>
  <c r="W1118" i="7" s="1"/>
  <c r="U1066" i="7"/>
  <c r="V1066" i="7" s="1"/>
  <c r="W1066" i="7" s="1"/>
  <c r="O1071" i="7"/>
  <c r="P1071" i="7" s="1"/>
  <c r="O1080" i="7"/>
  <c r="P1080" i="7" s="1"/>
  <c r="U1100" i="7"/>
  <c r="V1100" i="7" s="1"/>
  <c r="W1100" i="7" s="1"/>
  <c r="U1018" i="7"/>
  <c r="V1018" i="7" s="1"/>
  <c r="W1018" i="7" s="1"/>
  <c r="O1120" i="7"/>
  <c r="P1120" i="7" s="1"/>
  <c r="U1053" i="7"/>
  <c r="V1053" i="7" s="1"/>
  <c r="W1053" i="7" s="1"/>
  <c r="O1081" i="7"/>
  <c r="P1081" i="7" s="1"/>
  <c r="U1092" i="7"/>
  <c r="V1092" i="7" s="1"/>
  <c r="W1092" i="7" s="1"/>
  <c r="U1074" i="7"/>
  <c r="V1074" i="7" s="1"/>
  <c r="W1074" i="7" s="1"/>
  <c r="R960" i="7"/>
  <c r="R950" i="7"/>
  <c r="R1001" i="7"/>
  <c r="R993" i="7"/>
  <c r="R966" i="7"/>
  <c r="R1005" i="7"/>
  <c r="R1039" i="7"/>
  <c r="R1041" i="7"/>
  <c r="R1033" i="7"/>
  <c r="O1143" i="7"/>
  <c r="P1143" i="7" s="1"/>
  <c r="O1198" i="7"/>
  <c r="P1198" i="7" s="1"/>
  <c r="O1176" i="7"/>
  <c r="P1176" i="7" s="1"/>
  <c r="O1049" i="7"/>
  <c r="P1049" i="7" s="1"/>
  <c r="O1064" i="7"/>
  <c r="P1064" i="7" s="1"/>
  <c r="U1097" i="7"/>
  <c r="V1097" i="7" s="1"/>
  <c r="W1097" i="7" s="1"/>
  <c r="U1070" i="7"/>
  <c r="V1070" i="7" s="1"/>
  <c r="W1070" i="7" s="1"/>
  <c r="O1034" i="7"/>
  <c r="P1034" i="7" s="1"/>
  <c r="O1005" i="7"/>
  <c r="P1005" i="7" s="1"/>
  <c r="U1119" i="7"/>
  <c r="V1119" i="7" s="1"/>
  <c r="W1119" i="7" s="1"/>
  <c r="U1060" i="7"/>
  <c r="V1060" i="7" s="1"/>
  <c r="W1060" i="7" s="1"/>
  <c r="O1097" i="7"/>
  <c r="P1097" i="7" s="1"/>
  <c r="U1016" i="7"/>
  <c r="V1016" i="7" s="1"/>
  <c r="W1016" i="7" s="1"/>
  <c r="O1068" i="7"/>
  <c r="P1068" i="7" s="1"/>
  <c r="U1111" i="7"/>
  <c r="V1111" i="7" s="1"/>
  <c r="W1111" i="7" s="1"/>
  <c r="U1110" i="7"/>
  <c r="V1110" i="7" s="1"/>
  <c r="W1110" i="7" s="1"/>
  <c r="O1039" i="7"/>
  <c r="P1039" i="7" s="1"/>
  <c r="O1111" i="7"/>
  <c r="P1111" i="7" s="1"/>
  <c r="R959" i="7"/>
  <c r="U1103" i="7"/>
  <c r="V1103" i="7" s="1"/>
  <c r="W1103" i="7" s="1"/>
  <c r="R971" i="7"/>
  <c r="O1200" i="7"/>
  <c r="P1200" i="7" s="1"/>
  <c r="O1040" i="7"/>
  <c r="P1040" i="7" s="1"/>
  <c r="U1090" i="7"/>
  <c r="V1090" i="7" s="1"/>
  <c r="W1090" i="7" s="1"/>
  <c r="O1029" i="7"/>
  <c r="P1029" i="7" s="1"/>
  <c r="U1012" i="7"/>
  <c r="V1012" i="7" s="1"/>
  <c r="W1012" i="7" s="1"/>
  <c r="U1131" i="7"/>
  <c r="V1131" i="7" s="1"/>
  <c r="W1131" i="7" s="1"/>
  <c r="O1090" i="7"/>
  <c r="P1090" i="7" s="1"/>
  <c r="R1024" i="7"/>
  <c r="O1137" i="7"/>
  <c r="P1137" i="7" s="1"/>
  <c r="U1121" i="7"/>
  <c r="V1121" i="7" s="1"/>
  <c r="W1121" i="7" s="1"/>
  <c r="U1064" i="7"/>
  <c r="V1064" i="7" s="1"/>
  <c r="W1064" i="7" s="1"/>
  <c r="U1065" i="7"/>
  <c r="V1065" i="7" s="1"/>
  <c r="W1065" i="7" s="1"/>
  <c r="O1098" i="7"/>
  <c r="P1098" i="7" s="1"/>
  <c r="U1086" i="7"/>
  <c r="V1086" i="7" s="1"/>
  <c r="W1086" i="7" s="1"/>
  <c r="U1052" i="7"/>
  <c r="V1052" i="7" s="1"/>
  <c r="W1052" i="7" s="1"/>
  <c r="O1052" i="7"/>
  <c r="P1052" i="7" s="1"/>
  <c r="O1107" i="7"/>
  <c r="P1107" i="7" s="1"/>
  <c r="U1010" i="7"/>
  <c r="V1010" i="7" s="1"/>
  <c r="W1010" i="7" s="1"/>
  <c r="O1006" i="7"/>
  <c r="P1006" i="7" s="1"/>
  <c r="U1056" i="7"/>
  <c r="V1056" i="7" s="1"/>
  <c r="W1056" i="7" s="1"/>
  <c r="U1040" i="7"/>
  <c r="V1040" i="7" s="1"/>
  <c r="W1040" i="7" s="1"/>
  <c r="U1101" i="7"/>
  <c r="V1101" i="7" s="1"/>
  <c r="W1101" i="7" s="1"/>
  <c r="R1079" i="7"/>
  <c r="O1191" i="7"/>
  <c r="P1191" i="7" s="1"/>
  <c r="R1030" i="7"/>
  <c r="R1056" i="7"/>
  <c r="O1146" i="7"/>
  <c r="P1146" i="7" s="1"/>
  <c r="O1168" i="7"/>
  <c r="P1168" i="7" s="1"/>
  <c r="O1199" i="7"/>
  <c r="P1199" i="7" s="1"/>
  <c r="O1013" i="7"/>
  <c r="P1013" i="7" s="1"/>
  <c r="O1007" i="7"/>
  <c r="P1007" i="7" s="1"/>
  <c r="O1123" i="7"/>
  <c r="P1123" i="7" s="1"/>
  <c r="U1091" i="7"/>
  <c r="V1091" i="7" s="1"/>
  <c r="W1091" i="7" s="1"/>
  <c r="U1003" i="7"/>
  <c r="V1003" i="7" s="1"/>
  <c r="W1003" i="7" s="1"/>
  <c r="O1054" i="7"/>
  <c r="P1054" i="7" s="1"/>
  <c r="O1109" i="7"/>
  <c r="P1109" i="7" s="1"/>
  <c r="U1038" i="7"/>
  <c r="V1038" i="7" s="1"/>
  <c r="W1038" i="7" s="1"/>
  <c r="O1066" i="7"/>
  <c r="P1066" i="7" s="1"/>
  <c r="U1117" i="7"/>
  <c r="V1117" i="7" s="1"/>
  <c r="W1117" i="7" s="1"/>
  <c r="U1058" i="7"/>
  <c r="V1058" i="7" s="1"/>
  <c r="W1058" i="7" s="1"/>
  <c r="O1103" i="7"/>
  <c r="P1103" i="7" s="1"/>
  <c r="U1041" i="7"/>
  <c r="V1041" i="7" s="1"/>
  <c r="W1041" i="7" s="1"/>
  <c r="R964" i="7"/>
  <c r="R982" i="7"/>
  <c r="R984" i="7"/>
  <c r="R427" i="7"/>
  <c r="R1049" i="7"/>
  <c r="R1019" i="7"/>
  <c r="R1070" i="7"/>
  <c r="R1045" i="7"/>
  <c r="O1165" i="7"/>
  <c r="P1165" i="7" s="1"/>
  <c r="O1209" i="7"/>
  <c r="P1209" i="7" s="1"/>
  <c r="O1021" i="7"/>
  <c r="P1021" i="7" s="1"/>
  <c r="O1047" i="7"/>
  <c r="P1047" i="7" s="1"/>
  <c r="O1089" i="7"/>
  <c r="P1089" i="7" s="1"/>
  <c r="U1093" i="7"/>
  <c r="V1093" i="7" s="1"/>
  <c r="W1093" i="7" s="1"/>
  <c r="U1029" i="7"/>
  <c r="V1029" i="7" s="1"/>
  <c r="W1029" i="7" s="1"/>
  <c r="O1119" i="7"/>
  <c r="P1119" i="7" s="1"/>
  <c r="O1095" i="7"/>
  <c r="P1095" i="7" s="1"/>
  <c r="U1084" i="7"/>
  <c r="V1084" i="7" s="1"/>
  <c r="W1084" i="7" s="1"/>
  <c r="U1019" i="7"/>
  <c r="V1019" i="7" s="1"/>
  <c r="W1019" i="7" s="1"/>
  <c r="O1112" i="7"/>
  <c r="P1112" i="7" s="1"/>
  <c r="U1027" i="7"/>
  <c r="V1027" i="7" s="1"/>
  <c r="W1027" i="7" s="1"/>
  <c r="O1017" i="7"/>
  <c r="P1017" i="7" s="1"/>
  <c r="U1095" i="7"/>
  <c r="V1095" i="7" s="1"/>
  <c r="W1095" i="7" s="1"/>
  <c r="O1105" i="7"/>
  <c r="P1105" i="7" s="1"/>
  <c r="O1170" i="7"/>
  <c r="P1170" i="7" s="1"/>
  <c r="U1124" i="7"/>
  <c r="V1124" i="7" s="1"/>
  <c r="W1124" i="7" s="1"/>
  <c r="U1104" i="7"/>
  <c r="V1104" i="7" s="1"/>
  <c r="W1104" i="7" s="1"/>
  <c r="R974" i="7"/>
  <c r="O1201" i="7"/>
  <c r="P1201" i="7" s="1"/>
  <c r="O1118" i="7"/>
  <c r="P1118" i="7" s="1"/>
  <c r="O1015" i="7"/>
  <c r="P1015" i="7" s="1"/>
  <c r="U1047" i="7"/>
  <c r="V1047" i="7" s="1"/>
  <c r="W1047" i="7" s="1"/>
  <c r="U1102" i="7"/>
  <c r="V1102" i="7" s="1"/>
  <c r="W1102" i="7" s="1"/>
  <c r="U1031" i="7"/>
  <c r="V1031" i="7" s="1"/>
  <c r="W1031" i="7" s="1"/>
  <c r="O1010" i="7"/>
  <c r="P1010" i="7" s="1"/>
  <c r="U1088" i="7"/>
  <c r="V1088" i="7" s="1"/>
  <c r="W1088" i="7" s="1"/>
  <c r="U1132" i="7"/>
  <c r="V1132" i="7" s="1"/>
  <c r="W1132" i="7" s="1"/>
  <c r="U1048" i="7"/>
  <c r="V1048" i="7" s="1"/>
  <c r="W1048" i="7" s="1"/>
  <c r="R992" i="7"/>
  <c r="O1009" i="7"/>
  <c r="P1009" i="7" s="1"/>
  <c r="O1091" i="7"/>
  <c r="P1091" i="7" s="1"/>
  <c r="U1008" i="7"/>
  <c r="V1008" i="7" s="1"/>
  <c r="W1008" i="7" s="1"/>
  <c r="O1023" i="7"/>
  <c r="P1023" i="7" s="1"/>
  <c r="U1080" i="7"/>
  <c r="V1080" i="7" s="1"/>
  <c r="W1080" i="7" s="1"/>
  <c r="U1072" i="7"/>
  <c r="V1072" i="7" s="1"/>
  <c r="W1072" i="7" s="1"/>
  <c r="U1122" i="7"/>
  <c r="V1122" i="7" s="1"/>
  <c r="W1122" i="7" s="1"/>
  <c r="R969" i="7"/>
  <c r="O1206" i="7"/>
  <c r="P1206" i="7" s="1"/>
  <c r="U1067" i="7"/>
  <c r="V1067" i="7" s="1"/>
  <c r="W1067" i="7" s="1"/>
  <c r="O1108" i="7"/>
  <c r="P1108" i="7" s="1"/>
  <c r="U1043" i="7"/>
  <c r="V1043" i="7" s="1"/>
  <c r="W1043" i="7" s="1"/>
  <c r="O1046" i="7"/>
  <c r="P1046" i="7" s="1"/>
  <c r="R997" i="7"/>
  <c r="O1059" i="7"/>
  <c r="P1059" i="7" s="1"/>
  <c r="O1094" i="7"/>
  <c r="P1094" i="7" s="1"/>
  <c r="U1022" i="7"/>
  <c r="V1022" i="7" s="1"/>
  <c r="W1022" i="7" s="1"/>
  <c r="O1132" i="7"/>
  <c r="P1132" i="7" s="1"/>
  <c r="O1014" i="7"/>
  <c r="P1014" i="7" s="1"/>
  <c r="U1054" i="7"/>
  <c r="V1054" i="7" s="1"/>
  <c r="W1054" i="7" s="1"/>
  <c r="U1073" i="7"/>
  <c r="V1073" i="7" s="1"/>
  <c r="W1073" i="7" s="1"/>
  <c r="R1062" i="7"/>
  <c r="R1021" i="7"/>
  <c r="O1148" i="7"/>
  <c r="P1148" i="7" s="1"/>
  <c r="O1174" i="7"/>
  <c r="P1174" i="7" s="1"/>
  <c r="O1178" i="7"/>
  <c r="P1178" i="7" s="1"/>
  <c r="O1088" i="7"/>
  <c r="P1088" i="7" s="1"/>
  <c r="O1030" i="7"/>
  <c r="P1030" i="7" s="1"/>
  <c r="O1121" i="7"/>
  <c r="P1121" i="7" s="1"/>
  <c r="U1051" i="7"/>
  <c r="V1051" i="7" s="1"/>
  <c r="W1051" i="7" s="1"/>
  <c r="U1035" i="7"/>
  <c r="V1035" i="7" s="1"/>
  <c r="W1035" i="7" s="1"/>
  <c r="O1077" i="7"/>
  <c r="P1077" i="7" s="1"/>
  <c r="O1102" i="7"/>
  <c r="P1102" i="7" s="1"/>
  <c r="U1005" i="7"/>
  <c r="V1005" i="7" s="1"/>
  <c r="W1005" i="7" s="1"/>
  <c r="O1044" i="7"/>
  <c r="P1044" i="7" s="1"/>
  <c r="U1126" i="7"/>
  <c r="V1126" i="7" s="1"/>
  <c r="W1126" i="7" s="1"/>
  <c r="U1007" i="7"/>
  <c r="V1007" i="7" s="1"/>
  <c r="W1007" i="7" s="1"/>
  <c r="O1117" i="7"/>
  <c r="P1117" i="7" s="1"/>
  <c r="U1030" i="7"/>
  <c r="V1030" i="7" s="1"/>
  <c r="W1030" i="7" s="1"/>
  <c r="R1077" i="7"/>
  <c r="R1017" i="7"/>
  <c r="O1158" i="7"/>
  <c r="P1158" i="7" s="1"/>
  <c r="O1172" i="7"/>
  <c r="P1172" i="7" s="1"/>
  <c r="O1203" i="7"/>
  <c r="P1203" i="7" s="1"/>
  <c r="O1051" i="7"/>
  <c r="P1051" i="7" s="1"/>
  <c r="O1033" i="7"/>
  <c r="P1033" i="7" s="1"/>
  <c r="O1104" i="7"/>
  <c r="P1104" i="7" s="1"/>
  <c r="U1106" i="7"/>
  <c r="V1106" i="7" s="1"/>
  <c r="W1106" i="7" s="1"/>
  <c r="U1062" i="7"/>
  <c r="V1062" i="7" s="1"/>
  <c r="W1062" i="7" s="1"/>
  <c r="O1075" i="7"/>
  <c r="P1075" i="7" s="1"/>
  <c r="O1110" i="7"/>
  <c r="P1110" i="7" s="1"/>
  <c r="U1009" i="7"/>
  <c r="V1009" i="7" s="1"/>
  <c r="W1009" i="7" s="1"/>
  <c r="O1038" i="7"/>
  <c r="P1038" i="7" s="1"/>
  <c r="U1128" i="7"/>
  <c r="V1128" i="7" s="1"/>
  <c r="W1128" i="7" s="1"/>
  <c r="U1023" i="7"/>
  <c r="V1023" i="7" s="1"/>
  <c r="W1023" i="7" s="1"/>
  <c r="O1101" i="7"/>
  <c r="P1101" i="7" s="1"/>
  <c r="U1071" i="7"/>
  <c r="V1071" i="7" s="1"/>
  <c r="W1071" i="7" s="1"/>
  <c r="U1057" i="7"/>
  <c r="V1057" i="7" s="1"/>
  <c r="W1057" i="7" s="1"/>
  <c r="R946" i="7"/>
  <c r="R981" i="7"/>
  <c r="R1050" i="7"/>
  <c r="R1076" i="7"/>
  <c r="R1046" i="7"/>
  <c r="R1053" i="7"/>
  <c r="O1155" i="7"/>
  <c r="P1155" i="7" s="1"/>
  <c r="O1202" i="7"/>
  <c r="P1202" i="7" s="1"/>
  <c r="U1082" i="7"/>
  <c r="V1082" i="7" s="1"/>
  <c r="W1082" i="7" s="1"/>
  <c r="O1085" i="7"/>
  <c r="P1085" i="7" s="1"/>
  <c r="O1067" i="7"/>
  <c r="P1067" i="7" s="1"/>
  <c r="O1125" i="7"/>
  <c r="P1125" i="7" s="1"/>
  <c r="U1004" i="7"/>
  <c r="V1004" i="7" s="1"/>
  <c r="W1004" i="7" s="1"/>
  <c r="U1021" i="7"/>
  <c r="V1021" i="7" s="1"/>
  <c r="W1021" i="7" s="1"/>
  <c r="O1100" i="7"/>
  <c r="P1100" i="7" s="1"/>
  <c r="U1107" i="7"/>
  <c r="V1107" i="7" s="1"/>
  <c r="W1107" i="7" s="1"/>
  <c r="U1013" i="7"/>
  <c r="V1013" i="7" s="1"/>
  <c r="W1013" i="7" s="1"/>
  <c r="O1060" i="7"/>
  <c r="P1060" i="7" s="1"/>
  <c r="U1127" i="7"/>
  <c r="V1127" i="7" s="1"/>
  <c r="W1127" i="7" s="1"/>
  <c r="U1075" i="7"/>
  <c r="V1075" i="7" s="1"/>
  <c r="W1075" i="7" s="1"/>
  <c r="R965" i="7"/>
  <c r="R947" i="7"/>
  <c r="R1015" i="7"/>
  <c r="R1020" i="7"/>
  <c r="R1038" i="7"/>
  <c r="R1067" i="7"/>
  <c r="R1073" i="7"/>
  <c r="O1133" i="7"/>
  <c r="P1133" i="7" s="1"/>
  <c r="O1151" i="7"/>
  <c r="P1151" i="7" s="1"/>
  <c r="O1187" i="7"/>
  <c r="P1187" i="7" s="1"/>
  <c r="O1207" i="7"/>
  <c r="P1207" i="7" s="1"/>
  <c r="R1027" i="7"/>
  <c r="R1074" i="7"/>
  <c r="R1058" i="7"/>
  <c r="O1150" i="7"/>
  <c r="P1150" i="7" s="1"/>
  <c r="O1182" i="7"/>
  <c r="P1182" i="7" s="1"/>
  <c r="O1227" i="7"/>
  <c r="P1227" i="7" s="1"/>
  <c r="O1239" i="7"/>
  <c r="P1239" i="7" s="1"/>
  <c r="O1243" i="7"/>
  <c r="P1243" i="7" s="1"/>
  <c r="R1000" i="7"/>
  <c r="R948" i="7"/>
  <c r="R999" i="7"/>
  <c r="R957" i="7"/>
  <c r="R1026" i="7"/>
  <c r="R1035" i="7"/>
  <c r="O1138" i="7"/>
  <c r="P1138" i="7" s="1"/>
  <c r="O1173" i="7"/>
  <c r="P1173" i="7" s="1"/>
  <c r="O1184" i="7"/>
  <c r="P1184" i="7" s="1"/>
  <c r="U1078" i="7"/>
  <c r="V1078" i="7" s="1"/>
  <c r="W1078" i="7" s="1"/>
  <c r="O1065" i="7"/>
  <c r="P1065" i="7" s="1"/>
  <c r="O1069" i="7"/>
  <c r="P1069" i="7" s="1"/>
  <c r="U1116" i="7"/>
  <c r="V1116" i="7" s="1"/>
  <c r="W1116" i="7" s="1"/>
  <c r="U1026" i="7"/>
  <c r="V1026" i="7" s="1"/>
  <c r="W1026" i="7" s="1"/>
  <c r="O1074" i="7"/>
  <c r="P1074" i="7" s="1"/>
  <c r="O1131" i="7"/>
  <c r="P1131" i="7" s="1"/>
  <c r="U1083" i="7"/>
  <c r="V1083" i="7" s="1"/>
  <c r="W1083" i="7" s="1"/>
  <c r="U1034" i="7"/>
  <c r="V1034" i="7" s="1"/>
  <c r="W1034" i="7" s="1"/>
  <c r="O1087" i="7"/>
  <c r="P1087" i="7" s="1"/>
  <c r="U1108" i="7"/>
  <c r="V1108" i="7" s="1"/>
  <c r="W1108" i="7" s="1"/>
  <c r="U1044" i="7"/>
  <c r="V1044" i="7" s="1"/>
  <c r="W1044" i="7" s="1"/>
  <c r="R990" i="7"/>
  <c r="R995" i="7"/>
  <c r="R977" i="7"/>
  <c r="R1048" i="7"/>
  <c r="R1082" i="7"/>
  <c r="R1003" i="7"/>
  <c r="O1154" i="7"/>
  <c r="P1154" i="7" s="1"/>
  <c r="O1161" i="7"/>
  <c r="P1161" i="7" s="1"/>
  <c r="O1189" i="7"/>
  <c r="P1189" i="7" s="1"/>
  <c r="O1186" i="7"/>
  <c r="P1186" i="7" s="1"/>
  <c r="O1147" i="7"/>
  <c r="P1147" i="7" s="1"/>
  <c r="O1216" i="7"/>
  <c r="P1216" i="7" s="1"/>
  <c r="O1218" i="7"/>
  <c r="P1218" i="7" s="1"/>
  <c r="O1260" i="7"/>
  <c r="P1260" i="7" s="1"/>
  <c r="O1263" i="7"/>
  <c r="P1263" i="7" s="1"/>
  <c r="U1076" i="7"/>
  <c r="V1076" i="7" s="1"/>
  <c r="W1076" i="7" s="1"/>
  <c r="R951" i="7"/>
  <c r="O1162" i="7"/>
  <c r="P1162" i="7" s="1"/>
  <c r="O1157" i="7"/>
  <c r="P1157" i="7" s="1"/>
  <c r="O1197" i="7"/>
  <c r="P1197" i="7" s="1"/>
  <c r="O1016" i="7"/>
  <c r="P1016" i="7" s="1"/>
  <c r="O1036" i="7"/>
  <c r="P1036" i="7" s="1"/>
  <c r="O1096" i="7"/>
  <c r="P1096" i="7" s="1"/>
  <c r="U1114" i="7"/>
  <c r="V1114" i="7" s="1"/>
  <c r="W1114" i="7" s="1"/>
  <c r="U1028" i="7"/>
  <c r="V1028" i="7" s="1"/>
  <c r="W1028" i="7" s="1"/>
  <c r="O1056" i="7"/>
  <c r="P1056" i="7" s="1"/>
  <c r="O1129" i="7"/>
  <c r="P1129" i="7" s="1"/>
  <c r="U1046" i="7"/>
  <c r="V1046" i="7" s="1"/>
  <c r="W1046" i="7" s="1"/>
  <c r="U1033" i="7"/>
  <c r="V1033" i="7" s="1"/>
  <c r="W1033" i="7" s="1"/>
  <c r="O1124" i="7"/>
  <c r="P1124" i="7" s="1"/>
  <c r="U1094" i="7"/>
  <c r="V1094" i="7" s="1"/>
  <c r="W1094" i="7" s="1"/>
  <c r="U1036" i="7"/>
  <c r="V1036" i="7" s="1"/>
  <c r="W1036" i="7" s="1"/>
  <c r="R985" i="7"/>
  <c r="R954" i="7"/>
  <c r="R988" i="7"/>
  <c r="R979" i="7"/>
  <c r="R1016" i="7"/>
  <c r="R1011" i="7"/>
  <c r="R1036" i="7"/>
  <c r="R1068" i="7"/>
  <c r="O1144" i="7"/>
  <c r="P1144" i="7" s="1"/>
  <c r="O1153" i="7"/>
  <c r="P1153" i="7" s="1"/>
  <c r="O1193" i="7"/>
  <c r="P1193" i="7" s="1"/>
  <c r="O1204" i="7"/>
  <c r="P1204" i="7" s="1"/>
  <c r="R1037" i="7"/>
  <c r="R1078" i="7"/>
  <c r="R1066" i="7"/>
  <c r="R1081" i="7"/>
  <c r="R1012" i="7"/>
  <c r="R1013" i="7"/>
  <c r="R1040" i="7"/>
  <c r="O1159" i="7"/>
  <c r="P1159" i="7" s="1"/>
  <c r="O1232" i="7"/>
  <c r="P1232" i="7" s="1"/>
  <c r="O1234" i="7"/>
  <c r="P1234" i="7" s="1"/>
  <c r="O1213" i="7"/>
  <c r="P1213" i="7" s="1"/>
  <c r="O1245" i="7"/>
  <c r="P1245" i="7" s="1"/>
  <c r="U1063" i="7"/>
  <c r="V1063" i="7" s="1"/>
  <c r="W1063" i="7" s="1"/>
  <c r="R983" i="7"/>
  <c r="R1071" i="7"/>
  <c r="R1010" i="7"/>
  <c r="R1018" i="7"/>
  <c r="O1160" i="7"/>
  <c r="P1160" i="7" s="1"/>
  <c r="O1163" i="7"/>
  <c r="P1163" i="7" s="1"/>
  <c r="O1192" i="7"/>
  <c r="P1192" i="7" s="1"/>
  <c r="O1079" i="7"/>
  <c r="P1079" i="7" s="1"/>
  <c r="O1004" i="7"/>
  <c r="P1004" i="7" s="1"/>
  <c r="O1127" i="7"/>
  <c r="P1127" i="7" s="1"/>
  <c r="U1087" i="7"/>
  <c r="V1087" i="7" s="1"/>
  <c r="W1087" i="7" s="1"/>
  <c r="U1025" i="7"/>
  <c r="V1025" i="7" s="1"/>
  <c r="W1025" i="7" s="1"/>
  <c r="O1058" i="7"/>
  <c r="P1058" i="7" s="1"/>
  <c r="U1113" i="7"/>
  <c r="V1113" i="7" s="1"/>
  <c r="W1113" i="7" s="1"/>
  <c r="U1014" i="7"/>
  <c r="V1014" i="7" s="1"/>
  <c r="W1014" i="7" s="1"/>
  <c r="O1053" i="7"/>
  <c r="P1053" i="7" s="1"/>
  <c r="U1081" i="7"/>
  <c r="V1081" i="7" s="1"/>
  <c r="W1081" i="7" s="1"/>
  <c r="U1042" i="7"/>
  <c r="V1042" i="7" s="1"/>
  <c r="W1042" i="7" s="1"/>
  <c r="R963" i="7"/>
  <c r="R978" i="7"/>
  <c r="R1002" i="7"/>
  <c r="R1047" i="7"/>
  <c r="R1032" i="7"/>
  <c r="R1007" i="7"/>
  <c r="O1167" i="7"/>
  <c r="P1167" i="7" s="1"/>
  <c r="O1166" i="7"/>
  <c r="P1166" i="7" s="1"/>
  <c r="O1188" i="7"/>
  <c r="P1188" i="7" s="1"/>
  <c r="R1054" i="7"/>
  <c r="R1072" i="7"/>
  <c r="O1210" i="7"/>
  <c r="P1210" i="7" s="1"/>
  <c r="O1248" i="7"/>
  <c r="P1248" i="7" s="1"/>
  <c r="O1253" i="7"/>
  <c r="P1253" i="7" s="1"/>
  <c r="O1229" i="7"/>
  <c r="P1229" i="7" s="1"/>
  <c r="O1279" i="7"/>
  <c r="P1279" i="7" s="1"/>
  <c r="O1134" i="7"/>
  <c r="P1134" i="7" s="1"/>
  <c r="O1171" i="7"/>
  <c r="P1171" i="7" s="1"/>
  <c r="O1164" i="7"/>
  <c r="P1164" i="7" s="1"/>
  <c r="O1194" i="7"/>
  <c r="P1194" i="7" s="1"/>
  <c r="O1211" i="7"/>
  <c r="P1211" i="7" s="1"/>
  <c r="O1212" i="7"/>
  <c r="P1212" i="7" s="1"/>
  <c r="O1228" i="7"/>
  <c r="P1228" i="7" s="1"/>
  <c r="O1244" i="7"/>
  <c r="P1244" i="7" s="1"/>
  <c r="O1223" i="7"/>
  <c r="P1223" i="7" s="1"/>
  <c r="O1214" i="7"/>
  <c r="P1214" i="7" s="1"/>
  <c r="O1230" i="7"/>
  <c r="P1230" i="7" s="1"/>
  <c r="O1246" i="7"/>
  <c r="P1246" i="7" s="1"/>
  <c r="O1265" i="7"/>
  <c r="P1265" i="7" s="1"/>
  <c r="O1256" i="7"/>
  <c r="P1256" i="7" s="1"/>
  <c r="O1272" i="7"/>
  <c r="P1272" i="7" s="1"/>
  <c r="O1225" i="7"/>
  <c r="P1225" i="7" s="1"/>
  <c r="O1241" i="7"/>
  <c r="P1241" i="7" s="1"/>
  <c r="O1259" i="7"/>
  <c r="P1259" i="7" s="1"/>
  <c r="O1275" i="7"/>
  <c r="P1275" i="7" s="1"/>
  <c r="O1273" i="7"/>
  <c r="P1273" i="7" s="1"/>
  <c r="O1291" i="7"/>
  <c r="P1291" i="7" s="1"/>
  <c r="O1307" i="7"/>
  <c r="P1307" i="7" s="1"/>
  <c r="O1286" i="7"/>
  <c r="P1286" i="7" s="1"/>
  <c r="O1302" i="7"/>
  <c r="P1302" i="7" s="1"/>
  <c r="O1247" i="7"/>
  <c r="P1247" i="7" s="1"/>
  <c r="O1274" i="7"/>
  <c r="P1274" i="7" s="1"/>
  <c r="O1289" i="7"/>
  <c r="P1289" i="7" s="1"/>
  <c r="O1305" i="7"/>
  <c r="P1305" i="7" s="1"/>
  <c r="O1312" i="7"/>
  <c r="P1312" i="7" s="1"/>
  <c r="O1330" i="7"/>
  <c r="P1330" i="7" s="1"/>
  <c r="O1346" i="7"/>
  <c r="P1346" i="7" s="1"/>
  <c r="O1317" i="7"/>
  <c r="P1317" i="7" s="1"/>
  <c r="O1333" i="7"/>
  <c r="P1333" i="7" s="1"/>
  <c r="O1349" i="7"/>
  <c r="P1349" i="7" s="1"/>
  <c r="O1365" i="7"/>
  <c r="P1365" i="7" s="1"/>
  <c r="O1280" i="7"/>
  <c r="P1280" i="7" s="1"/>
  <c r="O1316" i="7"/>
  <c r="P1316" i="7" s="1"/>
  <c r="O1332" i="7"/>
  <c r="P1332" i="7" s="1"/>
  <c r="O1348" i="7"/>
  <c r="P1348" i="7" s="1"/>
  <c r="O1364" i="7"/>
  <c r="P1364" i="7" s="1"/>
  <c r="O1262" i="7"/>
  <c r="P1262" i="7" s="1"/>
  <c r="O1355" i="7"/>
  <c r="P1355" i="7" s="1"/>
  <c r="O1371" i="7"/>
  <c r="P1371" i="7" s="1"/>
  <c r="O1323" i="7"/>
  <c r="P1323" i="7" s="1"/>
  <c r="O1380" i="7"/>
  <c r="P1380" i="7" s="1"/>
  <c r="O1319" i="7"/>
  <c r="P1319" i="7" s="1"/>
  <c r="O1358" i="7"/>
  <c r="P1358" i="7" s="1"/>
  <c r="O1378" i="7"/>
  <c r="P1378" i="7" s="1"/>
  <c r="U1340" i="7"/>
  <c r="V1340" i="7" s="1"/>
  <c r="W1340" i="7" s="1"/>
  <c r="U1375" i="7"/>
  <c r="V1375" i="7" s="1"/>
  <c r="W1375" i="7" s="1"/>
  <c r="U1355" i="7"/>
  <c r="V1355" i="7" s="1"/>
  <c r="W1355" i="7" s="1"/>
  <c r="U1379" i="7"/>
  <c r="V1379" i="7" s="1"/>
  <c r="W1379" i="7" s="1"/>
  <c r="U1381" i="7"/>
  <c r="V1381" i="7" s="1"/>
  <c r="W1381" i="7" s="1"/>
  <c r="U1368" i="7"/>
  <c r="V1368" i="7" s="1"/>
  <c r="W1368" i="7" s="1"/>
  <c r="U1352" i="7"/>
  <c r="V1352" i="7" s="1"/>
  <c r="W1352" i="7" s="1"/>
  <c r="U1373" i="7"/>
  <c r="V1373" i="7" s="1"/>
  <c r="W1373" i="7" s="1"/>
  <c r="U1357" i="7"/>
  <c r="V1357" i="7" s="1"/>
  <c r="W1357" i="7" s="1"/>
  <c r="U1341" i="7"/>
  <c r="V1341" i="7" s="1"/>
  <c r="W1341" i="7" s="1"/>
  <c r="U1325" i="7"/>
  <c r="V1325" i="7" s="1"/>
  <c r="W1325" i="7" s="1"/>
  <c r="U1305" i="7"/>
  <c r="V1305" i="7" s="1"/>
  <c r="W1305" i="7" s="1"/>
  <c r="U1370" i="7"/>
  <c r="V1370" i="7" s="1"/>
  <c r="W1370" i="7" s="1"/>
  <c r="U1354" i="7"/>
  <c r="V1354" i="7" s="1"/>
  <c r="W1354" i="7" s="1"/>
  <c r="U1338" i="7"/>
  <c r="V1338" i="7" s="1"/>
  <c r="W1338" i="7" s="1"/>
  <c r="U1322" i="7"/>
  <c r="V1322" i="7" s="1"/>
  <c r="W1322" i="7" s="1"/>
  <c r="U1277" i="7"/>
  <c r="V1277" i="7" s="1"/>
  <c r="W1277" i="7" s="1"/>
  <c r="U1339" i="7"/>
  <c r="V1339" i="7" s="1"/>
  <c r="W1339" i="7" s="1"/>
  <c r="U1323" i="7"/>
  <c r="V1323" i="7" s="1"/>
  <c r="W1323" i="7" s="1"/>
  <c r="U1297" i="7"/>
  <c r="V1297" i="7" s="1"/>
  <c r="W1297" i="7" s="1"/>
  <c r="U1310" i="7"/>
  <c r="V1310" i="7" s="1"/>
  <c r="W1310" i="7" s="1"/>
  <c r="U1294" i="7"/>
  <c r="V1294" i="7" s="1"/>
  <c r="W1294" i="7" s="1"/>
  <c r="U1278" i="7"/>
  <c r="V1278" i="7" s="1"/>
  <c r="W1278" i="7" s="1"/>
  <c r="U1315" i="7"/>
  <c r="V1315" i="7" s="1"/>
  <c r="W1315" i="7" s="1"/>
  <c r="U1299" i="7"/>
  <c r="V1299" i="7" s="1"/>
  <c r="W1299" i="7" s="1"/>
  <c r="U1283" i="7"/>
  <c r="V1283" i="7" s="1"/>
  <c r="W1283" i="7" s="1"/>
  <c r="U1308" i="7"/>
  <c r="V1308" i="7" s="1"/>
  <c r="W1308" i="7" s="1"/>
  <c r="U1292" i="7"/>
  <c r="V1292" i="7" s="1"/>
  <c r="W1292" i="7" s="1"/>
  <c r="U1276" i="7"/>
  <c r="V1276" i="7" s="1"/>
  <c r="W1276" i="7" s="1"/>
  <c r="U1251" i="7"/>
  <c r="V1251" i="7" s="1"/>
  <c r="W1251" i="7" s="1"/>
  <c r="U1264" i="7"/>
  <c r="V1264" i="7" s="1"/>
  <c r="W1264" i="7" s="1"/>
  <c r="U1244" i="7"/>
  <c r="V1244" i="7" s="1"/>
  <c r="W1244" i="7" s="1"/>
  <c r="U1265" i="7"/>
  <c r="V1265" i="7" s="1"/>
  <c r="W1265" i="7" s="1"/>
  <c r="U1240" i="7"/>
  <c r="V1240" i="7" s="1"/>
  <c r="W1240" i="7" s="1"/>
  <c r="U1254" i="7"/>
  <c r="V1254" i="7" s="1"/>
  <c r="W1254" i="7" s="1"/>
  <c r="U1230" i="7"/>
  <c r="V1230" i="7" s="1"/>
  <c r="W1230" i="7" s="1"/>
  <c r="U1214" i="7"/>
  <c r="V1214" i="7" s="1"/>
  <c r="W1214" i="7" s="1"/>
  <c r="U1235" i="7"/>
  <c r="V1235" i="7" s="1"/>
  <c r="W1235" i="7" s="1"/>
  <c r="U1219" i="7"/>
  <c r="V1219" i="7" s="1"/>
  <c r="W1219" i="7" s="1"/>
  <c r="U1228" i="7"/>
  <c r="V1228" i="7" s="1"/>
  <c r="W1228" i="7" s="1"/>
  <c r="U1212" i="7"/>
  <c r="V1212" i="7" s="1"/>
  <c r="W1212" i="7" s="1"/>
  <c r="U1233" i="7"/>
  <c r="V1233" i="7" s="1"/>
  <c r="W1233" i="7" s="1"/>
  <c r="U1217" i="7"/>
  <c r="V1217" i="7" s="1"/>
  <c r="W1217" i="7" s="1"/>
  <c r="U1170" i="7"/>
  <c r="V1170" i="7" s="1"/>
  <c r="W1170" i="7" s="1"/>
  <c r="U1156" i="7"/>
  <c r="V1156" i="7" s="1"/>
  <c r="W1156" i="7" s="1"/>
  <c r="U1145" i="7"/>
  <c r="V1145" i="7" s="1"/>
  <c r="W1145" i="7" s="1"/>
  <c r="U1191" i="7"/>
  <c r="V1191" i="7" s="1"/>
  <c r="W1191" i="7" s="1"/>
  <c r="U1181" i="7"/>
  <c r="V1181" i="7" s="1"/>
  <c r="W1181" i="7" s="1"/>
  <c r="U1210" i="7"/>
  <c r="V1210" i="7" s="1"/>
  <c r="W1210" i="7" s="1"/>
  <c r="U1193" i="7"/>
  <c r="V1193" i="7" s="1"/>
  <c r="W1193" i="7" s="1"/>
  <c r="U1175" i="7"/>
  <c r="V1175" i="7" s="1"/>
  <c r="W1175" i="7" s="1"/>
  <c r="U1200" i="7"/>
  <c r="V1200" i="7" s="1"/>
  <c r="W1200" i="7" s="1"/>
  <c r="U1140" i="7"/>
  <c r="V1140" i="7" s="1"/>
  <c r="W1140" i="7" s="1"/>
  <c r="U1165" i="7"/>
  <c r="V1165" i="7" s="1"/>
  <c r="W1165" i="7" s="1"/>
  <c r="U1139" i="7"/>
  <c r="V1139" i="7" s="1"/>
  <c r="W1139" i="7" s="1"/>
  <c r="U1143" i="7"/>
  <c r="V1143" i="7" s="1"/>
  <c r="W1143" i="7" s="1"/>
  <c r="U1161" i="7"/>
  <c r="V1161" i="7" s="1"/>
  <c r="W1161" i="7" s="1"/>
  <c r="U1207" i="7"/>
  <c r="V1207" i="7" s="1"/>
  <c r="W1207" i="7" s="1"/>
  <c r="U1189" i="7"/>
  <c r="V1189" i="7" s="1"/>
  <c r="W1189" i="7" s="1"/>
  <c r="U1162" i="7"/>
  <c r="V1162" i="7" s="1"/>
  <c r="W1162" i="7" s="1"/>
  <c r="U1202" i="7"/>
  <c r="V1202" i="7" s="1"/>
  <c r="W1202" i="7" s="1"/>
  <c r="U1177" i="7"/>
  <c r="V1177" i="7" s="1"/>
  <c r="W1177" i="7" s="1"/>
  <c r="U1172" i="7"/>
  <c r="V1172" i="7" s="1"/>
  <c r="W1172" i="7" s="1"/>
  <c r="O1295" i="7"/>
  <c r="P1295" i="7" s="1"/>
  <c r="O1254" i="7"/>
  <c r="P1254" i="7" s="1"/>
  <c r="O1290" i="7"/>
  <c r="P1290" i="7" s="1"/>
  <c r="O1306" i="7"/>
  <c r="P1306" i="7" s="1"/>
  <c r="O1250" i="7"/>
  <c r="P1250" i="7" s="1"/>
  <c r="O1277" i="7"/>
  <c r="P1277" i="7" s="1"/>
  <c r="O1293" i="7"/>
  <c r="P1293" i="7" s="1"/>
  <c r="O1309" i="7"/>
  <c r="P1309" i="7" s="1"/>
  <c r="O1318" i="7"/>
  <c r="P1318" i="7" s="1"/>
  <c r="O1334" i="7"/>
  <c r="P1334" i="7" s="1"/>
  <c r="O1350" i="7"/>
  <c r="P1350" i="7" s="1"/>
  <c r="O1321" i="7"/>
  <c r="P1321" i="7" s="1"/>
  <c r="O1337" i="7"/>
  <c r="P1337" i="7" s="1"/>
  <c r="O1353" i="7"/>
  <c r="P1353" i="7" s="1"/>
  <c r="O1369" i="7"/>
  <c r="P1369" i="7" s="1"/>
  <c r="O1296" i="7"/>
  <c r="P1296" i="7" s="1"/>
  <c r="O1320" i="7"/>
  <c r="P1320" i="7" s="1"/>
  <c r="O1336" i="7"/>
  <c r="P1336" i="7" s="1"/>
  <c r="O1352" i="7"/>
  <c r="P1352" i="7" s="1"/>
  <c r="O1368" i="7"/>
  <c r="P1368" i="7" s="1"/>
  <c r="O1292" i="7"/>
  <c r="P1292" i="7" s="1"/>
  <c r="O1359" i="7"/>
  <c r="P1359" i="7" s="1"/>
  <c r="O1375" i="7"/>
  <c r="P1375" i="7" s="1"/>
  <c r="O1339" i="7"/>
  <c r="P1339" i="7" s="1"/>
  <c r="O1276" i="7"/>
  <c r="P1276" i="7" s="1"/>
  <c r="O1335" i="7"/>
  <c r="P1335" i="7" s="1"/>
  <c r="O1362" i="7"/>
  <c r="P1362" i="7" s="1"/>
  <c r="O1331" i="7"/>
  <c r="P1331" i="7" s="1"/>
  <c r="U1324" i="7"/>
  <c r="V1324" i="7" s="1"/>
  <c r="W1324" i="7" s="1"/>
  <c r="U1371" i="7"/>
  <c r="V1371" i="7" s="1"/>
  <c r="W1371" i="7" s="1"/>
  <c r="U1344" i="7"/>
  <c r="V1344" i="7" s="1"/>
  <c r="W1344" i="7" s="1"/>
  <c r="U1348" i="7"/>
  <c r="V1348" i="7" s="1"/>
  <c r="W1348" i="7" s="1"/>
  <c r="U1380" i="7"/>
  <c r="V1380" i="7" s="1"/>
  <c r="W1380" i="7" s="1"/>
  <c r="U1364" i="7"/>
  <c r="V1364" i="7" s="1"/>
  <c r="W1364" i="7" s="1"/>
  <c r="U1336" i="7"/>
  <c r="V1336" i="7" s="1"/>
  <c r="W1336" i="7" s="1"/>
  <c r="U1369" i="7"/>
  <c r="V1369" i="7" s="1"/>
  <c r="W1369" i="7" s="1"/>
  <c r="U1353" i="7"/>
  <c r="V1353" i="7" s="1"/>
  <c r="W1353" i="7" s="1"/>
  <c r="U1337" i="7"/>
  <c r="V1337" i="7" s="1"/>
  <c r="W1337" i="7" s="1"/>
  <c r="U1321" i="7"/>
  <c r="V1321" i="7" s="1"/>
  <c r="W1321" i="7" s="1"/>
  <c r="U1289" i="7"/>
  <c r="V1289" i="7" s="1"/>
  <c r="W1289" i="7" s="1"/>
  <c r="U1366" i="7"/>
  <c r="V1366" i="7" s="1"/>
  <c r="W1366" i="7" s="1"/>
  <c r="U1350" i="7"/>
  <c r="V1350" i="7" s="1"/>
  <c r="W1350" i="7" s="1"/>
  <c r="U1334" i="7"/>
  <c r="V1334" i="7" s="1"/>
  <c r="W1334" i="7" s="1"/>
  <c r="U1318" i="7"/>
  <c r="V1318" i="7" s="1"/>
  <c r="W1318" i="7" s="1"/>
  <c r="U1351" i="7"/>
  <c r="V1351" i="7" s="1"/>
  <c r="W1351" i="7" s="1"/>
  <c r="U1335" i="7"/>
  <c r="V1335" i="7" s="1"/>
  <c r="W1335" i="7" s="1"/>
  <c r="U1319" i="7"/>
  <c r="V1319" i="7" s="1"/>
  <c r="W1319" i="7" s="1"/>
  <c r="U1281" i="7"/>
  <c r="V1281" i="7" s="1"/>
  <c r="W1281" i="7" s="1"/>
  <c r="U1306" i="7"/>
  <c r="V1306" i="7" s="1"/>
  <c r="W1306" i="7" s="1"/>
  <c r="U1290" i="7"/>
  <c r="V1290" i="7" s="1"/>
  <c r="W1290" i="7" s="1"/>
  <c r="U1275" i="7"/>
  <c r="V1275" i="7" s="1"/>
  <c r="W1275" i="7" s="1"/>
  <c r="U1311" i="7"/>
  <c r="V1311" i="7" s="1"/>
  <c r="W1311" i="7" s="1"/>
  <c r="U1295" i="7"/>
  <c r="V1295" i="7" s="1"/>
  <c r="W1295" i="7" s="1"/>
  <c r="U1279" i="7"/>
  <c r="V1279" i="7" s="1"/>
  <c r="W1279" i="7" s="1"/>
  <c r="U1304" i="7"/>
  <c r="V1304" i="7" s="1"/>
  <c r="W1304" i="7" s="1"/>
  <c r="U1288" i="7"/>
  <c r="V1288" i="7" s="1"/>
  <c r="W1288" i="7" s="1"/>
  <c r="U1274" i="7"/>
  <c r="V1274" i="7" s="1"/>
  <c r="W1274" i="7" s="1"/>
  <c r="U1249" i="7"/>
  <c r="V1249" i="7" s="1"/>
  <c r="W1249" i="7" s="1"/>
  <c r="U1260" i="7"/>
  <c r="V1260" i="7" s="1"/>
  <c r="W1260" i="7" s="1"/>
  <c r="U1242" i="7"/>
  <c r="V1242" i="7" s="1"/>
  <c r="W1242" i="7" s="1"/>
  <c r="U1261" i="7"/>
  <c r="V1261" i="7" s="1"/>
  <c r="W1261" i="7" s="1"/>
  <c r="U1266" i="7"/>
  <c r="V1266" i="7" s="1"/>
  <c r="W1266" i="7" s="1"/>
  <c r="U1250" i="7"/>
  <c r="V1250" i="7" s="1"/>
  <c r="W1250" i="7" s="1"/>
  <c r="U1226" i="7"/>
  <c r="V1226" i="7" s="1"/>
  <c r="W1226" i="7" s="1"/>
  <c r="U1247" i="7"/>
  <c r="V1247" i="7" s="1"/>
  <c r="W1247" i="7" s="1"/>
  <c r="U1231" i="7"/>
  <c r="V1231" i="7" s="1"/>
  <c r="W1231" i="7" s="1"/>
  <c r="U1215" i="7"/>
  <c r="V1215" i="7" s="1"/>
  <c r="W1215" i="7" s="1"/>
  <c r="U1224" i="7"/>
  <c r="V1224" i="7" s="1"/>
  <c r="W1224" i="7" s="1"/>
  <c r="U1245" i="7"/>
  <c r="V1245" i="7" s="1"/>
  <c r="W1245" i="7" s="1"/>
  <c r="U1229" i="7"/>
  <c r="V1229" i="7" s="1"/>
  <c r="W1229" i="7" s="1"/>
  <c r="U1213" i="7"/>
  <c r="V1213" i="7" s="1"/>
  <c r="W1213" i="7" s="1"/>
  <c r="U1164" i="7"/>
  <c r="V1164" i="7" s="1"/>
  <c r="W1164" i="7" s="1"/>
  <c r="U1151" i="7"/>
  <c r="V1151" i="7" s="1"/>
  <c r="W1151" i="7" s="1"/>
  <c r="U1150" i="7"/>
  <c r="V1150" i="7" s="1"/>
  <c r="W1150" i="7" s="1"/>
  <c r="U1149" i="7"/>
  <c r="V1149" i="7" s="1"/>
  <c r="W1149" i="7" s="1"/>
  <c r="U1195" i="7"/>
  <c r="V1195" i="7" s="1"/>
  <c r="W1195" i="7" s="1"/>
  <c r="U1174" i="7"/>
  <c r="V1174" i="7" s="1"/>
  <c r="W1174" i="7" s="1"/>
  <c r="U1136" i="7"/>
  <c r="V1136" i="7" s="1"/>
  <c r="W1136" i="7" s="1"/>
  <c r="U1155" i="7"/>
  <c r="V1155" i="7" s="1"/>
  <c r="W1155" i="7" s="1"/>
  <c r="U1148" i="7"/>
  <c r="V1148" i="7" s="1"/>
  <c r="W1148" i="7" s="1"/>
  <c r="U1142" i="7"/>
  <c r="V1142" i="7" s="1"/>
  <c r="W1142" i="7" s="1"/>
  <c r="U1204" i="7"/>
  <c r="V1204" i="7" s="1"/>
  <c r="W1204" i="7" s="1"/>
  <c r="U1137" i="7"/>
  <c r="V1137" i="7" s="1"/>
  <c r="W1137" i="7" s="1"/>
  <c r="U1190" i="7"/>
  <c r="V1190" i="7" s="1"/>
  <c r="W1190" i="7" s="1"/>
  <c r="U1158" i="7"/>
  <c r="V1158" i="7" s="1"/>
  <c r="W1158" i="7" s="1"/>
  <c r="U1166" i="7"/>
  <c r="V1166" i="7" s="1"/>
  <c r="W1166" i="7" s="1"/>
  <c r="U1211" i="7"/>
  <c r="V1211" i="7" s="1"/>
  <c r="W1211" i="7" s="1"/>
  <c r="U1180" i="7"/>
  <c r="V1180" i="7" s="1"/>
  <c r="W1180" i="7" s="1"/>
  <c r="U1147" i="7"/>
  <c r="V1147" i="7" s="1"/>
  <c r="W1147" i="7" s="1"/>
  <c r="U1163" i="7"/>
  <c r="V1163" i="7" s="1"/>
  <c r="W1163" i="7" s="1"/>
  <c r="O1136" i="7"/>
  <c r="P1136" i="7" s="1"/>
  <c r="O1141" i="7"/>
  <c r="P1141" i="7" s="1"/>
  <c r="O1179" i="7"/>
  <c r="P1179" i="7" s="1"/>
  <c r="O1180" i="7"/>
  <c r="P1180" i="7" s="1"/>
  <c r="O1196" i="7"/>
  <c r="P1196" i="7" s="1"/>
  <c r="O1220" i="7"/>
  <c r="P1220" i="7" s="1"/>
  <c r="O1236" i="7"/>
  <c r="P1236" i="7" s="1"/>
  <c r="O1215" i="7"/>
  <c r="P1215" i="7" s="1"/>
  <c r="O1231" i="7"/>
  <c r="P1231" i="7" s="1"/>
  <c r="O1222" i="7"/>
  <c r="P1222" i="7" s="1"/>
  <c r="O1238" i="7"/>
  <c r="P1238" i="7" s="1"/>
  <c r="O1257" i="7"/>
  <c r="P1257" i="7" s="1"/>
  <c r="O1249" i="7"/>
  <c r="P1249" i="7" s="1"/>
  <c r="O1264" i="7"/>
  <c r="P1264" i="7" s="1"/>
  <c r="O1217" i="7"/>
  <c r="P1217" i="7" s="1"/>
  <c r="O1233" i="7"/>
  <c r="P1233" i="7" s="1"/>
  <c r="O1251" i="7"/>
  <c r="P1251" i="7" s="1"/>
  <c r="O1267" i="7"/>
  <c r="P1267" i="7" s="1"/>
  <c r="O1258" i="7"/>
  <c r="P1258" i="7" s="1"/>
  <c r="O1283" i="7"/>
  <c r="P1283" i="7" s="1"/>
  <c r="O1299" i="7"/>
  <c r="P1299" i="7" s="1"/>
  <c r="O1278" i="7"/>
  <c r="P1278" i="7" s="1"/>
  <c r="O1294" i="7"/>
  <c r="P1294" i="7" s="1"/>
  <c r="O1310" i="7"/>
  <c r="P1310" i="7" s="1"/>
  <c r="O1266" i="7"/>
  <c r="P1266" i="7" s="1"/>
  <c r="O1281" i="7"/>
  <c r="P1281" i="7" s="1"/>
  <c r="O1297" i="7"/>
  <c r="P1297" i="7" s="1"/>
  <c r="O1288" i="7"/>
  <c r="P1288" i="7" s="1"/>
  <c r="O1322" i="7"/>
  <c r="P1322" i="7" s="1"/>
  <c r="O1338" i="7"/>
  <c r="P1338" i="7" s="1"/>
  <c r="O1284" i="7"/>
  <c r="P1284" i="7" s="1"/>
  <c r="O1325" i="7"/>
  <c r="P1325" i="7" s="1"/>
  <c r="O1341" i="7"/>
  <c r="P1341" i="7" s="1"/>
  <c r="O1357" i="7"/>
  <c r="P1357" i="7" s="1"/>
  <c r="O1373" i="7"/>
  <c r="P1373" i="7" s="1"/>
  <c r="O1311" i="7"/>
  <c r="P1311" i="7" s="1"/>
  <c r="O1324" i="7"/>
  <c r="P1324" i="7" s="1"/>
  <c r="O1340" i="7"/>
  <c r="P1340" i="7" s="1"/>
  <c r="O1356" i="7"/>
  <c r="P1356" i="7" s="1"/>
  <c r="O1372" i="7"/>
  <c r="P1372" i="7" s="1"/>
  <c r="O1327" i="7"/>
  <c r="P1327" i="7" s="1"/>
  <c r="O1363" i="7"/>
  <c r="P1363" i="7" s="1"/>
  <c r="O1379" i="7"/>
  <c r="P1379" i="7" s="1"/>
  <c r="O1382" i="7"/>
  <c r="P1382" i="7" s="1"/>
  <c r="O1308" i="7"/>
  <c r="P1308" i="7" s="1"/>
  <c r="O1351" i="7"/>
  <c r="P1351" i="7" s="1"/>
  <c r="O1370" i="7"/>
  <c r="P1370" i="7" s="1"/>
  <c r="O1347" i="7"/>
  <c r="P1347" i="7" s="1"/>
  <c r="U1301" i="7"/>
  <c r="V1301" i="7" s="1"/>
  <c r="W1301" i="7" s="1"/>
  <c r="U1367" i="7"/>
  <c r="V1367" i="7" s="1"/>
  <c r="W1367" i="7" s="1"/>
  <c r="U1328" i="7"/>
  <c r="V1328" i="7" s="1"/>
  <c r="W1328" i="7" s="1"/>
  <c r="U1332" i="7"/>
  <c r="V1332" i="7" s="1"/>
  <c r="W1332" i="7" s="1"/>
  <c r="U1376" i="7"/>
  <c r="V1376" i="7" s="1"/>
  <c r="W1376" i="7" s="1"/>
  <c r="U1360" i="7"/>
  <c r="V1360" i="7" s="1"/>
  <c r="W1360" i="7" s="1"/>
  <c r="U1320" i="7"/>
  <c r="V1320" i="7" s="1"/>
  <c r="W1320" i="7" s="1"/>
  <c r="U1365" i="7"/>
  <c r="V1365" i="7" s="1"/>
  <c r="W1365" i="7" s="1"/>
  <c r="U1349" i="7"/>
  <c r="V1349" i="7" s="1"/>
  <c r="W1349" i="7" s="1"/>
  <c r="U1333" i="7"/>
  <c r="V1333" i="7" s="1"/>
  <c r="W1333" i="7" s="1"/>
  <c r="U1317" i="7"/>
  <c r="V1317" i="7" s="1"/>
  <c r="W1317" i="7" s="1"/>
  <c r="U1378" i="7"/>
  <c r="V1378" i="7" s="1"/>
  <c r="W1378" i="7" s="1"/>
  <c r="U1362" i="7"/>
  <c r="V1362" i="7" s="1"/>
  <c r="W1362" i="7" s="1"/>
  <c r="U1346" i="7"/>
  <c r="V1346" i="7" s="1"/>
  <c r="W1346" i="7" s="1"/>
  <c r="U1330" i="7"/>
  <c r="V1330" i="7" s="1"/>
  <c r="W1330" i="7" s="1"/>
  <c r="U1309" i="7"/>
  <c r="V1309" i="7" s="1"/>
  <c r="W1309" i="7" s="1"/>
  <c r="U1347" i="7"/>
  <c r="V1347" i="7" s="1"/>
  <c r="W1347" i="7" s="1"/>
  <c r="U1331" i="7"/>
  <c r="V1331" i="7" s="1"/>
  <c r="W1331" i="7" s="1"/>
  <c r="U1314" i="7"/>
  <c r="V1314" i="7" s="1"/>
  <c r="W1314" i="7" s="1"/>
  <c r="U1255" i="7"/>
  <c r="V1255" i="7" s="1"/>
  <c r="W1255" i="7" s="1"/>
  <c r="U1302" i="7"/>
  <c r="V1302" i="7" s="1"/>
  <c r="W1302" i="7" s="1"/>
  <c r="U1286" i="7"/>
  <c r="V1286" i="7" s="1"/>
  <c r="W1286" i="7" s="1"/>
  <c r="U1271" i="7"/>
  <c r="V1271" i="7" s="1"/>
  <c r="W1271" i="7" s="1"/>
  <c r="U1307" i="7"/>
  <c r="V1307" i="7" s="1"/>
  <c r="W1307" i="7" s="1"/>
  <c r="U1291" i="7"/>
  <c r="V1291" i="7" s="1"/>
  <c r="W1291" i="7" s="1"/>
  <c r="U1263" i="7"/>
  <c r="V1263" i="7" s="1"/>
  <c r="W1263" i="7" s="1"/>
  <c r="U1300" i="7"/>
  <c r="V1300" i="7" s="1"/>
  <c r="W1300" i="7" s="1"/>
  <c r="U1284" i="7"/>
  <c r="V1284" i="7" s="1"/>
  <c r="W1284" i="7" s="1"/>
  <c r="U1270" i="7"/>
  <c r="V1270" i="7" s="1"/>
  <c r="W1270" i="7" s="1"/>
  <c r="U1272" i="7"/>
  <c r="V1272" i="7" s="1"/>
  <c r="W1272" i="7" s="1"/>
  <c r="U1256" i="7"/>
  <c r="V1256" i="7" s="1"/>
  <c r="W1256" i="7" s="1"/>
  <c r="U1273" i="7"/>
  <c r="V1273" i="7" s="1"/>
  <c r="W1273" i="7" s="1"/>
  <c r="U1257" i="7"/>
  <c r="V1257" i="7" s="1"/>
  <c r="W1257" i="7" s="1"/>
  <c r="U1262" i="7"/>
  <c r="V1262" i="7" s="1"/>
  <c r="W1262" i="7" s="1"/>
  <c r="U1238" i="7"/>
  <c r="V1238" i="7" s="1"/>
  <c r="W1238" i="7" s="1"/>
  <c r="U1222" i="7"/>
  <c r="V1222" i="7" s="1"/>
  <c r="W1222" i="7" s="1"/>
  <c r="U1243" i="7"/>
  <c r="V1243" i="7" s="1"/>
  <c r="W1243" i="7" s="1"/>
  <c r="U1227" i="7"/>
  <c r="V1227" i="7" s="1"/>
  <c r="W1227" i="7" s="1"/>
  <c r="U1236" i="7"/>
  <c r="V1236" i="7" s="1"/>
  <c r="W1236" i="7" s="1"/>
  <c r="U1220" i="7"/>
  <c r="V1220" i="7" s="1"/>
  <c r="W1220" i="7" s="1"/>
  <c r="U1241" i="7"/>
  <c r="V1241" i="7" s="1"/>
  <c r="W1241" i="7" s="1"/>
  <c r="U1225" i="7"/>
  <c r="V1225" i="7" s="1"/>
  <c r="W1225" i="7" s="1"/>
  <c r="U1176" i="7"/>
  <c r="V1176" i="7" s="1"/>
  <c r="W1176" i="7" s="1"/>
  <c r="U1160" i="7"/>
  <c r="V1160" i="7" s="1"/>
  <c r="W1160" i="7" s="1"/>
  <c r="U1185" i="7"/>
  <c r="V1185" i="7" s="1"/>
  <c r="W1185" i="7" s="1"/>
  <c r="U1171" i="7"/>
  <c r="V1171" i="7" s="1"/>
  <c r="W1171" i="7" s="1"/>
  <c r="U1152" i="7"/>
  <c r="V1152" i="7" s="1"/>
  <c r="W1152" i="7" s="1"/>
  <c r="U1146" i="7"/>
  <c r="V1146" i="7" s="1"/>
  <c r="W1146" i="7" s="1"/>
  <c r="U1205" i="7"/>
  <c r="V1205" i="7" s="1"/>
  <c r="W1205" i="7" s="1"/>
  <c r="U1197" i="7"/>
  <c r="V1197" i="7" s="1"/>
  <c r="W1197" i="7" s="1"/>
  <c r="U1194" i="7"/>
  <c r="V1194" i="7" s="1"/>
  <c r="W1194" i="7" s="1"/>
  <c r="U1169" i="7"/>
  <c r="V1169" i="7" s="1"/>
  <c r="W1169" i="7" s="1"/>
  <c r="U1209" i="7"/>
  <c r="V1209" i="7" s="1"/>
  <c r="W1209" i="7" s="1"/>
  <c r="U1153" i="7"/>
  <c r="V1153" i="7" s="1"/>
  <c r="W1153" i="7" s="1"/>
  <c r="U1201" i="7"/>
  <c r="V1201" i="7" s="1"/>
  <c r="W1201" i="7" s="1"/>
  <c r="U1198" i="7"/>
  <c r="V1198" i="7" s="1"/>
  <c r="W1198" i="7" s="1"/>
  <c r="U1178" i="7"/>
  <c r="V1178" i="7" s="1"/>
  <c r="W1178" i="7" s="1"/>
  <c r="U1134" i="7"/>
  <c r="V1134" i="7" s="1"/>
  <c r="W1134" i="7" s="1"/>
  <c r="U1154" i="7"/>
  <c r="V1154" i="7" s="1"/>
  <c r="W1154" i="7" s="1"/>
  <c r="U1208" i="7"/>
  <c r="V1208" i="7" s="1"/>
  <c r="W1208" i="7" s="1"/>
  <c r="U1206" i="7"/>
  <c r="V1206" i="7" s="1"/>
  <c r="W1206" i="7" s="1"/>
  <c r="U1196" i="7"/>
  <c r="V1196" i="7" s="1"/>
  <c r="W1196" i="7" s="1"/>
  <c r="R1034" i="7"/>
  <c r="R1031" i="7"/>
  <c r="R1057" i="7"/>
  <c r="R1061" i="7"/>
  <c r="O1152" i="7"/>
  <c r="P1152" i="7" s="1"/>
  <c r="O1169" i="7"/>
  <c r="P1169" i="7" s="1"/>
  <c r="O1177" i="7"/>
  <c r="P1177" i="7" s="1"/>
  <c r="O1195" i="7"/>
  <c r="P1195" i="7" s="1"/>
  <c r="O1145" i="7"/>
  <c r="P1145" i="7" s="1"/>
  <c r="O1224" i="7"/>
  <c r="P1224" i="7" s="1"/>
  <c r="O1240" i="7"/>
  <c r="P1240" i="7" s="1"/>
  <c r="O1219" i="7"/>
  <c r="P1219" i="7" s="1"/>
  <c r="O1235" i="7"/>
  <c r="P1235" i="7" s="1"/>
  <c r="O1226" i="7"/>
  <c r="P1226" i="7" s="1"/>
  <c r="O1242" i="7"/>
  <c r="P1242" i="7" s="1"/>
  <c r="O1261" i="7"/>
  <c r="P1261" i="7" s="1"/>
  <c r="O1252" i="7"/>
  <c r="P1252" i="7" s="1"/>
  <c r="O1268" i="7"/>
  <c r="P1268" i="7" s="1"/>
  <c r="O1221" i="7"/>
  <c r="P1221" i="7" s="1"/>
  <c r="O1237" i="7"/>
  <c r="P1237" i="7" s="1"/>
  <c r="O1255" i="7"/>
  <c r="P1255" i="7" s="1"/>
  <c r="O1271" i="7"/>
  <c r="P1271" i="7" s="1"/>
  <c r="O1269" i="7"/>
  <c r="P1269" i="7" s="1"/>
  <c r="O1287" i="7"/>
  <c r="P1287" i="7" s="1"/>
  <c r="O1303" i="7"/>
  <c r="P1303" i="7" s="1"/>
  <c r="O1282" i="7"/>
  <c r="P1282" i="7" s="1"/>
  <c r="O1298" i="7"/>
  <c r="P1298" i="7" s="1"/>
  <c r="O1314" i="7"/>
  <c r="P1314" i="7" s="1"/>
  <c r="O1270" i="7"/>
  <c r="P1270" i="7" s="1"/>
  <c r="O1285" i="7"/>
  <c r="P1285" i="7" s="1"/>
  <c r="O1301" i="7"/>
  <c r="P1301" i="7" s="1"/>
  <c r="O1304" i="7"/>
  <c r="P1304" i="7" s="1"/>
  <c r="O1326" i="7"/>
  <c r="P1326" i="7" s="1"/>
  <c r="O1342" i="7"/>
  <c r="P1342" i="7" s="1"/>
  <c r="O1300" i="7"/>
  <c r="P1300" i="7" s="1"/>
  <c r="O1329" i="7"/>
  <c r="P1329" i="7" s="1"/>
  <c r="O1345" i="7"/>
  <c r="P1345" i="7" s="1"/>
  <c r="O1361" i="7"/>
  <c r="P1361" i="7" s="1"/>
  <c r="O1377" i="7"/>
  <c r="P1377" i="7" s="1"/>
  <c r="O1313" i="7"/>
  <c r="P1313" i="7" s="1"/>
  <c r="O1328" i="7"/>
  <c r="P1328" i="7" s="1"/>
  <c r="O1344" i="7"/>
  <c r="P1344" i="7" s="1"/>
  <c r="O1360" i="7"/>
  <c r="P1360" i="7" s="1"/>
  <c r="O1376" i="7"/>
  <c r="P1376" i="7" s="1"/>
  <c r="O1343" i="7"/>
  <c r="P1343" i="7" s="1"/>
  <c r="O1367" i="7"/>
  <c r="P1367" i="7" s="1"/>
  <c r="O1381" i="7"/>
  <c r="P1381" i="7" s="1"/>
  <c r="O1366" i="7"/>
  <c r="P1366" i="7" s="1"/>
  <c r="O1315" i="7"/>
  <c r="P1315" i="7" s="1"/>
  <c r="O1354" i="7"/>
  <c r="P1354" i="7" s="1"/>
  <c r="O1374" i="7"/>
  <c r="P1374" i="7" s="1"/>
  <c r="U1377" i="7"/>
  <c r="V1377" i="7" s="1"/>
  <c r="W1377" i="7" s="1"/>
  <c r="U1382" i="7"/>
  <c r="V1382" i="7" s="1"/>
  <c r="W1382" i="7" s="1"/>
  <c r="U1359" i="7"/>
  <c r="V1359" i="7" s="1"/>
  <c r="W1359" i="7" s="1"/>
  <c r="U1363" i="7"/>
  <c r="V1363" i="7" s="1"/>
  <c r="W1363" i="7" s="1"/>
  <c r="U1285" i="7"/>
  <c r="V1285" i="7" s="1"/>
  <c r="W1285" i="7" s="1"/>
  <c r="U1372" i="7"/>
  <c r="V1372" i="7" s="1"/>
  <c r="W1372" i="7" s="1"/>
  <c r="U1356" i="7"/>
  <c r="V1356" i="7" s="1"/>
  <c r="W1356" i="7" s="1"/>
  <c r="U1316" i="7"/>
  <c r="V1316" i="7" s="1"/>
  <c r="W1316" i="7" s="1"/>
  <c r="U1361" i="7"/>
  <c r="V1361" i="7" s="1"/>
  <c r="W1361" i="7" s="1"/>
  <c r="U1345" i="7"/>
  <c r="V1345" i="7" s="1"/>
  <c r="W1345" i="7" s="1"/>
  <c r="U1329" i="7"/>
  <c r="V1329" i="7" s="1"/>
  <c r="W1329" i="7" s="1"/>
  <c r="U1312" i="7"/>
  <c r="V1312" i="7" s="1"/>
  <c r="W1312" i="7" s="1"/>
  <c r="U1374" i="7"/>
  <c r="V1374" i="7" s="1"/>
  <c r="W1374" i="7" s="1"/>
  <c r="U1358" i="7"/>
  <c r="V1358" i="7" s="1"/>
  <c r="W1358" i="7" s="1"/>
  <c r="U1342" i="7"/>
  <c r="V1342" i="7" s="1"/>
  <c r="W1342" i="7" s="1"/>
  <c r="U1326" i="7"/>
  <c r="V1326" i="7" s="1"/>
  <c r="W1326" i="7" s="1"/>
  <c r="U1293" i="7"/>
  <c r="V1293" i="7" s="1"/>
  <c r="W1293" i="7" s="1"/>
  <c r="U1343" i="7"/>
  <c r="V1343" i="7" s="1"/>
  <c r="W1343" i="7" s="1"/>
  <c r="U1327" i="7"/>
  <c r="V1327" i="7" s="1"/>
  <c r="W1327" i="7" s="1"/>
  <c r="U1313" i="7"/>
  <c r="V1313" i="7" s="1"/>
  <c r="W1313" i="7" s="1"/>
  <c r="U1248" i="7"/>
  <c r="V1248" i="7" s="1"/>
  <c r="W1248" i="7" s="1"/>
  <c r="U1298" i="7"/>
  <c r="V1298" i="7" s="1"/>
  <c r="W1298" i="7" s="1"/>
  <c r="U1282" i="7"/>
  <c r="V1282" i="7" s="1"/>
  <c r="W1282" i="7" s="1"/>
  <c r="U1259" i="7"/>
  <c r="V1259" i="7" s="1"/>
  <c r="W1259" i="7" s="1"/>
  <c r="U1303" i="7"/>
  <c r="V1303" i="7" s="1"/>
  <c r="W1303" i="7" s="1"/>
  <c r="U1287" i="7"/>
  <c r="V1287" i="7" s="1"/>
  <c r="W1287" i="7" s="1"/>
  <c r="U1246" i="7"/>
  <c r="V1246" i="7" s="1"/>
  <c r="W1246" i="7" s="1"/>
  <c r="U1296" i="7"/>
  <c r="V1296" i="7" s="1"/>
  <c r="W1296" i="7" s="1"/>
  <c r="U1280" i="7"/>
  <c r="V1280" i="7" s="1"/>
  <c r="W1280" i="7" s="1"/>
  <c r="U1267" i="7"/>
  <c r="V1267" i="7" s="1"/>
  <c r="W1267" i="7" s="1"/>
  <c r="U1268" i="7"/>
  <c r="V1268" i="7" s="1"/>
  <c r="W1268" i="7" s="1"/>
  <c r="U1252" i="7"/>
  <c r="V1252" i="7" s="1"/>
  <c r="W1252" i="7" s="1"/>
  <c r="U1269" i="7"/>
  <c r="V1269" i="7" s="1"/>
  <c r="W1269" i="7" s="1"/>
  <c r="U1253" i="7"/>
  <c r="V1253" i="7" s="1"/>
  <c r="W1253" i="7" s="1"/>
  <c r="U1258" i="7"/>
  <c r="V1258" i="7" s="1"/>
  <c r="W1258" i="7" s="1"/>
  <c r="U1234" i="7"/>
  <c r="V1234" i="7" s="1"/>
  <c r="W1234" i="7" s="1"/>
  <c r="U1218" i="7"/>
  <c r="V1218" i="7" s="1"/>
  <c r="W1218" i="7" s="1"/>
  <c r="U1239" i="7"/>
  <c r="V1239" i="7" s="1"/>
  <c r="W1239" i="7" s="1"/>
  <c r="U1223" i="7"/>
  <c r="V1223" i="7" s="1"/>
  <c r="W1223" i="7" s="1"/>
  <c r="U1232" i="7"/>
  <c r="V1232" i="7" s="1"/>
  <c r="W1232" i="7" s="1"/>
  <c r="U1216" i="7"/>
  <c r="V1216" i="7" s="1"/>
  <c r="W1216" i="7" s="1"/>
  <c r="U1237" i="7"/>
  <c r="V1237" i="7" s="1"/>
  <c r="W1237" i="7" s="1"/>
  <c r="U1221" i="7"/>
  <c r="V1221" i="7" s="1"/>
  <c r="W1221" i="7" s="1"/>
  <c r="U1183" i="7"/>
  <c r="V1183" i="7" s="1"/>
  <c r="W1183" i="7" s="1"/>
  <c r="U1141" i="7"/>
  <c r="V1141" i="7" s="1"/>
  <c r="W1141" i="7" s="1"/>
  <c r="U1203" i="7"/>
  <c r="V1203" i="7" s="1"/>
  <c r="W1203" i="7" s="1"/>
  <c r="U1179" i="7"/>
  <c r="V1179" i="7" s="1"/>
  <c r="W1179" i="7" s="1"/>
  <c r="U1173" i="7"/>
  <c r="V1173" i="7" s="1"/>
  <c r="W1173" i="7" s="1"/>
  <c r="U1186" i="7"/>
  <c r="V1186" i="7" s="1"/>
  <c r="W1186" i="7" s="1"/>
  <c r="U1135" i="7"/>
  <c r="V1135" i="7" s="1"/>
  <c r="W1135" i="7" s="1"/>
  <c r="U1192" i="7"/>
  <c r="V1192" i="7" s="1"/>
  <c r="W1192" i="7" s="1"/>
  <c r="U1138" i="7"/>
  <c r="V1138" i="7" s="1"/>
  <c r="W1138" i="7" s="1"/>
  <c r="U1168" i="7"/>
  <c r="V1168" i="7" s="1"/>
  <c r="W1168" i="7" s="1"/>
  <c r="U1133" i="7"/>
  <c r="V1133" i="7" s="1"/>
  <c r="W1133" i="7" s="1"/>
  <c r="U1199" i="7"/>
  <c r="V1199" i="7" s="1"/>
  <c r="W1199" i="7" s="1"/>
  <c r="U1157" i="7"/>
  <c r="V1157" i="7" s="1"/>
  <c r="W1157" i="7" s="1"/>
  <c r="U1184" i="7"/>
  <c r="V1184" i="7" s="1"/>
  <c r="W1184" i="7" s="1"/>
  <c r="U1187" i="7"/>
  <c r="V1187" i="7" s="1"/>
  <c r="W1187" i="7" s="1"/>
  <c r="U1182" i="7"/>
  <c r="V1182" i="7" s="1"/>
  <c r="W1182" i="7" s="1"/>
  <c r="U1167" i="7"/>
  <c r="V1167" i="7" s="1"/>
  <c r="W1167" i="7" s="1"/>
  <c r="U1159" i="7"/>
  <c r="V1159" i="7" s="1"/>
  <c r="W1159" i="7" s="1"/>
  <c r="U1188" i="7"/>
  <c r="V1188" i="7" s="1"/>
  <c r="W1188" i="7" s="1"/>
  <c r="U1144" i="7"/>
  <c r="V1144" i="7" s="1"/>
  <c r="W1144" i="7" s="1"/>
  <c r="R103" i="7"/>
  <c r="R719" i="7"/>
  <c r="R45" i="7"/>
  <c r="R102" i="7"/>
  <c r="R406" i="7"/>
  <c r="R491" i="7"/>
  <c r="R48" i="7"/>
  <c r="R109" i="7"/>
  <c r="R51" i="7"/>
  <c r="R46" i="7"/>
  <c r="M593" i="7"/>
  <c r="M851" i="7"/>
  <c r="N981" i="7"/>
  <c r="J535" i="7"/>
  <c r="J870" i="7"/>
  <c r="N952" i="7"/>
  <c r="J725" i="7"/>
  <c r="J921" i="7"/>
  <c r="M973" i="7"/>
  <c r="J633" i="7"/>
  <c r="J520" i="7"/>
  <c r="M673" i="7"/>
  <c r="M644" i="7"/>
  <c r="M498" i="7"/>
  <c r="M904" i="7"/>
  <c r="J143" i="7"/>
  <c r="J650" i="7"/>
  <c r="J612" i="7"/>
  <c r="J309" i="7"/>
  <c r="J869" i="7"/>
  <c r="M827" i="7"/>
  <c r="M873" i="7"/>
  <c r="M610" i="7"/>
  <c r="J556" i="7"/>
  <c r="J674" i="7"/>
  <c r="N406" i="7"/>
  <c r="M744" i="7"/>
  <c r="M692" i="7"/>
  <c r="M615" i="7"/>
  <c r="N984" i="7"/>
  <c r="M501" i="7"/>
  <c r="M792" i="7"/>
  <c r="M902" i="7"/>
  <c r="M565" i="7"/>
  <c r="M525" i="7"/>
  <c r="J446" i="7"/>
  <c r="M643" i="7"/>
  <c r="M559" i="7"/>
  <c r="M584" i="7"/>
  <c r="M897" i="7"/>
  <c r="J717" i="7"/>
  <c r="M595" i="7"/>
  <c r="M974" i="7"/>
  <c r="J498" i="7"/>
  <c r="J554" i="7"/>
  <c r="J477" i="7"/>
  <c r="J157" i="7"/>
  <c r="M471" i="7"/>
  <c r="M748" i="7"/>
  <c r="J638" i="7"/>
  <c r="M863" i="7"/>
  <c r="M473" i="7"/>
  <c r="J327" i="7"/>
  <c r="N979" i="7"/>
  <c r="J262" i="7"/>
  <c r="M884" i="7"/>
  <c r="M814" i="7"/>
  <c r="M834" i="7"/>
  <c r="J791" i="7"/>
  <c r="M733" i="7"/>
  <c r="M706" i="7"/>
  <c r="M990" i="7"/>
  <c r="J751" i="7"/>
  <c r="N955" i="7"/>
  <c r="M557" i="7"/>
  <c r="M956" i="7"/>
  <c r="M637" i="7"/>
  <c r="M685" i="7"/>
  <c r="M591" i="7"/>
  <c r="J662" i="7"/>
  <c r="J729" i="7"/>
  <c r="M703" i="7"/>
  <c r="M716" i="7"/>
  <c r="M825" i="7"/>
  <c r="M822" i="7"/>
  <c r="N962" i="7"/>
  <c r="J761" i="7"/>
  <c r="N607" i="7"/>
  <c r="M193" i="7"/>
  <c r="M646" i="7"/>
  <c r="J216" i="7"/>
  <c r="M871" i="7"/>
  <c r="N963" i="7"/>
  <c r="M494" i="7"/>
  <c r="J50" i="7"/>
  <c r="J877" i="7"/>
  <c r="M506" i="7"/>
  <c r="M720" i="7"/>
  <c r="J715" i="7"/>
  <c r="M590" i="7"/>
  <c r="M554" i="7"/>
  <c r="M622" i="7"/>
  <c r="M587" i="7"/>
  <c r="N987" i="7"/>
  <c r="J762" i="7"/>
  <c r="M832" i="7"/>
  <c r="M676" i="7"/>
  <c r="M517" i="7"/>
  <c r="M616" i="7"/>
  <c r="M741" i="7"/>
  <c r="J364" i="7"/>
  <c r="M457" i="7"/>
  <c r="J350" i="7"/>
  <c r="J500" i="7"/>
  <c r="J589" i="7"/>
  <c r="J367" i="7"/>
  <c r="M749" i="7"/>
  <c r="M999" i="7"/>
  <c r="M878" i="7"/>
  <c r="J36" i="7"/>
  <c r="M367" i="7"/>
  <c r="N613" i="7"/>
  <c r="M609" i="7"/>
  <c r="M571" i="7"/>
  <c r="M641" i="7"/>
  <c r="J778" i="7"/>
  <c r="M886" i="7"/>
  <c r="J400" i="7"/>
  <c r="M842" i="7"/>
  <c r="J243" i="7"/>
  <c r="J695" i="7"/>
  <c r="J492" i="7"/>
  <c r="J386" i="7"/>
  <c r="J160" i="7"/>
  <c r="M648" i="7"/>
  <c r="J605" i="7"/>
  <c r="M619" i="7"/>
  <c r="J708" i="7"/>
  <c r="M555" i="7"/>
  <c r="J174" i="7"/>
  <c r="J910" i="7"/>
  <c r="M612" i="7"/>
  <c r="J97" i="7"/>
  <c r="N344" i="7"/>
  <c r="M449" i="7"/>
  <c r="J489" i="7"/>
  <c r="J474" i="7"/>
  <c r="J504" i="7"/>
  <c r="M669" i="7"/>
  <c r="N3" i="7"/>
  <c r="J293" i="7"/>
  <c r="M372" i="7"/>
  <c r="N802" i="7"/>
  <c r="J515" i="7"/>
  <c r="N340" i="7"/>
  <c r="M226" i="7"/>
  <c r="J269" i="7"/>
  <c r="J521" i="7"/>
  <c r="M99" i="7"/>
  <c r="N588" i="7"/>
  <c r="M723" i="7"/>
  <c r="N303" i="7"/>
  <c r="M89" i="7"/>
  <c r="N233" i="7"/>
  <c r="M690" i="7"/>
  <c r="M839" i="7"/>
  <c r="M702" i="7"/>
  <c r="M520" i="7"/>
  <c r="M914" i="7"/>
  <c r="J418" i="7"/>
  <c r="M655" i="7"/>
  <c r="J517" i="7"/>
  <c r="M861" i="7"/>
  <c r="M469" i="7"/>
  <c r="M657" i="7"/>
  <c r="J533" i="7"/>
  <c r="M764" i="7"/>
  <c r="J245" i="7"/>
  <c r="M888" i="7"/>
  <c r="J632" i="7"/>
  <c r="M681" i="7"/>
  <c r="J649" i="7"/>
  <c r="M481" i="7"/>
  <c r="J391" i="7"/>
  <c r="M635" i="7"/>
  <c r="J931" i="7"/>
  <c r="M736" i="7"/>
  <c r="J863" i="7"/>
  <c r="M713" i="7"/>
  <c r="J742" i="7"/>
  <c r="M552" i="7"/>
  <c r="M221" i="7"/>
  <c r="J357" i="7"/>
  <c r="N990" i="7"/>
  <c r="N965" i="7"/>
  <c r="J892" i="7"/>
  <c r="N383" i="7"/>
  <c r="N692" i="7"/>
  <c r="M821" i="7"/>
  <c r="M862" i="7"/>
  <c r="M626" i="7"/>
  <c r="J57" i="7"/>
  <c r="J19" i="7"/>
  <c r="J303" i="7"/>
  <c r="J80" i="7"/>
  <c r="J280" i="7"/>
  <c r="J594" i="7"/>
  <c r="M14" i="7"/>
  <c r="M366" i="7"/>
  <c r="J694" i="7"/>
  <c r="M69" i="7"/>
  <c r="M15" i="7"/>
  <c r="N119" i="7"/>
  <c r="J883" i="7"/>
  <c r="M179" i="7"/>
  <c r="N20" i="7"/>
  <c r="M492" i="7"/>
  <c r="N206" i="7"/>
  <c r="N334" i="7"/>
  <c r="M328" i="7"/>
  <c r="N832" i="7"/>
  <c r="J700" i="7"/>
  <c r="N449" i="7"/>
  <c r="N723" i="7"/>
  <c r="M794" i="7"/>
  <c r="M759" i="7"/>
  <c r="N390" i="7"/>
  <c r="N485" i="7"/>
  <c r="J818" i="7"/>
  <c r="M514" i="7"/>
  <c r="M779" i="7"/>
  <c r="M883" i="7"/>
  <c r="M770" i="7"/>
  <c r="M684" i="7"/>
  <c r="J175" i="7"/>
  <c r="J190" i="7"/>
  <c r="M909" i="7"/>
  <c r="J334" i="7"/>
  <c r="J680" i="7"/>
  <c r="N623" i="7"/>
  <c r="J574" i="7"/>
  <c r="J889" i="7"/>
  <c r="M773" i="7"/>
  <c r="M580" i="7"/>
  <c r="J618" i="7"/>
  <c r="M470" i="7"/>
  <c r="M496" i="7"/>
  <c r="M969" i="7"/>
  <c r="J926" i="7"/>
  <c r="M962" i="7"/>
  <c r="J814" i="7"/>
  <c r="J111" i="7"/>
  <c r="M629" i="7"/>
  <c r="M896" i="7"/>
  <c r="N148" i="7"/>
  <c r="J911" i="7"/>
  <c r="J586" i="7"/>
  <c r="M508" i="7"/>
  <c r="M625" i="7"/>
  <c r="M903" i="7"/>
  <c r="J796" i="7"/>
  <c r="N891" i="7"/>
  <c r="J6" i="7"/>
  <c r="J70" i="7"/>
  <c r="M573" i="7"/>
  <c r="M739" i="7"/>
  <c r="M611" i="7"/>
  <c r="M891" i="7"/>
  <c r="J591" i="7"/>
  <c r="J608" i="7"/>
  <c r="M472" i="7"/>
  <c r="M790" i="7"/>
  <c r="M540" i="7"/>
  <c r="M844" i="7"/>
  <c r="J518" i="7"/>
  <c r="M718" i="7"/>
  <c r="M704" i="7"/>
  <c r="M727" i="7"/>
  <c r="N971" i="7"/>
  <c r="M771" i="7"/>
  <c r="J826" i="7"/>
  <c r="M545" i="7"/>
  <c r="M824" i="7"/>
  <c r="M576" i="7"/>
  <c r="M949" i="7"/>
  <c r="J745" i="7"/>
  <c r="M754" i="7"/>
  <c r="J105" i="7"/>
  <c r="M687" i="7"/>
  <c r="J771" i="7"/>
  <c r="J765" i="7"/>
  <c r="N567" i="7"/>
  <c r="M621" i="7"/>
  <c r="N947" i="7"/>
  <c r="M511" i="7"/>
  <c r="M623" i="7"/>
  <c r="J407" i="7"/>
  <c r="J405" i="7"/>
  <c r="J712" i="7"/>
  <c r="J779" i="7"/>
  <c r="M505" i="7"/>
  <c r="J519" i="7"/>
  <c r="M920" i="7"/>
  <c r="J287" i="7"/>
  <c r="M544" i="7"/>
  <c r="M656" i="7"/>
  <c r="M490" i="7"/>
  <c r="N986" i="7"/>
  <c r="M975" i="7"/>
  <c r="M946" i="7"/>
  <c r="M795" i="7"/>
  <c r="M922" i="7"/>
  <c r="M556" i="7"/>
  <c r="M913" i="7"/>
  <c r="J678" i="7"/>
  <c r="J101" i="7"/>
  <c r="M907" i="7"/>
  <c r="M854" i="7"/>
  <c r="M929" i="7"/>
  <c r="J158" i="7"/>
  <c r="M831" i="7"/>
  <c r="J928" i="7"/>
  <c r="J178" i="7"/>
  <c r="J463" i="7"/>
  <c r="M484" i="7"/>
  <c r="M755" i="7"/>
  <c r="M890" i="7"/>
  <c r="J728" i="7"/>
  <c r="M628" i="7"/>
  <c r="J193" i="7"/>
  <c r="N970" i="7"/>
  <c r="J139" i="7"/>
  <c r="M535" i="7"/>
  <c r="M649" i="7"/>
  <c r="M710" i="7"/>
  <c r="J329" i="7"/>
  <c r="M553" i="7"/>
  <c r="M881" i="7"/>
  <c r="M705" i="7"/>
  <c r="M843" i="7"/>
  <c r="J873" i="7"/>
  <c r="N973" i="7"/>
  <c r="J146" i="7"/>
  <c r="M539" i="7"/>
  <c r="N999" i="7"/>
  <c r="M677" i="7"/>
  <c r="M613" i="7"/>
  <c r="N177" i="7"/>
  <c r="J690" i="7"/>
  <c r="M530" i="7"/>
  <c r="J886" i="7"/>
  <c r="M597" i="7"/>
  <c r="N993" i="7"/>
  <c r="M939" i="7"/>
  <c r="J511" i="7"/>
  <c r="J611" i="7"/>
  <c r="M712" i="7"/>
  <c r="M633" i="7"/>
  <c r="J599" i="7"/>
  <c r="M957" i="7"/>
  <c r="J354" i="7"/>
  <c r="M780" i="7"/>
  <c r="J141" i="7"/>
  <c r="M682" i="7"/>
  <c r="J31" i="7"/>
  <c r="M519" i="7"/>
  <c r="N978" i="7"/>
  <c r="M784" i="7"/>
  <c r="J422" i="7"/>
  <c r="J140" i="7"/>
  <c r="J69" i="7"/>
  <c r="J352" i="7"/>
  <c r="N980" i="7"/>
  <c r="J395" i="7"/>
  <c r="J923" i="7"/>
  <c r="J936" i="7"/>
  <c r="J312" i="7"/>
  <c r="M529" i="7"/>
  <c r="N602" i="7"/>
  <c r="N90" i="7"/>
  <c r="J55" i="7"/>
  <c r="M316" i="7"/>
  <c r="M105" i="7"/>
  <c r="J840" i="7"/>
  <c r="N801" i="7"/>
  <c r="J210" i="7"/>
  <c r="M273" i="7"/>
  <c r="M332" i="7"/>
  <c r="J107" i="7"/>
  <c r="N923" i="7"/>
  <c r="J699" i="7"/>
  <c r="N908" i="7"/>
  <c r="J704" i="7"/>
  <c r="J200" i="7"/>
  <c r="N969" i="7"/>
  <c r="J607" i="7"/>
  <c r="J912" i="7"/>
  <c r="N297" i="7"/>
  <c r="N72" i="7"/>
  <c r="J454" i="7"/>
  <c r="M971" i="7"/>
  <c r="M1001" i="7"/>
  <c r="J87" i="7"/>
  <c r="M762" i="7"/>
  <c r="N799" i="7"/>
  <c r="M981" i="7"/>
  <c r="J181" i="7"/>
  <c r="M945" i="7"/>
  <c r="M670" i="7"/>
  <c r="M548" i="7"/>
  <c r="J610" i="7"/>
  <c r="J798" i="7"/>
  <c r="J106" i="7"/>
  <c r="M605" i="7"/>
  <c r="M558" i="7"/>
  <c r="J254" i="7"/>
  <c r="J436" i="7"/>
  <c r="M664" i="7"/>
  <c r="J899" i="7"/>
  <c r="J581" i="7"/>
  <c r="N868" i="7"/>
  <c r="J813" i="7"/>
  <c r="J432" i="7"/>
  <c r="M812" i="7"/>
  <c r="N791" i="7"/>
  <c r="M819" i="7"/>
  <c r="N205" i="7"/>
  <c r="M788" i="7"/>
  <c r="J857" i="7"/>
  <c r="M933" i="7"/>
  <c r="M672" i="7"/>
  <c r="M772" i="7"/>
  <c r="N411" i="7"/>
  <c r="M550" i="7"/>
  <c r="J201" i="7"/>
  <c r="N789" i="7"/>
  <c r="J860" i="7"/>
  <c r="J301" i="7"/>
  <c r="J819" i="7"/>
  <c r="N997" i="7"/>
  <c r="J345" i="7"/>
  <c r="J259" i="7"/>
  <c r="J165" i="7"/>
  <c r="J578" i="7"/>
  <c r="J439" i="7"/>
  <c r="N316" i="7"/>
  <c r="M284" i="7"/>
  <c r="J844" i="7"/>
  <c r="M970" i="7"/>
  <c r="J603" i="7"/>
  <c r="M694" i="7"/>
  <c r="J896" i="7"/>
  <c r="M959" i="7"/>
  <c r="J22" i="7"/>
  <c r="J265" i="7"/>
  <c r="J624" i="7"/>
  <c r="M156" i="7"/>
  <c r="M44" i="7"/>
  <c r="J689" i="7"/>
  <c r="J626" i="7"/>
  <c r="M617" i="7"/>
  <c r="J455" i="7"/>
  <c r="J744" i="7"/>
  <c r="M701" i="7"/>
  <c r="M547" i="7"/>
  <c r="M730" i="7"/>
  <c r="M870" i="7"/>
  <c r="M925" i="7"/>
  <c r="J128" i="7"/>
  <c r="J861" i="7"/>
  <c r="M875" i="7"/>
  <c r="J25" i="7"/>
  <c r="J419" i="7"/>
  <c r="M647" i="7"/>
  <c r="N1001" i="7"/>
  <c r="M813" i="7"/>
  <c r="J784" i="7"/>
  <c r="J266" i="7"/>
  <c r="J228" i="7"/>
  <c r="J735" i="7"/>
  <c r="M531" i="7"/>
  <c r="N615" i="7"/>
  <c r="J13" i="7"/>
  <c r="J604" i="7"/>
  <c r="M541" i="7"/>
  <c r="M882" i="7"/>
  <c r="J56" i="7"/>
  <c r="J600" i="7"/>
  <c r="M634" i="7"/>
  <c r="J664" i="7"/>
  <c r="N953" i="7"/>
  <c r="J537" i="7"/>
  <c r="J297" i="7"/>
  <c r="M574" i="7"/>
  <c r="J149" i="7"/>
  <c r="J567" i="7"/>
  <c r="N995" i="7"/>
  <c r="J593" i="7"/>
  <c r="J198" i="7"/>
  <c r="M94" i="7"/>
  <c r="M549" i="7"/>
  <c r="M963" i="7"/>
  <c r="J794" i="7"/>
  <c r="N992" i="7"/>
  <c r="N975" i="7"/>
  <c r="M786" i="7"/>
  <c r="M874" i="7"/>
  <c r="N983" i="7"/>
  <c r="M811" i="7"/>
  <c r="J619" i="7"/>
  <c r="J396" i="7"/>
  <c r="M859" i="7"/>
  <c r="M905" i="7"/>
  <c r="M804" i="7"/>
  <c r="N1000" i="7"/>
  <c r="M995" i="7"/>
  <c r="J867" i="7"/>
  <c r="J428" i="7"/>
  <c r="J645" i="7"/>
  <c r="M817" i="7"/>
  <c r="M724" i="7"/>
  <c r="J32" i="7"/>
  <c r="J767" i="7"/>
  <c r="M546" i="7"/>
  <c r="N780" i="7"/>
  <c r="J787" i="7"/>
  <c r="M1002" i="7"/>
  <c r="M766" i="7"/>
  <c r="M461" i="7"/>
  <c r="M667" i="7"/>
  <c r="M579" i="7"/>
  <c r="M915" i="7"/>
  <c r="M653" i="7"/>
  <c r="M958" i="7"/>
  <c r="M998" i="7"/>
  <c r="J437" i="7"/>
  <c r="J113" i="7"/>
  <c r="M846" i="7"/>
  <c r="M680" i="7"/>
  <c r="M879" i="7"/>
  <c r="M588" i="7"/>
  <c r="M507" i="7"/>
  <c r="J341" i="7"/>
  <c r="M589" i="7"/>
  <c r="J871" i="7"/>
  <c r="J549" i="7"/>
  <c r="J117" i="7"/>
  <c r="J726" i="7"/>
  <c r="M602" i="7"/>
  <c r="M757" i="7"/>
  <c r="J397" i="7"/>
  <c r="M521" i="7"/>
  <c r="J552" i="7"/>
  <c r="J67" i="7"/>
  <c r="N616" i="7"/>
  <c r="M513" i="7"/>
  <c r="M857" i="7"/>
  <c r="M707" i="7"/>
  <c r="J366" i="7"/>
  <c r="M600" i="7"/>
  <c r="M620" i="7"/>
  <c r="M984" i="7"/>
  <c r="J887" i="7"/>
  <c r="N996" i="7"/>
  <c r="M921" i="7"/>
  <c r="M774" i="7"/>
  <c r="M983" i="7"/>
  <c r="J795" i="7"/>
  <c r="N350" i="7"/>
  <c r="J878" i="7"/>
  <c r="M918" i="7"/>
  <c r="J4" i="7"/>
  <c r="M829" i="7"/>
  <c r="M679" i="7"/>
  <c r="N797" i="7"/>
  <c r="J827" i="7"/>
  <c r="J252" i="7"/>
  <c r="J398" i="7"/>
  <c r="M134" i="7"/>
  <c r="M835" i="7"/>
  <c r="M509" i="7"/>
  <c r="M527" i="7"/>
  <c r="J37" i="7"/>
  <c r="J792" i="7"/>
  <c r="J313" i="7"/>
  <c r="M586" i="7"/>
  <c r="N991" i="7"/>
  <c r="M787" i="7"/>
  <c r="M942" i="7"/>
  <c r="M688" i="7"/>
  <c r="J136" i="7"/>
  <c r="M807" i="7"/>
  <c r="M948" i="7"/>
  <c r="M500" i="7"/>
  <c r="M652" i="7"/>
  <c r="J908" i="7"/>
  <c r="M686" i="7"/>
  <c r="N328" i="7"/>
  <c r="M826" i="7"/>
  <c r="J834" i="7"/>
  <c r="J378" i="7"/>
  <c r="J885" i="7"/>
  <c r="J941" i="7"/>
  <c r="J644" i="7"/>
  <c r="M474" i="7"/>
  <c r="J184" i="7"/>
  <c r="N652" i="7"/>
  <c r="J686" i="7"/>
  <c r="J39" i="7"/>
  <c r="J380" i="7"/>
  <c r="M796" i="7"/>
  <c r="N977" i="7"/>
  <c r="J659" i="7"/>
  <c r="N998" i="7"/>
  <c r="J806" i="7"/>
  <c r="J596" i="7"/>
  <c r="N101" i="7"/>
  <c r="N472" i="7"/>
  <c r="J414" i="7"/>
  <c r="M986" i="7"/>
  <c r="J893" i="7"/>
  <c r="J890" i="7"/>
  <c r="M765" i="7"/>
  <c r="J485" i="7"/>
  <c r="M818" i="7"/>
  <c r="J675" i="7"/>
  <c r="J362" i="7"/>
  <c r="M483" i="7"/>
  <c r="J733" i="7"/>
  <c r="J95" i="7"/>
  <c r="M853" i="7"/>
  <c r="J282" i="7"/>
  <c r="N642" i="7"/>
  <c r="N238" i="7"/>
  <c r="M630" i="7"/>
  <c r="J18" i="7"/>
  <c r="M330" i="7"/>
  <c r="N416" i="7"/>
  <c r="N535" i="7"/>
  <c r="M261" i="7"/>
  <c r="N121" i="7"/>
  <c r="N468" i="7"/>
  <c r="J676" i="7"/>
  <c r="N865" i="7"/>
  <c r="M48" i="7"/>
  <c r="J746" i="7"/>
  <c r="J528" i="7"/>
  <c r="J731" i="7"/>
  <c r="M988" i="7"/>
  <c r="J706" i="7"/>
  <c r="J637" i="7"/>
  <c r="M160" i="7"/>
  <c r="M260" i="7"/>
  <c r="J28" i="7"/>
  <c r="M282" i="7"/>
  <c r="N958" i="7"/>
  <c r="M740" i="7"/>
  <c r="M668" i="7"/>
  <c r="M596" i="7"/>
  <c r="N932" i="7"/>
  <c r="M953" i="7"/>
  <c r="M899" i="7"/>
  <c r="J590" i="7"/>
  <c r="J281" i="7"/>
  <c r="J683" i="7"/>
  <c r="J945" i="7"/>
  <c r="J539" i="7"/>
  <c r="J631" i="7"/>
  <c r="M665" i="7"/>
  <c r="J512" i="7"/>
  <c r="M806" i="7"/>
  <c r="J86" i="7"/>
  <c r="J229" i="7"/>
  <c r="J126" i="7"/>
  <c r="J542" i="7"/>
  <c r="J54" i="7"/>
  <c r="M997" i="7"/>
  <c r="J750" i="7"/>
  <c r="J43" i="7"/>
  <c r="M488" i="7"/>
  <c r="M654" i="7"/>
  <c r="M658" i="7"/>
  <c r="N982" i="7"/>
  <c r="J24" i="7"/>
  <c r="M603" i="7"/>
  <c r="J837" i="7"/>
  <c r="M503" i="7"/>
  <c r="M598" i="7"/>
  <c r="J47" i="7"/>
  <c r="M184" i="7"/>
  <c r="J696" i="7"/>
  <c r="M468" i="7"/>
  <c r="J440" i="7"/>
  <c r="N647" i="7"/>
  <c r="J430" i="7"/>
  <c r="J270" i="7"/>
  <c r="J872" i="7"/>
  <c r="J206" i="7"/>
  <c r="J310" i="7"/>
  <c r="N917" i="7"/>
  <c r="N901" i="7"/>
  <c r="N617" i="7"/>
  <c r="I24" i="18"/>
  <c r="M840" i="7"/>
  <c r="M564" i="7"/>
  <c r="M928" i="7"/>
  <c r="N959" i="7"/>
  <c r="M976" i="7"/>
  <c r="M979" i="7"/>
  <c r="J203" i="7"/>
  <c r="M931" i="7"/>
  <c r="J536" i="7"/>
  <c r="J232" i="7"/>
  <c r="J579" i="7"/>
  <c r="J854" i="7"/>
  <c r="M776" i="7"/>
  <c r="J785" i="7"/>
  <c r="M855" i="7"/>
  <c r="J68" i="7"/>
  <c r="J939" i="7"/>
  <c r="J654" i="7"/>
  <c r="J483" i="7"/>
  <c r="J709" i="7"/>
  <c r="M887" i="7"/>
  <c r="J394" i="7"/>
  <c r="M560" i="7"/>
  <c r="N632" i="7"/>
  <c r="J713" i="7"/>
  <c r="M232" i="7"/>
  <c r="J799" i="7"/>
  <c r="M631" i="7"/>
  <c r="M808" i="7"/>
  <c r="M601" i="7"/>
  <c r="J884" i="7"/>
  <c r="M789" i="7"/>
  <c r="M932" i="7"/>
  <c r="M662" i="7"/>
  <c r="M852" i="7"/>
  <c r="M801" i="7"/>
  <c r="N966" i="7"/>
  <c r="J435" i="7"/>
  <c r="M937" i="7"/>
  <c r="M562" i="7"/>
  <c r="M650" i="7"/>
  <c r="M614" i="7"/>
  <c r="M924" i="7"/>
  <c r="M29" i="7"/>
  <c r="M960" i="7"/>
  <c r="J331" i="7"/>
  <c r="N436" i="7"/>
  <c r="J557" i="7"/>
  <c r="M534" i="7"/>
  <c r="J781" i="7"/>
  <c r="M510" i="7"/>
  <c r="J377" i="7"/>
  <c r="J566" i="7"/>
  <c r="M783" i="7"/>
  <c r="J276" i="7"/>
  <c r="M936" i="7"/>
  <c r="M577" i="7"/>
  <c r="M485" i="7"/>
  <c r="M856" i="7"/>
  <c r="M823" i="7"/>
  <c r="M607" i="7"/>
  <c r="M458" i="7"/>
  <c r="M604" i="7"/>
  <c r="J655" i="7"/>
  <c r="M487" i="7"/>
  <c r="N950" i="7"/>
  <c r="J793" i="7"/>
  <c r="N1002" i="7"/>
  <c r="M867" i="7"/>
  <c r="J895" i="7"/>
  <c r="J503" i="7"/>
  <c r="J614" i="7"/>
  <c r="J760" i="7"/>
  <c r="J816" i="7"/>
  <c r="M524" i="7"/>
  <c r="J137" i="7"/>
  <c r="J805" i="7"/>
  <c r="N358" i="7"/>
  <c r="J514" i="7"/>
  <c r="J804" i="7"/>
  <c r="M645" i="7"/>
  <c r="J233" i="7"/>
  <c r="M868" i="7"/>
  <c r="M991" i="7"/>
  <c r="J35" i="7"/>
  <c r="J797" i="7"/>
  <c r="J17" i="7"/>
  <c r="M563" i="7"/>
  <c r="J323" i="7"/>
  <c r="M944" i="7"/>
  <c r="N967" i="7"/>
  <c r="J738" i="7"/>
  <c r="M845" i="7"/>
  <c r="J774" i="7"/>
  <c r="M815" i="7"/>
  <c r="J499" i="7"/>
  <c r="J73" i="7"/>
  <c r="N909" i="7"/>
  <c r="M640" i="7"/>
  <c r="M489" i="7"/>
  <c r="M708" i="7"/>
  <c r="M940" i="7"/>
  <c r="J842" i="7"/>
  <c r="J768" i="7"/>
  <c r="J393" i="7"/>
  <c r="N985" i="7"/>
  <c r="J529" i="7"/>
  <c r="N473" i="7"/>
  <c r="M532" i="7"/>
  <c r="J858" i="7"/>
  <c r="M278" i="7"/>
  <c r="M533" i="7"/>
  <c r="N835" i="7"/>
  <c r="M638" i="7"/>
  <c r="J509" i="7"/>
  <c r="J145" i="7"/>
  <c r="M763" i="7"/>
  <c r="J538" i="7"/>
  <c r="M734" i="7"/>
  <c r="J33" i="7"/>
  <c r="J505" i="7"/>
  <c r="M927" i="7"/>
  <c r="M538" i="7"/>
  <c r="J416" i="7"/>
  <c r="I27" i="18"/>
  <c r="M661" i="7"/>
  <c r="J734" i="7"/>
  <c r="M88" i="7"/>
  <c r="J544" i="7"/>
  <c r="M336" i="7"/>
  <c r="M122" i="7"/>
  <c r="M271" i="7"/>
  <c r="N823" i="7"/>
  <c r="N927" i="7"/>
  <c r="J458" i="7"/>
  <c r="J186" i="7"/>
  <c r="M872" i="7"/>
  <c r="J524" i="7"/>
  <c r="J83" i="7"/>
  <c r="N172" i="7"/>
  <c r="M916" i="7"/>
  <c r="M466" i="7"/>
  <c r="J279" i="7"/>
  <c r="M251" i="7"/>
  <c r="M343" i="7"/>
  <c r="N118" i="7"/>
  <c r="J653" i="7"/>
  <c r="N804" i="7"/>
  <c r="J502" i="7"/>
  <c r="M117" i="7"/>
  <c r="N481" i="7"/>
  <c r="N744" i="7"/>
  <c r="J510" i="7"/>
  <c r="M691" i="7"/>
  <c r="M568" i="7"/>
  <c r="M480" i="7"/>
  <c r="J506" i="7"/>
  <c r="M803" i="7"/>
  <c r="M968" i="7"/>
  <c r="M578" i="7"/>
  <c r="M459" i="7"/>
  <c r="M841" i="7"/>
  <c r="J755" i="7"/>
  <c r="J351" i="7"/>
  <c r="J866" i="7"/>
  <c r="J615" i="7"/>
  <c r="M947" i="7"/>
  <c r="M608" i="7"/>
  <c r="M502" i="7"/>
  <c r="J246" i="7"/>
  <c r="I26" i="18"/>
  <c r="J261" i="7"/>
  <c r="M836" i="7"/>
  <c r="M798" i="7"/>
  <c r="M894" i="7"/>
  <c r="N817" i="7"/>
  <c r="M738" i="7"/>
  <c r="J555" i="7"/>
  <c r="J337" i="7"/>
  <c r="J722" i="7"/>
  <c r="J62" i="7"/>
  <c r="M387" i="7"/>
  <c r="M290" i="7"/>
  <c r="J817" i="7"/>
  <c r="M465" i="7"/>
  <c r="M413" i="7"/>
  <c r="J663" i="7"/>
  <c r="J168" i="7"/>
  <c r="N751" i="7"/>
  <c r="M270" i="7"/>
  <c r="N315" i="7"/>
  <c r="J250" i="7"/>
  <c r="M769" i="7"/>
  <c r="M693" i="7"/>
  <c r="M758" i="7"/>
  <c r="J403" i="7"/>
  <c r="M943" i="7"/>
  <c r="M299" i="7"/>
  <c r="M941" i="7"/>
  <c r="J782" i="7"/>
  <c r="M820" i="7"/>
  <c r="J580" i="7"/>
  <c r="M479" i="7"/>
  <c r="J628" i="7"/>
  <c r="N525" i="7"/>
  <c r="N21" i="7"/>
  <c r="N355" i="7"/>
  <c r="N732" i="7"/>
  <c r="J449" i="7"/>
  <c r="N122" i="7"/>
  <c r="J222" i="7"/>
  <c r="N244" i="7"/>
  <c r="M92" i="7"/>
  <c r="M230" i="7"/>
  <c r="M977" i="7"/>
  <c r="M266" i="7"/>
  <c r="N519" i="7"/>
  <c r="N112" i="7"/>
  <c r="N313" i="7"/>
  <c r="M220" i="7"/>
  <c r="N34" i="7"/>
  <c r="J417" i="7"/>
  <c r="J15" i="7"/>
  <c r="N853" i="7"/>
  <c r="N258" i="7"/>
  <c r="J348" i="7"/>
  <c r="J318" i="7"/>
  <c r="J273" i="7"/>
  <c r="J513" i="7"/>
  <c r="J459" i="7"/>
  <c r="N716" i="7"/>
  <c r="N428" i="7"/>
  <c r="N140" i="7"/>
  <c r="J247" i="7"/>
  <c r="M522" i="7"/>
  <c r="J630" i="7"/>
  <c r="J130" i="7"/>
  <c r="M438" i="7"/>
  <c r="M838" i="7"/>
  <c r="N581" i="7"/>
  <c r="J166" i="7"/>
  <c r="N96" i="7"/>
  <c r="J875" i="7"/>
  <c r="N737" i="7"/>
  <c r="N457" i="7"/>
  <c r="M778" i="7"/>
  <c r="J849" i="7"/>
  <c r="M482" i="7"/>
  <c r="J275" i="7"/>
  <c r="M729" i="7"/>
  <c r="M186" i="7"/>
  <c r="M357" i="7"/>
  <c r="M286" i="7"/>
  <c r="M154" i="7"/>
  <c r="N815" i="7"/>
  <c r="M305" i="7"/>
  <c r="M250" i="7"/>
  <c r="M52" i="7"/>
  <c r="J53" i="7"/>
  <c r="N36" i="7"/>
  <c r="N143" i="7"/>
  <c r="M146" i="7"/>
  <c r="N82" i="7"/>
  <c r="N197" i="7"/>
  <c r="N117" i="7"/>
  <c r="N47" i="7"/>
  <c r="M342" i="7"/>
  <c r="M144" i="7"/>
  <c r="J376" i="7"/>
  <c r="N5" i="7"/>
  <c r="M389" i="7"/>
  <c r="M398" i="7"/>
  <c r="N902" i="7"/>
  <c r="J338" i="7"/>
  <c r="N371" i="7"/>
  <c r="N169" i="7"/>
  <c r="M279" i="7"/>
  <c r="N521" i="7"/>
  <c r="N651" i="7"/>
  <c r="N421" i="7"/>
  <c r="N67" i="7"/>
  <c r="M714" i="7"/>
  <c r="N954" i="7"/>
  <c r="J772" i="7"/>
  <c r="M893" i="7"/>
  <c r="M965" i="7"/>
  <c r="M528" i="7"/>
  <c r="M951" i="7"/>
  <c r="I25" i="18"/>
  <c r="M581" i="7"/>
  <c r="J163" i="7"/>
  <c r="J617" i="7"/>
  <c r="N27" i="7"/>
  <c r="N417" i="7"/>
  <c r="J743" i="7"/>
  <c r="J420" i="7"/>
  <c r="M456" i="7"/>
  <c r="N181" i="7"/>
  <c r="N195" i="7"/>
  <c r="M864" i="7"/>
  <c r="N400" i="7"/>
  <c r="N444" i="7"/>
  <c r="N228" i="7"/>
  <c r="J687" i="7"/>
  <c r="M91" i="7"/>
  <c r="N649" i="7"/>
  <c r="N537" i="7"/>
  <c r="J61" i="7"/>
  <c r="M434" i="7"/>
  <c r="N765" i="7"/>
  <c r="M651" i="7"/>
  <c r="J530" i="7"/>
  <c r="N782" i="7"/>
  <c r="J545" i="7"/>
  <c r="J296" i="7"/>
  <c r="M123" i="7"/>
  <c r="N761" i="7"/>
  <c r="J76" i="7"/>
  <c r="J445" i="7"/>
  <c r="J317" i="7"/>
  <c r="I10" i="18"/>
  <c r="J583" i="7"/>
  <c r="N685" i="7"/>
  <c r="J627" i="7"/>
  <c r="N111" i="7"/>
  <c r="N44" i="7"/>
  <c r="M30" i="7"/>
  <c r="J71" i="7"/>
  <c r="N180" i="7"/>
  <c r="M181" i="7"/>
  <c r="N618" i="7"/>
  <c r="J532" i="7"/>
  <c r="J666" i="7"/>
  <c r="M543" i="7"/>
  <c r="J401" i="7"/>
  <c r="N214" i="7"/>
  <c r="J701" i="7"/>
  <c r="N247" i="7"/>
  <c r="N442" i="7"/>
  <c r="N957" i="7"/>
  <c r="M782" i="7"/>
  <c r="M906" i="7"/>
  <c r="M746" i="7"/>
  <c r="J634" i="7"/>
  <c r="N551" i="7"/>
  <c r="M711" i="7"/>
  <c r="N73" i="7"/>
  <c r="M678" i="7"/>
  <c r="J602" i="7"/>
  <c r="M793" i="7"/>
  <c r="N435" i="7"/>
  <c r="N52" i="7"/>
  <c r="N49" i="7"/>
  <c r="J212" i="7"/>
  <c r="J568" i="7"/>
  <c r="J800" i="7"/>
  <c r="M695" i="7"/>
  <c r="N841" i="7"/>
  <c r="M816" i="7"/>
  <c r="N563" i="7"/>
  <c r="M745" i="7"/>
  <c r="M728" i="7"/>
  <c r="M478" i="7"/>
  <c r="M572" i="7"/>
  <c r="M551" i="7"/>
  <c r="N646" i="7"/>
  <c r="J846" i="7"/>
  <c r="M161" i="7"/>
  <c r="J442" i="7"/>
  <c r="M486" i="7"/>
  <c r="J433" i="7"/>
  <c r="J564" i="7"/>
  <c r="M696" i="7"/>
  <c r="J934" i="7"/>
  <c r="J850" i="7"/>
  <c r="M985" i="7"/>
  <c r="M756" i="7"/>
  <c r="J723" i="7"/>
  <c r="J64" i="7"/>
  <c r="J60" i="7"/>
  <c r="J320" i="7"/>
  <c r="M709" i="7"/>
  <c r="J548" i="7"/>
  <c r="N165" i="7"/>
  <c r="M467" i="7"/>
  <c r="J749" i="7"/>
  <c r="J370" i="7"/>
  <c r="J480" i="7"/>
  <c r="J623" i="7"/>
  <c r="N846" i="7"/>
  <c r="N731" i="7"/>
  <c r="J707" i="7"/>
  <c r="J154" i="7"/>
  <c r="J914" i="7"/>
  <c r="J52" i="7"/>
  <c r="J124" i="7"/>
  <c r="N249" i="7"/>
  <c r="M289" i="7"/>
  <c r="N193" i="7"/>
  <c r="J825" i="7"/>
  <c r="J531" i="7"/>
  <c r="M663" i="7"/>
  <c r="M848" i="7"/>
  <c r="M753" i="7"/>
  <c r="J429" i="7"/>
  <c r="N572" i="7"/>
  <c r="J592" i="7"/>
  <c r="M954" i="7"/>
  <c r="M526" i="7"/>
  <c r="J473" i="7"/>
  <c r="N369" i="7"/>
  <c r="N663" i="7"/>
  <c r="M124" i="7"/>
  <c r="N719" i="7"/>
  <c r="J79" i="7"/>
  <c r="I15" i="18"/>
  <c r="M660" i="7"/>
  <c r="N679" i="7"/>
  <c r="J635" i="7"/>
  <c r="N776" i="7"/>
  <c r="M150" i="7"/>
  <c r="N53" i="7"/>
  <c r="J740" i="7"/>
  <c r="M388" i="7"/>
  <c r="N116" i="7"/>
  <c r="J315" i="7"/>
  <c r="N569" i="7"/>
  <c r="M198" i="7"/>
  <c r="N943" i="7"/>
  <c r="M901" i="7"/>
  <c r="N295" i="7"/>
  <c r="N337" i="7"/>
  <c r="J648" i="7"/>
  <c r="J63" i="7"/>
  <c r="J829" i="7"/>
  <c r="J220" i="7"/>
  <c r="J387" i="7"/>
  <c r="J156" i="7"/>
  <c r="J482" i="7"/>
  <c r="N286" i="7"/>
  <c r="N136" i="7"/>
  <c r="M785" i="7"/>
  <c r="N455" i="7"/>
  <c r="N470" i="7"/>
  <c r="J937" i="7"/>
  <c r="M935" i="7"/>
  <c r="N408" i="7"/>
  <c r="J841" i="7"/>
  <c r="J199" i="7"/>
  <c r="J904" i="7"/>
  <c r="N522" i="7"/>
  <c r="M204" i="7"/>
  <c r="J730" i="7"/>
  <c r="J876" i="7"/>
  <c r="N594" i="7"/>
  <c r="M115" i="7"/>
  <c r="J179" i="7"/>
  <c r="N890" i="7"/>
  <c r="N57" i="7"/>
  <c r="N120" i="7"/>
  <c r="N134" i="7"/>
  <c r="N682" i="7"/>
  <c r="N708" i="7"/>
  <c r="M76" i="7"/>
  <c r="N820" i="7"/>
  <c r="M375" i="7"/>
  <c r="N514" i="7"/>
  <c r="M71" i="7"/>
  <c r="N847" i="7"/>
  <c r="M233" i="7"/>
  <c r="M86" i="7"/>
  <c r="N115" i="7"/>
  <c r="N192" i="7"/>
  <c r="N420" i="7"/>
  <c r="M80" i="7"/>
  <c r="N669" i="7"/>
  <c r="N675" i="7"/>
  <c r="N844" i="7"/>
  <c r="M95" i="7"/>
  <c r="N726" i="7"/>
  <c r="M148" i="7"/>
  <c r="M412" i="7"/>
  <c r="M65" i="7"/>
  <c r="M24" i="7"/>
  <c r="N393" i="7"/>
  <c r="N314" i="7"/>
  <c r="N900" i="7"/>
  <c r="N380" i="7"/>
  <c r="J286" i="7"/>
  <c r="M737" i="7"/>
  <c r="J224" i="7"/>
  <c r="M858" i="7"/>
  <c r="J606" i="7"/>
  <c r="J129" i="7"/>
  <c r="J830" i="7"/>
  <c r="J74" i="7"/>
  <c r="M768" i="7"/>
  <c r="M747" i="7"/>
  <c r="J598" i="7"/>
  <c r="M306" i="7"/>
  <c r="J314" i="7"/>
  <c r="M304" i="7"/>
  <c r="J753" i="7"/>
  <c r="N589" i="7"/>
  <c r="M293" i="7"/>
  <c r="M570" i="7"/>
  <c r="J563" i="7"/>
  <c r="N523" i="7"/>
  <c r="N16" i="7"/>
  <c r="M128" i="7"/>
  <c r="J9" i="7"/>
  <c r="J741" i="7"/>
  <c r="N681" i="7"/>
  <c r="N486" i="7"/>
  <c r="J359" i="7"/>
  <c r="J465" i="7"/>
  <c r="M384" i="7"/>
  <c r="N138" i="7"/>
  <c r="M516" i="7"/>
  <c r="J177" i="7"/>
  <c r="J85" i="7"/>
  <c r="J881" i="7"/>
  <c r="M898" i="7"/>
  <c r="N63" i="7"/>
  <c r="J457" i="7"/>
  <c r="N764" i="7"/>
  <c r="J670" i="7"/>
  <c r="N886" i="7"/>
  <c r="N944" i="7"/>
  <c r="J438" i="7"/>
  <c r="J311" i="7"/>
  <c r="N159" i="7"/>
  <c r="N6" i="7"/>
  <c r="M112" i="7"/>
  <c r="J773" i="7"/>
  <c r="N690" i="7"/>
  <c r="J525" i="7"/>
  <c r="J925" i="7"/>
  <c r="J234" i="7"/>
  <c r="N861" i="7"/>
  <c r="M992" i="7"/>
  <c r="N452" i="7"/>
  <c r="M606" i="7"/>
  <c r="M860" i="7"/>
  <c r="J776" i="7"/>
  <c r="J865" i="7"/>
  <c r="J295" i="7"/>
  <c r="J561" i="7"/>
  <c r="N311" i="7"/>
  <c r="M504" i="7"/>
  <c r="J859" i="7"/>
  <c r="N956" i="7"/>
  <c r="M987" i="7"/>
  <c r="J803" i="7"/>
  <c r="J577" i="7"/>
  <c r="J588" i="7"/>
  <c r="J736" i="7"/>
  <c r="J824" i="7"/>
  <c r="N949" i="7"/>
  <c r="M880" i="7"/>
  <c r="N341" i="7"/>
  <c r="J118" i="7"/>
  <c r="M296" i="7"/>
  <c r="J843" i="7"/>
  <c r="N767" i="7"/>
  <c r="J231" i="7"/>
  <c r="M358" i="7"/>
  <c r="M908" i="7"/>
  <c r="M869" i="7"/>
  <c r="J371" i="7"/>
  <c r="J205" i="7"/>
  <c r="M910" i="7"/>
  <c r="N894" i="7"/>
  <c r="M964" i="7"/>
  <c r="M742" i="7"/>
  <c r="J478" i="7"/>
  <c r="M618" i="7"/>
  <c r="J26" i="7"/>
  <c r="J565" i="7"/>
  <c r="M512" i="7"/>
  <c r="M865" i="7"/>
  <c r="J456" i="7"/>
  <c r="J705" i="7"/>
  <c r="J23" i="7"/>
  <c r="J640" i="7"/>
  <c r="M659" i="7"/>
  <c r="J903" i="7"/>
  <c r="N740" i="7"/>
  <c r="M892" i="7"/>
  <c r="M523" i="7"/>
  <c r="N293" i="7"/>
  <c r="M980" i="7"/>
  <c r="J169" i="7"/>
  <c r="J681" i="7"/>
  <c r="J415" i="7"/>
  <c r="J49" i="7"/>
  <c r="N706" i="7"/>
  <c r="N711" i="7"/>
  <c r="M683" i="7"/>
  <c r="M961" i="7"/>
  <c r="N78" i="7"/>
  <c r="J271" i="7"/>
  <c r="J601" i="7"/>
  <c r="N687" i="7"/>
  <c r="N460" i="7"/>
  <c r="J754" i="7"/>
  <c r="J225" i="7"/>
  <c r="M719" i="7"/>
  <c r="M917" i="7"/>
  <c r="N273" i="7"/>
  <c r="M775" i="7"/>
  <c r="M256" i="7"/>
  <c r="M732" i="7"/>
  <c r="J822" i="7"/>
  <c r="N327" i="7"/>
  <c r="M761" i="7"/>
  <c r="J823" i="7"/>
  <c r="M242" i="7"/>
  <c r="N498" i="7"/>
  <c r="J479" i="7"/>
  <c r="M368" i="7"/>
  <c r="J100" i="7"/>
  <c r="N32" i="7"/>
  <c r="N994" i="7"/>
  <c r="N389" i="7"/>
  <c r="J714" i="7"/>
  <c r="N938" i="7"/>
  <c r="N288" i="7"/>
  <c r="M994" i="7"/>
  <c r="J727" i="7"/>
  <c r="N262" i="7"/>
  <c r="N185" i="7"/>
  <c r="N489" i="7"/>
  <c r="J737" i="7"/>
  <c r="M361" i="7"/>
  <c r="N781" i="7"/>
  <c r="J434" i="7"/>
  <c r="N437" i="7"/>
  <c r="J616" i="7"/>
  <c r="J308" i="7"/>
  <c r="M717" i="7"/>
  <c r="M430" i="7"/>
  <c r="N434" i="7"/>
  <c r="J41" i="7"/>
  <c r="J671" i="7"/>
  <c r="N770" i="7"/>
  <c r="N290" i="7"/>
  <c r="N714" i="7"/>
  <c r="M567" i="7"/>
  <c r="N922" i="7"/>
  <c r="M255" i="7"/>
  <c r="N405" i="7"/>
  <c r="M632" i="7"/>
  <c r="J943" i="7"/>
  <c r="J372" i="7"/>
  <c r="J321" i="7"/>
  <c r="J381" i="7"/>
  <c r="N103" i="7"/>
  <c r="M98" i="7"/>
  <c r="J167" i="7"/>
  <c r="J34" i="7"/>
  <c r="M97" i="7"/>
  <c r="N545" i="7"/>
  <c r="M102" i="7"/>
  <c r="N126" i="7"/>
  <c r="M58" i="7"/>
  <c r="N783" i="7"/>
  <c r="N207" i="7"/>
  <c r="N183" i="7"/>
  <c r="M335" i="7"/>
  <c r="N805" i="7"/>
  <c r="N796" i="7"/>
  <c r="M263" i="7"/>
  <c r="M79" i="7"/>
  <c r="J572" i="7"/>
  <c r="N543" i="7"/>
  <c r="N752" i="7"/>
  <c r="J197" i="7"/>
  <c r="M231" i="7"/>
  <c r="N330" i="7"/>
  <c r="N683" i="7"/>
  <c r="N557" i="7"/>
  <c r="N942" i="7"/>
  <c r="N860" i="7"/>
  <c r="N227" i="7"/>
  <c r="M431" i="7"/>
  <c r="J187" i="7"/>
  <c r="N705" i="7"/>
  <c r="M205" i="7"/>
  <c r="N109" i="7"/>
  <c r="N439" i="7"/>
  <c r="N95" i="7"/>
  <c r="N91" i="7"/>
  <c r="M223" i="7"/>
  <c r="N766" i="7"/>
  <c r="N656" i="7"/>
  <c r="M671" i="7"/>
  <c r="M752" i="7"/>
  <c r="J20" i="7"/>
  <c r="M582" i="7"/>
  <c r="J411" i="7"/>
  <c r="M700" i="7"/>
  <c r="M292" i="7"/>
  <c r="J702" i="7"/>
  <c r="M575" i="7"/>
  <c r="J486" i="7"/>
  <c r="M113" i="7"/>
  <c r="J84" i="7"/>
  <c r="J249" i="7"/>
  <c r="N230" i="7"/>
  <c r="J476" i="7"/>
  <c r="N304" i="7"/>
  <c r="J151" i="7"/>
  <c r="N394" i="7"/>
  <c r="J388" i="7"/>
  <c r="J263" i="7"/>
  <c r="J333" i="7"/>
  <c r="J147" i="7"/>
  <c r="J30" i="7"/>
  <c r="J642" i="7"/>
  <c r="N113" i="7"/>
  <c r="M850" i="7"/>
  <c r="M224" i="7"/>
  <c r="M73" i="7"/>
  <c r="J641" i="7"/>
  <c r="J656" i="7"/>
  <c r="J836" i="7"/>
  <c r="N106" i="7"/>
  <c r="J368" i="7"/>
  <c r="J809" i="7"/>
  <c r="N838" i="7"/>
  <c r="J194" i="7"/>
  <c r="J672" i="7"/>
  <c r="J828" i="7"/>
  <c r="M348" i="7"/>
  <c r="M396" i="7"/>
  <c r="J516" i="7"/>
  <c r="J59" i="7"/>
  <c r="N712" i="7"/>
  <c r="M451" i="7"/>
  <c r="N648" i="7"/>
  <c r="J646" i="7"/>
  <c r="M344" i="7"/>
  <c r="N653" i="7"/>
  <c r="J195" i="7"/>
  <c r="J409" i="7"/>
  <c r="N559" i="7"/>
  <c r="N357" i="7"/>
  <c r="J424" i="7"/>
  <c r="J363" i="7"/>
  <c r="N174" i="7"/>
  <c r="M243" i="7"/>
  <c r="N811" i="7"/>
  <c r="N809" i="7"/>
  <c r="M454" i="7"/>
  <c r="M23" i="7"/>
  <c r="N245" i="7"/>
  <c r="N531" i="7"/>
  <c r="M446" i="7"/>
  <c r="N580" i="7"/>
  <c r="M26" i="7"/>
  <c r="N533" i="7"/>
  <c r="N730" i="7"/>
  <c r="N284" i="7"/>
  <c r="N676" i="7"/>
  <c r="M236" i="7"/>
  <c r="N213" i="7"/>
  <c r="N407" i="7"/>
  <c r="M313" i="7"/>
  <c r="M285" i="7"/>
  <c r="N69" i="7"/>
  <c r="N160" i="7"/>
  <c r="N915" i="7"/>
  <c r="N410" i="7"/>
  <c r="N353" i="7"/>
  <c r="M3" i="7"/>
  <c r="N928" i="7"/>
  <c r="N665" i="7"/>
  <c r="M411" i="7"/>
  <c r="J374" i="7"/>
  <c r="N527" i="7"/>
  <c r="M440" i="7"/>
  <c r="N296" i="7"/>
  <c r="N277" i="7"/>
  <c r="M518" i="7"/>
  <c r="J191" i="7"/>
  <c r="J332" i="7"/>
  <c r="M993" i="7"/>
  <c r="J8" i="7"/>
  <c r="J239" i="7"/>
  <c r="J361" i="7"/>
  <c r="N275" i="7"/>
  <c r="J786" i="7"/>
  <c r="J466" i="7"/>
  <c r="J96" i="7"/>
  <c r="M955" i="7"/>
  <c r="J450" i="7"/>
  <c r="J756" i="7"/>
  <c r="J383" i="7"/>
  <c r="N556" i="7"/>
  <c r="N660" i="7"/>
  <c r="N658" i="7"/>
  <c r="M767" i="7"/>
  <c r="M592" i="7"/>
  <c r="M460" i="7"/>
  <c r="J365" i="7"/>
  <c r="M791" i="7"/>
  <c r="M491" i="7"/>
  <c r="M919" i="7"/>
  <c r="N910" i="7"/>
  <c r="M476" i="7"/>
  <c r="M952" i="7"/>
  <c r="J283" i="7"/>
  <c r="M934" i="7"/>
  <c r="M666" i="7"/>
  <c r="J142" i="7"/>
  <c r="J326" i="7"/>
  <c r="J258" i="7"/>
  <c r="M43" i="7"/>
  <c r="J355" i="7"/>
  <c r="J495" i="7"/>
  <c r="M624" i="7"/>
  <c r="M802" i="7"/>
  <c r="M722" i="7"/>
  <c r="M911" i="7"/>
  <c r="M751" i="7"/>
  <c r="M583" i="7"/>
  <c r="J864" i="7"/>
  <c r="J550" i="7"/>
  <c r="J444" i="7"/>
  <c r="J153" i="7"/>
  <c r="J716" i="7"/>
  <c r="N913" i="7"/>
  <c r="M725" i="7"/>
  <c r="J852" i="7"/>
  <c r="M585" i="7"/>
  <c r="N819" i="7"/>
  <c r="M627" i="7"/>
  <c r="J88" i="7"/>
  <c r="J81" i="7"/>
  <c r="N946" i="7"/>
  <c r="M715" i="7"/>
  <c r="N510" i="7"/>
  <c r="M566" i="7"/>
  <c r="M847" i="7"/>
  <c r="M493" i="7"/>
  <c r="J452" i="7"/>
  <c r="J763" i="7"/>
  <c r="J173" i="7"/>
  <c r="J847" i="7"/>
  <c r="M428" i="7"/>
  <c r="N426" i="7"/>
  <c r="M182" i="7"/>
  <c r="J839" i="7"/>
  <c r="I6" i="18"/>
  <c r="J305" i="7"/>
  <c r="J764" i="7"/>
  <c r="N544" i="7"/>
  <c r="M219" i="7"/>
  <c r="M326" i="7"/>
  <c r="J138" i="7"/>
  <c r="M923" i="7"/>
  <c r="J267" i="7"/>
  <c r="M689" i="7"/>
  <c r="J215" i="7"/>
  <c r="J902" i="7"/>
  <c r="J469" i="7"/>
  <c r="J562" i="7"/>
  <c r="M569" i="7"/>
  <c r="J643" i="7"/>
  <c r="M536" i="7"/>
  <c r="J404" i="7"/>
  <c r="J196" i="7"/>
  <c r="J221" i="7"/>
  <c r="J587" i="7"/>
  <c r="M143" i="7"/>
  <c r="J375" i="7"/>
  <c r="N255" i="7"/>
  <c r="M750" i="7"/>
  <c r="N584" i="7"/>
  <c r="N278" i="7"/>
  <c r="N845" i="7"/>
  <c r="M87" i="7"/>
  <c r="M743" i="7"/>
  <c r="J91" i="7"/>
  <c r="N576" i="7"/>
  <c r="M900" i="7"/>
  <c r="J494" i="7"/>
  <c r="N361" i="7"/>
  <c r="J597" i="7"/>
  <c r="J811" i="7"/>
  <c r="J697" i="7"/>
  <c r="M495" i="7"/>
  <c r="M68" i="7"/>
  <c r="J112" i="7"/>
  <c r="J16" i="7"/>
  <c r="M201" i="7"/>
  <c r="N97" i="7"/>
  <c r="J484" i="7"/>
  <c r="M735" i="7"/>
  <c r="N500" i="7"/>
  <c r="M147" i="7"/>
  <c r="M797" i="7"/>
  <c r="M830" i="7"/>
  <c r="N684" i="7"/>
  <c r="M168" i="7"/>
  <c r="M172" i="7"/>
  <c r="J874" i="7"/>
  <c r="M345" i="7"/>
  <c r="M125" i="7"/>
  <c r="J845" i="7"/>
  <c r="J349" i="7"/>
  <c r="M12" i="7"/>
  <c r="M165" i="7"/>
  <c r="M1000" i="7"/>
  <c r="J780" i="7"/>
  <c r="N575" i="7"/>
  <c r="N499" i="7"/>
  <c r="J802" i="7"/>
  <c r="J185" i="7"/>
  <c r="N597" i="7"/>
  <c r="N661" i="7"/>
  <c r="N208" i="7"/>
  <c r="J540" i="7"/>
  <c r="M238" i="7"/>
  <c r="M248" i="7"/>
  <c r="N222" i="7"/>
  <c r="N239" i="7"/>
  <c r="N179" i="7"/>
  <c r="N83" i="7"/>
  <c r="N38" i="7"/>
  <c r="N144" i="7"/>
  <c r="M272" i="7"/>
  <c r="M9" i="7"/>
  <c r="J253" i="7"/>
  <c r="M101" i="7"/>
  <c r="N918" i="7"/>
  <c r="M436" i="7"/>
  <c r="N798" i="7"/>
  <c r="M227" i="7"/>
  <c r="M60" i="7"/>
  <c r="N828" i="7"/>
  <c r="N734" i="7"/>
  <c r="N58" i="7"/>
  <c r="M164" i="7"/>
  <c r="M303" i="7"/>
  <c r="N641" i="7"/>
  <c r="N429" i="7"/>
  <c r="N266" i="7"/>
  <c r="J423" i="7"/>
  <c r="M464" i="7"/>
  <c r="J11" i="7"/>
  <c r="M978" i="7"/>
  <c r="M462" i="7"/>
  <c r="J575" i="7"/>
  <c r="N816" i="7"/>
  <c r="J131" i="7"/>
  <c r="J451" i="7"/>
  <c r="J748" i="7"/>
  <c r="J431" i="7"/>
  <c r="J660" i="7"/>
  <c r="J527" i="7"/>
  <c r="J385" i="7"/>
  <c r="J389" i="7"/>
  <c r="N605" i="7"/>
  <c r="J82" i="7"/>
  <c r="M452" i="7"/>
  <c r="N465" i="7"/>
  <c r="N964" i="7"/>
  <c r="J831" i="7"/>
  <c r="I12" i="18"/>
  <c r="M895" i="7"/>
  <c r="J339" i="7"/>
  <c r="J335" i="7"/>
  <c r="J218" i="7"/>
  <c r="N403" i="7"/>
  <c r="J170" i="7"/>
  <c r="N517" i="7"/>
  <c r="N888" i="7"/>
  <c r="N141" i="7"/>
  <c r="N989" i="7"/>
  <c r="M139" i="7"/>
  <c r="N318" i="7"/>
  <c r="J460" i="7"/>
  <c r="J667" i="7"/>
  <c r="J122" i="7"/>
  <c r="J470" i="7"/>
  <c r="M809" i="7"/>
  <c r="J669" i="7"/>
  <c r="I2" i="18"/>
  <c r="N534" i="7"/>
  <c r="N509" i="7"/>
  <c r="N974" i="7"/>
  <c r="N65" i="7"/>
  <c r="N376" i="7"/>
  <c r="N941" i="7"/>
  <c r="J330" i="7"/>
  <c r="I18" i="18"/>
  <c r="N794" i="7"/>
  <c r="N336" i="7"/>
  <c r="J223" i="7"/>
  <c r="M10" i="7"/>
  <c r="N812" i="7"/>
  <c r="J559" i="7"/>
  <c r="J135" i="7"/>
  <c r="N931" i="7"/>
  <c r="N753" i="7"/>
  <c r="J237" i="7"/>
  <c r="M463" i="7"/>
  <c r="J21" i="7"/>
  <c r="N596" i="7"/>
  <c r="N467" i="7"/>
  <c r="N107" i="7"/>
  <c r="M320" i="7"/>
  <c r="N877" i="7"/>
  <c r="N310" i="7"/>
  <c r="M35" i="7"/>
  <c r="N893" i="7"/>
  <c r="N758" i="7"/>
  <c r="M213" i="7"/>
  <c r="N339" i="7"/>
  <c r="M126" i="7"/>
  <c r="N725" i="7"/>
  <c r="M203" i="7"/>
  <c r="N377" i="7"/>
  <c r="M31" i="7"/>
  <c r="M245" i="7"/>
  <c r="N152" i="7"/>
  <c r="N130" i="7"/>
  <c r="N784" i="7"/>
  <c r="M331" i="7"/>
  <c r="N46" i="7"/>
  <c r="M301" i="7"/>
  <c r="N874" i="7"/>
  <c r="J172" i="7"/>
  <c r="M437" i="7"/>
  <c r="N604" i="7"/>
  <c r="M114" i="7"/>
  <c r="M417" i="7"/>
  <c r="M698" i="7"/>
  <c r="M475" i="7"/>
  <c r="J356" i="7"/>
  <c r="J848" i="7"/>
  <c r="M537" i="7"/>
  <c r="J189" i="7"/>
  <c r="M721" i="7"/>
  <c r="M477" i="7"/>
  <c r="M760" i="7"/>
  <c r="J636" i="7"/>
  <c r="I20" i="18"/>
  <c r="N272" i="7"/>
  <c r="J703" i="7"/>
  <c r="M376" i="7"/>
  <c r="J120" i="7"/>
  <c r="N320" i="7"/>
  <c r="N124" i="7"/>
  <c r="M194" i="7"/>
  <c r="I21" i="18"/>
  <c r="N237" i="7"/>
  <c r="N703" i="7"/>
  <c r="N466" i="7"/>
  <c r="M217" i="7"/>
  <c r="N668" i="7"/>
  <c r="N283" i="7"/>
  <c r="N879" i="7"/>
  <c r="N696" i="7"/>
  <c r="N513" i="7"/>
  <c r="M25" i="7"/>
  <c r="M131" i="7"/>
  <c r="J770" i="7"/>
  <c r="J898" i="7"/>
  <c r="M674" i="7"/>
  <c r="M810" i="7"/>
  <c r="J547" i="7"/>
  <c r="M212" i="7"/>
  <c r="J180" i="7"/>
  <c r="N135" i="7"/>
  <c r="J901" i="7"/>
  <c r="M297" i="7"/>
  <c r="M876" i="7"/>
  <c r="N86" i="7"/>
  <c r="J906" i="7"/>
  <c r="N768" i="7"/>
  <c r="N772" i="7"/>
  <c r="N713" i="7"/>
  <c r="J192" i="7"/>
  <c r="J769" i="7"/>
  <c r="N59" i="7"/>
  <c r="J328" i="7"/>
  <c r="J629" i="7"/>
  <c r="N395" i="7"/>
  <c r="M268" i="7"/>
  <c r="J810" i="7"/>
  <c r="M966" i="7"/>
  <c r="M214" i="7"/>
  <c r="M360" i="7"/>
  <c r="J888" i="7"/>
  <c r="J621" i="7"/>
  <c r="J541" i="7"/>
  <c r="J658" i="7"/>
  <c r="J342" i="7"/>
  <c r="J2" i="7"/>
  <c r="M352" i="7"/>
  <c r="M5" i="7"/>
  <c r="J487" i="7"/>
  <c r="N775" i="7"/>
  <c r="N803" i="7"/>
  <c r="J897" i="7"/>
  <c r="J917" i="7"/>
  <c r="N960" i="7"/>
  <c r="M140" i="7"/>
  <c r="J226" i="7"/>
  <c r="J453" i="7"/>
  <c r="J924" i="7"/>
  <c r="J242" i="7"/>
  <c r="N164" i="7"/>
  <c r="J260" i="7"/>
  <c r="J94" i="7"/>
  <c r="M938" i="7"/>
  <c r="N948" i="7"/>
  <c r="J496" i="7"/>
  <c r="J227" i="7"/>
  <c r="N930" i="7"/>
  <c r="N354" i="7"/>
  <c r="N539" i="7"/>
  <c r="M241" i="7"/>
  <c r="N433" i="7"/>
  <c r="N573" i="7"/>
  <c r="J488" i="7"/>
  <c r="M594" i="7"/>
  <c r="J42" i="7"/>
  <c r="J833" i="7"/>
  <c r="J905" i="7"/>
  <c r="N431" i="7"/>
  <c r="J595" i="7"/>
  <c r="N133" i="7"/>
  <c r="M274" i="7"/>
  <c r="N747" i="7"/>
  <c r="M21" i="7"/>
  <c r="M63" i="7"/>
  <c r="N826" i="7"/>
  <c r="M391" i="7"/>
  <c r="N366" i="7"/>
  <c r="N795" i="7"/>
  <c r="M171" i="7"/>
  <c r="N412" i="7"/>
  <c r="N754" i="7"/>
  <c r="J410" i="7"/>
  <c r="N529" i="7"/>
  <c r="M247" i="7"/>
  <c r="M19" i="7"/>
  <c r="M379" i="7"/>
  <c r="N707" i="7"/>
  <c r="M32" i="7"/>
  <c r="N578" i="7"/>
  <c r="J691" i="7"/>
  <c r="N878" i="7"/>
  <c r="M74" i="7"/>
  <c r="M51" i="7"/>
  <c r="M210" i="7"/>
  <c r="N235" i="7"/>
  <c r="N495" i="7"/>
  <c r="N329" i="7"/>
  <c r="N822" i="7"/>
  <c r="M371" i="7"/>
  <c r="N666" i="7"/>
  <c r="N271" i="7"/>
  <c r="N926" i="7"/>
  <c r="N146" i="7"/>
  <c r="M323" i="7"/>
  <c r="N114" i="7"/>
  <c r="N671" i="7"/>
  <c r="M7" i="7"/>
  <c r="M81" i="7"/>
  <c r="N650" i="7"/>
  <c r="N189" i="7"/>
  <c r="N216" i="7"/>
  <c r="M56" i="7"/>
  <c r="M383" i="7"/>
  <c r="M152" i="7"/>
  <c r="M359" i="7"/>
  <c r="J584" i="7"/>
  <c r="N574" i="7"/>
  <c r="N863" i="7"/>
  <c r="N601" i="7"/>
  <c r="N166" i="7"/>
  <c r="N333" i="7"/>
  <c r="N196" i="7"/>
  <c r="M215" i="7"/>
  <c r="N77" i="7"/>
  <c r="M61" i="7"/>
  <c r="N25" i="7"/>
  <c r="J620" i="7"/>
  <c r="M731" i="7"/>
  <c r="J319" i="7"/>
  <c r="J507" i="7"/>
  <c r="J204" i="7"/>
  <c r="M445" i="7"/>
  <c r="N933" i="7"/>
  <c r="J732" i="7"/>
  <c r="M188" i="7"/>
  <c r="N267" i="7"/>
  <c r="M196" i="7"/>
  <c r="M259" i="7"/>
  <c r="N906" i="7"/>
  <c r="N51" i="7"/>
  <c r="N123" i="7"/>
  <c r="M432" i="7"/>
  <c r="N698" i="7"/>
  <c r="N263" i="7"/>
  <c r="N448" i="7"/>
  <c r="N701" i="7"/>
  <c r="J665" i="7"/>
  <c r="J942" i="7"/>
  <c r="N940" i="7"/>
  <c r="N694" i="7"/>
  <c r="N274" i="7"/>
  <c r="M435" i="7"/>
  <c r="N506" i="7"/>
  <c r="N482" i="7"/>
  <c r="I19" i="18"/>
  <c r="J752" i="7"/>
  <c r="J257" i="7"/>
  <c r="N903" i="7"/>
  <c r="N487" i="7"/>
  <c r="N762" i="7"/>
  <c r="M849" i="7"/>
  <c r="N911" i="7"/>
  <c r="N777" i="7"/>
  <c r="M350" i="7"/>
  <c r="N643" i="7"/>
  <c r="N585" i="7"/>
  <c r="M403" i="7"/>
  <c r="M291" i="7"/>
  <c r="N68" i="7"/>
  <c r="N566" i="7"/>
  <c r="N15" i="7"/>
  <c r="N306" i="7"/>
  <c r="N35" i="7"/>
  <c r="J668" i="7"/>
  <c r="M200" i="7"/>
  <c r="N562" i="7"/>
  <c r="N655" i="7"/>
  <c r="M349" i="7"/>
  <c r="N830" i="7"/>
  <c r="N61" i="7"/>
  <c r="N524" i="7"/>
  <c r="N419" i="7"/>
  <c r="M421" i="7"/>
  <c r="M264" i="7"/>
  <c r="N219" i="7"/>
  <c r="N33" i="7"/>
  <c r="N132" i="7"/>
  <c r="N162" i="7"/>
  <c r="M340" i="7"/>
  <c r="N363" i="7"/>
  <c r="J493" i="7"/>
  <c r="N13" i="7"/>
  <c r="N778" i="7"/>
  <c r="N864" i="7"/>
  <c r="N142" i="7"/>
  <c r="N217" i="7"/>
  <c r="N309" i="7"/>
  <c r="N42" i="7"/>
  <c r="N94" i="7"/>
  <c r="J343" i="7"/>
  <c r="N386" i="7"/>
  <c r="N550" i="7"/>
  <c r="N728" i="7"/>
  <c r="N620" i="7"/>
  <c r="N976" i="7"/>
  <c r="N591" i="7"/>
  <c r="J684" i="7"/>
  <c r="J693" i="7"/>
  <c r="J278" i="7"/>
  <c r="J58" i="7"/>
  <c r="J571" i="7"/>
  <c r="J402" i="7"/>
  <c r="M175" i="7"/>
  <c r="J274" i="7"/>
  <c r="J882" i="7"/>
  <c r="J821" i="7"/>
  <c r="M141" i="7"/>
  <c r="J340" i="7"/>
  <c r="N748" i="7"/>
  <c r="N17" i="7"/>
  <c r="M439" i="7"/>
  <c r="N854" i="7"/>
  <c r="J264" i="7"/>
  <c r="N279" i="7"/>
  <c r="J777" i="7"/>
  <c r="N657" i="7"/>
  <c r="N170" i="7"/>
  <c r="N432" i="7"/>
  <c r="J932" i="7"/>
  <c r="J585" i="7"/>
  <c r="N929" i="7"/>
  <c r="J677" i="7"/>
  <c r="M781" i="7"/>
  <c r="M121" i="7"/>
  <c r="M75" i="7"/>
  <c r="J812" i="7"/>
  <c r="N477" i="7"/>
  <c r="N312" i="7"/>
  <c r="N935" i="7"/>
  <c r="M448" i="7"/>
  <c r="J820" i="7"/>
  <c r="J214" i="7"/>
  <c r="N793" i="7"/>
  <c r="M697" i="7"/>
  <c r="M833" i="7"/>
  <c r="J353" i="7"/>
  <c r="J272" i="7"/>
  <c r="J546" i="7"/>
  <c r="M805" i="7"/>
  <c r="N246" i="7"/>
  <c r="M333" i="7"/>
  <c r="J448" i="7"/>
  <c r="J639" i="7"/>
  <c r="N12" i="7"/>
  <c r="N672" i="7"/>
  <c r="M699" i="7"/>
  <c r="M877" i="7"/>
  <c r="M66" i="7"/>
  <c r="N611" i="7"/>
  <c r="N662" i="7"/>
  <c r="N916" i="7"/>
  <c r="N56" i="7"/>
  <c r="M427" i="7"/>
  <c r="J44" i="7"/>
  <c r="J77" i="7"/>
  <c r="J724" i="7"/>
  <c r="N66" i="7"/>
  <c r="M399" i="7"/>
  <c r="N349" i="7"/>
  <c r="J900" i="7"/>
  <c r="N688" i="7"/>
  <c r="M17" i="7"/>
  <c r="M225" i="7"/>
  <c r="N478" i="7"/>
  <c r="J927" i="7"/>
  <c r="M157" i="7"/>
  <c r="N729" i="7"/>
  <c r="N128" i="7"/>
  <c r="N409" i="7"/>
  <c r="N631" i="7"/>
  <c r="N324" i="7"/>
  <c r="M363" i="7"/>
  <c r="M269" i="7"/>
  <c r="N221" i="7"/>
  <c r="M404" i="7"/>
  <c r="M244" i="7"/>
  <c r="M380" i="7"/>
  <c r="M167" i="7"/>
  <c r="M228" i="7"/>
  <c r="N381" i="7"/>
  <c r="N31" i="7"/>
  <c r="M185" i="7"/>
  <c r="M67" i="7"/>
  <c r="M202" i="7"/>
  <c r="J522" i="7"/>
  <c r="M84" i="7"/>
  <c r="N24" i="7"/>
  <c r="J710" i="7"/>
  <c r="M199" i="7"/>
  <c r="N760" i="7"/>
  <c r="M455" i="7"/>
  <c r="N858" i="7"/>
  <c r="N40" i="7"/>
  <c r="M174" i="7"/>
  <c r="M93" i="7"/>
  <c r="N829" i="7"/>
  <c r="N546" i="7"/>
  <c r="M208" i="7"/>
  <c r="M405" i="7"/>
  <c r="J553" i="7"/>
  <c r="N882" i="7"/>
  <c r="J447" i="7"/>
  <c r="M315" i="7"/>
  <c r="M409" i="7"/>
  <c r="M295" i="7"/>
  <c r="M36" i="7"/>
  <c r="N621" i="7"/>
  <c r="N139" i="7"/>
  <c r="M173" i="7"/>
  <c r="N423" i="7"/>
  <c r="N479" i="7"/>
  <c r="N895" i="7"/>
  <c r="N301" i="7"/>
  <c r="N362" i="7"/>
  <c r="N654" i="7"/>
  <c r="M253" i="7"/>
  <c r="N317" i="7"/>
  <c r="N695" i="7"/>
  <c r="J108" i="7"/>
  <c r="J711" i="7"/>
  <c r="M103" i="7"/>
  <c r="N30" i="7"/>
  <c r="J133" i="7"/>
  <c r="N10" i="7"/>
  <c r="N348" i="7"/>
  <c r="M276" i="7"/>
  <c r="M309" i="7"/>
  <c r="N220" i="7"/>
  <c r="N733" i="7"/>
  <c r="N824" i="7"/>
  <c r="N300" i="7"/>
  <c r="M127" i="7"/>
  <c r="N19" i="7"/>
  <c r="M129" i="7"/>
  <c r="N248" i="7"/>
  <c r="N158" i="7"/>
  <c r="N565" i="7"/>
  <c r="M837" i="7"/>
  <c r="J551" i="7"/>
  <c r="J789" i="7"/>
  <c r="N137" i="7"/>
  <c r="J40" i="7"/>
  <c r="J288" i="7"/>
  <c r="N98" i="7"/>
  <c r="N129" i="7"/>
  <c r="M96" i="7"/>
  <c r="M254" i="7"/>
  <c r="N332" i="7"/>
  <c r="N108" i="7"/>
  <c r="N788" i="7"/>
  <c r="N60" i="7"/>
  <c r="N579" i="7"/>
  <c r="N919" i="7"/>
  <c r="N627" i="7"/>
  <c r="N637" i="7"/>
  <c r="N528" i="7"/>
  <c r="N609" i="7"/>
  <c r="N346" i="7"/>
  <c r="M369" i="7"/>
  <c r="N667" i="7"/>
  <c r="M355" i="7"/>
  <c r="N746" i="7"/>
  <c r="M319" i="7"/>
  <c r="N756" i="7"/>
  <c r="N547" i="7"/>
  <c r="N251" i="7"/>
  <c r="N234" i="7"/>
  <c r="M149" i="7"/>
  <c r="N896" i="7"/>
  <c r="N374" i="7"/>
  <c r="N722" i="7"/>
  <c r="M34" i="7"/>
  <c r="N599" i="7"/>
  <c r="M170" i="7"/>
  <c r="N225" i="7"/>
  <c r="M64" i="7"/>
  <c r="N461" i="7"/>
  <c r="N147" i="7"/>
  <c r="N736" i="7"/>
  <c r="M425" i="7"/>
  <c r="M104" i="7"/>
  <c r="N382" i="7"/>
  <c r="J808" i="7"/>
  <c r="N790" i="7"/>
  <c r="M40" i="7"/>
  <c r="M4" i="7"/>
  <c r="M374" i="7"/>
  <c r="M280" i="7"/>
  <c r="N628" i="7"/>
  <c r="N674" i="7"/>
  <c r="N883" i="7"/>
  <c r="M308" i="7"/>
  <c r="M130" i="7"/>
  <c r="N447" i="7"/>
  <c r="N881" i="7"/>
  <c r="N851" i="7"/>
  <c r="N951" i="7"/>
  <c r="J938" i="7"/>
  <c r="J688" i="7"/>
  <c r="N299" i="7"/>
  <c r="J426" i="7"/>
  <c r="J10" i="7"/>
  <c r="J855" i="7"/>
  <c r="J464" i="7"/>
  <c r="M410" i="7"/>
  <c r="N741" i="7"/>
  <c r="N691" i="7"/>
  <c r="M885" i="7"/>
  <c r="N488" i="7"/>
  <c r="N848" i="7"/>
  <c r="N88" i="7"/>
  <c r="M209" i="7"/>
  <c r="M800" i="7"/>
  <c r="J471" i="7"/>
  <c r="M636" i="7"/>
  <c r="M972" i="7"/>
  <c r="J235" i="7"/>
  <c r="M912" i="7"/>
  <c r="J421" i="7"/>
  <c r="J114" i="7"/>
  <c r="N104" i="7"/>
  <c r="N583" i="7"/>
  <c r="N633" i="7"/>
  <c r="N742" i="7"/>
  <c r="J408" i="7"/>
  <c r="M6" i="7"/>
  <c r="N885" i="7"/>
  <c r="J467" i="7"/>
  <c r="J29" i="7"/>
  <c r="N70" i="7"/>
  <c r="N425" i="7"/>
  <c r="M423" i="7"/>
  <c r="J183" i="7"/>
  <c r="J121" i="7"/>
  <c r="M378" i="7"/>
  <c r="N897" i="7"/>
  <c r="J219" i="7"/>
  <c r="J209" i="7"/>
  <c r="N644" i="7"/>
  <c r="J582" i="7"/>
  <c r="N110" i="7"/>
  <c r="N175" i="7"/>
  <c r="M90" i="7"/>
  <c r="J523" i="7"/>
  <c r="M950" i="7"/>
  <c r="N876" i="7"/>
  <c r="N759" i="7"/>
  <c r="J757" i="7"/>
  <c r="N968" i="7"/>
  <c r="N127" i="7"/>
  <c r="M327" i="7"/>
  <c r="N512" i="7"/>
  <c r="J783" i="7"/>
  <c r="N11" i="7"/>
  <c r="M639" i="7"/>
  <c r="M235" i="7"/>
  <c r="M777" i="7"/>
  <c r="J679" i="7"/>
  <c r="J832" i="7"/>
  <c r="M996" i="7"/>
  <c r="N462" i="7"/>
  <c r="J316" i="7"/>
  <c r="J534" i="7"/>
  <c r="J384" i="7"/>
  <c r="N786" i="7"/>
  <c r="M339" i="7"/>
  <c r="N261" i="7"/>
  <c r="J609" i="7"/>
  <c r="J788" i="7"/>
  <c r="N392" i="7"/>
  <c r="M77" i="7"/>
  <c r="M53" i="7"/>
  <c r="M447" i="7"/>
  <c r="N22" i="7"/>
  <c r="N561" i="7"/>
  <c r="N503" i="7"/>
  <c r="N872" i="7"/>
  <c r="N494" i="7"/>
  <c r="N818" i="7"/>
  <c r="M426" i="7"/>
  <c r="I23" i="18"/>
  <c r="M317" i="7"/>
  <c r="N186" i="7"/>
  <c r="N474" i="7"/>
  <c r="M39" i="7"/>
  <c r="N619" i="7"/>
  <c r="M351" i="7"/>
  <c r="M85" i="7"/>
  <c r="N387" i="7"/>
  <c r="N397" i="7"/>
  <c r="J721" i="7"/>
  <c r="N549" i="7"/>
  <c r="N203" i="7"/>
  <c r="M163" i="7"/>
  <c r="N352" i="7"/>
  <c r="M420" i="7"/>
  <c r="N526" i="7"/>
  <c r="M153" i="7"/>
  <c r="N76" i="7"/>
  <c r="N505" i="7"/>
  <c r="J238" i="7"/>
  <c r="M159" i="7"/>
  <c r="M334" i="7"/>
  <c r="M2" i="7"/>
  <c r="N401" i="7"/>
  <c r="N469" i="7"/>
  <c r="M406" i="7"/>
  <c r="N490" i="7"/>
  <c r="N356" i="7"/>
  <c r="M108" i="7"/>
  <c r="N774" i="7"/>
  <c r="N558" i="7"/>
  <c r="N677" i="7"/>
  <c r="M195" i="7"/>
  <c r="N252" i="7"/>
  <c r="J161" i="7"/>
  <c r="N188" i="7"/>
  <c r="M70" i="7"/>
  <c r="M277" i="7"/>
  <c r="M443" i="7"/>
  <c r="J766" i="7"/>
  <c r="N243" i="7"/>
  <c r="N100" i="7"/>
  <c r="J38" i="7"/>
  <c r="M407" i="7"/>
  <c r="N540" i="7"/>
  <c r="J558" i="7"/>
  <c r="N430" i="7"/>
  <c r="N937" i="7"/>
  <c r="N757" i="7"/>
  <c r="I17" i="18"/>
  <c r="M197" i="7"/>
  <c r="N904" i="7"/>
  <c r="N453" i="7"/>
  <c r="N603" i="7"/>
  <c r="N71" i="7"/>
  <c r="N859" i="7"/>
  <c r="M207" i="7"/>
  <c r="N887" i="7"/>
  <c r="M249" i="7"/>
  <c r="J909" i="7"/>
  <c r="M499" i="7"/>
  <c r="M78" i="7"/>
  <c r="M799" i="7"/>
  <c r="N724" i="7"/>
  <c r="N892" i="7"/>
  <c r="J929" i="7"/>
  <c r="J285" i="7"/>
  <c r="J241" i="7"/>
  <c r="J940" i="7"/>
  <c r="N867" i="7"/>
  <c r="J622" i="7"/>
  <c r="N443" i="7"/>
  <c r="J412" i="7"/>
  <c r="M82" i="7"/>
  <c r="N800" i="7"/>
  <c r="N375" i="7"/>
  <c r="M356" i="7"/>
  <c r="N480" i="7"/>
  <c r="N806" i="7"/>
  <c r="M312" i="7"/>
  <c r="N945" i="7"/>
  <c r="N808" i="7"/>
  <c r="N232" i="7"/>
  <c r="N265" i="7"/>
  <c r="N673" i="7"/>
  <c r="N81" i="7"/>
  <c r="N302" i="7"/>
  <c r="N151" i="7"/>
  <c r="N202" i="7"/>
  <c r="N74" i="7"/>
  <c r="M294" i="7"/>
  <c r="N587" i="7"/>
  <c r="N456" i="7"/>
  <c r="N161" i="7"/>
  <c r="N840" i="7"/>
  <c r="N507" i="7"/>
  <c r="M346" i="7"/>
  <c r="N849" i="7"/>
  <c r="M45" i="7"/>
  <c r="N287" i="7"/>
  <c r="N866" i="7"/>
  <c r="N850" i="7"/>
  <c r="M41" i="7"/>
  <c r="N99" i="7"/>
  <c r="N342" i="7"/>
  <c r="N75" i="7"/>
  <c r="N187" i="7"/>
  <c r="N536" i="7"/>
  <c r="N182" i="7"/>
  <c r="N396" i="7"/>
  <c r="N370" i="7"/>
  <c r="N554" i="7"/>
  <c r="M275" i="7"/>
  <c r="N626" i="7"/>
  <c r="N664" i="7"/>
  <c r="N697" i="7"/>
  <c r="N693" i="7"/>
  <c r="N39" i="7"/>
  <c r="M382" i="7"/>
  <c r="N414" i="7"/>
  <c r="M429" i="7"/>
  <c r="N739" i="7"/>
  <c r="N171" i="7"/>
  <c r="N743" i="7"/>
  <c r="M419" i="7"/>
  <c r="J230" i="7"/>
  <c r="N55" i="7"/>
  <c r="N834" i="7"/>
  <c r="M302" i="7"/>
  <c r="N837" i="7"/>
  <c r="N939" i="7"/>
  <c r="M424" i="7"/>
  <c r="M341" i="7"/>
  <c r="M307" i="7"/>
  <c r="M229" i="7"/>
  <c r="N92" i="7"/>
  <c r="M178" i="7"/>
  <c r="N771" i="7"/>
  <c r="N204" i="7"/>
  <c r="M55" i="7"/>
  <c r="N518" i="7"/>
  <c r="N385" i="7"/>
  <c r="M561" i="7"/>
  <c r="J89" i="7"/>
  <c r="J698" i="7"/>
  <c r="N201" i="7"/>
  <c r="M828" i="7"/>
  <c r="J625" i="7"/>
  <c r="N388" i="7"/>
  <c r="N749" i="7"/>
  <c r="J324" i="7"/>
  <c r="N476" i="7"/>
  <c r="J325" i="7"/>
  <c r="J379" i="7"/>
  <c r="M136" i="7"/>
  <c r="J373" i="7"/>
  <c r="J207" i="7"/>
  <c r="M237" i="7"/>
  <c r="N629" i="7"/>
  <c r="M22" i="7"/>
  <c r="I9" i="18"/>
  <c r="N270" i="7"/>
  <c r="M418" i="7"/>
  <c r="J497" i="7"/>
  <c r="N212" i="7"/>
  <c r="M394" i="7"/>
  <c r="M265" i="7"/>
  <c r="N343" i="7"/>
  <c r="N441" i="7"/>
  <c r="N497" i="7"/>
  <c r="N308" i="7"/>
  <c r="J98" i="7"/>
  <c r="J99" i="7"/>
  <c r="M262" i="7"/>
  <c r="N914" i="7"/>
  <c r="M889" i="7"/>
  <c r="J150" i="7"/>
  <c r="J251" i="7"/>
  <c r="N236" i="7"/>
  <c r="J576" i="7"/>
  <c r="J647" i="7"/>
  <c r="J93" i="7"/>
  <c r="J360" i="7"/>
  <c r="N424" i="7"/>
  <c r="M267" i="7"/>
  <c r="N548" i="7"/>
  <c r="N198" i="7"/>
  <c r="J159" i="7"/>
  <c r="J152" i="7"/>
  <c r="I13" i="18"/>
  <c r="M599" i="7"/>
  <c r="J613" i="7"/>
  <c r="N415" i="7"/>
  <c r="N156" i="7"/>
  <c r="J747" i="7"/>
  <c r="J322" i="7"/>
  <c r="N807" i="7"/>
  <c r="N520" i="7"/>
  <c r="J346" i="7"/>
  <c r="J171" i="7"/>
  <c r="N80" i="7"/>
  <c r="N645" i="7"/>
  <c r="J399" i="7"/>
  <c r="J894" i="7"/>
  <c r="N50" i="7"/>
  <c r="N842" i="7"/>
  <c r="M675" i="7"/>
  <c r="J944" i="7"/>
  <c r="J115" i="7"/>
  <c r="N360" i="7"/>
  <c r="N606" i="7"/>
  <c r="J119" i="7"/>
  <c r="N639" i="7"/>
  <c r="J569" i="7"/>
  <c r="J758" i="7"/>
  <c r="M989" i="7"/>
  <c r="J570" i="7"/>
  <c r="J815" i="7"/>
  <c r="J5" i="7"/>
  <c r="N961" i="7"/>
  <c r="N907" i="7"/>
  <c r="N504" i="7"/>
  <c r="N779" i="7"/>
  <c r="M450" i="7"/>
  <c r="M414" i="7"/>
  <c r="M8" i="7"/>
  <c r="N184" i="7"/>
  <c r="M381" i="7"/>
  <c r="N638" i="7"/>
  <c r="M642" i="7"/>
  <c r="J856" i="7"/>
  <c r="J933" i="7"/>
  <c r="N373" i="7"/>
  <c r="J116" i="7"/>
  <c r="J853" i="7"/>
  <c r="J65" i="7"/>
  <c r="J155" i="7"/>
  <c r="J148" i="7"/>
  <c r="M283" i="7"/>
  <c r="J720" i="7"/>
  <c r="J913" i="7"/>
  <c r="J277" i="7"/>
  <c r="J682" i="7"/>
  <c r="J543" i="7"/>
  <c r="N555" i="7"/>
  <c r="N475" i="7"/>
  <c r="N899" i="7"/>
  <c r="N508" i="7"/>
  <c r="M133" i="7"/>
  <c r="N62" i="7"/>
  <c r="M120" i="7"/>
  <c r="N810" i="7"/>
  <c r="N37" i="7"/>
  <c r="M400" i="7"/>
  <c r="N704" i="7"/>
  <c r="N898" i="7"/>
  <c r="M314" i="7"/>
  <c r="N702" i="7"/>
  <c r="N511" i="7"/>
  <c r="M453" i="7"/>
  <c r="N157" i="7"/>
  <c r="N209" i="7"/>
  <c r="N496" i="7"/>
  <c r="I3" i="18"/>
  <c r="N398" i="7"/>
  <c r="M442" i="7"/>
  <c r="M142" i="7"/>
  <c r="N9" i="7"/>
  <c r="M257" i="7"/>
  <c r="M386" i="7"/>
  <c r="N199" i="7"/>
  <c r="M377" i="7"/>
  <c r="N862" i="7"/>
  <c r="N367" i="7"/>
  <c r="N715" i="7"/>
  <c r="N167" i="7"/>
  <c r="N7" i="7"/>
  <c r="N622" i="7"/>
  <c r="N532" i="7"/>
  <c r="N502" i="7"/>
  <c r="N630" i="7"/>
  <c r="N168" i="7"/>
  <c r="N600" i="7"/>
  <c r="N451" i="7"/>
  <c r="N89" i="7"/>
  <c r="N276" i="7"/>
  <c r="N483" i="7"/>
  <c r="M28" i="7"/>
  <c r="N45" i="7"/>
  <c r="M138" i="7"/>
  <c r="N368" i="7"/>
  <c r="N721" i="7"/>
  <c r="N595" i="7"/>
  <c r="M982" i="7"/>
  <c r="M16" i="7"/>
  <c r="N586" i="7"/>
  <c r="N763" i="7"/>
  <c r="M926" i="7"/>
  <c r="N379" i="7"/>
  <c r="M433" i="7"/>
  <c r="N553" i="7"/>
  <c r="N463" i="7"/>
  <c r="M347" i="7"/>
  <c r="N785" i="7"/>
  <c r="N84" i="7"/>
  <c r="N281" i="7"/>
  <c r="N686" i="7"/>
  <c r="N875" i="7"/>
  <c r="N391" i="7"/>
  <c r="N215" i="7"/>
  <c r="M155" i="7"/>
  <c r="N4" i="7"/>
  <c r="N427" i="7"/>
  <c r="M216" i="7"/>
  <c r="J851" i="7"/>
  <c r="M497" i="7"/>
  <c r="J369" i="7"/>
  <c r="J573" i="7"/>
  <c r="J481" i="7"/>
  <c r="J3" i="7"/>
  <c r="J211" i="7"/>
  <c r="J299" i="7"/>
  <c r="J208" i="7"/>
  <c r="J182" i="7"/>
  <c r="J838" i="7"/>
  <c r="J718" i="7"/>
  <c r="M930" i="7"/>
  <c r="M72" i="7"/>
  <c r="N191" i="7"/>
  <c r="N326" i="7"/>
  <c r="N905" i="7"/>
  <c r="M258" i="7"/>
  <c r="N471" i="7"/>
  <c r="N347" i="7"/>
  <c r="N670" i="7"/>
  <c r="M62" i="7"/>
  <c r="N338" i="7"/>
  <c r="M239" i="7"/>
  <c r="N131" i="7"/>
  <c r="N570" i="7"/>
  <c r="M38" i="7"/>
  <c r="N598" i="7"/>
  <c r="I14" i="18"/>
  <c r="M240" i="7"/>
  <c r="N852" i="7"/>
  <c r="M187" i="7"/>
  <c r="N924" i="7"/>
  <c r="N2" i="7"/>
  <c r="M338" i="7"/>
  <c r="N827" i="7"/>
  <c r="M395" i="7"/>
  <c r="N399" i="7"/>
  <c r="N257" i="7"/>
  <c r="M191" i="7"/>
  <c r="N384" i="7"/>
  <c r="N855" i="7"/>
  <c r="N402" i="7"/>
  <c r="M110" i="7"/>
  <c r="N378" i="7"/>
  <c r="N154" i="7"/>
  <c r="M106" i="7"/>
  <c r="N291" i="7"/>
  <c r="N294" i="7"/>
  <c r="N709" i="7"/>
  <c r="N226" i="7"/>
  <c r="M13" i="7"/>
  <c r="M189" i="7"/>
  <c r="M116" i="7"/>
  <c r="N445" i="7"/>
  <c r="N459" i="7"/>
  <c r="N260" i="7"/>
  <c r="N614" i="7"/>
  <c r="M222" i="7"/>
  <c r="N769" i="7"/>
  <c r="J188" i="7"/>
  <c r="N624" i="7"/>
  <c r="M177" i="7"/>
  <c r="M353" i="7"/>
  <c r="J78" i="7"/>
  <c r="N745" i="7"/>
  <c r="I16" i="18"/>
  <c r="N912" i="7"/>
  <c r="J90" i="7"/>
  <c r="N640" i="7"/>
  <c r="M183" i="7"/>
  <c r="M83" i="7"/>
  <c r="N564" i="7"/>
  <c r="N102" i="7"/>
  <c r="N125" i="7"/>
  <c r="N422" i="7"/>
  <c r="N552" i="7"/>
  <c r="N610" i="7"/>
  <c r="M416" i="7"/>
  <c r="N176" i="7"/>
  <c r="N880" i="7"/>
  <c r="M298" i="7"/>
  <c r="M111" i="7"/>
  <c r="M329" i="7"/>
  <c r="J7" i="7"/>
  <c r="J879" i="7"/>
  <c r="J255" i="7"/>
  <c r="J104" i="7"/>
  <c r="M206" i="7"/>
  <c r="J75" i="7"/>
  <c r="J807" i="7"/>
  <c r="J935" i="7"/>
  <c r="I11" i="18"/>
  <c r="J443" i="7"/>
  <c r="N571" i="7"/>
  <c r="N625" i="7"/>
  <c r="M281" i="7"/>
  <c r="N418" i="7"/>
  <c r="N700" i="7"/>
  <c r="J673" i="7"/>
  <c r="N516" i="7"/>
  <c r="N153" i="7"/>
  <c r="N240" i="7"/>
  <c r="N821" i="7"/>
  <c r="M441" i="7"/>
  <c r="N857" i="7"/>
  <c r="M166" i="7"/>
  <c r="M415" i="7"/>
  <c r="N23" i="7"/>
  <c r="M109" i="7"/>
  <c r="N750" i="7"/>
  <c r="N727" i="7"/>
  <c r="I22" i="18"/>
  <c r="M370" i="7"/>
  <c r="M192" i="7"/>
  <c r="N173" i="7"/>
  <c r="J392" i="7"/>
  <c r="N440" i="7"/>
  <c r="J302" i="7"/>
  <c r="J801" i="7"/>
  <c r="I5" i="18"/>
  <c r="N889" i="7"/>
  <c r="J164" i="7"/>
  <c r="M726" i="7"/>
  <c r="J123" i="7"/>
  <c r="J880" i="7"/>
  <c r="M57" i="7"/>
  <c r="M49" i="7"/>
  <c r="N323" i="7"/>
  <c r="N372" i="7"/>
  <c r="N635" i="7"/>
  <c r="M20" i="7"/>
  <c r="N285" i="7"/>
  <c r="N54" i="7"/>
  <c r="M107" i="7"/>
  <c r="N365" i="7"/>
  <c r="M46" i="7"/>
  <c r="M158" i="7"/>
  <c r="M310" i="7"/>
  <c r="M11" i="7"/>
  <c r="N634" i="7"/>
  <c r="N28" i="7"/>
  <c r="N484" i="7"/>
  <c r="J441" i="7"/>
  <c r="N560" i="7"/>
  <c r="J790" i="7"/>
  <c r="J413" i="7"/>
  <c r="M401" i="7"/>
  <c r="N492" i="7"/>
  <c r="N413" i="7"/>
  <c r="M300" i="7"/>
  <c r="N87" i="7"/>
  <c r="N259" i="7"/>
  <c r="N538" i="7"/>
  <c r="M234" i="7"/>
  <c r="M50" i="7"/>
  <c r="N250" i="7"/>
  <c r="N836" i="7"/>
  <c r="N920" i="7"/>
  <c r="M354" i="7"/>
  <c r="M135" i="7"/>
  <c r="N253" i="7"/>
  <c r="N145" i="7"/>
  <c r="J132" i="7"/>
  <c r="J144" i="7"/>
  <c r="N43" i="7"/>
  <c r="M422" i="7"/>
  <c r="N590" i="7"/>
  <c r="M59" i="7"/>
  <c r="M318" i="7"/>
  <c r="M311" i="7"/>
  <c r="N717" i="7"/>
  <c r="N178" i="7"/>
  <c r="M515" i="7"/>
  <c r="M967" i="7"/>
  <c r="N873" i="7"/>
  <c r="N331" i="7"/>
  <c r="J66" i="7"/>
  <c r="J759" i="7"/>
  <c r="J526" i="7"/>
  <c r="J358" i="7"/>
  <c r="N934" i="7"/>
  <c r="N735" i="7"/>
  <c r="N149" i="7"/>
  <c r="N813" i="7"/>
  <c r="M252" i="7"/>
  <c r="M145" i="7"/>
  <c r="N404" i="7"/>
  <c r="J134" i="7"/>
  <c r="N48" i="7"/>
  <c r="J72" i="7"/>
  <c r="M390" i="7"/>
  <c r="J162" i="7"/>
  <c r="N305" i="7"/>
  <c r="N612" i="7"/>
  <c r="N839" i="7"/>
  <c r="I28" i="18"/>
  <c r="M100" i="7"/>
  <c r="N256" i="7"/>
  <c r="N814" i="7"/>
  <c r="J110" i="7"/>
  <c r="M392" i="7"/>
  <c r="N150" i="7"/>
  <c r="N501" i="7"/>
  <c r="M324" i="7"/>
  <c r="J240" i="7"/>
  <c r="J651" i="7"/>
  <c r="N680" i="7"/>
  <c r="M444" i="7"/>
  <c r="N41" i="7"/>
  <c r="M218" i="7"/>
  <c r="N364" i="7"/>
  <c r="N231" i="7"/>
  <c r="N8" i="7"/>
  <c r="N787" i="7"/>
  <c r="N298" i="7"/>
  <c r="N718" i="7"/>
  <c r="M365" i="7"/>
  <c r="N738" i="7"/>
  <c r="I7" i="18"/>
  <c r="N831" i="7"/>
  <c r="M542" i="7"/>
  <c r="N608" i="7"/>
  <c r="M402" i="7"/>
  <c r="N446" i="7"/>
  <c r="M190" i="7"/>
  <c r="N105" i="7"/>
  <c r="N568" i="7"/>
  <c r="N26" i="7"/>
  <c r="N871" i="7"/>
  <c r="M288" i="7"/>
  <c r="J862" i="7"/>
  <c r="J176" i="7"/>
  <c r="J92" i="7"/>
  <c r="J390" i="7"/>
  <c r="J775" i="7"/>
  <c r="N699" i="7"/>
  <c r="N458" i="7"/>
  <c r="J930" i="7"/>
  <c r="N163" i="7"/>
  <c r="N359" i="7"/>
  <c r="N241" i="7"/>
  <c r="J739" i="7"/>
  <c r="J891" i="7"/>
  <c r="N825" i="7"/>
  <c r="N280" i="7"/>
  <c r="N269" i="7"/>
  <c r="M246" i="7"/>
  <c r="M151" i="7"/>
  <c r="J868" i="7"/>
  <c r="N438" i="7"/>
  <c r="N264" i="7"/>
  <c r="M47" i="7"/>
  <c r="N289" i="7"/>
  <c r="N530" i="7"/>
  <c r="N541" i="7"/>
  <c r="M54" i="7"/>
  <c r="M322" i="7"/>
  <c r="M176" i="7"/>
  <c r="M118" i="7"/>
  <c r="N345" i="7"/>
  <c r="J336" i="7"/>
  <c r="N322" i="7"/>
  <c r="N884" i="7"/>
  <c r="J248" i="7"/>
  <c r="N869" i="7"/>
  <c r="N689" i="7"/>
  <c r="M18" i="7"/>
  <c r="N710" i="7"/>
  <c r="N636" i="7"/>
  <c r="M321" i="7"/>
  <c r="M325" i="7"/>
  <c r="N592" i="7"/>
  <c r="N64" i="7"/>
  <c r="M132" i="7"/>
  <c r="N493" i="7"/>
  <c r="N720" i="7"/>
  <c r="N292" i="7"/>
  <c r="N321" i="7"/>
  <c r="N659" i="7"/>
  <c r="N79" i="7"/>
  <c r="M362" i="7"/>
  <c r="I4" i="18"/>
  <c r="M337" i="7"/>
  <c r="N454" i="7"/>
  <c r="M27" i="7"/>
  <c r="N200" i="7"/>
  <c r="N242" i="7"/>
  <c r="M364" i="7"/>
  <c r="N223" i="7"/>
  <c r="N936" i="7"/>
  <c r="N85" i="7"/>
  <c r="M42" i="7"/>
  <c r="N833" i="7"/>
  <c r="M866" i="7"/>
  <c r="J347" i="7"/>
  <c r="N972" i="7"/>
  <c r="N14" i="7"/>
  <c r="N282" i="7"/>
  <c r="M162" i="7"/>
  <c r="N843" i="7"/>
  <c r="N921" i="7"/>
  <c r="M169" i="7"/>
  <c r="M385" i="7"/>
  <c r="N190" i="7"/>
  <c r="J490" i="7"/>
  <c r="N755" i="7"/>
  <c r="M408" i="7"/>
  <c r="N211" i="7"/>
  <c r="J501" i="7"/>
  <c r="N93" i="7"/>
  <c r="J12" i="7"/>
  <c r="N224" i="7"/>
  <c r="N542" i="7"/>
  <c r="N988" i="7"/>
  <c r="N229" i="7"/>
  <c r="N351" i="7"/>
  <c r="M397" i="7"/>
  <c r="N582" i="7"/>
  <c r="N210" i="7"/>
  <c r="N335" i="7"/>
  <c r="M137" i="7"/>
  <c r="I8" i="18"/>
  <c r="N29" i="7"/>
  <c r="N18" i="7"/>
  <c r="N577" i="7"/>
  <c r="N307" i="7"/>
  <c r="M287" i="7"/>
  <c r="N155" i="7"/>
  <c r="N593" i="7"/>
  <c r="M393" i="7"/>
  <c r="N464" i="7"/>
  <c r="N856" i="7"/>
  <c r="N218" i="7"/>
  <c r="N515" i="7"/>
  <c r="J661" i="7"/>
  <c r="N194" i="7"/>
  <c r="N450" i="7"/>
  <c r="N870" i="7"/>
  <c r="N254" i="7"/>
  <c r="N325" i="7"/>
  <c r="N678" i="7"/>
  <c r="M33" i="7"/>
  <c r="M119" i="7"/>
  <c r="J915" i="7"/>
  <c r="M211" i="7"/>
  <c r="N792" i="7"/>
  <c r="N925" i="7"/>
  <c r="M37" i="7"/>
  <c r="J27" i="7"/>
  <c r="J692" i="7"/>
  <c r="N319" i="7"/>
  <c r="N773" i="7"/>
  <c r="M180" i="7"/>
  <c r="N268" i="7"/>
  <c r="N491" i="7"/>
  <c r="M373" i="7"/>
  <c r="U373" i="7" l="1"/>
  <c r="V373" i="7" s="1"/>
  <c r="W373" i="7" s="1"/>
  <c r="O491" i="7"/>
  <c r="P491" i="7" s="1"/>
  <c r="O268" i="7"/>
  <c r="P268" i="7" s="1"/>
  <c r="U180" i="7"/>
  <c r="V180" i="7" s="1"/>
  <c r="W180" i="7" s="1"/>
  <c r="O773" i="7"/>
  <c r="P773" i="7" s="1"/>
  <c r="O319" i="7"/>
  <c r="P319" i="7" s="1"/>
  <c r="R692" i="7"/>
  <c r="R27" i="7"/>
  <c r="U37" i="7"/>
  <c r="V37" i="7" s="1"/>
  <c r="W37" i="7" s="1"/>
  <c r="O925" i="7"/>
  <c r="P925" i="7" s="1"/>
  <c r="O792" i="7"/>
  <c r="P792" i="7" s="1"/>
  <c r="U211" i="7"/>
  <c r="V211" i="7" s="1"/>
  <c r="W211" i="7" s="1"/>
  <c r="R915" i="7"/>
  <c r="U119" i="7"/>
  <c r="V119" i="7" s="1"/>
  <c r="W119" i="7" s="1"/>
  <c r="U33" i="7"/>
  <c r="V33" i="7" s="1"/>
  <c r="W33" i="7" s="1"/>
  <c r="O678" i="7"/>
  <c r="P678" i="7" s="1"/>
  <c r="O325" i="7"/>
  <c r="P325" i="7" s="1"/>
  <c r="O254" i="7"/>
  <c r="P254" i="7" s="1"/>
  <c r="O870" i="7"/>
  <c r="P870" i="7" s="1"/>
  <c r="O450" i="7"/>
  <c r="P450" i="7" s="1"/>
  <c r="O194" i="7"/>
  <c r="P194" i="7" s="1"/>
  <c r="R661" i="7"/>
  <c r="O515" i="7"/>
  <c r="P515" i="7" s="1"/>
  <c r="O218" i="7"/>
  <c r="P218" i="7" s="1"/>
  <c r="O856" i="7"/>
  <c r="P856" i="7" s="1"/>
  <c r="O464" i="7"/>
  <c r="P464" i="7" s="1"/>
  <c r="U393" i="7"/>
  <c r="V393" i="7" s="1"/>
  <c r="W393" i="7" s="1"/>
  <c r="O593" i="7"/>
  <c r="P593" i="7" s="1"/>
  <c r="O155" i="7"/>
  <c r="P155" i="7" s="1"/>
  <c r="U287" i="7"/>
  <c r="V287" i="7" s="1"/>
  <c r="W287" i="7" s="1"/>
  <c r="O307" i="7"/>
  <c r="P307" i="7" s="1"/>
  <c r="O577" i="7"/>
  <c r="P577" i="7" s="1"/>
  <c r="O18" i="7"/>
  <c r="P18" i="7" s="1"/>
  <c r="O29" i="7"/>
  <c r="P29" i="7" s="1"/>
  <c r="U137" i="7"/>
  <c r="V137" i="7" s="1"/>
  <c r="W137" i="7" s="1"/>
  <c r="O335" i="7"/>
  <c r="P335" i="7" s="1"/>
  <c r="O210" i="7"/>
  <c r="P210" i="7" s="1"/>
  <c r="O582" i="7"/>
  <c r="P582" i="7" s="1"/>
  <c r="U397" i="7"/>
  <c r="V397" i="7" s="1"/>
  <c r="W397" i="7" s="1"/>
  <c r="O351" i="7"/>
  <c r="P351" i="7" s="1"/>
  <c r="O229" i="7"/>
  <c r="P229" i="7" s="1"/>
  <c r="O988" i="7"/>
  <c r="P988" i="7" s="1"/>
  <c r="O542" i="7"/>
  <c r="P542" i="7" s="1"/>
  <c r="O224" i="7"/>
  <c r="P224" i="7" s="1"/>
  <c r="R12" i="7"/>
  <c r="O93" i="7"/>
  <c r="P93" i="7" s="1"/>
  <c r="R501" i="7"/>
  <c r="O211" i="7"/>
  <c r="P211" i="7" s="1"/>
  <c r="U408" i="7"/>
  <c r="V408" i="7" s="1"/>
  <c r="W408" i="7" s="1"/>
  <c r="O755" i="7"/>
  <c r="P755" i="7" s="1"/>
  <c r="R490" i="7"/>
  <c r="O190" i="7"/>
  <c r="P190" i="7" s="1"/>
  <c r="U385" i="7"/>
  <c r="V385" i="7" s="1"/>
  <c r="W385" i="7" s="1"/>
  <c r="U169" i="7"/>
  <c r="V169" i="7" s="1"/>
  <c r="W169" i="7" s="1"/>
  <c r="O921" i="7"/>
  <c r="P921" i="7" s="1"/>
  <c r="O843" i="7"/>
  <c r="P843" i="7" s="1"/>
  <c r="U162" i="7"/>
  <c r="V162" i="7" s="1"/>
  <c r="W162" i="7" s="1"/>
  <c r="O282" i="7"/>
  <c r="P282" i="7" s="1"/>
  <c r="O14" i="7"/>
  <c r="P14" i="7" s="1"/>
  <c r="O972" i="7"/>
  <c r="P972" i="7" s="1"/>
  <c r="R347" i="7"/>
  <c r="U866" i="7"/>
  <c r="V866" i="7" s="1"/>
  <c r="W866" i="7" s="1"/>
  <c r="O833" i="7"/>
  <c r="P833" i="7" s="1"/>
  <c r="U42" i="7"/>
  <c r="V42" i="7" s="1"/>
  <c r="W42" i="7" s="1"/>
  <c r="O85" i="7"/>
  <c r="P85" i="7" s="1"/>
  <c r="O936" i="7"/>
  <c r="P936" i="7" s="1"/>
  <c r="O223" i="7"/>
  <c r="P223" i="7" s="1"/>
  <c r="U364" i="7"/>
  <c r="V364" i="7" s="1"/>
  <c r="W364" i="7" s="1"/>
  <c r="O242" i="7"/>
  <c r="P242" i="7" s="1"/>
  <c r="O200" i="7"/>
  <c r="P200" i="7" s="1"/>
  <c r="U27" i="7"/>
  <c r="V27" i="7" s="1"/>
  <c r="W27" i="7" s="1"/>
  <c r="O454" i="7"/>
  <c r="P454" i="7" s="1"/>
  <c r="U337" i="7"/>
  <c r="V337" i="7" s="1"/>
  <c r="W337" i="7" s="1"/>
  <c r="U362" i="7"/>
  <c r="V362" i="7" s="1"/>
  <c r="W362" i="7" s="1"/>
  <c r="O79" i="7"/>
  <c r="P79" i="7" s="1"/>
  <c r="O659" i="7"/>
  <c r="P659" i="7" s="1"/>
  <c r="O321" i="7"/>
  <c r="P321" i="7" s="1"/>
  <c r="O292" i="7"/>
  <c r="P292" i="7" s="1"/>
  <c r="O720" i="7"/>
  <c r="P720" i="7" s="1"/>
  <c r="O493" i="7"/>
  <c r="P493" i="7" s="1"/>
  <c r="U132" i="7"/>
  <c r="V132" i="7" s="1"/>
  <c r="W132" i="7" s="1"/>
  <c r="O64" i="7"/>
  <c r="P64" i="7" s="1"/>
  <c r="O592" i="7"/>
  <c r="P592" i="7" s="1"/>
  <c r="U325" i="7"/>
  <c r="V325" i="7" s="1"/>
  <c r="W325" i="7" s="1"/>
  <c r="U321" i="7"/>
  <c r="V321" i="7" s="1"/>
  <c r="W321" i="7" s="1"/>
  <c r="O636" i="7"/>
  <c r="P636" i="7" s="1"/>
  <c r="O710" i="7"/>
  <c r="P710" i="7" s="1"/>
  <c r="U18" i="7"/>
  <c r="V18" i="7" s="1"/>
  <c r="W18" i="7" s="1"/>
  <c r="O689" i="7"/>
  <c r="P689" i="7" s="1"/>
  <c r="O869" i="7"/>
  <c r="P869" i="7" s="1"/>
  <c r="R248" i="7"/>
  <c r="O884" i="7"/>
  <c r="P884" i="7" s="1"/>
  <c r="O322" i="7"/>
  <c r="P322" i="7" s="1"/>
  <c r="R336" i="7"/>
  <c r="O345" i="7"/>
  <c r="P345" i="7" s="1"/>
  <c r="U118" i="7"/>
  <c r="V118" i="7" s="1"/>
  <c r="W118" i="7" s="1"/>
  <c r="U176" i="7"/>
  <c r="V176" i="7" s="1"/>
  <c r="W176" i="7" s="1"/>
  <c r="U322" i="7"/>
  <c r="V322" i="7" s="1"/>
  <c r="W322" i="7" s="1"/>
  <c r="U54" i="7"/>
  <c r="V54" i="7" s="1"/>
  <c r="W54" i="7" s="1"/>
  <c r="O541" i="7"/>
  <c r="P541" i="7" s="1"/>
  <c r="O530" i="7"/>
  <c r="P530" i="7" s="1"/>
  <c r="O289" i="7"/>
  <c r="P289" i="7" s="1"/>
  <c r="U47" i="7"/>
  <c r="V47" i="7" s="1"/>
  <c r="W47" i="7" s="1"/>
  <c r="O264" i="7"/>
  <c r="P264" i="7" s="1"/>
  <c r="O438" i="7"/>
  <c r="P438" i="7" s="1"/>
  <c r="R868" i="7"/>
  <c r="U151" i="7"/>
  <c r="V151" i="7" s="1"/>
  <c r="W151" i="7" s="1"/>
  <c r="U246" i="7"/>
  <c r="V246" i="7" s="1"/>
  <c r="W246" i="7" s="1"/>
  <c r="O269" i="7"/>
  <c r="P269" i="7" s="1"/>
  <c r="O280" i="7"/>
  <c r="P280" i="7" s="1"/>
  <c r="O825" i="7"/>
  <c r="P825" i="7" s="1"/>
  <c r="R891" i="7"/>
  <c r="R739" i="7"/>
  <c r="O241" i="7"/>
  <c r="P241" i="7" s="1"/>
  <c r="O359" i="7"/>
  <c r="P359" i="7" s="1"/>
  <c r="O163" i="7"/>
  <c r="P163" i="7" s="1"/>
  <c r="R930" i="7"/>
  <c r="O458" i="7"/>
  <c r="P458" i="7" s="1"/>
  <c r="O699" i="7"/>
  <c r="P699" i="7" s="1"/>
  <c r="R775" i="7"/>
  <c r="R390" i="7"/>
  <c r="R92" i="7"/>
  <c r="R176" i="7"/>
  <c r="R862" i="7"/>
  <c r="U288" i="7"/>
  <c r="V288" i="7" s="1"/>
  <c r="W288" i="7" s="1"/>
  <c r="O871" i="7"/>
  <c r="P871" i="7" s="1"/>
  <c r="O26" i="7"/>
  <c r="P26" i="7" s="1"/>
  <c r="O568" i="7"/>
  <c r="P568" i="7" s="1"/>
  <c r="O105" i="7"/>
  <c r="P105" i="7" s="1"/>
  <c r="U190" i="7"/>
  <c r="V190" i="7" s="1"/>
  <c r="W190" i="7" s="1"/>
  <c r="O446" i="7"/>
  <c r="P446" i="7" s="1"/>
  <c r="U402" i="7"/>
  <c r="V402" i="7" s="1"/>
  <c r="W402" i="7" s="1"/>
  <c r="O608" i="7"/>
  <c r="P608" i="7" s="1"/>
  <c r="U542" i="7"/>
  <c r="V542" i="7" s="1"/>
  <c r="W542" i="7" s="1"/>
  <c r="O831" i="7"/>
  <c r="P831" i="7" s="1"/>
  <c r="O738" i="7"/>
  <c r="P738" i="7" s="1"/>
  <c r="U365" i="7"/>
  <c r="V365" i="7" s="1"/>
  <c r="W365" i="7" s="1"/>
  <c r="O718" i="7"/>
  <c r="P718" i="7" s="1"/>
  <c r="O298" i="7"/>
  <c r="P298" i="7" s="1"/>
  <c r="O787" i="7"/>
  <c r="P787" i="7" s="1"/>
  <c r="O8" i="7"/>
  <c r="P8" i="7" s="1"/>
  <c r="O231" i="7"/>
  <c r="P231" i="7" s="1"/>
  <c r="O364" i="7"/>
  <c r="P364" i="7" s="1"/>
  <c r="U218" i="7"/>
  <c r="V218" i="7" s="1"/>
  <c r="W218" i="7" s="1"/>
  <c r="O41" i="7"/>
  <c r="P41" i="7" s="1"/>
  <c r="U444" i="7"/>
  <c r="V444" i="7" s="1"/>
  <c r="W444" i="7" s="1"/>
  <c r="O680" i="7"/>
  <c r="P680" i="7" s="1"/>
  <c r="R651" i="7"/>
  <c r="R240" i="7"/>
  <c r="U324" i="7"/>
  <c r="V324" i="7" s="1"/>
  <c r="W324" i="7" s="1"/>
  <c r="O501" i="7"/>
  <c r="P501" i="7" s="1"/>
  <c r="O150" i="7"/>
  <c r="P150" i="7" s="1"/>
  <c r="U392" i="7"/>
  <c r="V392" i="7" s="1"/>
  <c r="W392" i="7" s="1"/>
  <c r="R110" i="7"/>
  <c r="O814" i="7"/>
  <c r="P814" i="7" s="1"/>
  <c r="O256" i="7"/>
  <c r="P256" i="7" s="1"/>
  <c r="U100" i="7"/>
  <c r="V100" i="7" s="1"/>
  <c r="W100" i="7" s="1"/>
  <c r="O839" i="7"/>
  <c r="P839" i="7" s="1"/>
  <c r="O612" i="7"/>
  <c r="P612" i="7" s="1"/>
  <c r="O305" i="7"/>
  <c r="P305" i="7" s="1"/>
  <c r="R162" i="7"/>
  <c r="U390" i="7"/>
  <c r="V390" i="7" s="1"/>
  <c r="W390" i="7" s="1"/>
  <c r="R72" i="7"/>
  <c r="O48" i="7"/>
  <c r="P48" i="7" s="1"/>
  <c r="R134" i="7"/>
  <c r="O404" i="7"/>
  <c r="P404" i="7" s="1"/>
  <c r="U145" i="7"/>
  <c r="V145" i="7" s="1"/>
  <c r="W145" i="7" s="1"/>
  <c r="U252" i="7"/>
  <c r="V252" i="7" s="1"/>
  <c r="W252" i="7" s="1"/>
  <c r="O813" i="7"/>
  <c r="P813" i="7" s="1"/>
  <c r="O149" i="7"/>
  <c r="P149" i="7" s="1"/>
  <c r="O735" i="7"/>
  <c r="P735" i="7" s="1"/>
  <c r="O934" i="7"/>
  <c r="P934" i="7" s="1"/>
  <c r="R358" i="7"/>
  <c r="R526" i="7"/>
  <c r="R759" i="7"/>
  <c r="R66" i="7"/>
  <c r="O331" i="7"/>
  <c r="P331" i="7" s="1"/>
  <c r="O873" i="7"/>
  <c r="P873" i="7" s="1"/>
  <c r="U967" i="7"/>
  <c r="V967" i="7" s="1"/>
  <c r="W967" i="7" s="1"/>
  <c r="U515" i="7"/>
  <c r="V515" i="7" s="1"/>
  <c r="W515" i="7" s="1"/>
  <c r="O178" i="7"/>
  <c r="P178" i="7" s="1"/>
  <c r="O717" i="7"/>
  <c r="P717" i="7" s="1"/>
  <c r="U311" i="7"/>
  <c r="V311" i="7" s="1"/>
  <c r="W311" i="7" s="1"/>
  <c r="U318" i="7"/>
  <c r="V318" i="7" s="1"/>
  <c r="W318" i="7" s="1"/>
  <c r="U59" i="7"/>
  <c r="V59" i="7" s="1"/>
  <c r="W59" i="7" s="1"/>
  <c r="O590" i="7"/>
  <c r="P590" i="7" s="1"/>
  <c r="U422" i="7"/>
  <c r="V422" i="7" s="1"/>
  <c r="W422" i="7" s="1"/>
  <c r="O43" i="7"/>
  <c r="P43" i="7" s="1"/>
  <c r="R144" i="7"/>
  <c r="R132" i="7"/>
  <c r="O145" i="7"/>
  <c r="P145" i="7" s="1"/>
  <c r="O253" i="7"/>
  <c r="P253" i="7" s="1"/>
  <c r="U135" i="7"/>
  <c r="V135" i="7" s="1"/>
  <c r="W135" i="7" s="1"/>
  <c r="U354" i="7"/>
  <c r="V354" i="7" s="1"/>
  <c r="W354" i="7" s="1"/>
  <c r="O920" i="7"/>
  <c r="P920" i="7" s="1"/>
  <c r="O836" i="7"/>
  <c r="P836" i="7" s="1"/>
  <c r="O250" i="7"/>
  <c r="P250" i="7" s="1"/>
  <c r="U50" i="7"/>
  <c r="V50" i="7" s="1"/>
  <c r="W50" i="7" s="1"/>
  <c r="U234" i="7"/>
  <c r="V234" i="7" s="1"/>
  <c r="W234" i="7" s="1"/>
  <c r="O538" i="7"/>
  <c r="P538" i="7" s="1"/>
  <c r="O259" i="7"/>
  <c r="P259" i="7" s="1"/>
  <c r="O87" i="7"/>
  <c r="P87" i="7" s="1"/>
  <c r="U300" i="7"/>
  <c r="V300" i="7" s="1"/>
  <c r="W300" i="7" s="1"/>
  <c r="O413" i="7"/>
  <c r="P413" i="7" s="1"/>
  <c r="O492" i="7"/>
  <c r="P492" i="7" s="1"/>
  <c r="U401" i="7"/>
  <c r="V401" i="7" s="1"/>
  <c r="W401" i="7" s="1"/>
  <c r="R413" i="7"/>
  <c r="R790" i="7"/>
  <c r="O560" i="7"/>
  <c r="P560" i="7" s="1"/>
  <c r="R441" i="7"/>
  <c r="O484" i="7"/>
  <c r="P484" i="7" s="1"/>
  <c r="O28" i="7"/>
  <c r="P28" i="7" s="1"/>
  <c r="O634" i="7"/>
  <c r="P634" i="7" s="1"/>
  <c r="U11" i="7"/>
  <c r="V11" i="7" s="1"/>
  <c r="W11" i="7" s="1"/>
  <c r="U310" i="7"/>
  <c r="V310" i="7" s="1"/>
  <c r="W310" i="7" s="1"/>
  <c r="U158" i="7"/>
  <c r="V158" i="7" s="1"/>
  <c r="W158" i="7" s="1"/>
  <c r="U46" i="7"/>
  <c r="V46" i="7" s="1"/>
  <c r="W46" i="7" s="1"/>
  <c r="O365" i="7"/>
  <c r="P365" i="7" s="1"/>
  <c r="U107" i="7"/>
  <c r="V107" i="7" s="1"/>
  <c r="W107" i="7" s="1"/>
  <c r="O54" i="7"/>
  <c r="P54" i="7" s="1"/>
  <c r="O285" i="7"/>
  <c r="P285" i="7" s="1"/>
  <c r="U20" i="7"/>
  <c r="V20" i="7" s="1"/>
  <c r="W20" i="7" s="1"/>
  <c r="O635" i="7"/>
  <c r="P635" i="7" s="1"/>
  <c r="O372" i="7"/>
  <c r="P372" i="7" s="1"/>
  <c r="O323" i="7"/>
  <c r="P323" i="7" s="1"/>
  <c r="U49" i="7"/>
  <c r="V49" i="7" s="1"/>
  <c r="W49" i="7" s="1"/>
  <c r="U57" i="7"/>
  <c r="V57" i="7" s="1"/>
  <c r="W57" i="7" s="1"/>
  <c r="R880" i="7"/>
  <c r="R123" i="7"/>
  <c r="U726" i="7"/>
  <c r="V726" i="7" s="1"/>
  <c r="W726" i="7" s="1"/>
  <c r="R164" i="7"/>
  <c r="O889" i="7"/>
  <c r="P889" i="7" s="1"/>
  <c r="R801" i="7"/>
  <c r="R302" i="7"/>
  <c r="O440" i="7"/>
  <c r="P440" i="7" s="1"/>
  <c r="R392" i="7"/>
  <c r="O173" i="7"/>
  <c r="P173" i="7" s="1"/>
  <c r="U192" i="7"/>
  <c r="V192" i="7" s="1"/>
  <c r="W192" i="7" s="1"/>
  <c r="U370" i="7"/>
  <c r="V370" i="7" s="1"/>
  <c r="W370" i="7" s="1"/>
  <c r="O727" i="7"/>
  <c r="P727" i="7" s="1"/>
  <c r="O750" i="7"/>
  <c r="P750" i="7" s="1"/>
  <c r="U109" i="7"/>
  <c r="V109" i="7" s="1"/>
  <c r="W109" i="7" s="1"/>
  <c r="O23" i="7"/>
  <c r="P23" i="7" s="1"/>
  <c r="U415" i="7"/>
  <c r="V415" i="7" s="1"/>
  <c r="W415" i="7" s="1"/>
  <c r="U166" i="7"/>
  <c r="V166" i="7" s="1"/>
  <c r="W166" i="7" s="1"/>
  <c r="O857" i="7"/>
  <c r="P857" i="7" s="1"/>
  <c r="U441" i="7"/>
  <c r="V441" i="7" s="1"/>
  <c r="W441" i="7" s="1"/>
  <c r="O821" i="7"/>
  <c r="P821" i="7" s="1"/>
  <c r="O240" i="7"/>
  <c r="P240" i="7" s="1"/>
  <c r="O153" i="7"/>
  <c r="P153" i="7" s="1"/>
  <c r="O516" i="7"/>
  <c r="P516" i="7" s="1"/>
  <c r="R673" i="7"/>
  <c r="O700" i="7"/>
  <c r="P700" i="7" s="1"/>
  <c r="O418" i="7"/>
  <c r="P418" i="7" s="1"/>
  <c r="U281" i="7"/>
  <c r="V281" i="7" s="1"/>
  <c r="W281" i="7" s="1"/>
  <c r="O625" i="7"/>
  <c r="P625" i="7" s="1"/>
  <c r="O571" i="7"/>
  <c r="P571" i="7" s="1"/>
  <c r="R443" i="7"/>
  <c r="R935" i="7"/>
  <c r="R807" i="7"/>
  <c r="R75" i="7"/>
  <c r="U206" i="7"/>
  <c r="V206" i="7" s="1"/>
  <c r="W206" i="7" s="1"/>
  <c r="R104" i="7"/>
  <c r="R255" i="7"/>
  <c r="R879" i="7"/>
  <c r="R7" i="7"/>
  <c r="U329" i="7"/>
  <c r="V329" i="7" s="1"/>
  <c r="W329" i="7" s="1"/>
  <c r="U111" i="7"/>
  <c r="V111" i="7" s="1"/>
  <c r="W111" i="7" s="1"/>
  <c r="U298" i="7"/>
  <c r="V298" i="7" s="1"/>
  <c r="W298" i="7" s="1"/>
  <c r="O880" i="7"/>
  <c r="P880" i="7" s="1"/>
  <c r="O176" i="7"/>
  <c r="P176" i="7" s="1"/>
  <c r="U416" i="7"/>
  <c r="V416" i="7" s="1"/>
  <c r="W416" i="7" s="1"/>
  <c r="O610" i="7"/>
  <c r="P610" i="7" s="1"/>
  <c r="O552" i="7"/>
  <c r="P552" i="7" s="1"/>
  <c r="O422" i="7"/>
  <c r="P422" i="7" s="1"/>
  <c r="O125" i="7"/>
  <c r="P125" i="7" s="1"/>
  <c r="O102" i="7"/>
  <c r="P102" i="7" s="1"/>
  <c r="O564" i="7"/>
  <c r="P564" i="7" s="1"/>
  <c r="U83" i="7"/>
  <c r="V83" i="7" s="1"/>
  <c r="W83" i="7" s="1"/>
  <c r="U183" i="7"/>
  <c r="V183" i="7" s="1"/>
  <c r="W183" i="7" s="1"/>
  <c r="O640" i="7"/>
  <c r="P640" i="7" s="1"/>
  <c r="R90" i="7"/>
  <c r="O912" i="7"/>
  <c r="P912" i="7" s="1"/>
  <c r="O745" i="7"/>
  <c r="P745" i="7" s="1"/>
  <c r="R78" i="7"/>
  <c r="U353" i="7"/>
  <c r="V353" i="7" s="1"/>
  <c r="W353" i="7" s="1"/>
  <c r="U177" i="7"/>
  <c r="V177" i="7" s="1"/>
  <c r="W177" i="7" s="1"/>
  <c r="O624" i="7"/>
  <c r="P624" i="7" s="1"/>
  <c r="R188" i="7"/>
  <c r="O769" i="7"/>
  <c r="P769" i="7" s="1"/>
  <c r="U222" i="7"/>
  <c r="V222" i="7" s="1"/>
  <c r="W222" i="7" s="1"/>
  <c r="O614" i="7"/>
  <c r="P614" i="7" s="1"/>
  <c r="O260" i="7"/>
  <c r="P260" i="7" s="1"/>
  <c r="O459" i="7"/>
  <c r="P459" i="7" s="1"/>
  <c r="O445" i="7"/>
  <c r="P445" i="7" s="1"/>
  <c r="U116" i="7"/>
  <c r="V116" i="7" s="1"/>
  <c r="W116" i="7" s="1"/>
  <c r="U189" i="7"/>
  <c r="V189" i="7" s="1"/>
  <c r="W189" i="7" s="1"/>
  <c r="U13" i="7"/>
  <c r="V13" i="7" s="1"/>
  <c r="W13" i="7" s="1"/>
  <c r="O226" i="7"/>
  <c r="P226" i="7" s="1"/>
  <c r="O709" i="7"/>
  <c r="P709" i="7" s="1"/>
  <c r="O294" i="7"/>
  <c r="P294" i="7" s="1"/>
  <c r="O291" i="7"/>
  <c r="P291" i="7" s="1"/>
  <c r="U106" i="7"/>
  <c r="V106" i="7" s="1"/>
  <c r="W106" i="7" s="1"/>
  <c r="O154" i="7"/>
  <c r="P154" i="7" s="1"/>
  <c r="O378" i="7"/>
  <c r="P378" i="7" s="1"/>
  <c r="U110" i="7"/>
  <c r="V110" i="7" s="1"/>
  <c r="W110" i="7" s="1"/>
  <c r="O402" i="7"/>
  <c r="P402" i="7" s="1"/>
  <c r="O855" i="7"/>
  <c r="P855" i="7" s="1"/>
  <c r="O384" i="7"/>
  <c r="P384" i="7" s="1"/>
  <c r="U191" i="7"/>
  <c r="V191" i="7" s="1"/>
  <c r="W191" i="7" s="1"/>
  <c r="O257" i="7"/>
  <c r="P257" i="7" s="1"/>
  <c r="O399" i="7"/>
  <c r="P399" i="7" s="1"/>
  <c r="U395" i="7"/>
  <c r="V395" i="7" s="1"/>
  <c r="W395" i="7" s="1"/>
  <c r="O827" i="7"/>
  <c r="P827" i="7" s="1"/>
  <c r="U338" i="7"/>
  <c r="V338" i="7" s="1"/>
  <c r="W338" i="7" s="1"/>
  <c r="O2" i="7"/>
  <c r="P2" i="7" s="1"/>
  <c r="C24" i="18"/>
  <c r="C7" i="18"/>
  <c r="C17" i="18"/>
  <c r="C2" i="18"/>
  <c r="C22" i="18"/>
  <c r="C6" i="18"/>
  <c r="C15" i="18"/>
  <c r="C10" i="18"/>
  <c r="C14" i="18"/>
  <c r="C27" i="18"/>
  <c r="C29" i="18"/>
  <c r="C21" i="18"/>
  <c r="C5" i="18"/>
  <c r="C26" i="18"/>
  <c r="C16" i="18"/>
  <c r="C18" i="18"/>
  <c r="C12" i="18"/>
  <c r="C3" i="18"/>
  <c r="C20" i="18"/>
  <c r="C9" i="18"/>
  <c r="C28" i="18"/>
  <c r="C19" i="18"/>
  <c r="C8" i="18"/>
  <c r="C13" i="18"/>
  <c r="C4" i="18"/>
  <c r="C11" i="18"/>
  <c r="C23" i="18"/>
  <c r="C25" i="18"/>
  <c r="O924" i="7"/>
  <c r="P924" i="7" s="1"/>
  <c r="U187" i="7"/>
  <c r="V187" i="7" s="1"/>
  <c r="W187" i="7" s="1"/>
  <c r="O852" i="7"/>
  <c r="P852" i="7" s="1"/>
  <c r="U240" i="7"/>
  <c r="V240" i="7" s="1"/>
  <c r="W240" i="7" s="1"/>
  <c r="O598" i="7"/>
  <c r="P598" i="7" s="1"/>
  <c r="U38" i="7"/>
  <c r="V38" i="7" s="1"/>
  <c r="W38" i="7" s="1"/>
  <c r="O570" i="7"/>
  <c r="P570" i="7" s="1"/>
  <c r="O131" i="7"/>
  <c r="P131" i="7" s="1"/>
  <c r="U239" i="7"/>
  <c r="V239" i="7" s="1"/>
  <c r="W239" i="7" s="1"/>
  <c r="O338" i="7"/>
  <c r="P338" i="7" s="1"/>
  <c r="U62" i="7"/>
  <c r="V62" i="7" s="1"/>
  <c r="W62" i="7" s="1"/>
  <c r="O670" i="7"/>
  <c r="P670" i="7" s="1"/>
  <c r="O347" i="7"/>
  <c r="P347" i="7" s="1"/>
  <c r="O471" i="7"/>
  <c r="P471" i="7" s="1"/>
  <c r="U258" i="7"/>
  <c r="V258" i="7" s="1"/>
  <c r="W258" i="7" s="1"/>
  <c r="O905" i="7"/>
  <c r="P905" i="7" s="1"/>
  <c r="O326" i="7"/>
  <c r="P326" i="7" s="1"/>
  <c r="O191" i="7"/>
  <c r="P191" i="7" s="1"/>
  <c r="U72" i="7"/>
  <c r="V72" i="7" s="1"/>
  <c r="W72" i="7" s="1"/>
  <c r="U930" i="7"/>
  <c r="V930" i="7" s="1"/>
  <c r="W930" i="7" s="1"/>
  <c r="R718" i="7"/>
  <c r="R838" i="7"/>
  <c r="R182" i="7"/>
  <c r="R208" i="7"/>
  <c r="R299" i="7"/>
  <c r="R211" i="7"/>
  <c r="R3" i="7"/>
  <c r="R481" i="7"/>
  <c r="R573" i="7"/>
  <c r="R369" i="7"/>
  <c r="U497" i="7"/>
  <c r="V497" i="7" s="1"/>
  <c r="W497" i="7" s="1"/>
  <c r="R851" i="7"/>
  <c r="U216" i="7"/>
  <c r="V216" i="7" s="1"/>
  <c r="W216" i="7" s="1"/>
  <c r="O427" i="7"/>
  <c r="P427" i="7" s="1"/>
  <c r="O4" i="7"/>
  <c r="P4" i="7" s="1"/>
  <c r="U155" i="7"/>
  <c r="V155" i="7" s="1"/>
  <c r="W155" i="7" s="1"/>
  <c r="O215" i="7"/>
  <c r="P215" i="7" s="1"/>
  <c r="O391" i="7"/>
  <c r="P391" i="7" s="1"/>
  <c r="O875" i="7"/>
  <c r="P875" i="7" s="1"/>
  <c r="O686" i="7"/>
  <c r="P686" i="7" s="1"/>
  <c r="O281" i="7"/>
  <c r="P281" i="7" s="1"/>
  <c r="O84" i="7"/>
  <c r="P84" i="7" s="1"/>
  <c r="O785" i="7"/>
  <c r="P785" i="7" s="1"/>
  <c r="U347" i="7"/>
  <c r="V347" i="7" s="1"/>
  <c r="W347" i="7" s="1"/>
  <c r="O463" i="7"/>
  <c r="P463" i="7" s="1"/>
  <c r="O553" i="7"/>
  <c r="P553" i="7" s="1"/>
  <c r="U433" i="7"/>
  <c r="V433" i="7" s="1"/>
  <c r="W433" i="7" s="1"/>
  <c r="O379" i="7"/>
  <c r="P379" i="7" s="1"/>
  <c r="U926" i="7"/>
  <c r="V926" i="7" s="1"/>
  <c r="W926" i="7" s="1"/>
  <c r="O763" i="7"/>
  <c r="P763" i="7" s="1"/>
  <c r="O586" i="7"/>
  <c r="P586" i="7" s="1"/>
  <c r="U16" i="7"/>
  <c r="V16" i="7" s="1"/>
  <c r="W16" i="7" s="1"/>
  <c r="U982" i="7"/>
  <c r="V982" i="7" s="1"/>
  <c r="W982" i="7" s="1"/>
  <c r="O595" i="7"/>
  <c r="P595" i="7" s="1"/>
  <c r="O721" i="7"/>
  <c r="P721" i="7" s="1"/>
  <c r="O368" i="7"/>
  <c r="P368" i="7" s="1"/>
  <c r="U138" i="7"/>
  <c r="V138" i="7" s="1"/>
  <c r="W138" i="7" s="1"/>
  <c r="O45" i="7"/>
  <c r="P45" i="7" s="1"/>
  <c r="U28" i="7"/>
  <c r="V28" i="7" s="1"/>
  <c r="W28" i="7" s="1"/>
  <c r="O483" i="7"/>
  <c r="P483" i="7" s="1"/>
  <c r="O276" i="7"/>
  <c r="P276" i="7" s="1"/>
  <c r="O89" i="7"/>
  <c r="P89" i="7" s="1"/>
  <c r="O451" i="7"/>
  <c r="P451" i="7" s="1"/>
  <c r="O600" i="7"/>
  <c r="P600" i="7" s="1"/>
  <c r="O168" i="7"/>
  <c r="P168" i="7" s="1"/>
  <c r="O630" i="7"/>
  <c r="P630" i="7" s="1"/>
  <c r="O502" i="7"/>
  <c r="P502" i="7" s="1"/>
  <c r="O532" i="7"/>
  <c r="P532" i="7" s="1"/>
  <c r="O622" i="7"/>
  <c r="P622" i="7" s="1"/>
  <c r="O7" i="7"/>
  <c r="P7" i="7" s="1"/>
  <c r="O167" i="7"/>
  <c r="P167" i="7" s="1"/>
  <c r="O715" i="7"/>
  <c r="P715" i="7" s="1"/>
  <c r="O367" i="7"/>
  <c r="P367" i="7" s="1"/>
  <c r="O862" i="7"/>
  <c r="P862" i="7" s="1"/>
  <c r="U377" i="7"/>
  <c r="V377" i="7" s="1"/>
  <c r="W377" i="7" s="1"/>
  <c r="O199" i="7"/>
  <c r="P199" i="7" s="1"/>
  <c r="U386" i="7"/>
  <c r="V386" i="7" s="1"/>
  <c r="W386" i="7" s="1"/>
  <c r="U257" i="7"/>
  <c r="V257" i="7" s="1"/>
  <c r="W257" i="7" s="1"/>
  <c r="O9" i="7"/>
  <c r="P9" i="7" s="1"/>
  <c r="U142" i="7"/>
  <c r="V142" i="7" s="1"/>
  <c r="W142" i="7" s="1"/>
  <c r="U442" i="7"/>
  <c r="V442" i="7" s="1"/>
  <c r="W442" i="7" s="1"/>
  <c r="O398" i="7"/>
  <c r="P398" i="7" s="1"/>
  <c r="O496" i="7"/>
  <c r="P496" i="7" s="1"/>
  <c r="O209" i="7"/>
  <c r="P209" i="7" s="1"/>
  <c r="O157" i="7"/>
  <c r="P157" i="7" s="1"/>
  <c r="U453" i="7"/>
  <c r="V453" i="7" s="1"/>
  <c r="W453" i="7" s="1"/>
  <c r="O511" i="7"/>
  <c r="P511" i="7" s="1"/>
  <c r="O702" i="7"/>
  <c r="P702" i="7" s="1"/>
  <c r="U314" i="7"/>
  <c r="V314" i="7" s="1"/>
  <c r="W314" i="7" s="1"/>
  <c r="O898" i="7"/>
  <c r="P898" i="7" s="1"/>
  <c r="O704" i="7"/>
  <c r="P704" i="7" s="1"/>
  <c r="U400" i="7"/>
  <c r="V400" i="7" s="1"/>
  <c r="W400" i="7" s="1"/>
  <c r="O37" i="7"/>
  <c r="P37" i="7" s="1"/>
  <c r="O810" i="7"/>
  <c r="P810" i="7" s="1"/>
  <c r="U120" i="7"/>
  <c r="V120" i="7" s="1"/>
  <c r="W120" i="7" s="1"/>
  <c r="O62" i="7"/>
  <c r="P62" i="7" s="1"/>
  <c r="U133" i="7"/>
  <c r="V133" i="7" s="1"/>
  <c r="W133" i="7" s="1"/>
  <c r="O508" i="7"/>
  <c r="P508" i="7" s="1"/>
  <c r="O899" i="7"/>
  <c r="P899" i="7" s="1"/>
  <c r="O475" i="7"/>
  <c r="P475" i="7" s="1"/>
  <c r="O555" i="7"/>
  <c r="P555" i="7" s="1"/>
  <c r="R543" i="7"/>
  <c r="R682" i="7"/>
  <c r="R277" i="7"/>
  <c r="R913" i="7"/>
  <c r="R720" i="7"/>
  <c r="U283" i="7"/>
  <c r="V283" i="7" s="1"/>
  <c r="W283" i="7" s="1"/>
  <c r="R148" i="7"/>
  <c r="R155" i="7"/>
  <c r="R65" i="7"/>
  <c r="R853" i="7"/>
  <c r="R116" i="7"/>
  <c r="O373" i="7"/>
  <c r="P373" i="7" s="1"/>
  <c r="R933" i="7"/>
  <c r="R856" i="7"/>
  <c r="U642" i="7"/>
  <c r="V642" i="7" s="1"/>
  <c r="W642" i="7" s="1"/>
  <c r="O638" i="7"/>
  <c r="P638" i="7" s="1"/>
  <c r="U381" i="7"/>
  <c r="V381" i="7" s="1"/>
  <c r="W381" i="7" s="1"/>
  <c r="O184" i="7"/>
  <c r="P184" i="7" s="1"/>
  <c r="U8" i="7"/>
  <c r="V8" i="7" s="1"/>
  <c r="W8" i="7" s="1"/>
  <c r="U414" i="7"/>
  <c r="V414" i="7" s="1"/>
  <c r="W414" i="7" s="1"/>
  <c r="U450" i="7"/>
  <c r="V450" i="7" s="1"/>
  <c r="W450" i="7" s="1"/>
  <c r="O779" i="7"/>
  <c r="P779" i="7" s="1"/>
  <c r="O504" i="7"/>
  <c r="P504" i="7" s="1"/>
  <c r="O907" i="7"/>
  <c r="P907" i="7" s="1"/>
  <c r="O961" i="7"/>
  <c r="P961" i="7" s="1"/>
  <c r="R5" i="7"/>
  <c r="R815" i="7"/>
  <c r="R570" i="7"/>
  <c r="U989" i="7"/>
  <c r="V989" i="7" s="1"/>
  <c r="W989" i="7" s="1"/>
  <c r="R758" i="7"/>
  <c r="R569" i="7"/>
  <c r="O639" i="7"/>
  <c r="P639" i="7" s="1"/>
  <c r="R119" i="7"/>
  <c r="O606" i="7"/>
  <c r="P606" i="7" s="1"/>
  <c r="O360" i="7"/>
  <c r="P360" i="7" s="1"/>
  <c r="R115" i="7"/>
  <c r="R944" i="7"/>
  <c r="U675" i="7"/>
  <c r="V675" i="7" s="1"/>
  <c r="W675" i="7" s="1"/>
  <c r="O842" i="7"/>
  <c r="P842" i="7" s="1"/>
  <c r="O50" i="7"/>
  <c r="P50" i="7" s="1"/>
  <c r="R894" i="7"/>
  <c r="R399" i="7"/>
  <c r="O645" i="7"/>
  <c r="P645" i="7" s="1"/>
  <c r="O80" i="7"/>
  <c r="P80" i="7" s="1"/>
  <c r="R171" i="7"/>
  <c r="R346" i="7"/>
  <c r="O520" i="7"/>
  <c r="P520" i="7" s="1"/>
  <c r="O807" i="7"/>
  <c r="P807" i="7" s="1"/>
  <c r="R322" i="7"/>
  <c r="R747" i="7"/>
  <c r="O156" i="7"/>
  <c r="P156" i="7" s="1"/>
  <c r="O415" i="7"/>
  <c r="P415" i="7" s="1"/>
  <c r="R613" i="7"/>
  <c r="U599" i="7"/>
  <c r="V599" i="7" s="1"/>
  <c r="W599" i="7" s="1"/>
  <c r="R152" i="7"/>
  <c r="R159" i="7"/>
  <c r="O198" i="7"/>
  <c r="P198" i="7" s="1"/>
  <c r="O548" i="7"/>
  <c r="P548" i="7" s="1"/>
  <c r="U267" i="7"/>
  <c r="V267" i="7" s="1"/>
  <c r="W267" i="7" s="1"/>
  <c r="O424" i="7"/>
  <c r="P424" i="7" s="1"/>
  <c r="R360" i="7"/>
  <c r="R93" i="7"/>
  <c r="R647" i="7"/>
  <c r="R576" i="7"/>
  <c r="O236" i="7"/>
  <c r="P236" i="7" s="1"/>
  <c r="R251" i="7"/>
  <c r="R150" i="7"/>
  <c r="U889" i="7"/>
  <c r="V889" i="7" s="1"/>
  <c r="W889" i="7" s="1"/>
  <c r="O914" i="7"/>
  <c r="P914" i="7" s="1"/>
  <c r="U262" i="7"/>
  <c r="V262" i="7" s="1"/>
  <c r="W262" i="7" s="1"/>
  <c r="R99" i="7"/>
  <c r="R98" i="7"/>
  <c r="O308" i="7"/>
  <c r="P308" i="7" s="1"/>
  <c r="O497" i="7"/>
  <c r="P497" i="7" s="1"/>
  <c r="O441" i="7"/>
  <c r="P441" i="7" s="1"/>
  <c r="O343" i="7"/>
  <c r="P343" i="7" s="1"/>
  <c r="U265" i="7"/>
  <c r="V265" i="7" s="1"/>
  <c r="W265" i="7" s="1"/>
  <c r="U394" i="7"/>
  <c r="V394" i="7" s="1"/>
  <c r="W394" i="7" s="1"/>
  <c r="O212" i="7"/>
  <c r="P212" i="7" s="1"/>
  <c r="R497" i="7"/>
  <c r="U418" i="7"/>
  <c r="V418" i="7" s="1"/>
  <c r="W418" i="7" s="1"/>
  <c r="O270" i="7"/>
  <c r="P270" i="7" s="1"/>
  <c r="U22" i="7"/>
  <c r="V22" i="7" s="1"/>
  <c r="W22" i="7" s="1"/>
  <c r="O629" i="7"/>
  <c r="P629" i="7" s="1"/>
  <c r="U237" i="7"/>
  <c r="V237" i="7" s="1"/>
  <c r="W237" i="7" s="1"/>
  <c r="R207" i="7"/>
  <c r="R373" i="7"/>
  <c r="U136" i="7"/>
  <c r="V136" i="7" s="1"/>
  <c r="W136" i="7" s="1"/>
  <c r="R379" i="7"/>
  <c r="R325" i="7"/>
  <c r="O476" i="7"/>
  <c r="P476" i="7" s="1"/>
  <c r="R324" i="7"/>
  <c r="O749" i="7"/>
  <c r="P749" i="7" s="1"/>
  <c r="O388" i="7"/>
  <c r="P388" i="7" s="1"/>
  <c r="R625" i="7"/>
  <c r="U828" i="7"/>
  <c r="V828" i="7" s="1"/>
  <c r="W828" i="7" s="1"/>
  <c r="O201" i="7"/>
  <c r="P201" i="7" s="1"/>
  <c r="R698" i="7"/>
  <c r="R89" i="7"/>
  <c r="U561" i="7"/>
  <c r="V561" i="7" s="1"/>
  <c r="W561" i="7" s="1"/>
  <c r="O385" i="7"/>
  <c r="P385" i="7" s="1"/>
  <c r="O518" i="7"/>
  <c r="P518" i="7" s="1"/>
  <c r="U55" i="7"/>
  <c r="V55" i="7" s="1"/>
  <c r="W55" i="7" s="1"/>
  <c r="O204" i="7"/>
  <c r="P204" i="7" s="1"/>
  <c r="O771" i="7"/>
  <c r="P771" i="7" s="1"/>
  <c r="U178" i="7"/>
  <c r="V178" i="7" s="1"/>
  <c r="W178" i="7" s="1"/>
  <c r="O92" i="7"/>
  <c r="P92" i="7" s="1"/>
  <c r="U229" i="7"/>
  <c r="V229" i="7" s="1"/>
  <c r="W229" i="7" s="1"/>
  <c r="U307" i="7"/>
  <c r="V307" i="7" s="1"/>
  <c r="W307" i="7" s="1"/>
  <c r="U341" i="7"/>
  <c r="V341" i="7" s="1"/>
  <c r="W341" i="7" s="1"/>
  <c r="U424" i="7"/>
  <c r="V424" i="7" s="1"/>
  <c r="W424" i="7" s="1"/>
  <c r="O939" i="7"/>
  <c r="P939" i="7" s="1"/>
  <c r="O837" i="7"/>
  <c r="P837" i="7" s="1"/>
  <c r="U302" i="7"/>
  <c r="V302" i="7" s="1"/>
  <c r="W302" i="7" s="1"/>
  <c r="O834" i="7"/>
  <c r="P834" i="7" s="1"/>
  <c r="O55" i="7"/>
  <c r="P55" i="7" s="1"/>
  <c r="R230" i="7"/>
  <c r="U419" i="7"/>
  <c r="V419" i="7" s="1"/>
  <c r="W419" i="7" s="1"/>
  <c r="O743" i="7"/>
  <c r="P743" i="7" s="1"/>
  <c r="O171" i="7"/>
  <c r="P171" i="7" s="1"/>
  <c r="O739" i="7"/>
  <c r="P739" i="7" s="1"/>
  <c r="U429" i="7"/>
  <c r="V429" i="7" s="1"/>
  <c r="W429" i="7" s="1"/>
  <c r="O414" i="7"/>
  <c r="P414" i="7" s="1"/>
  <c r="U382" i="7"/>
  <c r="V382" i="7" s="1"/>
  <c r="W382" i="7" s="1"/>
  <c r="O39" i="7"/>
  <c r="P39" i="7" s="1"/>
  <c r="O693" i="7"/>
  <c r="P693" i="7" s="1"/>
  <c r="O697" i="7"/>
  <c r="P697" i="7" s="1"/>
  <c r="O664" i="7"/>
  <c r="P664" i="7" s="1"/>
  <c r="O626" i="7"/>
  <c r="P626" i="7" s="1"/>
  <c r="U275" i="7"/>
  <c r="V275" i="7" s="1"/>
  <c r="W275" i="7" s="1"/>
  <c r="O554" i="7"/>
  <c r="P554" i="7" s="1"/>
  <c r="O370" i="7"/>
  <c r="P370" i="7" s="1"/>
  <c r="O396" i="7"/>
  <c r="P396" i="7" s="1"/>
  <c r="O182" i="7"/>
  <c r="P182" i="7" s="1"/>
  <c r="O536" i="7"/>
  <c r="P536" i="7" s="1"/>
  <c r="O187" i="7"/>
  <c r="P187" i="7" s="1"/>
  <c r="O75" i="7"/>
  <c r="P75" i="7" s="1"/>
  <c r="O342" i="7"/>
  <c r="P342" i="7" s="1"/>
  <c r="O99" i="7"/>
  <c r="P99" i="7" s="1"/>
  <c r="U41" i="7"/>
  <c r="V41" i="7" s="1"/>
  <c r="W41" i="7" s="1"/>
  <c r="O850" i="7"/>
  <c r="P850" i="7" s="1"/>
  <c r="O866" i="7"/>
  <c r="P866" i="7" s="1"/>
  <c r="O287" i="7"/>
  <c r="P287" i="7" s="1"/>
  <c r="U45" i="7"/>
  <c r="V45" i="7" s="1"/>
  <c r="W45" i="7" s="1"/>
  <c r="O849" i="7"/>
  <c r="P849" i="7" s="1"/>
  <c r="U346" i="7"/>
  <c r="V346" i="7" s="1"/>
  <c r="W346" i="7" s="1"/>
  <c r="O507" i="7"/>
  <c r="P507" i="7" s="1"/>
  <c r="O840" i="7"/>
  <c r="P840" i="7" s="1"/>
  <c r="O161" i="7"/>
  <c r="P161" i="7" s="1"/>
  <c r="O456" i="7"/>
  <c r="P456" i="7" s="1"/>
  <c r="O587" i="7"/>
  <c r="P587" i="7" s="1"/>
  <c r="U294" i="7"/>
  <c r="V294" i="7" s="1"/>
  <c r="W294" i="7" s="1"/>
  <c r="O74" i="7"/>
  <c r="P74" i="7" s="1"/>
  <c r="O202" i="7"/>
  <c r="P202" i="7" s="1"/>
  <c r="O151" i="7"/>
  <c r="P151" i="7" s="1"/>
  <c r="O302" i="7"/>
  <c r="P302" i="7" s="1"/>
  <c r="O81" i="7"/>
  <c r="P81" i="7" s="1"/>
  <c r="O673" i="7"/>
  <c r="P673" i="7" s="1"/>
  <c r="O265" i="7"/>
  <c r="P265" i="7" s="1"/>
  <c r="O232" i="7"/>
  <c r="P232" i="7" s="1"/>
  <c r="O808" i="7"/>
  <c r="P808" i="7" s="1"/>
  <c r="O945" i="7"/>
  <c r="P945" i="7" s="1"/>
  <c r="U312" i="7"/>
  <c r="V312" i="7" s="1"/>
  <c r="W312" i="7" s="1"/>
  <c r="O806" i="7"/>
  <c r="P806" i="7" s="1"/>
  <c r="O480" i="7"/>
  <c r="P480" i="7" s="1"/>
  <c r="U356" i="7"/>
  <c r="V356" i="7" s="1"/>
  <c r="W356" i="7" s="1"/>
  <c r="O375" i="7"/>
  <c r="P375" i="7" s="1"/>
  <c r="O800" i="7"/>
  <c r="P800" i="7" s="1"/>
  <c r="U82" i="7"/>
  <c r="V82" i="7" s="1"/>
  <c r="W82" i="7" s="1"/>
  <c r="R412" i="7"/>
  <c r="O443" i="7"/>
  <c r="P443" i="7" s="1"/>
  <c r="R622" i="7"/>
  <c r="O867" i="7"/>
  <c r="P867" i="7" s="1"/>
  <c r="R940" i="7"/>
  <c r="R241" i="7"/>
  <c r="R285" i="7"/>
  <c r="R929" i="7"/>
  <c r="O892" i="7"/>
  <c r="P892" i="7" s="1"/>
  <c r="O724" i="7"/>
  <c r="P724" i="7" s="1"/>
  <c r="U799" i="7"/>
  <c r="V799" i="7" s="1"/>
  <c r="W799" i="7" s="1"/>
  <c r="U78" i="7"/>
  <c r="V78" i="7" s="1"/>
  <c r="W78" i="7" s="1"/>
  <c r="U499" i="7"/>
  <c r="V499" i="7" s="1"/>
  <c r="W499" i="7" s="1"/>
  <c r="R909" i="7"/>
  <c r="U249" i="7"/>
  <c r="V249" i="7" s="1"/>
  <c r="W249" i="7" s="1"/>
  <c r="O887" i="7"/>
  <c r="P887" i="7" s="1"/>
  <c r="U207" i="7"/>
  <c r="V207" i="7" s="1"/>
  <c r="W207" i="7" s="1"/>
  <c r="O859" i="7"/>
  <c r="P859" i="7" s="1"/>
  <c r="O71" i="7"/>
  <c r="P71" i="7" s="1"/>
  <c r="O603" i="7"/>
  <c r="P603" i="7" s="1"/>
  <c r="O453" i="7"/>
  <c r="P453" i="7" s="1"/>
  <c r="O904" i="7"/>
  <c r="P904" i="7" s="1"/>
  <c r="U197" i="7"/>
  <c r="V197" i="7" s="1"/>
  <c r="W197" i="7" s="1"/>
  <c r="O757" i="7"/>
  <c r="P757" i="7" s="1"/>
  <c r="O937" i="7"/>
  <c r="P937" i="7" s="1"/>
  <c r="O430" i="7"/>
  <c r="P430" i="7" s="1"/>
  <c r="R558" i="7"/>
  <c r="O540" i="7"/>
  <c r="P540" i="7" s="1"/>
  <c r="U407" i="7"/>
  <c r="V407" i="7" s="1"/>
  <c r="W407" i="7" s="1"/>
  <c r="R38" i="7"/>
  <c r="O100" i="7"/>
  <c r="P100" i="7" s="1"/>
  <c r="O243" i="7"/>
  <c r="P243" i="7" s="1"/>
  <c r="R766" i="7"/>
  <c r="U443" i="7"/>
  <c r="V443" i="7" s="1"/>
  <c r="W443" i="7" s="1"/>
  <c r="U277" i="7"/>
  <c r="V277" i="7" s="1"/>
  <c r="W277" i="7" s="1"/>
  <c r="U70" i="7"/>
  <c r="V70" i="7" s="1"/>
  <c r="W70" i="7" s="1"/>
  <c r="O188" i="7"/>
  <c r="P188" i="7" s="1"/>
  <c r="R161" i="7"/>
  <c r="O252" i="7"/>
  <c r="P252" i="7" s="1"/>
  <c r="U195" i="7"/>
  <c r="V195" i="7" s="1"/>
  <c r="W195" i="7" s="1"/>
  <c r="O677" i="7"/>
  <c r="P677" i="7" s="1"/>
  <c r="O558" i="7"/>
  <c r="P558" i="7" s="1"/>
  <c r="O774" i="7"/>
  <c r="P774" i="7" s="1"/>
  <c r="U108" i="7"/>
  <c r="V108" i="7" s="1"/>
  <c r="W108" i="7" s="1"/>
  <c r="O356" i="7"/>
  <c r="P356" i="7" s="1"/>
  <c r="O490" i="7"/>
  <c r="P490" i="7" s="1"/>
  <c r="U406" i="7"/>
  <c r="V406" i="7" s="1"/>
  <c r="W406" i="7" s="1"/>
  <c r="O469" i="7"/>
  <c r="P469" i="7" s="1"/>
  <c r="O401" i="7"/>
  <c r="P401" i="7" s="1"/>
  <c r="U2" i="7"/>
  <c r="V2" i="7" s="1"/>
  <c r="W2" i="7" s="1"/>
  <c r="U334" i="7"/>
  <c r="V334" i="7" s="1"/>
  <c r="W334" i="7" s="1"/>
  <c r="U159" i="7"/>
  <c r="V159" i="7" s="1"/>
  <c r="W159" i="7" s="1"/>
  <c r="R238" i="7"/>
  <c r="O505" i="7"/>
  <c r="P505" i="7" s="1"/>
  <c r="O76" i="7"/>
  <c r="P76" i="7" s="1"/>
  <c r="U153" i="7"/>
  <c r="V153" i="7" s="1"/>
  <c r="W153" i="7" s="1"/>
  <c r="O526" i="7"/>
  <c r="P526" i="7" s="1"/>
  <c r="U420" i="7"/>
  <c r="V420" i="7" s="1"/>
  <c r="W420" i="7" s="1"/>
  <c r="O352" i="7"/>
  <c r="P352" i="7" s="1"/>
  <c r="U163" i="7"/>
  <c r="V163" i="7" s="1"/>
  <c r="W163" i="7" s="1"/>
  <c r="O203" i="7"/>
  <c r="P203" i="7" s="1"/>
  <c r="O549" i="7"/>
  <c r="P549" i="7" s="1"/>
  <c r="R721" i="7"/>
  <c r="O397" i="7"/>
  <c r="P397" i="7" s="1"/>
  <c r="O387" i="7"/>
  <c r="P387" i="7" s="1"/>
  <c r="U85" i="7"/>
  <c r="V85" i="7" s="1"/>
  <c r="W85" i="7" s="1"/>
  <c r="U351" i="7"/>
  <c r="V351" i="7" s="1"/>
  <c r="W351" i="7" s="1"/>
  <c r="O619" i="7"/>
  <c r="P619" i="7" s="1"/>
  <c r="U39" i="7"/>
  <c r="V39" i="7" s="1"/>
  <c r="W39" i="7" s="1"/>
  <c r="O474" i="7"/>
  <c r="P474" i="7" s="1"/>
  <c r="O186" i="7"/>
  <c r="P186" i="7" s="1"/>
  <c r="U317" i="7"/>
  <c r="V317" i="7" s="1"/>
  <c r="W317" i="7" s="1"/>
  <c r="U426" i="7"/>
  <c r="V426" i="7" s="1"/>
  <c r="W426" i="7" s="1"/>
  <c r="O818" i="7"/>
  <c r="P818" i="7" s="1"/>
  <c r="O494" i="7"/>
  <c r="P494" i="7" s="1"/>
  <c r="O872" i="7"/>
  <c r="P872" i="7" s="1"/>
  <c r="O503" i="7"/>
  <c r="P503" i="7" s="1"/>
  <c r="O561" i="7"/>
  <c r="P561" i="7" s="1"/>
  <c r="O22" i="7"/>
  <c r="P22" i="7" s="1"/>
  <c r="U447" i="7"/>
  <c r="V447" i="7" s="1"/>
  <c r="W447" i="7" s="1"/>
  <c r="U53" i="7"/>
  <c r="V53" i="7" s="1"/>
  <c r="W53" i="7" s="1"/>
  <c r="U77" i="7"/>
  <c r="V77" i="7" s="1"/>
  <c r="W77" i="7" s="1"/>
  <c r="O392" i="7"/>
  <c r="P392" i="7" s="1"/>
  <c r="R788" i="7"/>
  <c r="R609" i="7"/>
  <c r="O261" i="7"/>
  <c r="P261" i="7" s="1"/>
  <c r="U339" i="7"/>
  <c r="V339" i="7" s="1"/>
  <c r="W339" i="7" s="1"/>
  <c r="O786" i="7"/>
  <c r="P786" i="7" s="1"/>
  <c r="R384" i="7"/>
  <c r="R534" i="7"/>
  <c r="R316" i="7"/>
  <c r="O462" i="7"/>
  <c r="P462" i="7" s="1"/>
  <c r="U996" i="7"/>
  <c r="V996" i="7" s="1"/>
  <c r="W996" i="7" s="1"/>
  <c r="R832" i="7"/>
  <c r="R679" i="7"/>
  <c r="U777" i="7"/>
  <c r="V777" i="7" s="1"/>
  <c r="W777" i="7" s="1"/>
  <c r="U235" i="7"/>
  <c r="V235" i="7" s="1"/>
  <c r="W235" i="7" s="1"/>
  <c r="U639" i="7"/>
  <c r="V639" i="7" s="1"/>
  <c r="W639" i="7" s="1"/>
  <c r="O11" i="7"/>
  <c r="P11" i="7" s="1"/>
  <c r="R783" i="7"/>
  <c r="O512" i="7"/>
  <c r="P512" i="7" s="1"/>
  <c r="U327" i="7"/>
  <c r="V327" i="7" s="1"/>
  <c r="W327" i="7" s="1"/>
  <c r="O127" i="7"/>
  <c r="P127" i="7" s="1"/>
  <c r="O968" i="7"/>
  <c r="P968" i="7" s="1"/>
  <c r="R757" i="7"/>
  <c r="O759" i="7"/>
  <c r="P759" i="7" s="1"/>
  <c r="O876" i="7"/>
  <c r="P876" i="7" s="1"/>
  <c r="U950" i="7"/>
  <c r="V950" i="7" s="1"/>
  <c r="W950" i="7" s="1"/>
  <c r="R523" i="7"/>
  <c r="U90" i="7"/>
  <c r="V90" i="7" s="1"/>
  <c r="W90" i="7" s="1"/>
  <c r="O175" i="7"/>
  <c r="P175" i="7" s="1"/>
  <c r="O110" i="7"/>
  <c r="P110" i="7" s="1"/>
  <c r="R582" i="7"/>
  <c r="O644" i="7"/>
  <c r="P644" i="7" s="1"/>
  <c r="R209" i="7"/>
  <c r="R219" i="7"/>
  <c r="O897" i="7"/>
  <c r="P897" i="7" s="1"/>
  <c r="U378" i="7"/>
  <c r="V378" i="7" s="1"/>
  <c r="W378" i="7" s="1"/>
  <c r="R121" i="7"/>
  <c r="R183" i="7"/>
  <c r="U423" i="7"/>
  <c r="V423" i="7" s="1"/>
  <c r="W423" i="7" s="1"/>
  <c r="O425" i="7"/>
  <c r="P425" i="7" s="1"/>
  <c r="O70" i="7"/>
  <c r="P70" i="7" s="1"/>
  <c r="R29" i="7"/>
  <c r="R467" i="7"/>
  <c r="O885" i="7"/>
  <c r="P885" i="7" s="1"/>
  <c r="U6" i="7"/>
  <c r="V6" i="7" s="1"/>
  <c r="W6" i="7" s="1"/>
  <c r="R408" i="7"/>
  <c r="O742" i="7"/>
  <c r="P742" i="7" s="1"/>
  <c r="O633" i="7"/>
  <c r="P633" i="7" s="1"/>
  <c r="O583" i="7"/>
  <c r="P583" i="7" s="1"/>
  <c r="O104" i="7"/>
  <c r="P104" i="7" s="1"/>
  <c r="R114" i="7"/>
  <c r="R421" i="7"/>
  <c r="U912" i="7"/>
  <c r="V912" i="7" s="1"/>
  <c r="W912" i="7" s="1"/>
  <c r="R235" i="7"/>
  <c r="U972" i="7"/>
  <c r="V972" i="7" s="1"/>
  <c r="W972" i="7" s="1"/>
  <c r="U636" i="7"/>
  <c r="V636" i="7" s="1"/>
  <c r="W636" i="7" s="1"/>
  <c r="R471" i="7"/>
  <c r="U800" i="7"/>
  <c r="V800" i="7" s="1"/>
  <c r="W800" i="7" s="1"/>
  <c r="U209" i="7"/>
  <c r="V209" i="7" s="1"/>
  <c r="W209" i="7" s="1"/>
  <c r="O88" i="7"/>
  <c r="P88" i="7" s="1"/>
  <c r="O848" i="7"/>
  <c r="P848" i="7" s="1"/>
  <c r="O488" i="7"/>
  <c r="P488" i="7" s="1"/>
  <c r="U885" i="7"/>
  <c r="V885" i="7" s="1"/>
  <c r="W885" i="7" s="1"/>
  <c r="O691" i="7"/>
  <c r="P691" i="7" s="1"/>
  <c r="O741" i="7"/>
  <c r="P741" i="7" s="1"/>
  <c r="U410" i="7"/>
  <c r="V410" i="7" s="1"/>
  <c r="W410" i="7" s="1"/>
  <c r="R464" i="7"/>
  <c r="R855" i="7"/>
  <c r="R10" i="7"/>
  <c r="R426" i="7"/>
  <c r="O299" i="7"/>
  <c r="P299" i="7" s="1"/>
  <c r="R688" i="7"/>
  <c r="R938" i="7"/>
  <c r="O951" i="7"/>
  <c r="P951" i="7" s="1"/>
  <c r="O851" i="7"/>
  <c r="P851" i="7" s="1"/>
  <c r="O881" i="7"/>
  <c r="P881" i="7" s="1"/>
  <c r="O447" i="7"/>
  <c r="P447" i="7" s="1"/>
  <c r="U130" i="7"/>
  <c r="V130" i="7" s="1"/>
  <c r="W130" i="7" s="1"/>
  <c r="U308" i="7"/>
  <c r="V308" i="7" s="1"/>
  <c r="W308" i="7" s="1"/>
  <c r="O883" i="7"/>
  <c r="P883" i="7" s="1"/>
  <c r="O674" i="7"/>
  <c r="P674" i="7" s="1"/>
  <c r="O628" i="7"/>
  <c r="P628" i="7" s="1"/>
  <c r="U280" i="7"/>
  <c r="V280" i="7" s="1"/>
  <c r="W280" i="7" s="1"/>
  <c r="U374" i="7"/>
  <c r="V374" i="7" s="1"/>
  <c r="W374" i="7" s="1"/>
  <c r="U4" i="7"/>
  <c r="V4" i="7" s="1"/>
  <c r="W4" i="7" s="1"/>
  <c r="U40" i="7"/>
  <c r="V40" i="7" s="1"/>
  <c r="W40" i="7" s="1"/>
  <c r="O790" i="7"/>
  <c r="P790" i="7" s="1"/>
  <c r="R808" i="7"/>
  <c r="O382" i="7"/>
  <c r="P382" i="7" s="1"/>
  <c r="U104" i="7"/>
  <c r="V104" i="7" s="1"/>
  <c r="W104" i="7" s="1"/>
  <c r="U425" i="7"/>
  <c r="V425" i="7" s="1"/>
  <c r="W425" i="7" s="1"/>
  <c r="O736" i="7"/>
  <c r="P736" i="7" s="1"/>
  <c r="O147" i="7"/>
  <c r="P147" i="7" s="1"/>
  <c r="O461" i="7"/>
  <c r="P461" i="7" s="1"/>
  <c r="U64" i="7"/>
  <c r="V64" i="7" s="1"/>
  <c r="W64" i="7" s="1"/>
  <c r="O225" i="7"/>
  <c r="P225" i="7" s="1"/>
  <c r="U170" i="7"/>
  <c r="V170" i="7" s="1"/>
  <c r="W170" i="7" s="1"/>
  <c r="O599" i="7"/>
  <c r="P599" i="7" s="1"/>
  <c r="U34" i="7"/>
  <c r="V34" i="7" s="1"/>
  <c r="W34" i="7" s="1"/>
  <c r="O722" i="7"/>
  <c r="P722" i="7" s="1"/>
  <c r="O374" i="7"/>
  <c r="P374" i="7" s="1"/>
  <c r="O896" i="7"/>
  <c r="P896" i="7" s="1"/>
  <c r="U149" i="7"/>
  <c r="V149" i="7" s="1"/>
  <c r="W149" i="7" s="1"/>
  <c r="O234" i="7"/>
  <c r="P234" i="7" s="1"/>
  <c r="O251" i="7"/>
  <c r="P251" i="7" s="1"/>
  <c r="O547" i="7"/>
  <c r="P547" i="7" s="1"/>
  <c r="O756" i="7"/>
  <c r="P756" i="7" s="1"/>
  <c r="U319" i="7"/>
  <c r="V319" i="7" s="1"/>
  <c r="W319" i="7" s="1"/>
  <c r="O746" i="7"/>
  <c r="P746" i="7" s="1"/>
  <c r="U355" i="7"/>
  <c r="V355" i="7" s="1"/>
  <c r="W355" i="7" s="1"/>
  <c r="O667" i="7"/>
  <c r="P667" i="7" s="1"/>
  <c r="U369" i="7"/>
  <c r="V369" i="7" s="1"/>
  <c r="W369" i="7" s="1"/>
  <c r="O346" i="7"/>
  <c r="P346" i="7" s="1"/>
  <c r="O609" i="7"/>
  <c r="P609" i="7" s="1"/>
  <c r="O528" i="7"/>
  <c r="P528" i="7" s="1"/>
  <c r="O637" i="7"/>
  <c r="P637" i="7" s="1"/>
  <c r="O627" i="7"/>
  <c r="P627" i="7" s="1"/>
  <c r="O919" i="7"/>
  <c r="P919" i="7" s="1"/>
  <c r="O579" i="7"/>
  <c r="P579" i="7" s="1"/>
  <c r="O60" i="7"/>
  <c r="P60" i="7" s="1"/>
  <c r="O788" i="7"/>
  <c r="P788" i="7" s="1"/>
  <c r="O108" i="7"/>
  <c r="P108" i="7" s="1"/>
  <c r="O332" i="7"/>
  <c r="P332" i="7" s="1"/>
  <c r="U254" i="7"/>
  <c r="V254" i="7" s="1"/>
  <c r="W254" i="7" s="1"/>
  <c r="U96" i="7"/>
  <c r="V96" i="7" s="1"/>
  <c r="W96" i="7" s="1"/>
  <c r="O129" i="7"/>
  <c r="P129" i="7" s="1"/>
  <c r="O98" i="7"/>
  <c r="P98" i="7" s="1"/>
  <c r="R288" i="7"/>
  <c r="R40" i="7"/>
  <c r="O137" i="7"/>
  <c r="P137" i="7" s="1"/>
  <c r="R789" i="7"/>
  <c r="R551" i="7"/>
  <c r="U837" i="7"/>
  <c r="V837" i="7" s="1"/>
  <c r="W837" i="7" s="1"/>
  <c r="O565" i="7"/>
  <c r="P565" i="7" s="1"/>
  <c r="O158" i="7"/>
  <c r="P158" i="7" s="1"/>
  <c r="O248" i="7"/>
  <c r="P248" i="7" s="1"/>
  <c r="U129" i="7"/>
  <c r="V129" i="7" s="1"/>
  <c r="W129" i="7" s="1"/>
  <c r="O19" i="7"/>
  <c r="P19" i="7" s="1"/>
  <c r="U127" i="7"/>
  <c r="V127" i="7" s="1"/>
  <c r="W127" i="7" s="1"/>
  <c r="O300" i="7"/>
  <c r="P300" i="7" s="1"/>
  <c r="O824" i="7"/>
  <c r="P824" i="7" s="1"/>
  <c r="O733" i="7"/>
  <c r="P733" i="7" s="1"/>
  <c r="O220" i="7"/>
  <c r="P220" i="7" s="1"/>
  <c r="U309" i="7"/>
  <c r="V309" i="7" s="1"/>
  <c r="W309" i="7" s="1"/>
  <c r="U276" i="7"/>
  <c r="V276" i="7" s="1"/>
  <c r="W276" i="7" s="1"/>
  <c r="O348" i="7"/>
  <c r="P348" i="7" s="1"/>
  <c r="O10" i="7"/>
  <c r="P10" i="7" s="1"/>
  <c r="R133" i="7"/>
  <c r="O30" i="7"/>
  <c r="P30" i="7" s="1"/>
  <c r="U103" i="7"/>
  <c r="V103" i="7" s="1"/>
  <c r="W103" i="7" s="1"/>
  <c r="R711" i="7"/>
  <c r="R108" i="7"/>
  <c r="O695" i="7"/>
  <c r="P695" i="7" s="1"/>
  <c r="O317" i="7"/>
  <c r="P317" i="7" s="1"/>
  <c r="U253" i="7"/>
  <c r="V253" i="7" s="1"/>
  <c r="W253" i="7" s="1"/>
  <c r="O654" i="7"/>
  <c r="P654" i="7" s="1"/>
  <c r="O362" i="7"/>
  <c r="P362" i="7" s="1"/>
  <c r="O301" i="7"/>
  <c r="P301" i="7" s="1"/>
  <c r="O895" i="7"/>
  <c r="P895" i="7" s="1"/>
  <c r="O479" i="7"/>
  <c r="P479" i="7" s="1"/>
  <c r="O423" i="7"/>
  <c r="P423" i="7" s="1"/>
  <c r="U173" i="7"/>
  <c r="V173" i="7" s="1"/>
  <c r="W173" i="7" s="1"/>
  <c r="O139" i="7"/>
  <c r="P139" i="7" s="1"/>
  <c r="O621" i="7"/>
  <c r="P621" i="7" s="1"/>
  <c r="U36" i="7"/>
  <c r="V36" i="7" s="1"/>
  <c r="W36" i="7" s="1"/>
  <c r="U295" i="7"/>
  <c r="V295" i="7" s="1"/>
  <c r="W295" i="7" s="1"/>
  <c r="U409" i="7"/>
  <c r="V409" i="7" s="1"/>
  <c r="W409" i="7" s="1"/>
  <c r="U315" i="7"/>
  <c r="V315" i="7" s="1"/>
  <c r="W315" i="7" s="1"/>
  <c r="R447" i="7"/>
  <c r="O882" i="7"/>
  <c r="P882" i="7" s="1"/>
  <c r="R553" i="7"/>
  <c r="U405" i="7"/>
  <c r="V405" i="7" s="1"/>
  <c r="W405" i="7" s="1"/>
  <c r="U208" i="7"/>
  <c r="V208" i="7" s="1"/>
  <c r="W208" i="7" s="1"/>
  <c r="O546" i="7"/>
  <c r="P546" i="7" s="1"/>
  <c r="O829" i="7"/>
  <c r="P829" i="7" s="1"/>
  <c r="U93" i="7"/>
  <c r="V93" i="7" s="1"/>
  <c r="W93" i="7" s="1"/>
  <c r="U174" i="7"/>
  <c r="V174" i="7" s="1"/>
  <c r="W174" i="7" s="1"/>
  <c r="O40" i="7"/>
  <c r="P40" i="7" s="1"/>
  <c r="O858" i="7"/>
  <c r="P858" i="7" s="1"/>
  <c r="U455" i="7"/>
  <c r="V455" i="7" s="1"/>
  <c r="W455" i="7" s="1"/>
  <c r="O760" i="7"/>
  <c r="P760" i="7" s="1"/>
  <c r="U199" i="7"/>
  <c r="V199" i="7" s="1"/>
  <c r="W199" i="7" s="1"/>
  <c r="R710" i="7"/>
  <c r="O24" i="7"/>
  <c r="P24" i="7" s="1"/>
  <c r="U84" i="7"/>
  <c r="V84" i="7" s="1"/>
  <c r="W84" i="7" s="1"/>
  <c r="R522" i="7"/>
  <c r="U202" i="7"/>
  <c r="V202" i="7" s="1"/>
  <c r="W202" i="7" s="1"/>
  <c r="U67" i="7"/>
  <c r="V67" i="7" s="1"/>
  <c r="W67" i="7" s="1"/>
  <c r="U185" i="7"/>
  <c r="V185" i="7" s="1"/>
  <c r="W185" i="7" s="1"/>
  <c r="O31" i="7"/>
  <c r="P31" i="7" s="1"/>
  <c r="O381" i="7"/>
  <c r="P381" i="7" s="1"/>
  <c r="U228" i="7"/>
  <c r="V228" i="7" s="1"/>
  <c r="W228" i="7" s="1"/>
  <c r="U167" i="7"/>
  <c r="V167" i="7" s="1"/>
  <c r="W167" i="7" s="1"/>
  <c r="U380" i="7"/>
  <c r="V380" i="7" s="1"/>
  <c r="W380" i="7" s="1"/>
  <c r="U244" i="7"/>
  <c r="V244" i="7" s="1"/>
  <c r="W244" i="7" s="1"/>
  <c r="U404" i="7"/>
  <c r="V404" i="7" s="1"/>
  <c r="W404" i="7" s="1"/>
  <c r="O221" i="7"/>
  <c r="P221" i="7" s="1"/>
  <c r="U269" i="7"/>
  <c r="V269" i="7" s="1"/>
  <c r="W269" i="7" s="1"/>
  <c r="U363" i="7"/>
  <c r="V363" i="7" s="1"/>
  <c r="W363" i="7" s="1"/>
  <c r="O324" i="7"/>
  <c r="P324" i="7" s="1"/>
  <c r="O631" i="7"/>
  <c r="P631" i="7" s="1"/>
  <c r="O409" i="7"/>
  <c r="P409" i="7" s="1"/>
  <c r="O128" i="7"/>
  <c r="P128" i="7" s="1"/>
  <c r="O729" i="7"/>
  <c r="P729" i="7" s="1"/>
  <c r="U157" i="7"/>
  <c r="V157" i="7" s="1"/>
  <c r="W157" i="7" s="1"/>
  <c r="R927" i="7"/>
  <c r="O478" i="7"/>
  <c r="P478" i="7" s="1"/>
  <c r="U225" i="7"/>
  <c r="V225" i="7" s="1"/>
  <c r="W225" i="7" s="1"/>
  <c r="U17" i="7"/>
  <c r="V17" i="7" s="1"/>
  <c r="W17" i="7" s="1"/>
  <c r="O688" i="7"/>
  <c r="P688" i="7" s="1"/>
  <c r="R900" i="7"/>
  <c r="O349" i="7"/>
  <c r="P349" i="7" s="1"/>
  <c r="U399" i="7"/>
  <c r="V399" i="7" s="1"/>
  <c r="W399" i="7" s="1"/>
  <c r="O66" i="7"/>
  <c r="P66" i="7" s="1"/>
  <c r="R724" i="7"/>
  <c r="R77" i="7"/>
  <c r="R44" i="7"/>
  <c r="U427" i="7"/>
  <c r="V427" i="7" s="1"/>
  <c r="W427" i="7" s="1"/>
  <c r="O56" i="7"/>
  <c r="P56" i="7" s="1"/>
  <c r="O916" i="7"/>
  <c r="P916" i="7" s="1"/>
  <c r="O662" i="7"/>
  <c r="P662" i="7" s="1"/>
  <c r="O611" i="7"/>
  <c r="P611" i="7" s="1"/>
  <c r="U66" i="7"/>
  <c r="V66" i="7" s="1"/>
  <c r="W66" i="7" s="1"/>
  <c r="U877" i="7"/>
  <c r="V877" i="7" s="1"/>
  <c r="W877" i="7" s="1"/>
  <c r="U699" i="7"/>
  <c r="V699" i="7" s="1"/>
  <c r="W699" i="7" s="1"/>
  <c r="O672" i="7"/>
  <c r="P672" i="7" s="1"/>
  <c r="O12" i="7"/>
  <c r="P12" i="7" s="1"/>
  <c r="R639" i="7"/>
  <c r="R448" i="7"/>
  <c r="U333" i="7"/>
  <c r="V333" i="7" s="1"/>
  <c r="W333" i="7" s="1"/>
  <c r="O246" i="7"/>
  <c r="P246" i="7" s="1"/>
  <c r="U805" i="7"/>
  <c r="V805" i="7" s="1"/>
  <c r="W805" i="7" s="1"/>
  <c r="R546" i="7"/>
  <c r="R272" i="7"/>
  <c r="R353" i="7"/>
  <c r="U833" i="7"/>
  <c r="V833" i="7" s="1"/>
  <c r="W833" i="7" s="1"/>
  <c r="U697" i="7"/>
  <c r="V697" i="7" s="1"/>
  <c r="W697" i="7" s="1"/>
  <c r="O793" i="7"/>
  <c r="P793" i="7" s="1"/>
  <c r="R214" i="7"/>
  <c r="R820" i="7"/>
  <c r="U448" i="7"/>
  <c r="V448" i="7" s="1"/>
  <c r="W448" i="7" s="1"/>
  <c r="O935" i="7"/>
  <c r="P935" i="7" s="1"/>
  <c r="O312" i="7"/>
  <c r="P312" i="7" s="1"/>
  <c r="O477" i="7"/>
  <c r="P477" i="7" s="1"/>
  <c r="R812" i="7"/>
  <c r="U75" i="7"/>
  <c r="V75" i="7" s="1"/>
  <c r="W75" i="7" s="1"/>
  <c r="U121" i="7"/>
  <c r="V121" i="7" s="1"/>
  <c r="W121" i="7" s="1"/>
  <c r="U781" i="7"/>
  <c r="V781" i="7" s="1"/>
  <c r="W781" i="7" s="1"/>
  <c r="R677" i="7"/>
  <c r="O929" i="7"/>
  <c r="P929" i="7" s="1"/>
  <c r="R585" i="7"/>
  <c r="R932" i="7"/>
  <c r="O432" i="7"/>
  <c r="P432" i="7" s="1"/>
  <c r="O170" i="7"/>
  <c r="P170" i="7" s="1"/>
  <c r="O657" i="7"/>
  <c r="P657" i="7" s="1"/>
  <c r="R777" i="7"/>
  <c r="O279" i="7"/>
  <c r="P279" i="7" s="1"/>
  <c r="R264" i="7"/>
  <c r="O854" i="7"/>
  <c r="P854" i="7" s="1"/>
  <c r="U439" i="7"/>
  <c r="V439" i="7" s="1"/>
  <c r="W439" i="7" s="1"/>
  <c r="O17" i="7"/>
  <c r="P17" i="7" s="1"/>
  <c r="O748" i="7"/>
  <c r="P748" i="7" s="1"/>
  <c r="R340" i="7"/>
  <c r="U141" i="7"/>
  <c r="V141" i="7" s="1"/>
  <c r="W141" i="7" s="1"/>
  <c r="R821" i="7"/>
  <c r="R882" i="7"/>
  <c r="R274" i="7"/>
  <c r="U175" i="7"/>
  <c r="V175" i="7" s="1"/>
  <c r="W175" i="7" s="1"/>
  <c r="R402" i="7"/>
  <c r="R571" i="7"/>
  <c r="R58" i="7"/>
  <c r="R278" i="7"/>
  <c r="R693" i="7"/>
  <c r="R684" i="7"/>
  <c r="O591" i="7"/>
  <c r="P591" i="7" s="1"/>
  <c r="O976" i="7"/>
  <c r="P976" i="7" s="1"/>
  <c r="O620" i="7"/>
  <c r="P620" i="7" s="1"/>
  <c r="O728" i="7"/>
  <c r="P728" i="7" s="1"/>
  <c r="O550" i="7"/>
  <c r="P550" i="7" s="1"/>
  <c r="O386" i="7"/>
  <c r="P386" i="7" s="1"/>
  <c r="R343" i="7"/>
  <c r="O94" i="7"/>
  <c r="P94" i="7" s="1"/>
  <c r="O42" i="7"/>
  <c r="P42" i="7" s="1"/>
  <c r="O309" i="7"/>
  <c r="P309" i="7" s="1"/>
  <c r="O217" i="7"/>
  <c r="P217" i="7" s="1"/>
  <c r="O142" i="7"/>
  <c r="P142" i="7" s="1"/>
  <c r="O864" i="7"/>
  <c r="P864" i="7" s="1"/>
  <c r="O778" i="7"/>
  <c r="P778" i="7" s="1"/>
  <c r="O13" i="7"/>
  <c r="P13" i="7" s="1"/>
  <c r="R493" i="7"/>
  <c r="O363" i="7"/>
  <c r="P363" i="7" s="1"/>
  <c r="U340" i="7"/>
  <c r="V340" i="7" s="1"/>
  <c r="W340" i="7" s="1"/>
  <c r="O162" i="7"/>
  <c r="P162" i="7" s="1"/>
  <c r="O132" i="7"/>
  <c r="P132" i="7" s="1"/>
  <c r="O33" i="7"/>
  <c r="P33" i="7" s="1"/>
  <c r="O219" i="7"/>
  <c r="P219" i="7" s="1"/>
  <c r="U264" i="7"/>
  <c r="V264" i="7" s="1"/>
  <c r="W264" i="7" s="1"/>
  <c r="U421" i="7"/>
  <c r="V421" i="7" s="1"/>
  <c r="W421" i="7" s="1"/>
  <c r="O419" i="7"/>
  <c r="P419" i="7" s="1"/>
  <c r="O524" i="7"/>
  <c r="P524" i="7" s="1"/>
  <c r="O61" i="7"/>
  <c r="P61" i="7" s="1"/>
  <c r="O830" i="7"/>
  <c r="P830" i="7" s="1"/>
  <c r="U349" i="7"/>
  <c r="V349" i="7" s="1"/>
  <c r="W349" i="7" s="1"/>
  <c r="O655" i="7"/>
  <c r="P655" i="7" s="1"/>
  <c r="O562" i="7"/>
  <c r="P562" i="7" s="1"/>
  <c r="U200" i="7"/>
  <c r="V200" i="7" s="1"/>
  <c r="W200" i="7" s="1"/>
  <c r="R668" i="7"/>
  <c r="O35" i="7"/>
  <c r="P35" i="7" s="1"/>
  <c r="O306" i="7"/>
  <c r="P306" i="7" s="1"/>
  <c r="O15" i="7"/>
  <c r="P15" i="7" s="1"/>
  <c r="O566" i="7"/>
  <c r="P566" i="7" s="1"/>
  <c r="O68" i="7"/>
  <c r="P68" i="7" s="1"/>
  <c r="U291" i="7"/>
  <c r="V291" i="7" s="1"/>
  <c r="W291" i="7" s="1"/>
  <c r="U403" i="7"/>
  <c r="V403" i="7" s="1"/>
  <c r="W403" i="7" s="1"/>
  <c r="O585" i="7"/>
  <c r="P585" i="7" s="1"/>
  <c r="O643" i="7"/>
  <c r="P643" i="7" s="1"/>
  <c r="U350" i="7"/>
  <c r="V350" i="7" s="1"/>
  <c r="W350" i="7" s="1"/>
  <c r="O777" i="7"/>
  <c r="P777" i="7" s="1"/>
  <c r="O911" i="7"/>
  <c r="P911" i="7" s="1"/>
  <c r="U849" i="7"/>
  <c r="V849" i="7" s="1"/>
  <c r="W849" i="7" s="1"/>
  <c r="O762" i="7"/>
  <c r="P762" i="7" s="1"/>
  <c r="O487" i="7"/>
  <c r="P487" i="7" s="1"/>
  <c r="O903" i="7"/>
  <c r="P903" i="7" s="1"/>
  <c r="R257" i="7"/>
  <c r="R752" i="7"/>
  <c r="O482" i="7"/>
  <c r="P482" i="7" s="1"/>
  <c r="O506" i="7"/>
  <c r="P506" i="7" s="1"/>
  <c r="U435" i="7"/>
  <c r="V435" i="7" s="1"/>
  <c r="W435" i="7" s="1"/>
  <c r="O274" i="7"/>
  <c r="P274" i="7" s="1"/>
  <c r="O694" i="7"/>
  <c r="P694" i="7" s="1"/>
  <c r="O940" i="7"/>
  <c r="P940" i="7" s="1"/>
  <c r="R942" i="7"/>
  <c r="R665" i="7"/>
  <c r="O701" i="7"/>
  <c r="P701" i="7" s="1"/>
  <c r="O448" i="7"/>
  <c r="P448" i="7" s="1"/>
  <c r="O263" i="7"/>
  <c r="P263" i="7" s="1"/>
  <c r="O698" i="7"/>
  <c r="P698" i="7" s="1"/>
  <c r="U432" i="7"/>
  <c r="V432" i="7" s="1"/>
  <c r="W432" i="7" s="1"/>
  <c r="O123" i="7"/>
  <c r="P123" i="7" s="1"/>
  <c r="O51" i="7"/>
  <c r="P51" i="7" s="1"/>
  <c r="O906" i="7"/>
  <c r="P906" i="7" s="1"/>
  <c r="U259" i="7"/>
  <c r="V259" i="7" s="1"/>
  <c r="W259" i="7" s="1"/>
  <c r="U196" i="7"/>
  <c r="V196" i="7" s="1"/>
  <c r="W196" i="7" s="1"/>
  <c r="O267" i="7"/>
  <c r="P267" i="7" s="1"/>
  <c r="U188" i="7"/>
  <c r="V188" i="7" s="1"/>
  <c r="W188" i="7" s="1"/>
  <c r="R732" i="7"/>
  <c r="O933" i="7"/>
  <c r="P933" i="7" s="1"/>
  <c r="U445" i="7"/>
  <c r="V445" i="7" s="1"/>
  <c r="W445" i="7" s="1"/>
  <c r="R204" i="7"/>
  <c r="R507" i="7"/>
  <c r="R319" i="7"/>
  <c r="U731" i="7"/>
  <c r="V731" i="7" s="1"/>
  <c r="W731" i="7" s="1"/>
  <c r="R620" i="7"/>
  <c r="O25" i="7"/>
  <c r="P25" i="7" s="1"/>
  <c r="U61" i="7"/>
  <c r="V61" i="7" s="1"/>
  <c r="W61" i="7" s="1"/>
  <c r="O77" i="7"/>
  <c r="P77" i="7" s="1"/>
  <c r="U215" i="7"/>
  <c r="V215" i="7" s="1"/>
  <c r="W215" i="7" s="1"/>
  <c r="O196" i="7"/>
  <c r="P196" i="7" s="1"/>
  <c r="O333" i="7"/>
  <c r="P333" i="7" s="1"/>
  <c r="O166" i="7"/>
  <c r="P166" i="7" s="1"/>
  <c r="O601" i="7"/>
  <c r="P601" i="7" s="1"/>
  <c r="O863" i="7"/>
  <c r="P863" i="7" s="1"/>
  <c r="O574" i="7"/>
  <c r="P574" i="7" s="1"/>
  <c r="R584" i="7"/>
  <c r="U359" i="7"/>
  <c r="V359" i="7" s="1"/>
  <c r="W359" i="7" s="1"/>
  <c r="U152" i="7"/>
  <c r="V152" i="7" s="1"/>
  <c r="W152" i="7" s="1"/>
  <c r="U383" i="7"/>
  <c r="V383" i="7" s="1"/>
  <c r="W383" i="7" s="1"/>
  <c r="U56" i="7"/>
  <c r="V56" i="7" s="1"/>
  <c r="W56" i="7" s="1"/>
  <c r="O216" i="7"/>
  <c r="P216" i="7" s="1"/>
  <c r="O189" i="7"/>
  <c r="P189" i="7" s="1"/>
  <c r="O650" i="7"/>
  <c r="P650" i="7" s="1"/>
  <c r="U81" i="7"/>
  <c r="V81" i="7" s="1"/>
  <c r="W81" i="7" s="1"/>
  <c r="U7" i="7"/>
  <c r="V7" i="7" s="1"/>
  <c r="W7" i="7" s="1"/>
  <c r="O671" i="7"/>
  <c r="P671" i="7" s="1"/>
  <c r="O114" i="7"/>
  <c r="P114" i="7" s="1"/>
  <c r="U323" i="7"/>
  <c r="V323" i="7" s="1"/>
  <c r="W323" i="7" s="1"/>
  <c r="O146" i="7"/>
  <c r="P146" i="7" s="1"/>
  <c r="O926" i="7"/>
  <c r="P926" i="7" s="1"/>
  <c r="O271" i="7"/>
  <c r="P271" i="7" s="1"/>
  <c r="O666" i="7"/>
  <c r="P666" i="7" s="1"/>
  <c r="U371" i="7"/>
  <c r="V371" i="7" s="1"/>
  <c r="W371" i="7" s="1"/>
  <c r="O822" i="7"/>
  <c r="P822" i="7" s="1"/>
  <c r="O329" i="7"/>
  <c r="P329" i="7" s="1"/>
  <c r="O495" i="7"/>
  <c r="P495" i="7" s="1"/>
  <c r="O235" i="7"/>
  <c r="P235" i="7" s="1"/>
  <c r="U210" i="7"/>
  <c r="V210" i="7" s="1"/>
  <c r="W210" i="7" s="1"/>
  <c r="U51" i="7"/>
  <c r="V51" i="7" s="1"/>
  <c r="W51" i="7" s="1"/>
  <c r="U74" i="7"/>
  <c r="V74" i="7" s="1"/>
  <c r="W74" i="7" s="1"/>
  <c r="O878" i="7"/>
  <c r="P878" i="7" s="1"/>
  <c r="R691" i="7"/>
  <c r="O578" i="7"/>
  <c r="P578" i="7" s="1"/>
  <c r="U32" i="7"/>
  <c r="V32" i="7" s="1"/>
  <c r="W32" i="7" s="1"/>
  <c r="O707" i="7"/>
  <c r="P707" i="7" s="1"/>
  <c r="U379" i="7"/>
  <c r="V379" i="7" s="1"/>
  <c r="W379" i="7" s="1"/>
  <c r="U19" i="7"/>
  <c r="V19" i="7" s="1"/>
  <c r="W19" i="7" s="1"/>
  <c r="U247" i="7"/>
  <c r="V247" i="7" s="1"/>
  <c r="W247" i="7" s="1"/>
  <c r="O529" i="7"/>
  <c r="P529" i="7" s="1"/>
  <c r="R410" i="7"/>
  <c r="O754" i="7"/>
  <c r="P754" i="7" s="1"/>
  <c r="O412" i="7"/>
  <c r="P412" i="7" s="1"/>
  <c r="U171" i="7"/>
  <c r="V171" i="7" s="1"/>
  <c r="W171" i="7" s="1"/>
  <c r="O795" i="7"/>
  <c r="P795" i="7" s="1"/>
  <c r="O366" i="7"/>
  <c r="P366" i="7" s="1"/>
  <c r="U391" i="7"/>
  <c r="V391" i="7" s="1"/>
  <c r="W391" i="7" s="1"/>
  <c r="O826" i="7"/>
  <c r="P826" i="7" s="1"/>
  <c r="U63" i="7"/>
  <c r="V63" i="7" s="1"/>
  <c r="W63" i="7" s="1"/>
  <c r="U21" i="7"/>
  <c r="V21" i="7" s="1"/>
  <c r="W21" i="7" s="1"/>
  <c r="O747" i="7"/>
  <c r="P747" i="7" s="1"/>
  <c r="U274" i="7"/>
  <c r="V274" i="7" s="1"/>
  <c r="W274" i="7" s="1"/>
  <c r="O133" i="7"/>
  <c r="P133" i="7" s="1"/>
  <c r="R595" i="7"/>
  <c r="O431" i="7"/>
  <c r="P431" i="7" s="1"/>
  <c r="R905" i="7"/>
  <c r="R833" i="7"/>
  <c r="R42" i="7"/>
  <c r="U594" i="7"/>
  <c r="V594" i="7" s="1"/>
  <c r="W594" i="7" s="1"/>
  <c r="R488" i="7"/>
  <c r="O573" i="7"/>
  <c r="P573" i="7" s="1"/>
  <c r="O433" i="7"/>
  <c r="P433" i="7" s="1"/>
  <c r="U241" i="7"/>
  <c r="V241" i="7" s="1"/>
  <c r="W241" i="7" s="1"/>
  <c r="O539" i="7"/>
  <c r="P539" i="7" s="1"/>
  <c r="O354" i="7"/>
  <c r="P354" i="7" s="1"/>
  <c r="O930" i="7"/>
  <c r="P930" i="7" s="1"/>
  <c r="R227" i="7"/>
  <c r="R496" i="7"/>
  <c r="O948" i="7"/>
  <c r="P948" i="7" s="1"/>
  <c r="U938" i="7"/>
  <c r="V938" i="7" s="1"/>
  <c r="W938" i="7" s="1"/>
  <c r="R94" i="7"/>
  <c r="R260" i="7"/>
  <c r="O164" i="7"/>
  <c r="P164" i="7" s="1"/>
  <c r="R242" i="7"/>
  <c r="R924" i="7"/>
  <c r="R453" i="7"/>
  <c r="R226" i="7"/>
  <c r="U140" i="7"/>
  <c r="V140" i="7" s="1"/>
  <c r="W140" i="7" s="1"/>
  <c r="O960" i="7"/>
  <c r="P960" i="7" s="1"/>
  <c r="R917" i="7"/>
  <c r="R897" i="7"/>
  <c r="O803" i="7"/>
  <c r="P803" i="7" s="1"/>
  <c r="O775" i="7"/>
  <c r="P775" i="7" s="1"/>
  <c r="R487" i="7"/>
  <c r="U5" i="7"/>
  <c r="V5" i="7" s="1"/>
  <c r="W5" i="7" s="1"/>
  <c r="U352" i="7"/>
  <c r="V352" i="7" s="1"/>
  <c r="W352" i="7" s="1"/>
  <c r="R2" i="7"/>
  <c r="D1" i="24"/>
  <c r="R342" i="7"/>
  <c r="R658" i="7"/>
  <c r="R541" i="7"/>
  <c r="R621" i="7"/>
  <c r="R888" i="7"/>
  <c r="U360" i="7"/>
  <c r="V360" i="7" s="1"/>
  <c r="W360" i="7" s="1"/>
  <c r="U214" i="7"/>
  <c r="V214" i="7" s="1"/>
  <c r="W214" i="7" s="1"/>
  <c r="U966" i="7"/>
  <c r="V966" i="7" s="1"/>
  <c r="W966" i="7" s="1"/>
  <c r="R810" i="7"/>
  <c r="U268" i="7"/>
  <c r="V268" i="7" s="1"/>
  <c r="W268" i="7" s="1"/>
  <c r="O395" i="7"/>
  <c r="P395" i="7" s="1"/>
  <c r="R629" i="7"/>
  <c r="R328" i="7"/>
  <c r="O59" i="7"/>
  <c r="P59" i="7" s="1"/>
  <c r="R769" i="7"/>
  <c r="R192" i="7"/>
  <c r="O713" i="7"/>
  <c r="P713" i="7" s="1"/>
  <c r="O772" i="7"/>
  <c r="P772" i="7" s="1"/>
  <c r="O768" i="7"/>
  <c r="P768" i="7" s="1"/>
  <c r="R906" i="7"/>
  <c r="O86" i="7"/>
  <c r="P86" i="7" s="1"/>
  <c r="U876" i="7"/>
  <c r="V876" i="7" s="1"/>
  <c r="W876" i="7" s="1"/>
  <c r="U297" i="7"/>
  <c r="V297" i="7" s="1"/>
  <c r="W297" i="7" s="1"/>
  <c r="R901" i="7"/>
  <c r="O135" i="7"/>
  <c r="P135" i="7" s="1"/>
  <c r="R180" i="7"/>
  <c r="U212" i="7"/>
  <c r="V212" i="7" s="1"/>
  <c r="W212" i="7" s="1"/>
  <c r="R547" i="7"/>
  <c r="U810" i="7"/>
  <c r="V810" i="7" s="1"/>
  <c r="W810" i="7" s="1"/>
  <c r="U674" i="7"/>
  <c r="V674" i="7" s="1"/>
  <c r="W674" i="7" s="1"/>
  <c r="R898" i="7"/>
  <c r="R770" i="7"/>
  <c r="U131" i="7"/>
  <c r="V131" i="7" s="1"/>
  <c r="W131" i="7" s="1"/>
  <c r="U25" i="7"/>
  <c r="V25" i="7" s="1"/>
  <c r="W25" i="7" s="1"/>
  <c r="O513" i="7"/>
  <c r="P513" i="7" s="1"/>
  <c r="O696" i="7"/>
  <c r="P696" i="7" s="1"/>
  <c r="O879" i="7"/>
  <c r="P879" i="7" s="1"/>
  <c r="O283" i="7"/>
  <c r="P283" i="7" s="1"/>
  <c r="O668" i="7"/>
  <c r="P668" i="7" s="1"/>
  <c r="U217" i="7"/>
  <c r="V217" i="7" s="1"/>
  <c r="W217" i="7" s="1"/>
  <c r="O466" i="7"/>
  <c r="P466" i="7" s="1"/>
  <c r="O703" i="7"/>
  <c r="P703" i="7" s="1"/>
  <c r="O237" i="7"/>
  <c r="P237" i="7" s="1"/>
  <c r="U194" i="7"/>
  <c r="V194" i="7" s="1"/>
  <c r="W194" i="7" s="1"/>
  <c r="O124" i="7"/>
  <c r="P124" i="7" s="1"/>
  <c r="O320" i="7"/>
  <c r="P320" i="7" s="1"/>
  <c r="R120" i="7"/>
  <c r="U376" i="7"/>
  <c r="V376" i="7" s="1"/>
  <c r="W376" i="7" s="1"/>
  <c r="R703" i="7"/>
  <c r="O272" i="7"/>
  <c r="P272" i="7" s="1"/>
  <c r="R636" i="7"/>
  <c r="U760" i="7"/>
  <c r="V760" i="7" s="1"/>
  <c r="W760" i="7" s="1"/>
  <c r="U477" i="7"/>
  <c r="V477" i="7" s="1"/>
  <c r="W477" i="7" s="1"/>
  <c r="U721" i="7"/>
  <c r="V721" i="7" s="1"/>
  <c r="W721" i="7" s="1"/>
  <c r="R189" i="7"/>
  <c r="U537" i="7"/>
  <c r="V537" i="7" s="1"/>
  <c r="W537" i="7" s="1"/>
  <c r="R848" i="7"/>
  <c r="R356" i="7"/>
  <c r="U475" i="7"/>
  <c r="V475" i="7" s="1"/>
  <c r="W475" i="7" s="1"/>
  <c r="U698" i="7"/>
  <c r="V698" i="7" s="1"/>
  <c r="W698" i="7" s="1"/>
  <c r="U417" i="7"/>
  <c r="V417" i="7" s="1"/>
  <c r="W417" i="7" s="1"/>
  <c r="U114" i="7"/>
  <c r="V114" i="7" s="1"/>
  <c r="W114" i="7" s="1"/>
  <c r="O604" i="7"/>
  <c r="P604" i="7" s="1"/>
  <c r="U437" i="7"/>
  <c r="V437" i="7" s="1"/>
  <c r="W437" i="7" s="1"/>
  <c r="R172" i="7"/>
  <c r="O874" i="7"/>
  <c r="P874" i="7" s="1"/>
  <c r="U301" i="7"/>
  <c r="V301" i="7" s="1"/>
  <c r="W301" i="7" s="1"/>
  <c r="O46" i="7"/>
  <c r="P46" i="7" s="1"/>
  <c r="U331" i="7"/>
  <c r="V331" i="7" s="1"/>
  <c r="W331" i="7" s="1"/>
  <c r="O784" i="7"/>
  <c r="P784" i="7" s="1"/>
  <c r="O130" i="7"/>
  <c r="P130" i="7" s="1"/>
  <c r="O152" i="7"/>
  <c r="P152" i="7" s="1"/>
  <c r="U245" i="7"/>
  <c r="V245" i="7" s="1"/>
  <c r="W245" i="7" s="1"/>
  <c r="U31" i="7"/>
  <c r="V31" i="7" s="1"/>
  <c r="W31" i="7" s="1"/>
  <c r="O377" i="7"/>
  <c r="P377" i="7" s="1"/>
  <c r="U203" i="7"/>
  <c r="V203" i="7" s="1"/>
  <c r="W203" i="7" s="1"/>
  <c r="O725" i="7"/>
  <c r="P725" i="7" s="1"/>
  <c r="U126" i="7"/>
  <c r="V126" i="7" s="1"/>
  <c r="W126" i="7" s="1"/>
  <c r="O339" i="7"/>
  <c r="P339" i="7" s="1"/>
  <c r="U213" i="7"/>
  <c r="V213" i="7" s="1"/>
  <c r="W213" i="7" s="1"/>
  <c r="O758" i="7"/>
  <c r="P758" i="7" s="1"/>
  <c r="O893" i="7"/>
  <c r="P893" i="7" s="1"/>
  <c r="U35" i="7"/>
  <c r="V35" i="7" s="1"/>
  <c r="W35" i="7" s="1"/>
  <c r="O310" i="7"/>
  <c r="P310" i="7" s="1"/>
  <c r="O877" i="7"/>
  <c r="P877" i="7" s="1"/>
  <c r="U320" i="7"/>
  <c r="V320" i="7" s="1"/>
  <c r="W320" i="7" s="1"/>
  <c r="O107" i="7"/>
  <c r="P107" i="7" s="1"/>
  <c r="O467" i="7"/>
  <c r="P467" i="7" s="1"/>
  <c r="O596" i="7"/>
  <c r="P596" i="7" s="1"/>
  <c r="R21" i="7"/>
  <c r="U463" i="7"/>
  <c r="V463" i="7" s="1"/>
  <c r="W463" i="7" s="1"/>
  <c r="R237" i="7"/>
  <c r="O753" i="7"/>
  <c r="P753" i="7" s="1"/>
  <c r="O931" i="7"/>
  <c r="P931" i="7" s="1"/>
  <c r="R135" i="7"/>
  <c r="R559" i="7"/>
  <c r="O812" i="7"/>
  <c r="P812" i="7" s="1"/>
  <c r="U10" i="7"/>
  <c r="V10" i="7" s="1"/>
  <c r="W10" i="7" s="1"/>
  <c r="R223" i="7"/>
  <c r="O336" i="7"/>
  <c r="P336" i="7" s="1"/>
  <c r="O794" i="7"/>
  <c r="P794" i="7" s="1"/>
  <c r="R330" i="7"/>
  <c r="O941" i="7"/>
  <c r="P941" i="7" s="1"/>
  <c r="O376" i="7"/>
  <c r="P376" i="7" s="1"/>
  <c r="O65" i="7"/>
  <c r="P65" i="7" s="1"/>
  <c r="O974" i="7"/>
  <c r="P974" i="7" s="1"/>
  <c r="O509" i="7"/>
  <c r="P509" i="7" s="1"/>
  <c r="O534" i="7"/>
  <c r="P534" i="7" s="1"/>
  <c r="R669" i="7"/>
  <c r="U809" i="7"/>
  <c r="V809" i="7" s="1"/>
  <c r="W809" i="7" s="1"/>
  <c r="R470" i="7"/>
  <c r="R122" i="7"/>
  <c r="R667" i="7"/>
  <c r="R460" i="7"/>
  <c r="O318" i="7"/>
  <c r="P318" i="7" s="1"/>
  <c r="U139" i="7"/>
  <c r="V139" i="7" s="1"/>
  <c r="W139" i="7" s="1"/>
  <c r="O989" i="7"/>
  <c r="P989" i="7" s="1"/>
  <c r="O141" i="7"/>
  <c r="P141" i="7" s="1"/>
  <c r="O888" i="7"/>
  <c r="P888" i="7" s="1"/>
  <c r="O517" i="7"/>
  <c r="P517" i="7" s="1"/>
  <c r="R170" i="7"/>
  <c r="O403" i="7"/>
  <c r="P403" i="7" s="1"/>
  <c r="R218" i="7"/>
  <c r="R335" i="7"/>
  <c r="R339" i="7"/>
  <c r="U895" i="7"/>
  <c r="V895" i="7" s="1"/>
  <c r="W895" i="7" s="1"/>
  <c r="R831" i="7"/>
  <c r="O964" i="7"/>
  <c r="P964" i="7" s="1"/>
  <c r="O465" i="7"/>
  <c r="P465" i="7" s="1"/>
  <c r="U452" i="7"/>
  <c r="V452" i="7" s="1"/>
  <c r="W452" i="7" s="1"/>
  <c r="R82" i="7"/>
  <c r="O605" i="7"/>
  <c r="P605" i="7" s="1"/>
  <c r="R389" i="7"/>
  <c r="R385" i="7"/>
  <c r="R527" i="7"/>
  <c r="R660" i="7"/>
  <c r="R431" i="7"/>
  <c r="R748" i="7"/>
  <c r="R451" i="7"/>
  <c r="R131" i="7"/>
  <c r="O816" i="7"/>
  <c r="P816" i="7" s="1"/>
  <c r="R575" i="7"/>
  <c r="U462" i="7"/>
  <c r="V462" i="7" s="1"/>
  <c r="W462" i="7" s="1"/>
  <c r="U978" i="7"/>
  <c r="V978" i="7" s="1"/>
  <c r="W978" i="7" s="1"/>
  <c r="R11" i="7"/>
  <c r="U464" i="7"/>
  <c r="V464" i="7" s="1"/>
  <c r="W464" i="7" s="1"/>
  <c r="R423" i="7"/>
  <c r="O266" i="7"/>
  <c r="P266" i="7" s="1"/>
  <c r="O429" i="7"/>
  <c r="P429" i="7" s="1"/>
  <c r="O641" i="7"/>
  <c r="P641" i="7" s="1"/>
  <c r="U303" i="7"/>
  <c r="V303" i="7" s="1"/>
  <c r="W303" i="7" s="1"/>
  <c r="U164" i="7"/>
  <c r="V164" i="7" s="1"/>
  <c r="W164" i="7" s="1"/>
  <c r="O58" i="7"/>
  <c r="P58" i="7" s="1"/>
  <c r="O734" i="7"/>
  <c r="P734" i="7" s="1"/>
  <c r="O828" i="7"/>
  <c r="P828" i="7" s="1"/>
  <c r="U60" i="7"/>
  <c r="V60" i="7" s="1"/>
  <c r="W60" i="7" s="1"/>
  <c r="U227" i="7"/>
  <c r="V227" i="7" s="1"/>
  <c r="W227" i="7" s="1"/>
  <c r="O798" i="7"/>
  <c r="P798" i="7" s="1"/>
  <c r="U436" i="7"/>
  <c r="V436" i="7" s="1"/>
  <c r="W436" i="7" s="1"/>
  <c r="O918" i="7"/>
  <c r="P918" i="7" s="1"/>
  <c r="U101" i="7"/>
  <c r="V101" i="7" s="1"/>
  <c r="W101" i="7" s="1"/>
  <c r="R253" i="7"/>
  <c r="U9" i="7"/>
  <c r="V9" i="7" s="1"/>
  <c r="W9" i="7" s="1"/>
  <c r="U272" i="7"/>
  <c r="V272" i="7" s="1"/>
  <c r="W272" i="7" s="1"/>
  <c r="O144" i="7"/>
  <c r="P144" i="7" s="1"/>
  <c r="O38" i="7"/>
  <c r="P38" i="7" s="1"/>
  <c r="O83" i="7"/>
  <c r="P83" i="7" s="1"/>
  <c r="O179" i="7"/>
  <c r="P179" i="7" s="1"/>
  <c r="O239" i="7"/>
  <c r="P239" i="7" s="1"/>
  <c r="O222" i="7"/>
  <c r="P222" i="7" s="1"/>
  <c r="U248" i="7"/>
  <c r="V248" i="7" s="1"/>
  <c r="W248" i="7" s="1"/>
  <c r="U238" i="7"/>
  <c r="V238" i="7" s="1"/>
  <c r="W238" i="7" s="1"/>
  <c r="R540" i="7"/>
  <c r="O208" i="7"/>
  <c r="P208" i="7" s="1"/>
  <c r="O661" i="7"/>
  <c r="P661" i="7" s="1"/>
  <c r="O597" i="7"/>
  <c r="P597" i="7" s="1"/>
  <c r="R185" i="7"/>
  <c r="R802" i="7"/>
  <c r="O499" i="7"/>
  <c r="P499" i="7" s="1"/>
  <c r="O575" i="7"/>
  <c r="P575" i="7" s="1"/>
  <c r="R780" i="7"/>
  <c r="U1000" i="7"/>
  <c r="V1000" i="7" s="1"/>
  <c r="W1000" i="7" s="1"/>
  <c r="U165" i="7"/>
  <c r="V165" i="7" s="1"/>
  <c r="W165" i="7" s="1"/>
  <c r="U12" i="7"/>
  <c r="V12" i="7" s="1"/>
  <c r="W12" i="7" s="1"/>
  <c r="R349" i="7"/>
  <c r="R845" i="7"/>
  <c r="U125" i="7"/>
  <c r="V125" i="7" s="1"/>
  <c r="W125" i="7" s="1"/>
  <c r="U345" i="7"/>
  <c r="V345" i="7" s="1"/>
  <c r="W345" i="7" s="1"/>
  <c r="R874" i="7"/>
  <c r="U172" i="7"/>
  <c r="V172" i="7" s="1"/>
  <c r="W172" i="7" s="1"/>
  <c r="U168" i="7"/>
  <c r="V168" i="7" s="1"/>
  <c r="W168" i="7" s="1"/>
  <c r="O684" i="7"/>
  <c r="P684" i="7" s="1"/>
  <c r="U830" i="7"/>
  <c r="V830" i="7" s="1"/>
  <c r="W830" i="7" s="1"/>
  <c r="U797" i="7"/>
  <c r="V797" i="7" s="1"/>
  <c r="W797" i="7" s="1"/>
  <c r="U147" i="7"/>
  <c r="V147" i="7" s="1"/>
  <c r="W147" i="7" s="1"/>
  <c r="O500" i="7"/>
  <c r="P500" i="7" s="1"/>
  <c r="U735" i="7"/>
  <c r="V735" i="7" s="1"/>
  <c r="W735" i="7" s="1"/>
  <c r="R484" i="7"/>
  <c r="O97" i="7"/>
  <c r="P97" i="7" s="1"/>
  <c r="U201" i="7"/>
  <c r="V201" i="7" s="1"/>
  <c r="W201" i="7" s="1"/>
  <c r="R16" i="7"/>
  <c r="R112" i="7"/>
  <c r="U68" i="7"/>
  <c r="V68" i="7" s="1"/>
  <c r="W68" i="7" s="1"/>
  <c r="U495" i="7"/>
  <c r="V495" i="7" s="1"/>
  <c r="W495" i="7" s="1"/>
  <c r="R697" i="7"/>
  <c r="R811" i="7"/>
  <c r="R597" i="7"/>
  <c r="O361" i="7"/>
  <c r="P361" i="7" s="1"/>
  <c r="R494" i="7"/>
  <c r="U900" i="7"/>
  <c r="V900" i="7" s="1"/>
  <c r="W900" i="7" s="1"/>
  <c r="O576" i="7"/>
  <c r="P576" i="7" s="1"/>
  <c r="R91" i="7"/>
  <c r="U743" i="7"/>
  <c r="V743" i="7" s="1"/>
  <c r="W743" i="7" s="1"/>
  <c r="U87" i="7"/>
  <c r="V87" i="7" s="1"/>
  <c r="W87" i="7" s="1"/>
  <c r="O845" i="7"/>
  <c r="P845" i="7" s="1"/>
  <c r="O278" i="7"/>
  <c r="P278" i="7" s="1"/>
  <c r="O584" i="7"/>
  <c r="P584" i="7" s="1"/>
  <c r="U750" i="7"/>
  <c r="V750" i="7" s="1"/>
  <c r="W750" i="7" s="1"/>
  <c r="O255" i="7"/>
  <c r="P255" i="7" s="1"/>
  <c r="R375" i="7"/>
  <c r="U143" i="7"/>
  <c r="V143" i="7" s="1"/>
  <c r="W143" i="7" s="1"/>
  <c r="R587" i="7"/>
  <c r="R221" i="7"/>
  <c r="R196" i="7"/>
  <c r="R404" i="7"/>
  <c r="U536" i="7"/>
  <c r="V536" i="7" s="1"/>
  <c r="W536" i="7" s="1"/>
  <c r="R643" i="7"/>
  <c r="U569" i="7"/>
  <c r="V569" i="7" s="1"/>
  <c r="W569" i="7" s="1"/>
  <c r="R562" i="7"/>
  <c r="R469" i="7"/>
  <c r="R902" i="7"/>
  <c r="R215" i="7"/>
  <c r="U689" i="7"/>
  <c r="V689" i="7" s="1"/>
  <c r="W689" i="7" s="1"/>
  <c r="R267" i="7"/>
  <c r="U923" i="7"/>
  <c r="V923" i="7" s="1"/>
  <c r="W923" i="7" s="1"/>
  <c r="R138" i="7"/>
  <c r="U326" i="7"/>
  <c r="V326" i="7" s="1"/>
  <c r="W326" i="7" s="1"/>
  <c r="U219" i="7"/>
  <c r="V219" i="7" s="1"/>
  <c r="W219" i="7" s="1"/>
  <c r="O544" i="7"/>
  <c r="P544" i="7" s="1"/>
  <c r="R764" i="7"/>
  <c r="R305" i="7"/>
  <c r="R839" i="7"/>
  <c r="U182" i="7"/>
  <c r="V182" i="7" s="1"/>
  <c r="W182" i="7" s="1"/>
  <c r="O426" i="7"/>
  <c r="P426" i="7" s="1"/>
  <c r="U428" i="7"/>
  <c r="V428" i="7" s="1"/>
  <c r="W428" i="7" s="1"/>
  <c r="R847" i="7"/>
  <c r="R173" i="7"/>
  <c r="R763" i="7"/>
  <c r="R452" i="7"/>
  <c r="U493" i="7"/>
  <c r="V493" i="7" s="1"/>
  <c r="W493" i="7" s="1"/>
  <c r="U847" i="7"/>
  <c r="V847" i="7" s="1"/>
  <c r="W847" i="7" s="1"/>
  <c r="U566" i="7"/>
  <c r="V566" i="7" s="1"/>
  <c r="W566" i="7" s="1"/>
  <c r="O510" i="7"/>
  <c r="P510" i="7" s="1"/>
  <c r="U715" i="7"/>
  <c r="V715" i="7" s="1"/>
  <c r="W715" i="7" s="1"/>
  <c r="O946" i="7"/>
  <c r="P946" i="7" s="1"/>
  <c r="R81" i="7"/>
  <c r="R88" i="7"/>
  <c r="U627" i="7"/>
  <c r="V627" i="7" s="1"/>
  <c r="W627" i="7" s="1"/>
  <c r="O819" i="7"/>
  <c r="P819" i="7" s="1"/>
  <c r="U585" i="7"/>
  <c r="V585" i="7" s="1"/>
  <c r="W585" i="7" s="1"/>
  <c r="R852" i="7"/>
  <c r="U725" i="7"/>
  <c r="V725" i="7" s="1"/>
  <c r="W725" i="7" s="1"/>
  <c r="O913" i="7"/>
  <c r="P913" i="7" s="1"/>
  <c r="R716" i="7"/>
  <c r="R153" i="7"/>
  <c r="R444" i="7"/>
  <c r="R550" i="7"/>
  <c r="R864" i="7"/>
  <c r="U583" i="7"/>
  <c r="V583" i="7" s="1"/>
  <c r="W583" i="7" s="1"/>
  <c r="U751" i="7"/>
  <c r="V751" i="7" s="1"/>
  <c r="W751" i="7" s="1"/>
  <c r="U911" i="7"/>
  <c r="V911" i="7" s="1"/>
  <c r="W911" i="7" s="1"/>
  <c r="U722" i="7"/>
  <c r="V722" i="7" s="1"/>
  <c r="W722" i="7" s="1"/>
  <c r="U802" i="7"/>
  <c r="V802" i="7" s="1"/>
  <c r="W802" i="7" s="1"/>
  <c r="U624" i="7"/>
  <c r="V624" i="7" s="1"/>
  <c r="W624" i="7" s="1"/>
  <c r="R495" i="7"/>
  <c r="R355" i="7"/>
  <c r="U43" i="7"/>
  <c r="V43" i="7" s="1"/>
  <c r="W43" i="7" s="1"/>
  <c r="R258" i="7"/>
  <c r="R326" i="7"/>
  <c r="R142" i="7"/>
  <c r="U666" i="7"/>
  <c r="V666" i="7" s="1"/>
  <c r="W666" i="7" s="1"/>
  <c r="U934" i="7"/>
  <c r="V934" i="7" s="1"/>
  <c r="W934" i="7" s="1"/>
  <c r="R283" i="7"/>
  <c r="U952" i="7"/>
  <c r="V952" i="7" s="1"/>
  <c r="W952" i="7" s="1"/>
  <c r="U476" i="7"/>
  <c r="V476" i="7" s="1"/>
  <c r="W476" i="7" s="1"/>
  <c r="O910" i="7"/>
  <c r="P910" i="7" s="1"/>
  <c r="U919" i="7"/>
  <c r="V919" i="7" s="1"/>
  <c r="W919" i="7" s="1"/>
  <c r="U491" i="7"/>
  <c r="V491" i="7" s="1"/>
  <c r="W491" i="7" s="1"/>
  <c r="U791" i="7"/>
  <c r="V791" i="7" s="1"/>
  <c r="W791" i="7" s="1"/>
  <c r="R365" i="7"/>
  <c r="U460" i="7"/>
  <c r="V460" i="7" s="1"/>
  <c r="W460" i="7" s="1"/>
  <c r="U592" i="7"/>
  <c r="V592" i="7" s="1"/>
  <c r="W592" i="7" s="1"/>
  <c r="U767" i="7"/>
  <c r="V767" i="7" s="1"/>
  <c r="W767" i="7" s="1"/>
  <c r="O658" i="7"/>
  <c r="P658" i="7" s="1"/>
  <c r="O660" i="7"/>
  <c r="P660" i="7" s="1"/>
  <c r="O556" i="7"/>
  <c r="P556" i="7" s="1"/>
  <c r="R383" i="7"/>
  <c r="R756" i="7"/>
  <c r="R450" i="7"/>
  <c r="U955" i="7"/>
  <c r="V955" i="7" s="1"/>
  <c r="W955" i="7" s="1"/>
  <c r="R96" i="7"/>
  <c r="R466" i="7"/>
  <c r="R786" i="7"/>
  <c r="O275" i="7"/>
  <c r="P275" i="7" s="1"/>
  <c r="R361" i="7"/>
  <c r="R239" i="7"/>
  <c r="R8" i="7"/>
  <c r="U993" i="7"/>
  <c r="V993" i="7" s="1"/>
  <c r="W993" i="7" s="1"/>
  <c r="R332" i="7"/>
  <c r="R191" i="7"/>
  <c r="U518" i="7"/>
  <c r="V518" i="7" s="1"/>
  <c r="W518" i="7" s="1"/>
  <c r="O277" i="7"/>
  <c r="P277" i="7" s="1"/>
  <c r="O296" i="7"/>
  <c r="P296" i="7" s="1"/>
  <c r="U440" i="7"/>
  <c r="V440" i="7" s="1"/>
  <c r="W440" i="7" s="1"/>
  <c r="O527" i="7"/>
  <c r="P527" i="7" s="1"/>
  <c r="R374" i="7"/>
  <c r="U411" i="7"/>
  <c r="V411" i="7" s="1"/>
  <c r="W411" i="7" s="1"/>
  <c r="O665" i="7"/>
  <c r="P665" i="7" s="1"/>
  <c r="O928" i="7"/>
  <c r="P928" i="7" s="1"/>
  <c r="U3" i="7"/>
  <c r="V3" i="7" s="1"/>
  <c r="W3" i="7" s="1"/>
  <c r="O353" i="7"/>
  <c r="P353" i="7" s="1"/>
  <c r="O410" i="7"/>
  <c r="P410" i="7" s="1"/>
  <c r="O915" i="7"/>
  <c r="P915" i="7" s="1"/>
  <c r="O160" i="7"/>
  <c r="P160" i="7" s="1"/>
  <c r="O69" i="7"/>
  <c r="P69" i="7" s="1"/>
  <c r="U285" i="7"/>
  <c r="V285" i="7" s="1"/>
  <c r="W285" i="7" s="1"/>
  <c r="U313" i="7"/>
  <c r="V313" i="7" s="1"/>
  <c r="W313" i="7" s="1"/>
  <c r="O407" i="7"/>
  <c r="P407" i="7" s="1"/>
  <c r="O213" i="7"/>
  <c r="P213" i="7" s="1"/>
  <c r="U236" i="7"/>
  <c r="V236" i="7" s="1"/>
  <c r="W236" i="7" s="1"/>
  <c r="O676" i="7"/>
  <c r="P676" i="7" s="1"/>
  <c r="O284" i="7"/>
  <c r="P284" i="7" s="1"/>
  <c r="O730" i="7"/>
  <c r="P730" i="7" s="1"/>
  <c r="O533" i="7"/>
  <c r="P533" i="7" s="1"/>
  <c r="U26" i="7"/>
  <c r="V26" i="7" s="1"/>
  <c r="W26" i="7" s="1"/>
  <c r="O580" i="7"/>
  <c r="P580" i="7" s="1"/>
  <c r="U446" i="7"/>
  <c r="V446" i="7" s="1"/>
  <c r="W446" i="7" s="1"/>
  <c r="O531" i="7"/>
  <c r="P531" i="7" s="1"/>
  <c r="O245" i="7"/>
  <c r="P245" i="7" s="1"/>
  <c r="U23" i="7"/>
  <c r="V23" i="7" s="1"/>
  <c r="W23" i="7" s="1"/>
  <c r="U454" i="7"/>
  <c r="V454" i="7" s="1"/>
  <c r="W454" i="7" s="1"/>
  <c r="O809" i="7"/>
  <c r="P809" i="7" s="1"/>
  <c r="O811" i="7"/>
  <c r="P811" i="7" s="1"/>
  <c r="U243" i="7"/>
  <c r="V243" i="7" s="1"/>
  <c r="W243" i="7" s="1"/>
  <c r="O174" i="7"/>
  <c r="P174" i="7" s="1"/>
  <c r="R363" i="7"/>
  <c r="R424" i="7"/>
  <c r="O357" i="7"/>
  <c r="P357" i="7" s="1"/>
  <c r="O559" i="7"/>
  <c r="P559" i="7" s="1"/>
  <c r="R409" i="7"/>
  <c r="R195" i="7"/>
  <c r="O653" i="7"/>
  <c r="P653" i="7" s="1"/>
  <c r="U344" i="7"/>
  <c r="V344" i="7" s="1"/>
  <c r="W344" i="7" s="1"/>
  <c r="R646" i="7"/>
  <c r="O648" i="7"/>
  <c r="P648" i="7" s="1"/>
  <c r="U451" i="7"/>
  <c r="V451" i="7" s="1"/>
  <c r="W451" i="7" s="1"/>
  <c r="O712" i="7"/>
  <c r="P712" i="7" s="1"/>
  <c r="R59" i="7"/>
  <c r="R516" i="7"/>
  <c r="U396" i="7"/>
  <c r="V396" i="7" s="1"/>
  <c r="W396" i="7" s="1"/>
  <c r="U348" i="7"/>
  <c r="V348" i="7" s="1"/>
  <c r="W348" i="7" s="1"/>
  <c r="R828" i="7"/>
  <c r="R672" i="7"/>
  <c r="R194" i="7"/>
  <c r="O838" i="7"/>
  <c r="P838" i="7" s="1"/>
  <c r="R809" i="7"/>
  <c r="R368" i="7"/>
  <c r="O106" i="7"/>
  <c r="P106" i="7" s="1"/>
  <c r="R836" i="7"/>
  <c r="R656" i="7"/>
  <c r="R641" i="7"/>
  <c r="U73" i="7"/>
  <c r="V73" i="7" s="1"/>
  <c r="W73" i="7" s="1"/>
  <c r="U224" i="7"/>
  <c r="V224" i="7" s="1"/>
  <c r="W224" i="7" s="1"/>
  <c r="U850" i="7"/>
  <c r="V850" i="7" s="1"/>
  <c r="W850" i="7" s="1"/>
  <c r="O113" i="7"/>
  <c r="P113" i="7" s="1"/>
  <c r="R642" i="7"/>
  <c r="R30" i="7"/>
  <c r="R147" i="7"/>
  <c r="R333" i="7"/>
  <c r="R263" i="7"/>
  <c r="R388" i="7"/>
  <c r="O394" i="7"/>
  <c r="P394" i="7" s="1"/>
  <c r="R151" i="7"/>
  <c r="O304" i="7"/>
  <c r="P304" i="7" s="1"/>
  <c r="R476" i="7"/>
  <c r="O230" i="7"/>
  <c r="P230" i="7" s="1"/>
  <c r="R249" i="7"/>
  <c r="R84" i="7"/>
  <c r="U113" i="7"/>
  <c r="V113" i="7" s="1"/>
  <c r="W113" i="7" s="1"/>
  <c r="R486" i="7"/>
  <c r="U575" i="7"/>
  <c r="V575" i="7" s="1"/>
  <c r="W575" i="7" s="1"/>
  <c r="R702" i="7"/>
  <c r="U292" i="7"/>
  <c r="V292" i="7" s="1"/>
  <c r="W292" i="7" s="1"/>
  <c r="U700" i="7"/>
  <c r="V700" i="7" s="1"/>
  <c r="W700" i="7" s="1"/>
  <c r="R411" i="7"/>
  <c r="U582" i="7"/>
  <c r="V582" i="7" s="1"/>
  <c r="W582" i="7" s="1"/>
  <c r="R20" i="7"/>
  <c r="U752" i="7"/>
  <c r="V752" i="7" s="1"/>
  <c r="W752" i="7" s="1"/>
  <c r="U671" i="7"/>
  <c r="V671" i="7" s="1"/>
  <c r="W671" i="7" s="1"/>
  <c r="O656" i="7"/>
  <c r="P656" i="7" s="1"/>
  <c r="O766" i="7"/>
  <c r="P766" i="7" s="1"/>
  <c r="U223" i="7"/>
  <c r="V223" i="7" s="1"/>
  <c r="W223" i="7" s="1"/>
  <c r="O91" i="7"/>
  <c r="P91" i="7" s="1"/>
  <c r="O95" i="7"/>
  <c r="P95" i="7" s="1"/>
  <c r="O439" i="7"/>
  <c r="P439" i="7" s="1"/>
  <c r="O109" i="7"/>
  <c r="P109" i="7" s="1"/>
  <c r="U205" i="7"/>
  <c r="V205" i="7" s="1"/>
  <c r="W205" i="7" s="1"/>
  <c r="O705" i="7"/>
  <c r="P705" i="7" s="1"/>
  <c r="R187" i="7"/>
  <c r="U431" i="7"/>
  <c r="V431" i="7" s="1"/>
  <c r="W431" i="7" s="1"/>
  <c r="O227" i="7"/>
  <c r="P227" i="7" s="1"/>
  <c r="O860" i="7"/>
  <c r="P860" i="7" s="1"/>
  <c r="O942" i="7"/>
  <c r="P942" i="7" s="1"/>
  <c r="O557" i="7"/>
  <c r="P557" i="7" s="1"/>
  <c r="O683" i="7"/>
  <c r="P683" i="7" s="1"/>
  <c r="O330" i="7"/>
  <c r="P330" i="7" s="1"/>
  <c r="U231" i="7"/>
  <c r="V231" i="7" s="1"/>
  <c r="W231" i="7" s="1"/>
  <c r="R197" i="7"/>
  <c r="O752" i="7"/>
  <c r="P752" i="7" s="1"/>
  <c r="O543" i="7"/>
  <c r="P543" i="7" s="1"/>
  <c r="R572" i="7"/>
  <c r="U79" i="7"/>
  <c r="V79" i="7" s="1"/>
  <c r="W79" i="7" s="1"/>
  <c r="U263" i="7"/>
  <c r="V263" i="7" s="1"/>
  <c r="W263" i="7" s="1"/>
  <c r="O796" i="7"/>
  <c r="P796" i="7" s="1"/>
  <c r="O805" i="7"/>
  <c r="P805" i="7" s="1"/>
  <c r="U335" i="7"/>
  <c r="V335" i="7" s="1"/>
  <c r="W335" i="7" s="1"/>
  <c r="O183" i="7"/>
  <c r="P183" i="7" s="1"/>
  <c r="O207" i="7"/>
  <c r="P207" i="7" s="1"/>
  <c r="O783" i="7"/>
  <c r="P783" i="7" s="1"/>
  <c r="U58" i="7"/>
  <c r="V58" i="7" s="1"/>
  <c r="W58" i="7" s="1"/>
  <c r="O126" i="7"/>
  <c r="P126" i="7" s="1"/>
  <c r="U102" i="7"/>
  <c r="V102" i="7" s="1"/>
  <c r="W102" i="7" s="1"/>
  <c r="O545" i="7"/>
  <c r="P545" i="7" s="1"/>
  <c r="U97" i="7"/>
  <c r="V97" i="7" s="1"/>
  <c r="W97" i="7" s="1"/>
  <c r="R34" i="7"/>
  <c r="R167" i="7"/>
  <c r="U98" i="7"/>
  <c r="V98" i="7" s="1"/>
  <c r="W98" i="7" s="1"/>
  <c r="O103" i="7"/>
  <c r="P103" i="7" s="1"/>
  <c r="R381" i="7"/>
  <c r="R321" i="7"/>
  <c r="R372" i="7"/>
  <c r="R943" i="7"/>
  <c r="U632" i="7"/>
  <c r="V632" i="7" s="1"/>
  <c r="W632" i="7" s="1"/>
  <c r="O405" i="7"/>
  <c r="P405" i="7" s="1"/>
  <c r="U255" i="7"/>
  <c r="V255" i="7" s="1"/>
  <c r="W255" i="7" s="1"/>
  <c r="O922" i="7"/>
  <c r="P922" i="7" s="1"/>
  <c r="U567" i="7"/>
  <c r="V567" i="7" s="1"/>
  <c r="W567" i="7" s="1"/>
  <c r="O714" i="7"/>
  <c r="P714" i="7" s="1"/>
  <c r="O290" i="7"/>
  <c r="P290" i="7" s="1"/>
  <c r="O770" i="7"/>
  <c r="P770" i="7" s="1"/>
  <c r="R671" i="7"/>
  <c r="R41" i="7"/>
  <c r="O434" i="7"/>
  <c r="P434" i="7" s="1"/>
  <c r="U430" i="7"/>
  <c r="V430" i="7" s="1"/>
  <c r="W430" i="7" s="1"/>
  <c r="U717" i="7"/>
  <c r="V717" i="7" s="1"/>
  <c r="W717" i="7" s="1"/>
  <c r="R308" i="7"/>
  <c r="R616" i="7"/>
  <c r="O437" i="7"/>
  <c r="P437" i="7" s="1"/>
  <c r="R434" i="7"/>
  <c r="O781" i="7"/>
  <c r="P781" i="7" s="1"/>
  <c r="U361" i="7"/>
  <c r="V361" i="7" s="1"/>
  <c r="W361" i="7" s="1"/>
  <c r="R737" i="7"/>
  <c r="O489" i="7"/>
  <c r="P489" i="7" s="1"/>
  <c r="O185" i="7"/>
  <c r="P185" i="7" s="1"/>
  <c r="O262" i="7"/>
  <c r="P262" i="7" s="1"/>
  <c r="R727" i="7"/>
  <c r="U994" i="7"/>
  <c r="V994" i="7" s="1"/>
  <c r="W994" i="7" s="1"/>
  <c r="O288" i="7"/>
  <c r="P288" i="7" s="1"/>
  <c r="O938" i="7"/>
  <c r="P938" i="7" s="1"/>
  <c r="R714" i="7"/>
  <c r="O389" i="7"/>
  <c r="P389" i="7" s="1"/>
  <c r="O994" i="7"/>
  <c r="P994" i="7" s="1"/>
  <c r="O32" i="7"/>
  <c r="P32" i="7" s="1"/>
  <c r="R100" i="7"/>
  <c r="U368" i="7"/>
  <c r="V368" i="7" s="1"/>
  <c r="W368" i="7" s="1"/>
  <c r="R479" i="7"/>
  <c r="O498" i="7"/>
  <c r="P498" i="7" s="1"/>
  <c r="U242" i="7"/>
  <c r="V242" i="7" s="1"/>
  <c r="W242" i="7" s="1"/>
  <c r="R823" i="7"/>
  <c r="U761" i="7"/>
  <c r="V761" i="7" s="1"/>
  <c r="W761" i="7" s="1"/>
  <c r="O327" i="7"/>
  <c r="P327" i="7" s="1"/>
  <c r="R822" i="7"/>
  <c r="U732" i="7"/>
  <c r="V732" i="7" s="1"/>
  <c r="W732" i="7" s="1"/>
  <c r="U256" i="7"/>
  <c r="V256" i="7" s="1"/>
  <c r="W256" i="7" s="1"/>
  <c r="U775" i="7"/>
  <c r="V775" i="7" s="1"/>
  <c r="W775" i="7" s="1"/>
  <c r="O273" i="7"/>
  <c r="P273" i="7" s="1"/>
  <c r="U917" i="7"/>
  <c r="V917" i="7" s="1"/>
  <c r="W917" i="7" s="1"/>
  <c r="U719" i="7"/>
  <c r="V719" i="7" s="1"/>
  <c r="W719" i="7" s="1"/>
  <c r="R225" i="7"/>
  <c r="R754" i="7"/>
  <c r="O460" i="7"/>
  <c r="P460" i="7" s="1"/>
  <c r="O687" i="7"/>
  <c r="P687" i="7" s="1"/>
  <c r="R601" i="7"/>
  <c r="R271" i="7"/>
  <c r="O78" i="7"/>
  <c r="P78" i="7" s="1"/>
  <c r="U961" i="7"/>
  <c r="V961" i="7" s="1"/>
  <c r="W961" i="7" s="1"/>
  <c r="U683" i="7"/>
  <c r="V683" i="7" s="1"/>
  <c r="W683" i="7" s="1"/>
  <c r="O711" i="7"/>
  <c r="P711" i="7" s="1"/>
  <c r="O706" i="7"/>
  <c r="P706" i="7" s="1"/>
  <c r="R49" i="7"/>
  <c r="R415" i="7"/>
  <c r="R681" i="7"/>
  <c r="R169" i="7"/>
  <c r="U980" i="7"/>
  <c r="V980" i="7" s="1"/>
  <c r="W980" i="7" s="1"/>
  <c r="O293" i="7"/>
  <c r="P293" i="7" s="1"/>
  <c r="U523" i="7"/>
  <c r="V523" i="7" s="1"/>
  <c r="W523" i="7" s="1"/>
  <c r="U892" i="7"/>
  <c r="V892" i="7" s="1"/>
  <c r="W892" i="7" s="1"/>
  <c r="O740" i="7"/>
  <c r="P740" i="7" s="1"/>
  <c r="R903" i="7"/>
  <c r="U659" i="7"/>
  <c r="V659" i="7" s="1"/>
  <c r="W659" i="7" s="1"/>
  <c r="R640" i="7"/>
  <c r="R23" i="7"/>
  <c r="R705" i="7"/>
  <c r="R456" i="7"/>
  <c r="U865" i="7"/>
  <c r="V865" i="7" s="1"/>
  <c r="W865" i="7" s="1"/>
  <c r="U512" i="7"/>
  <c r="V512" i="7" s="1"/>
  <c r="W512" i="7" s="1"/>
  <c r="R565" i="7"/>
  <c r="R26" i="7"/>
  <c r="U618" i="7"/>
  <c r="V618" i="7" s="1"/>
  <c r="W618" i="7" s="1"/>
  <c r="R478" i="7"/>
  <c r="U742" i="7"/>
  <c r="V742" i="7" s="1"/>
  <c r="W742" i="7" s="1"/>
  <c r="U964" i="7"/>
  <c r="V964" i="7" s="1"/>
  <c r="W964" i="7" s="1"/>
  <c r="O894" i="7"/>
  <c r="P894" i="7" s="1"/>
  <c r="U910" i="7"/>
  <c r="V910" i="7" s="1"/>
  <c r="W910" i="7" s="1"/>
  <c r="R205" i="7"/>
  <c r="R371" i="7"/>
  <c r="U869" i="7"/>
  <c r="V869" i="7" s="1"/>
  <c r="W869" i="7" s="1"/>
  <c r="U908" i="7"/>
  <c r="V908" i="7" s="1"/>
  <c r="W908" i="7" s="1"/>
  <c r="U358" i="7"/>
  <c r="V358" i="7" s="1"/>
  <c r="W358" i="7" s="1"/>
  <c r="R231" i="7"/>
  <c r="O767" i="7"/>
  <c r="P767" i="7" s="1"/>
  <c r="R843" i="7"/>
  <c r="U296" i="7"/>
  <c r="V296" i="7" s="1"/>
  <c r="W296" i="7" s="1"/>
  <c r="R118" i="7"/>
  <c r="O341" i="7"/>
  <c r="P341" i="7" s="1"/>
  <c r="U880" i="7"/>
  <c r="V880" i="7" s="1"/>
  <c r="W880" i="7" s="1"/>
  <c r="O949" i="7"/>
  <c r="P949" i="7" s="1"/>
  <c r="R824" i="7"/>
  <c r="R736" i="7"/>
  <c r="R588" i="7"/>
  <c r="R577" i="7"/>
  <c r="R803" i="7"/>
  <c r="U987" i="7"/>
  <c r="V987" i="7" s="1"/>
  <c r="W987" i="7" s="1"/>
  <c r="O956" i="7"/>
  <c r="P956" i="7" s="1"/>
  <c r="R859" i="7"/>
  <c r="U504" i="7"/>
  <c r="V504" i="7" s="1"/>
  <c r="W504" i="7" s="1"/>
  <c r="O311" i="7"/>
  <c r="P311" i="7" s="1"/>
  <c r="R561" i="7"/>
  <c r="R295" i="7"/>
  <c r="R865" i="7"/>
  <c r="R776" i="7"/>
  <c r="U860" i="7"/>
  <c r="V860" i="7" s="1"/>
  <c r="W860" i="7" s="1"/>
  <c r="U606" i="7"/>
  <c r="V606" i="7" s="1"/>
  <c r="W606" i="7" s="1"/>
  <c r="O452" i="7"/>
  <c r="P452" i="7" s="1"/>
  <c r="U992" i="7"/>
  <c r="V992" i="7" s="1"/>
  <c r="W992" i="7" s="1"/>
  <c r="O861" i="7"/>
  <c r="P861" i="7" s="1"/>
  <c r="R234" i="7"/>
  <c r="R925" i="7"/>
  <c r="R525" i="7"/>
  <c r="O690" i="7"/>
  <c r="P690" i="7" s="1"/>
  <c r="R773" i="7"/>
  <c r="U112" i="7"/>
  <c r="V112" i="7" s="1"/>
  <c r="W112" i="7" s="1"/>
  <c r="O6" i="7"/>
  <c r="P6" i="7" s="1"/>
  <c r="O159" i="7"/>
  <c r="P159" i="7" s="1"/>
  <c r="R311" i="7"/>
  <c r="R438" i="7"/>
  <c r="O944" i="7"/>
  <c r="P944" i="7" s="1"/>
  <c r="O886" i="7"/>
  <c r="P886" i="7" s="1"/>
  <c r="R670" i="7"/>
  <c r="O764" i="7"/>
  <c r="P764" i="7" s="1"/>
  <c r="R457" i="7"/>
  <c r="O63" i="7"/>
  <c r="P63" i="7" s="1"/>
  <c r="U898" i="7"/>
  <c r="V898" i="7" s="1"/>
  <c r="W898" i="7" s="1"/>
  <c r="R881" i="7"/>
  <c r="R85" i="7"/>
  <c r="R177" i="7"/>
  <c r="U516" i="7"/>
  <c r="V516" i="7" s="1"/>
  <c r="W516" i="7" s="1"/>
  <c r="O138" i="7"/>
  <c r="P138" i="7" s="1"/>
  <c r="U384" i="7"/>
  <c r="V384" i="7" s="1"/>
  <c r="W384" i="7" s="1"/>
  <c r="R465" i="7"/>
  <c r="R359" i="7"/>
  <c r="O486" i="7"/>
  <c r="P486" i="7" s="1"/>
  <c r="O681" i="7"/>
  <c r="P681" i="7" s="1"/>
  <c r="R741" i="7"/>
  <c r="R9" i="7"/>
  <c r="U128" i="7"/>
  <c r="V128" i="7" s="1"/>
  <c r="W128" i="7" s="1"/>
  <c r="O16" i="7"/>
  <c r="P16" i="7" s="1"/>
  <c r="O523" i="7"/>
  <c r="P523" i="7" s="1"/>
  <c r="R563" i="7"/>
  <c r="U570" i="7"/>
  <c r="V570" i="7" s="1"/>
  <c r="W570" i="7" s="1"/>
  <c r="U293" i="7"/>
  <c r="V293" i="7" s="1"/>
  <c r="W293" i="7" s="1"/>
  <c r="O589" i="7"/>
  <c r="P589" i="7" s="1"/>
  <c r="R753" i="7"/>
  <c r="U304" i="7"/>
  <c r="V304" i="7" s="1"/>
  <c r="W304" i="7" s="1"/>
  <c r="R314" i="7"/>
  <c r="U306" i="7"/>
  <c r="V306" i="7" s="1"/>
  <c r="W306" i="7" s="1"/>
  <c r="R598" i="7"/>
  <c r="U747" i="7"/>
  <c r="V747" i="7" s="1"/>
  <c r="W747" i="7" s="1"/>
  <c r="U768" i="7"/>
  <c r="V768" i="7" s="1"/>
  <c r="W768" i="7" s="1"/>
  <c r="R74" i="7"/>
  <c r="R830" i="7"/>
  <c r="R129" i="7"/>
  <c r="R606" i="7"/>
  <c r="U858" i="7"/>
  <c r="V858" i="7" s="1"/>
  <c r="W858" i="7" s="1"/>
  <c r="R224" i="7"/>
  <c r="U737" i="7"/>
  <c r="V737" i="7" s="1"/>
  <c r="W737" i="7" s="1"/>
  <c r="R286" i="7"/>
  <c r="O380" i="7"/>
  <c r="P380" i="7" s="1"/>
  <c r="O900" i="7"/>
  <c r="P900" i="7" s="1"/>
  <c r="O314" i="7"/>
  <c r="P314" i="7" s="1"/>
  <c r="O393" i="7"/>
  <c r="P393" i="7" s="1"/>
  <c r="U24" i="7"/>
  <c r="V24" i="7" s="1"/>
  <c r="W24" i="7" s="1"/>
  <c r="U65" i="7"/>
  <c r="V65" i="7" s="1"/>
  <c r="W65" i="7" s="1"/>
  <c r="U412" i="7"/>
  <c r="V412" i="7" s="1"/>
  <c r="W412" i="7" s="1"/>
  <c r="U148" i="7"/>
  <c r="V148" i="7" s="1"/>
  <c r="W148" i="7" s="1"/>
  <c r="O726" i="7"/>
  <c r="P726" i="7" s="1"/>
  <c r="U95" i="7"/>
  <c r="V95" i="7" s="1"/>
  <c r="W95" i="7" s="1"/>
  <c r="O844" i="7"/>
  <c r="P844" i="7" s="1"/>
  <c r="O675" i="7"/>
  <c r="P675" i="7" s="1"/>
  <c r="O669" i="7"/>
  <c r="P669" i="7" s="1"/>
  <c r="U80" i="7"/>
  <c r="V80" i="7" s="1"/>
  <c r="W80" i="7" s="1"/>
  <c r="O420" i="7"/>
  <c r="P420" i="7" s="1"/>
  <c r="O192" i="7"/>
  <c r="P192" i="7" s="1"/>
  <c r="O115" i="7"/>
  <c r="P115" i="7" s="1"/>
  <c r="U86" i="7"/>
  <c r="V86" i="7" s="1"/>
  <c r="W86" i="7" s="1"/>
  <c r="U233" i="7"/>
  <c r="V233" i="7" s="1"/>
  <c r="W233" i="7" s="1"/>
  <c r="O847" i="7"/>
  <c r="P847" i="7" s="1"/>
  <c r="U71" i="7"/>
  <c r="V71" i="7" s="1"/>
  <c r="W71" i="7" s="1"/>
  <c r="O514" i="7"/>
  <c r="P514" i="7" s="1"/>
  <c r="U375" i="7"/>
  <c r="V375" i="7" s="1"/>
  <c r="W375" i="7" s="1"/>
  <c r="O820" i="7"/>
  <c r="P820" i="7" s="1"/>
  <c r="U76" i="7"/>
  <c r="V76" i="7" s="1"/>
  <c r="W76" i="7" s="1"/>
  <c r="O708" i="7"/>
  <c r="P708" i="7" s="1"/>
  <c r="O682" i="7"/>
  <c r="P682" i="7" s="1"/>
  <c r="O134" i="7"/>
  <c r="P134" i="7" s="1"/>
  <c r="O120" i="7"/>
  <c r="P120" i="7" s="1"/>
  <c r="O57" i="7"/>
  <c r="P57" i="7" s="1"/>
  <c r="O890" i="7"/>
  <c r="P890" i="7" s="1"/>
  <c r="R179" i="7"/>
  <c r="U115" i="7"/>
  <c r="V115" i="7" s="1"/>
  <c r="W115" i="7" s="1"/>
  <c r="O594" i="7"/>
  <c r="P594" i="7" s="1"/>
  <c r="R876" i="7"/>
  <c r="R730" i="7"/>
  <c r="U204" i="7"/>
  <c r="V204" i="7" s="1"/>
  <c r="W204" i="7" s="1"/>
  <c r="O522" i="7"/>
  <c r="P522" i="7" s="1"/>
  <c r="R904" i="7"/>
  <c r="R199" i="7"/>
  <c r="R841" i="7"/>
  <c r="O408" i="7"/>
  <c r="P408" i="7" s="1"/>
  <c r="U935" i="7"/>
  <c r="V935" i="7" s="1"/>
  <c r="W935" i="7" s="1"/>
  <c r="R937" i="7"/>
  <c r="O470" i="7"/>
  <c r="P470" i="7" s="1"/>
  <c r="O455" i="7"/>
  <c r="P455" i="7" s="1"/>
  <c r="U785" i="7"/>
  <c r="V785" i="7" s="1"/>
  <c r="W785" i="7" s="1"/>
  <c r="O136" i="7"/>
  <c r="P136" i="7" s="1"/>
  <c r="O286" i="7"/>
  <c r="P286" i="7" s="1"/>
  <c r="R482" i="7"/>
  <c r="R156" i="7"/>
  <c r="R387" i="7"/>
  <c r="R220" i="7"/>
  <c r="R829" i="7"/>
  <c r="R63" i="7"/>
  <c r="R648" i="7"/>
  <c r="O337" i="7"/>
  <c r="P337" i="7" s="1"/>
  <c r="O295" i="7"/>
  <c r="P295" i="7" s="1"/>
  <c r="U901" i="7"/>
  <c r="V901" i="7" s="1"/>
  <c r="W901" i="7" s="1"/>
  <c r="O943" i="7"/>
  <c r="P943" i="7" s="1"/>
  <c r="U198" i="7"/>
  <c r="V198" i="7" s="1"/>
  <c r="W198" i="7" s="1"/>
  <c r="O569" i="7"/>
  <c r="P569" i="7" s="1"/>
  <c r="R315" i="7"/>
  <c r="O116" i="7"/>
  <c r="P116" i="7" s="1"/>
  <c r="U388" i="7"/>
  <c r="V388" i="7" s="1"/>
  <c r="W388" i="7" s="1"/>
  <c r="R740" i="7"/>
  <c r="O53" i="7"/>
  <c r="P53" i="7" s="1"/>
  <c r="U150" i="7"/>
  <c r="V150" i="7" s="1"/>
  <c r="W150" i="7" s="1"/>
  <c r="O776" i="7"/>
  <c r="P776" i="7" s="1"/>
  <c r="R635" i="7"/>
  <c r="O679" i="7"/>
  <c r="P679" i="7" s="1"/>
  <c r="U660" i="7"/>
  <c r="V660" i="7" s="1"/>
  <c r="W660" i="7" s="1"/>
  <c r="R79" i="7"/>
  <c r="O719" i="7"/>
  <c r="P719" i="7" s="1"/>
  <c r="U124" i="7"/>
  <c r="V124" i="7" s="1"/>
  <c r="W124" i="7" s="1"/>
  <c r="O663" i="7"/>
  <c r="P663" i="7" s="1"/>
  <c r="O369" i="7"/>
  <c r="P369" i="7" s="1"/>
  <c r="R473" i="7"/>
  <c r="U526" i="7"/>
  <c r="V526" i="7" s="1"/>
  <c r="W526" i="7" s="1"/>
  <c r="U954" i="7"/>
  <c r="V954" i="7" s="1"/>
  <c r="W954" i="7" s="1"/>
  <c r="R592" i="7"/>
  <c r="O572" i="7"/>
  <c r="P572" i="7" s="1"/>
  <c r="R429" i="7"/>
  <c r="U753" i="7"/>
  <c r="V753" i="7" s="1"/>
  <c r="W753" i="7" s="1"/>
  <c r="U848" i="7"/>
  <c r="V848" i="7" s="1"/>
  <c r="W848" i="7" s="1"/>
  <c r="U663" i="7"/>
  <c r="V663" i="7" s="1"/>
  <c r="W663" i="7" s="1"/>
  <c r="R531" i="7"/>
  <c r="R825" i="7"/>
  <c r="O193" i="7"/>
  <c r="P193" i="7" s="1"/>
  <c r="U289" i="7"/>
  <c r="V289" i="7" s="1"/>
  <c r="W289" i="7" s="1"/>
  <c r="O249" i="7"/>
  <c r="P249" i="7" s="1"/>
  <c r="R124" i="7"/>
  <c r="R52" i="7"/>
  <c r="R914" i="7"/>
  <c r="R154" i="7"/>
  <c r="R707" i="7"/>
  <c r="O731" i="7"/>
  <c r="P731" i="7" s="1"/>
  <c r="O846" i="7"/>
  <c r="P846" i="7" s="1"/>
  <c r="R623" i="7"/>
  <c r="R480" i="7"/>
  <c r="R370" i="7"/>
  <c r="R749" i="7"/>
  <c r="U467" i="7"/>
  <c r="V467" i="7" s="1"/>
  <c r="W467" i="7" s="1"/>
  <c r="O165" i="7"/>
  <c r="P165" i="7" s="1"/>
  <c r="R548" i="7"/>
  <c r="U709" i="7"/>
  <c r="V709" i="7" s="1"/>
  <c r="W709" i="7" s="1"/>
  <c r="R320" i="7"/>
  <c r="R60" i="7"/>
  <c r="R64" i="7"/>
  <c r="R723" i="7"/>
  <c r="U756" i="7"/>
  <c r="V756" i="7" s="1"/>
  <c r="W756" i="7" s="1"/>
  <c r="U985" i="7"/>
  <c r="V985" i="7" s="1"/>
  <c r="W985" i="7" s="1"/>
  <c r="R850" i="7"/>
  <c r="R934" i="7"/>
  <c r="U696" i="7"/>
  <c r="V696" i="7" s="1"/>
  <c r="W696" i="7" s="1"/>
  <c r="R564" i="7"/>
  <c r="R433" i="7"/>
  <c r="U486" i="7"/>
  <c r="V486" i="7" s="1"/>
  <c r="W486" i="7" s="1"/>
  <c r="R442" i="7"/>
  <c r="U161" i="7"/>
  <c r="V161" i="7" s="1"/>
  <c r="W161" i="7" s="1"/>
  <c r="R846" i="7"/>
  <c r="O646" i="7"/>
  <c r="P646" i="7" s="1"/>
  <c r="U551" i="7"/>
  <c r="V551" i="7" s="1"/>
  <c r="W551" i="7" s="1"/>
  <c r="U572" i="7"/>
  <c r="V572" i="7" s="1"/>
  <c r="W572" i="7" s="1"/>
  <c r="U478" i="7"/>
  <c r="V478" i="7" s="1"/>
  <c r="W478" i="7" s="1"/>
  <c r="U728" i="7"/>
  <c r="V728" i="7" s="1"/>
  <c r="W728" i="7" s="1"/>
  <c r="U745" i="7"/>
  <c r="V745" i="7" s="1"/>
  <c r="W745" i="7" s="1"/>
  <c r="O563" i="7"/>
  <c r="P563" i="7" s="1"/>
  <c r="U816" i="7"/>
  <c r="V816" i="7" s="1"/>
  <c r="W816" i="7" s="1"/>
  <c r="O841" i="7"/>
  <c r="P841" i="7" s="1"/>
  <c r="U695" i="7"/>
  <c r="V695" i="7" s="1"/>
  <c r="W695" i="7" s="1"/>
  <c r="R800" i="7"/>
  <c r="R568" i="7"/>
  <c r="R212" i="7"/>
  <c r="O49" i="7"/>
  <c r="P49" i="7" s="1"/>
  <c r="O52" i="7"/>
  <c r="P52" i="7" s="1"/>
  <c r="O435" i="7"/>
  <c r="P435" i="7" s="1"/>
  <c r="U793" i="7"/>
  <c r="V793" i="7" s="1"/>
  <c r="W793" i="7" s="1"/>
  <c r="R602" i="7"/>
  <c r="U678" i="7"/>
  <c r="V678" i="7" s="1"/>
  <c r="W678" i="7" s="1"/>
  <c r="O73" i="7"/>
  <c r="P73" i="7" s="1"/>
  <c r="U711" i="7"/>
  <c r="V711" i="7" s="1"/>
  <c r="W711" i="7" s="1"/>
  <c r="O551" i="7"/>
  <c r="P551" i="7" s="1"/>
  <c r="R634" i="7"/>
  <c r="U746" i="7"/>
  <c r="V746" i="7" s="1"/>
  <c r="W746" i="7" s="1"/>
  <c r="U906" i="7"/>
  <c r="V906" i="7" s="1"/>
  <c r="W906" i="7" s="1"/>
  <c r="U782" i="7"/>
  <c r="V782" i="7" s="1"/>
  <c r="W782" i="7" s="1"/>
  <c r="O957" i="7"/>
  <c r="P957" i="7" s="1"/>
  <c r="O442" i="7"/>
  <c r="P442" i="7" s="1"/>
  <c r="O247" i="7"/>
  <c r="P247" i="7" s="1"/>
  <c r="R701" i="7"/>
  <c r="O214" i="7"/>
  <c r="P214" i="7" s="1"/>
  <c r="R401" i="7"/>
  <c r="U543" i="7"/>
  <c r="V543" i="7" s="1"/>
  <c r="W543" i="7" s="1"/>
  <c r="R666" i="7"/>
  <c r="R532" i="7"/>
  <c r="O618" i="7"/>
  <c r="P618" i="7" s="1"/>
  <c r="U181" i="7"/>
  <c r="V181" i="7" s="1"/>
  <c r="W181" i="7" s="1"/>
  <c r="O180" i="7"/>
  <c r="P180" i="7" s="1"/>
  <c r="R71" i="7"/>
  <c r="U30" i="7"/>
  <c r="V30" i="7" s="1"/>
  <c r="W30" i="7" s="1"/>
  <c r="O44" i="7"/>
  <c r="P44" i="7" s="1"/>
  <c r="O111" i="7"/>
  <c r="P111" i="7" s="1"/>
  <c r="R627" i="7"/>
  <c r="O685" i="7"/>
  <c r="P685" i="7" s="1"/>
  <c r="R583" i="7"/>
  <c r="R317" i="7"/>
  <c r="R445" i="7"/>
  <c r="R76" i="7"/>
  <c r="O761" i="7"/>
  <c r="P761" i="7" s="1"/>
  <c r="U123" i="7"/>
  <c r="V123" i="7" s="1"/>
  <c r="W123" i="7" s="1"/>
  <c r="R296" i="7"/>
  <c r="R545" i="7"/>
  <c r="O782" i="7"/>
  <c r="P782" i="7" s="1"/>
  <c r="R530" i="7"/>
  <c r="U651" i="7"/>
  <c r="V651" i="7" s="1"/>
  <c r="W651" i="7" s="1"/>
  <c r="O765" i="7"/>
  <c r="P765" i="7" s="1"/>
  <c r="U434" i="7"/>
  <c r="V434" i="7" s="1"/>
  <c r="W434" i="7" s="1"/>
  <c r="R61" i="7"/>
  <c r="O537" i="7"/>
  <c r="P537" i="7" s="1"/>
  <c r="O649" i="7"/>
  <c r="P649" i="7" s="1"/>
  <c r="U91" i="7"/>
  <c r="V91" i="7" s="1"/>
  <c r="W91" i="7" s="1"/>
  <c r="R687" i="7"/>
  <c r="O228" i="7"/>
  <c r="P228" i="7" s="1"/>
  <c r="O444" i="7"/>
  <c r="P444" i="7" s="1"/>
  <c r="O400" i="7"/>
  <c r="P400" i="7" s="1"/>
  <c r="U864" i="7"/>
  <c r="V864" i="7" s="1"/>
  <c r="W864" i="7" s="1"/>
  <c r="O195" i="7"/>
  <c r="P195" i="7" s="1"/>
  <c r="O181" i="7"/>
  <c r="P181" i="7" s="1"/>
  <c r="U456" i="7"/>
  <c r="V456" i="7" s="1"/>
  <c r="W456" i="7" s="1"/>
  <c r="R420" i="7"/>
  <c r="R743" i="7"/>
  <c r="O417" i="7"/>
  <c r="P417" i="7" s="1"/>
  <c r="O27" i="7"/>
  <c r="P27" i="7" s="1"/>
  <c r="R617" i="7"/>
  <c r="R163" i="7"/>
  <c r="U581" i="7"/>
  <c r="V581" i="7" s="1"/>
  <c r="W581" i="7" s="1"/>
  <c r="U951" i="7"/>
  <c r="V951" i="7" s="1"/>
  <c r="W951" i="7" s="1"/>
  <c r="U528" i="7"/>
  <c r="V528" i="7" s="1"/>
  <c r="W528" i="7" s="1"/>
  <c r="U965" i="7"/>
  <c r="V965" i="7" s="1"/>
  <c r="W965" i="7" s="1"/>
  <c r="U893" i="7"/>
  <c r="V893" i="7" s="1"/>
  <c r="W893" i="7" s="1"/>
  <c r="R772" i="7"/>
  <c r="O954" i="7"/>
  <c r="P954" i="7" s="1"/>
  <c r="U714" i="7"/>
  <c r="V714" i="7" s="1"/>
  <c r="W714" i="7" s="1"/>
  <c r="O67" i="7"/>
  <c r="P67" i="7" s="1"/>
  <c r="O421" i="7"/>
  <c r="P421" i="7" s="1"/>
  <c r="O651" i="7"/>
  <c r="P651" i="7" s="1"/>
  <c r="O521" i="7"/>
  <c r="P521" i="7" s="1"/>
  <c r="U279" i="7"/>
  <c r="V279" i="7" s="1"/>
  <c r="W279" i="7" s="1"/>
  <c r="O169" i="7"/>
  <c r="P169" i="7" s="1"/>
  <c r="O371" i="7"/>
  <c r="P371" i="7" s="1"/>
  <c r="R338" i="7"/>
  <c r="O902" i="7"/>
  <c r="P902" i="7" s="1"/>
  <c r="U398" i="7"/>
  <c r="V398" i="7" s="1"/>
  <c r="W398" i="7" s="1"/>
  <c r="U389" i="7"/>
  <c r="V389" i="7" s="1"/>
  <c r="W389" i="7" s="1"/>
  <c r="O5" i="7"/>
  <c r="P5" i="7" s="1"/>
  <c r="R376" i="7"/>
  <c r="U144" i="7"/>
  <c r="V144" i="7" s="1"/>
  <c r="W144" i="7" s="1"/>
  <c r="U342" i="7"/>
  <c r="V342" i="7" s="1"/>
  <c r="W342" i="7" s="1"/>
  <c r="O47" i="7"/>
  <c r="P47" i="7" s="1"/>
  <c r="O117" i="7"/>
  <c r="P117" i="7" s="1"/>
  <c r="O197" i="7"/>
  <c r="P197" i="7" s="1"/>
  <c r="O82" i="7"/>
  <c r="P82" i="7" s="1"/>
  <c r="U146" i="7"/>
  <c r="V146" i="7" s="1"/>
  <c r="W146" i="7" s="1"/>
  <c r="O143" i="7"/>
  <c r="P143" i="7" s="1"/>
  <c r="O36" i="7"/>
  <c r="P36" i="7" s="1"/>
  <c r="R53" i="7"/>
  <c r="U52" i="7"/>
  <c r="V52" i="7" s="1"/>
  <c r="W52" i="7" s="1"/>
  <c r="U250" i="7"/>
  <c r="V250" i="7" s="1"/>
  <c r="W250" i="7" s="1"/>
  <c r="U305" i="7"/>
  <c r="V305" i="7" s="1"/>
  <c r="W305" i="7" s="1"/>
  <c r="O815" i="7"/>
  <c r="P815" i="7" s="1"/>
  <c r="U154" i="7"/>
  <c r="V154" i="7" s="1"/>
  <c r="W154" i="7" s="1"/>
  <c r="U286" i="7"/>
  <c r="V286" i="7" s="1"/>
  <c r="W286" i="7" s="1"/>
  <c r="U357" i="7"/>
  <c r="V357" i="7" s="1"/>
  <c r="W357" i="7" s="1"/>
  <c r="U186" i="7"/>
  <c r="V186" i="7" s="1"/>
  <c r="W186" i="7" s="1"/>
  <c r="U729" i="7"/>
  <c r="V729" i="7" s="1"/>
  <c r="W729" i="7" s="1"/>
  <c r="R275" i="7"/>
  <c r="U482" i="7"/>
  <c r="V482" i="7" s="1"/>
  <c r="W482" i="7" s="1"/>
  <c r="R849" i="7"/>
  <c r="U778" i="7"/>
  <c r="V778" i="7" s="1"/>
  <c r="W778" i="7" s="1"/>
  <c r="O457" i="7"/>
  <c r="P457" i="7" s="1"/>
  <c r="O737" i="7"/>
  <c r="P737" i="7" s="1"/>
  <c r="R875" i="7"/>
  <c r="O96" i="7"/>
  <c r="P96" i="7" s="1"/>
  <c r="R166" i="7"/>
  <c r="O581" i="7"/>
  <c r="P581" i="7" s="1"/>
  <c r="U838" i="7"/>
  <c r="V838" i="7" s="1"/>
  <c r="W838" i="7" s="1"/>
  <c r="U438" i="7"/>
  <c r="V438" i="7" s="1"/>
  <c r="W438" i="7" s="1"/>
  <c r="R130" i="7"/>
  <c r="R630" i="7"/>
  <c r="U522" i="7"/>
  <c r="V522" i="7" s="1"/>
  <c r="W522" i="7" s="1"/>
  <c r="R247" i="7"/>
  <c r="O140" i="7"/>
  <c r="P140" i="7" s="1"/>
  <c r="O428" i="7"/>
  <c r="P428" i="7" s="1"/>
  <c r="O716" i="7"/>
  <c r="P716" i="7" s="1"/>
  <c r="R459" i="7"/>
  <c r="R513" i="7"/>
  <c r="R273" i="7"/>
  <c r="R318" i="7"/>
  <c r="R348" i="7"/>
  <c r="O258" i="7"/>
  <c r="P258" i="7" s="1"/>
  <c r="O853" i="7"/>
  <c r="P853" i="7" s="1"/>
  <c r="R15" i="7"/>
  <c r="R417" i="7"/>
  <c r="O34" i="7"/>
  <c r="P34" i="7" s="1"/>
  <c r="U220" i="7"/>
  <c r="V220" i="7" s="1"/>
  <c r="W220" i="7" s="1"/>
  <c r="O313" i="7"/>
  <c r="P313" i="7" s="1"/>
  <c r="O112" i="7"/>
  <c r="P112" i="7" s="1"/>
  <c r="O519" i="7"/>
  <c r="P519" i="7" s="1"/>
  <c r="U266" i="7"/>
  <c r="V266" i="7" s="1"/>
  <c r="W266" i="7" s="1"/>
  <c r="U977" i="7"/>
  <c r="V977" i="7" s="1"/>
  <c r="W977" i="7" s="1"/>
  <c r="U230" i="7"/>
  <c r="V230" i="7" s="1"/>
  <c r="W230" i="7" s="1"/>
  <c r="U92" i="7"/>
  <c r="V92" i="7" s="1"/>
  <c r="W92" i="7" s="1"/>
  <c r="O244" i="7"/>
  <c r="P244" i="7" s="1"/>
  <c r="R222" i="7"/>
  <c r="O122" i="7"/>
  <c r="P122" i="7" s="1"/>
  <c r="R449" i="7"/>
  <c r="O732" i="7"/>
  <c r="P732" i="7" s="1"/>
  <c r="O355" i="7"/>
  <c r="P355" i="7" s="1"/>
  <c r="O21" i="7"/>
  <c r="P21" i="7" s="1"/>
  <c r="O525" i="7"/>
  <c r="P525" i="7" s="1"/>
  <c r="R628" i="7"/>
  <c r="U479" i="7"/>
  <c r="V479" i="7" s="1"/>
  <c r="W479" i="7" s="1"/>
  <c r="R580" i="7"/>
  <c r="U820" i="7"/>
  <c r="V820" i="7" s="1"/>
  <c r="W820" i="7" s="1"/>
  <c r="R782" i="7"/>
  <c r="U941" i="7"/>
  <c r="V941" i="7" s="1"/>
  <c r="W941" i="7" s="1"/>
  <c r="U299" i="7"/>
  <c r="V299" i="7" s="1"/>
  <c r="W299" i="7" s="1"/>
  <c r="U943" i="7"/>
  <c r="V943" i="7" s="1"/>
  <c r="W943" i="7" s="1"/>
  <c r="R403" i="7"/>
  <c r="U758" i="7"/>
  <c r="V758" i="7" s="1"/>
  <c r="W758" i="7" s="1"/>
  <c r="U693" i="7"/>
  <c r="V693" i="7" s="1"/>
  <c r="W693" i="7" s="1"/>
  <c r="U769" i="7"/>
  <c r="V769" i="7" s="1"/>
  <c r="W769" i="7" s="1"/>
  <c r="R250" i="7"/>
  <c r="O315" i="7"/>
  <c r="P315" i="7" s="1"/>
  <c r="U270" i="7"/>
  <c r="V270" i="7" s="1"/>
  <c r="W270" i="7" s="1"/>
  <c r="O751" i="7"/>
  <c r="P751" i="7" s="1"/>
  <c r="R168" i="7"/>
  <c r="R663" i="7"/>
  <c r="U413" i="7"/>
  <c r="V413" i="7" s="1"/>
  <c r="W413" i="7" s="1"/>
  <c r="U465" i="7"/>
  <c r="V465" i="7" s="1"/>
  <c r="W465" i="7" s="1"/>
  <c r="R817" i="7"/>
  <c r="U290" i="7"/>
  <c r="V290" i="7" s="1"/>
  <c r="W290" i="7" s="1"/>
  <c r="U387" i="7"/>
  <c r="V387" i="7" s="1"/>
  <c r="W387" i="7" s="1"/>
  <c r="R62" i="7"/>
  <c r="R722" i="7"/>
  <c r="R337" i="7"/>
  <c r="R555" i="7"/>
  <c r="U738" i="7"/>
  <c r="V738" i="7" s="1"/>
  <c r="W738" i="7" s="1"/>
  <c r="O817" i="7"/>
  <c r="P817" i="7" s="1"/>
  <c r="U894" i="7"/>
  <c r="V894" i="7" s="1"/>
  <c r="W894" i="7" s="1"/>
  <c r="U798" i="7"/>
  <c r="V798" i="7" s="1"/>
  <c r="W798" i="7" s="1"/>
  <c r="U836" i="7"/>
  <c r="V836" i="7" s="1"/>
  <c r="W836" i="7" s="1"/>
  <c r="R261" i="7"/>
  <c r="R246" i="7"/>
  <c r="U502" i="7"/>
  <c r="V502" i="7" s="1"/>
  <c r="W502" i="7" s="1"/>
  <c r="U608" i="7"/>
  <c r="V608" i="7" s="1"/>
  <c r="W608" i="7" s="1"/>
  <c r="U947" i="7"/>
  <c r="V947" i="7" s="1"/>
  <c r="W947" i="7" s="1"/>
  <c r="R615" i="7"/>
  <c r="R866" i="7"/>
  <c r="R351" i="7"/>
  <c r="R755" i="7"/>
  <c r="U841" i="7"/>
  <c r="V841" i="7" s="1"/>
  <c r="W841" i="7" s="1"/>
  <c r="U459" i="7"/>
  <c r="V459" i="7" s="1"/>
  <c r="W459" i="7" s="1"/>
  <c r="U578" i="7"/>
  <c r="V578" i="7" s="1"/>
  <c r="W578" i="7" s="1"/>
  <c r="U968" i="7"/>
  <c r="V968" i="7" s="1"/>
  <c r="W968" i="7" s="1"/>
  <c r="U803" i="7"/>
  <c r="V803" i="7" s="1"/>
  <c r="W803" i="7" s="1"/>
  <c r="R506" i="7"/>
  <c r="U480" i="7"/>
  <c r="V480" i="7" s="1"/>
  <c r="W480" i="7" s="1"/>
  <c r="U568" i="7"/>
  <c r="V568" i="7" s="1"/>
  <c r="W568" i="7" s="1"/>
  <c r="U691" i="7"/>
  <c r="V691" i="7" s="1"/>
  <c r="W691" i="7" s="1"/>
  <c r="R510" i="7"/>
  <c r="O744" i="7"/>
  <c r="P744" i="7" s="1"/>
  <c r="O481" i="7"/>
  <c r="P481" i="7" s="1"/>
  <c r="U117" i="7"/>
  <c r="V117" i="7" s="1"/>
  <c r="W117" i="7" s="1"/>
  <c r="R502" i="7"/>
  <c r="O804" i="7"/>
  <c r="P804" i="7" s="1"/>
  <c r="R653" i="7"/>
  <c r="O118" i="7"/>
  <c r="P118" i="7" s="1"/>
  <c r="U343" i="7"/>
  <c r="V343" i="7" s="1"/>
  <c r="W343" i="7" s="1"/>
  <c r="U251" i="7"/>
  <c r="V251" i="7" s="1"/>
  <c r="W251" i="7" s="1"/>
  <c r="R279" i="7"/>
  <c r="U466" i="7"/>
  <c r="V466" i="7" s="1"/>
  <c r="W466" i="7" s="1"/>
  <c r="U916" i="7"/>
  <c r="V916" i="7" s="1"/>
  <c r="W916" i="7" s="1"/>
  <c r="O172" i="7"/>
  <c r="P172" i="7" s="1"/>
  <c r="R83" i="7"/>
  <c r="R524" i="7"/>
  <c r="U872" i="7"/>
  <c r="V872" i="7" s="1"/>
  <c r="W872" i="7" s="1"/>
  <c r="R186" i="7"/>
  <c r="R458" i="7"/>
  <c r="O927" i="7"/>
  <c r="P927" i="7" s="1"/>
  <c r="O823" i="7"/>
  <c r="P823" i="7" s="1"/>
  <c r="U271" i="7"/>
  <c r="V271" i="7" s="1"/>
  <c r="W271" i="7" s="1"/>
  <c r="U122" i="7"/>
  <c r="V122" i="7" s="1"/>
  <c r="W122" i="7" s="1"/>
  <c r="U336" i="7"/>
  <c r="V336" i="7" s="1"/>
  <c r="W336" i="7" s="1"/>
  <c r="R544" i="7"/>
  <c r="U88" i="7"/>
  <c r="V88" i="7" s="1"/>
  <c r="W88" i="7" s="1"/>
  <c r="R734" i="7"/>
  <c r="U661" i="7"/>
  <c r="V661" i="7" s="1"/>
  <c r="W661" i="7" s="1"/>
  <c r="R416" i="7"/>
  <c r="U538" i="7"/>
  <c r="V538" i="7" s="1"/>
  <c r="W538" i="7" s="1"/>
  <c r="U927" i="7"/>
  <c r="V927" i="7" s="1"/>
  <c r="W927" i="7" s="1"/>
  <c r="R505" i="7"/>
  <c r="R33" i="7"/>
  <c r="U734" i="7"/>
  <c r="V734" i="7" s="1"/>
  <c r="W734" i="7" s="1"/>
  <c r="R538" i="7"/>
  <c r="U763" i="7"/>
  <c r="V763" i="7" s="1"/>
  <c r="W763" i="7" s="1"/>
  <c r="R145" i="7"/>
  <c r="R509" i="7"/>
  <c r="U638" i="7"/>
  <c r="V638" i="7" s="1"/>
  <c r="W638" i="7" s="1"/>
  <c r="O835" i="7"/>
  <c r="P835" i="7" s="1"/>
  <c r="U533" i="7"/>
  <c r="V533" i="7" s="1"/>
  <c r="W533" i="7" s="1"/>
  <c r="U278" i="7"/>
  <c r="V278" i="7" s="1"/>
  <c r="W278" i="7" s="1"/>
  <c r="R858" i="7"/>
  <c r="U532" i="7"/>
  <c r="V532" i="7" s="1"/>
  <c r="W532" i="7" s="1"/>
  <c r="O473" i="7"/>
  <c r="P473" i="7" s="1"/>
  <c r="R529" i="7"/>
  <c r="O985" i="7"/>
  <c r="P985" i="7" s="1"/>
  <c r="R393" i="7"/>
  <c r="R768" i="7"/>
  <c r="R842" i="7"/>
  <c r="U940" i="7"/>
  <c r="V940" i="7" s="1"/>
  <c r="W940" i="7" s="1"/>
  <c r="U708" i="7"/>
  <c r="V708" i="7" s="1"/>
  <c r="W708" i="7" s="1"/>
  <c r="U489" i="7"/>
  <c r="V489" i="7" s="1"/>
  <c r="W489" i="7" s="1"/>
  <c r="U640" i="7"/>
  <c r="V640" i="7" s="1"/>
  <c r="W640" i="7" s="1"/>
  <c r="O909" i="7"/>
  <c r="P909" i="7" s="1"/>
  <c r="R73" i="7"/>
  <c r="R499" i="7"/>
  <c r="U815" i="7"/>
  <c r="V815" i="7" s="1"/>
  <c r="W815" i="7" s="1"/>
  <c r="R774" i="7"/>
  <c r="U845" i="7"/>
  <c r="V845" i="7" s="1"/>
  <c r="W845" i="7" s="1"/>
  <c r="R738" i="7"/>
  <c r="O967" i="7"/>
  <c r="P967" i="7" s="1"/>
  <c r="U944" i="7"/>
  <c r="V944" i="7" s="1"/>
  <c r="W944" i="7" s="1"/>
  <c r="R323" i="7"/>
  <c r="U563" i="7"/>
  <c r="V563" i="7" s="1"/>
  <c r="W563" i="7" s="1"/>
  <c r="R17" i="7"/>
  <c r="R797" i="7"/>
  <c r="R35" i="7"/>
  <c r="U991" i="7"/>
  <c r="V991" i="7" s="1"/>
  <c r="W991" i="7" s="1"/>
  <c r="U868" i="7"/>
  <c r="V868" i="7" s="1"/>
  <c r="W868" i="7" s="1"/>
  <c r="R233" i="7"/>
  <c r="U645" i="7"/>
  <c r="V645" i="7" s="1"/>
  <c r="W645" i="7" s="1"/>
  <c r="R804" i="7"/>
  <c r="R514" i="7"/>
  <c r="O358" i="7"/>
  <c r="P358" i="7" s="1"/>
  <c r="R805" i="7"/>
  <c r="R137" i="7"/>
  <c r="U524" i="7"/>
  <c r="V524" i="7" s="1"/>
  <c r="W524" i="7" s="1"/>
  <c r="R816" i="7"/>
  <c r="R760" i="7"/>
  <c r="R614" i="7"/>
  <c r="R503" i="7"/>
  <c r="R895" i="7"/>
  <c r="U867" i="7"/>
  <c r="V867" i="7" s="1"/>
  <c r="W867" i="7" s="1"/>
  <c r="O1002" i="7"/>
  <c r="P1002" i="7" s="1"/>
  <c r="R793" i="7"/>
  <c r="O950" i="7"/>
  <c r="P950" i="7" s="1"/>
  <c r="U487" i="7"/>
  <c r="V487" i="7" s="1"/>
  <c r="W487" i="7" s="1"/>
  <c r="R655" i="7"/>
  <c r="U604" i="7"/>
  <c r="V604" i="7" s="1"/>
  <c r="W604" i="7" s="1"/>
  <c r="U458" i="7"/>
  <c r="V458" i="7" s="1"/>
  <c r="W458" i="7" s="1"/>
  <c r="U607" i="7"/>
  <c r="V607" i="7" s="1"/>
  <c r="W607" i="7" s="1"/>
  <c r="U823" i="7"/>
  <c r="V823" i="7" s="1"/>
  <c r="W823" i="7" s="1"/>
  <c r="U856" i="7"/>
  <c r="V856" i="7" s="1"/>
  <c r="W856" i="7" s="1"/>
  <c r="U485" i="7"/>
  <c r="V485" i="7" s="1"/>
  <c r="W485" i="7" s="1"/>
  <c r="U577" i="7"/>
  <c r="V577" i="7" s="1"/>
  <c r="W577" i="7" s="1"/>
  <c r="U936" i="7"/>
  <c r="V936" i="7" s="1"/>
  <c r="W936" i="7" s="1"/>
  <c r="R276" i="7"/>
  <c r="U783" i="7"/>
  <c r="V783" i="7" s="1"/>
  <c r="W783" i="7" s="1"/>
  <c r="R566" i="7"/>
  <c r="R377" i="7"/>
  <c r="U510" i="7"/>
  <c r="V510" i="7" s="1"/>
  <c r="W510" i="7" s="1"/>
  <c r="R781" i="7"/>
  <c r="U534" i="7"/>
  <c r="V534" i="7" s="1"/>
  <c r="W534" i="7" s="1"/>
  <c r="R557" i="7"/>
  <c r="O436" i="7"/>
  <c r="P436" i="7" s="1"/>
  <c r="R331" i="7"/>
  <c r="U960" i="7"/>
  <c r="V960" i="7" s="1"/>
  <c r="W960" i="7" s="1"/>
  <c r="U29" i="7"/>
  <c r="V29" i="7" s="1"/>
  <c r="W29" i="7" s="1"/>
  <c r="U924" i="7"/>
  <c r="V924" i="7" s="1"/>
  <c r="W924" i="7" s="1"/>
  <c r="U614" i="7"/>
  <c r="V614" i="7" s="1"/>
  <c r="W614" i="7" s="1"/>
  <c r="U650" i="7"/>
  <c r="V650" i="7" s="1"/>
  <c r="W650" i="7" s="1"/>
  <c r="U562" i="7"/>
  <c r="V562" i="7" s="1"/>
  <c r="W562" i="7" s="1"/>
  <c r="U937" i="7"/>
  <c r="V937" i="7" s="1"/>
  <c r="W937" i="7" s="1"/>
  <c r="R435" i="7"/>
  <c r="O966" i="7"/>
  <c r="P966" i="7" s="1"/>
  <c r="U801" i="7"/>
  <c r="V801" i="7" s="1"/>
  <c r="W801" i="7" s="1"/>
  <c r="U852" i="7"/>
  <c r="V852" i="7" s="1"/>
  <c r="W852" i="7" s="1"/>
  <c r="U662" i="7"/>
  <c r="V662" i="7" s="1"/>
  <c r="W662" i="7" s="1"/>
  <c r="U932" i="7"/>
  <c r="V932" i="7" s="1"/>
  <c r="W932" i="7" s="1"/>
  <c r="U789" i="7"/>
  <c r="V789" i="7" s="1"/>
  <c r="W789" i="7" s="1"/>
  <c r="R884" i="7"/>
  <c r="U601" i="7"/>
  <c r="V601" i="7" s="1"/>
  <c r="W601" i="7" s="1"/>
  <c r="U808" i="7"/>
  <c r="V808" i="7" s="1"/>
  <c r="W808" i="7" s="1"/>
  <c r="U631" i="7"/>
  <c r="V631" i="7" s="1"/>
  <c r="W631" i="7" s="1"/>
  <c r="R799" i="7"/>
  <c r="U232" i="7"/>
  <c r="V232" i="7" s="1"/>
  <c r="W232" i="7" s="1"/>
  <c r="R713" i="7"/>
  <c r="O632" i="7"/>
  <c r="P632" i="7" s="1"/>
  <c r="U560" i="7"/>
  <c r="V560" i="7" s="1"/>
  <c r="W560" i="7" s="1"/>
  <c r="R394" i="7"/>
  <c r="U887" i="7"/>
  <c r="V887" i="7" s="1"/>
  <c r="W887" i="7" s="1"/>
  <c r="R709" i="7"/>
  <c r="R483" i="7"/>
  <c r="R654" i="7"/>
  <c r="R939" i="7"/>
  <c r="R68" i="7"/>
  <c r="U855" i="7"/>
  <c r="V855" i="7" s="1"/>
  <c r="W855" i="7" s="1"/>
  <c r="R785" i="7"/>
  <c r="U776" i="7"/>
  <c r="V776" i="7" s="1"/>
  <c r="W776" i="7" s="1"/>
  <c r="R854" i="7"/>
  <c r="R579" i="7"/>
  <c r="R232" i="7"/>
  <c r="R536" i="7"/>
  <c r="U931" i="7"/>
  <c r="V931" i="7" s="1"/>
  <c r="W931" i="7" s="1"/>
  <c r="R203" i="7"/>
  <c r="U979" i="7"/>
  <c r="V979" i="7" s="1"/>
  <c r="W979" i="7" s="1"/>
  <c r="U976" i="7"/>
  <c r="V976" i="7" s="1"/>
  <c r="W976" i="7" s="1"/>
  <c r="O959" i="7"/>
  <c r="P959" i="7" s="1"/>
  <c r="U928" i="7"/>
  <c r="V928" i="7" s="1"/>
  <c r="W928" i="7" s="1"/>
  <c r="U564" i="7"/>
  <c r="V564" i="7" s="1"/>
  <c r="W564" i="7" s="1"/>
  <c r="U840" i="7"/>
  <c r="V840" i="7" s="1"/>
  <c r="W840" i="7" s="1"/>
  <c r="O617" i="7"/>
  <c r="P617" i="7" s="1"/>
  <c r="O901" i="7"/>
  <c r="P901" i="7" s="1"/>
  <c r="O917" i="7"/>
  <c r="P917" i="7" s="1"/>
  <c r="R310" i="7"/>
  <c r="R206" i="7"/>
  <c r="R872" i="7"/>
  <c r="R270" i="7"/>
  <c r="R430" i="7"/>
  <c r="O647" i="7"/>
  <c r="P647" i="7" s="1"/>
  <c r="R440" i="7"/>
  <c r="U468" i="7"/>
  <c r="V468" i="7" s="1"/>
  <c r="W468" i="7" s="1"/>
  <c r="R696" i="7"/>
  <c r="U184" i="7"/>
  <c r="V184" i="7" s="1"/>
  <c r="W184" i="7" s="1"/>
  <c r="R47" i="7"/>
  <c r="U598" i="7"/>
  <c r="V598" i="7" s="1"/>
  <c r="W598" i="7" s="1"/>
  <c r="U503" i="7"/>
  <c r="V503" i="7" s="1"/>
  <c r="W503" i="7" s="1"/>
  <c r="R837" i="7"/>
  <c r="U603" i="7"/>
  <c r="V603" i="7" s="1"/>
  <c r="W603" i="7" s="1"/>
  <c r="R24" i="7"/>
  <c r="O982" i="7"/>
  <c r="P982" i="7" s="1"/>
  <c r="U658" i="7"/>
  <c r="V658" i="7" s="1"/>
  <c r="W658" i="7" s="1"/>
  <c r="U654" i="7"/>
  <c r="V654" i="7" s="1"/>
  <c r="W654" i="7" s="1"/>
  <c r="U488" i="7"/>
  <c r="V488" i="7" s="1"/>
  <c r="W488" i="7" s="1"/>
  <c r="R43" i="7"/>
  <c r="R750" i="7"/>
  <c r="U997" i="7"/>
  <c r="V997" i="7" s="1"/>
  <c r="W997" i="7" s="1"/>
  <c r="R54" i="7"/>
  <c r="R542" i="7"/>
  <c r="R126" i="7"/>
  <c r="R229" i="7"/>
  <c r="R86" i="7"/>
  <c r="U806" i="7"/>
  <c r="V806" i="7" s="1"/>
  <c r="W806" i="7" s="1"/>
  <c r="R512" i="7"/>
  <c r="U665" i="7"/>
  <c r="V665" i="7" s="1"/>
  <c r="W665" i="7" s="1"/>
  <c r="R631" i="7"/>
  <c r="R539" i="7"/>
  <c r="R945" i="7"/>
  <c r="R683" i="7"/>
  <c r="R281" i="7"/>
  <c r="R590" i="7"/>
  <c r="U899" i="7"/>
  <c r="V899" i="7" s="1"/>
  <c r="W899" i="7" s="1"/>
  <c r="U953" i="7"/>
  <c r="V953" i="7" s="1"/>
  <c r="W953" i="7" s="1"/>
  <c r="O932" i="7"/>
  <c r="P932" i="7" s="1"/>
  <c r="U596" i="7"/>
  <c r="V596" i="7" s="1"/>
  <c r="W596" i="7" s="1"/>
  <c r="U668" i="7"/>
  <c r="V668" i="7" s="1"/>
  <c r="W668" i="7" s="1"/>
  <c r="U740" i="7"/>
  <c r="V740" i="7" s="1"/>
  <c r="W740" i="7" s="1"/>
  <c r="O958" i="7"/>
  <c r="P958" i="7" s="1"/>
  <c r="U282" i="7"/>
  <c r="V282" i="7" s="1"/>
  <c r="W282" i="7" s="1"/>
  <c r="R28" i="7"/>
  <c r="U260" i="7"/>
  <c r="V260" i="7" s="1"/>
  <c r="W260" i="7" s="1"/>
  <c r="U160" i="7"/>
  <c r="V160" i="7" s="1"/>
  <c r="W160" i="7" s="1"/>
  <c r="R637" i="7"/>
  <c r="R706" i="7"/>
  <c r="U988" i="7"/>
  <c r="V988" i="7" s="1"/>
  <c r="W988" i="7" s="1"/>
  <c r="R731" i="7"/>
  <c r="R528" i="7"/>
  <c r="R746" i="7"/>
  <c r="U48" i="7"/>
  <c r="V48" i="7" s="1"/>
  <c r="W48" i="7" s="1"/>
  <c r="O865" i="7"/>
  <c r="P865" i="7" s="1"/>
  <c r="R676" i="7"/>
  <c r="O468" i="7"/>
  <c r="P468" i="7" s="1"/>
  <c r="O121" i="7"/>
  <c r="P121" i="7" s="1"/>
  <c r="U261" i="7"/>
  <c r="V261" i="7" s="1"/>
  <c r="W261" i="7" s="1"/>
  <c r="O535" i="7"/>
  <c r="P535" i="7" s="1"/>
  <c r="O416" i="7"/>
  <c r="P416" i="7" s="1"/>
  <c r="U330" i="7"/>
  <c r="V330" i="7" s="1"/>
  <c r="W330" i="7" s="1"/>
  <c r="R18" i="7"/>
  <c r="U630" i="7"/>
  <c r="V630" i="7" s="1"/>
  <c r="W630" i="7" s="1"/>
  <c r="O238" i="7"/>
  <c r="P238" i="7" s="1"/>
  <c r="O642" i="7"/>
  <c r="P642" i="7" s="1"/>
  <c r="R282" i="7"/>
  <c r="U853" i="7"/>
  <c r="V853" i="7" s="1"/>
  <c r="W853" i="7" s="1"/>
  <c r="R95" i="7"/>
  <c r="R733" i="7"/>
  <c r="U483" i="7"/>
  <c r="V483" i="7" s="1"/>
  <c r="W483" i="7" s="1"/>
  <c r="R362" i="7"/>
  <c r="R675" i="7"/>
  <c r="U818" i="7"/>
  <c r="V818" i="7" s="1"/>
  <c r="W818" i="7" s="1"/>
  <c r="R485" i="7"/>
  <c r="U765" i="7"/>
  <c r="V765" i="7" s="1"/>
  <c r="W765" i="7" s="1"/>
  <c r="R890" i="7"/>
  <c r="R893" i="7"/>
  <c r="U986" i="7"/>
  <c r="V986" i="7" s="1"/>
  <c r="W986" i="7" s="1"/>
  <c r="R414" i="7"/>
  <c r="O472" i="7"/>
  <c r="P472" i="7" s="1"/>
  <c r="O101" i="7"/>
  <c r="P101" i="7" s="1"/>
  <c r="R596" i="7"/>
  <c r="R806" i="7"/>
  <c r="O998" i="7"/>
  <c r="P998" i="7" s="1"/>
  <c r="R659" i="7"/>
  <c r="O977" i="7"/>
  <c r="P977" i="7" s="1"/>
  <c r="U796" i="7"/>
  <c r="V796" i="7" s="1"/>
  <c r="W796" i="7" s="1"/>
  <c r="R380" i="7"/>
  <c r="R39" i="7"/>
  <c r="R686" i="7"/>
  <c r="O652" i="7"/>
  <c r="P652" i="7" s="1"/>
  <c r="R184" i="7"/>
  <c r="U474" i="7"/>
  <c r="V474" i="7" s="1"/>
  <c r="W474" i="7" s="1"/>
  <c r="R644" i="7"/>
  <c r="R941" i="7"/>
  <c r="R885" i="7"/>
  <c r="R378" i="7"/>
  <c r="R834" i="7"/>
  <c r="U826" i="7"/>
  <c r="V826" i="7" s="1"/>
  <c r="W826" i="7" s="1"/>
  <c r="O328" i="7"/>
  <c r="P328" i="7" s="1"/>
  <c r="U686" i="7"/>
  <c r="V686" i="7" s="1"/>
  <c r="W686" i="7" s="1"/>
  <c r="R908" i="7"/>
  <c r="U652" i="7"/>
  <c r="V652" i="7" s="1"/>
  <c r="W652" i="7" s="1"/>
  <c r="U500" i="7"/>
  <c r="V500" i="7" s="1"/>
  <c r="W500" i="7" s="1"/>
  <c r="U948" i="7"/>
  <c r="V948" i="7" s="1"/>
  <c r="W948" i="7" s="1"/>
  <c r="U807" i="7"/>
  <c r="V807" i="7" s="1"/>
  <c r="W807" i="7" s="1"/>
  <c r="R136" i="7"/>
  <c r="U688" i="7"/>
  <c r="V688" i="7" s="1"/>
  <c r="W688" i="7" s="1"/>
  <c r="U942" i="7"/>
  <c r="V942" i="7" s="1"/>
  <c r="W942" i="7" s="1"/>
  <c r="U787" i="7"/>
  <c r="V787" i="7" s="1"/>
  <c r="W787" i="7" s="1"/>
  <c r="O991" i="7"/>
  <c r="P991" i="7" s="1"/>
  <c r="U586" i="7"/>
  <c r="V586" i="7" s="1"/>
  <c r="W586" i="7" s="1"/>
  <c r="R313" i="7"/>
  <c r="R792" i="7"/>
  <c r="R37" i="7"/>
  <c r="U527" i="7"/>
  <c r="V527" i="7" s="1"/>
  <c r="W527" i="7" s="1"/>
  <c r="U509" i="7"/>
  <c r="V509" i="7" s="1"/>
  <c r="W509" i="7" s="1"/>
  <c r="U835" i="7"/>
  <c r="V835" i="7" s="1"/>
  <c r="W835" i="7" s="1"/>
  <c r="U134" i="7"/>
  <c r="V134" i="7" s="1"/>
  <c r="W134" i="7" s="1"/>
  <c r="R398" i="7"/>
  <c r="R252" i="7"/>
  <c r="R827" i="7"/>
  <c r="O797" i="7"/>
  <c r="P797" i="7" s="1"/>
  <c r="U679" i="7"/>
  <c r="V679" i="7" s="1"/>
  <c r="W679" i="7" s="1"/>
  <c r="U829" i="7"/>
  <c r="V829" i="7" s="1"/>
  <c r="W829" i="7" s="1"/>
  <c r="R4" i="7"/>
  <c r="U918" i="7"/>
  <c r="V918" i="7" s="1"/>
  <c r="W918" i="7" s="1"/>
  <c r="R878" i="7"/>
  <c r="O350" i="7"/>
  <c r="P350" i="7" s="1"/>
  <c r="R795" i="7"/>
  <c r="U983" i="7"/>
  <c r="V983" i="7" s="1"/>
  <c r="W983" i="7" s="1"/>
  <c r="U774" i="7"/>
  <c r="V774" i="7" s="1"/>
  <c r="W774" i="7" s="1"/>
  <c r="U921" i="7"/>
  <c r="V921" i="7" s="1"/>
  <c r="W921" i="7" s="1"/>
  <c r="O996" i="7"/>
  <c r="P996" i="7" s="1"/>
  <c r="R887" i="7"/>
  <c r="U984" i="7"/>
  <c r="V984" i="7" s="1"/>
  <c r="W984" i="7" s="1"/>
  <c r="U620" i="7"/>
  <c r="V620" i="7" s="1"/>
  <c r="W620" i="7" s="1"/>
  <c r="U600" i="7"/>
  <c r="V600" i="7" s="1"/>
  <c r="W600" i="7" s="1"/>
  <c r="R366" i="7"/>
  <c r="U707" i="7"/>
  <c r="V707" i="7" s="1"/>
  <c r="W707" i="7" s="1"/>
  <c r="U857" i="7"/>
  <c r="V857" i="7" s="1"/>
  <c r="W857" i="7" s="1"/>
  <c r="U513" i="7"/>
  <c r="V513" i="7" s="1"/>
  <c r="W513" i="7" s="1"/>
  <c r="O616" i="7"/>
  <c r="P616" i="7" s="1"/>
  <c r="R67" i="7"/>
  <c r="R552" i="7"/>
  <c r="U521" i="7"/>
  <c r="V521" i="7" s="1"/>
  <c r="W521" i="7" s="1"/>
  <c r="R397" i="7"/>
  <c r="U757" i="7"/>
  <c r="V757" i="7" s="1"/>
  <c r="W757" i="7" s="1"/>
  <c r="U602" i="7"/>
  <c r="V602" i="7" s="1"/>
  <c r="W602" i="7" s="1"/>
  <c r="R726" i="7"/>
  <c r="R117" i="7"/>
  <c r="R549" i="7"/>
  <c r="R871" i="7"/>
  <c r="U589" i="7"/>
  <c r="V589" i="7" s="1"/>
  <c r="W589" i="7" s="1"/>
  <c r="R341" i="7"/>
  <c r="U507" i="7"/>
  <c r="V507" i="7" s="1"/>
  <c r="W507" i="7" s="1"/>
  <c r="U588" i="7"/>
  <c r="V588" i="7" s="1"/>
  <c r="W588" i="7" s="1"/>
  <c r="U879" i="7"/>
  <c r="V879" i="7" s="1"/>
  <c r="W879" i="7" s="1"/>
  <c r="U680" i="7"/>
  <c r="V680" i="7" s="1"/>
  <c r="W680" i="7" s="1"/>
  <c r="U846" i="7"/>
  <c r="V846" i="7" s="1"/>
  <c r="W846" i="7" s="1"/>
  <c r="R113" i="7"/>
  <c r="R437" i="7"/>
  <c r="U998" i="7"/>
  <c r="V998" i="7" s="1"/>
  <c r="W998" i="7" s="1"/>
  <c r="U958" i="7"/>
  <c r="V958" i="7" s="1"/>
  <c r="W958" i="7" s="1"/>
  <c r="U653" i="7"/>
  <c r="V653" i="7" s="1"/>
  <c r="W653" i="7" s="1"/>
  <c r="U915" i="7"/>
  <c r="V915" i="7" s="1"/>
  <c r="W915" i="7" s="1"/>
  <c r="U579" i="7"/>
  <c r="V579" i="7" s="1"/>
  <c r="W579" i="7" s="1"/>
  <c r="U667" i="7"/>
  <c r="V667" i="7" s="1"/>
  <c r="W667" i="7" s="1"/>
  <c r="U461" i="7"/>
  <c r="V461" i="7" s="1"/>
  <c r="W461" i="7" s="1"/>
  <c r="U766" i="7"/>
  <c r="V766" i="7" s="1"/>
  <c r="W766" i="7" s="1"/>
  <c r="U1002" i="7"/>
  <c r="V1002" i="7" s="1"/>
  <c r="W1002" i="7" s="1"/>
  <c r="R787" i="7"/>
  <c r="O780" i="7"/>
  <c r="P780" i="7" s="1"/>
  <c r="U546" i="7"/>
  <c r="V546" i="7" s="1"/>
  <c r="W546" i="7" s="1"/>
  <c r="R767" i="7"/>
  <c r="R32" i="7"/>
  <c r="U724" i="7"/>
  <c r="V724" i="7" s="1"/>
  <c r="W724" i="7" s="1"/>
  <c r="U817" i="7"/>
  <c r="V817" i="7" s="1"/>
  <c r="W817" i="7" s="1"/>
  <c r="R645" i="7"/>
  <c r="R428" i="7"/>
  <c r="R867" i="7"/>
  <c r="U995" i="7"/>
  <c r="V995" i="7" s="1"/>
  <c r="W995" i="7" s="1"/>
  <c r="O1000" i="7"/>
  <c r="P1000" i="7" s="1"/>
  <c r="U804" i="7"/>
  <c r="V804" i="7" s="1"/>
  <c r="W804" i="7" s="1"/>
  <c r="U905" i="7"/>
  <c r="V905" i="7" s="1"/>
  <c r="W905" i="7" s="1"/>
  <c r="U859" i="7"/>
  <c r="V859" i="7" s="1"/>
  <c r="W859" i="7" s="1"/>
  <c r="R396" i="7"/>
  <c r="R619" i="7"/>
  <c r="U811" i="7"/>
  <c r="V811" i="7" s="1"/>
  <c r="W811" i="7" s="1"/>
  <c r="O983" i="7"/>
  <c r="P983" i="7" s="1"/>
  <c r="U874" i="7"/>
  <c r="V874" i="7" s="1"/>
  <c r="W874" i="7" s="1"/>
  <c r="U786" i="7"/>
  <c r="V786" i="7" s="1"/>
  <c r="W786" i="7" s="1"/>
  <c r="O975" i="7"/>
  <c r="P975" i="7" s="1"/>
  <c r="O992" i="7"/>
  <c r="P992" i="7" s="1"/>
  <c r="R794" i="7"/>
  <c r="U963" i="7"/>
  <c r="V963" i="7" s="1"/>
  <c r="W963" i="7" s="1"/>
  <c r="U549" i="7"/>
  <c r="V549" i="7" s="1"/>
  <c r="W549" i="7" s="1"/>
  <c r="U94" i="7"/>
  <c r="V94" i="7" s="1"/>
  <c r="W94" i="7" s="1"/>
  <c r="R198" i="7"/>
  <c r="R593" i="7"/>
  <c r="O995" i="7"/>
  <c r="P995" i="7" s="1"/>
  <c r="R567" i="7"/>
  <c r="R149" i="7"/>
  <c r="U574" i="7"/>
  <c r="V574" i="7" s="1"/>
  <c r="W574" i="7" s="1"/>
  <c r="R297" i="7"/>
  <c r="R537" i="7"/>
  <c r="O953" i="7"/>
  <c r="P953" i="7" s="1"/>
  <c r="R664" i="7"/>
  <c r="U634" i="7"/>
  <c r="V634" i="7" s="1"/>
  <c r="W634" i="7" s="1"/>
  <c r="R600" i="7"/>
  <c r="R56" i="7"/>
  <c r="U882" i="7"/>
  <c r="V882" i="7" s="1"/>
  <c r="W882" i="7" s="1"/>
  <c r="U541" i="7"/>
  <c r="V541" i="7" s="1"/>
  <c r="W541" i="7" s="1"/>
  <c r="R604" i="7"/>
  <c r="R13" i="7"/>
  <c r="O615" i="7"/>
  <c r="P615" i="7" s="1"/>
  <c r="U531" i="7"/>
  <c r="V531" i="7" s="1"/>
  <c r="W531" i="7" s="1"/>
  <c r="R735" i="7"/>
  <c r="R228" i="7"/>
  <c r="R266" i="7"/>
  <c r="R784" i="7"/>
  <c r="U813" i="7"/>
  <c r="V813" i="7" s="1"/>
  <c r="W813" i="7" s="1"/>
  <c r="O1001" i="7"/>
  <c r="P1001" i="7" s="1"/>
  <c r="U647" i="7"/>
  <c r="V647" i="7" s="1"/>
  <c r="W647" i="7" s="1"/>
  <c r="R419" i="7"/>
  <c r="R25" i="7"/>
  <c r="U875" i="7"/>
  <c r="V875" i="7" s="1"/>
  <c r="W875" i="7" s="1"/>
  <c r="R861" i="7"/>
  <c r="R128" i="7"/>
  <c r="U925" i="7"/>
  <c r="V925" i="7" s="1"/>
  <c r="W925" i="7" s="1"/>
  <c r="U870" i="7"/>
  <c r="V870" i="7" s="1"/>
  <c r="W870" i="7" s="1"/>
  <c r="U730" i="7"/>
  <c r="V730" i="7" s="1"/>
  <c r="W730" i="7" s="1"/>
  <c r="U547" i="7"/>
  <c r="V547" i="7" s="1"/>
  <c r="W547" i="7" s="1"/>
  <c r="U701" i="7"/>
  <c r="V701" i="7" s="1"/>
  <c r="W701" i="7" s="1"/>
  <c r="R744" i="7"/>
  <c r="R455" i="7"/>
  <c r="U617" i="7"/>
  <c r="V617" i="7" s="1"/>
  <c r="W617" i="7" s="1"/>
  <c r="R626" i="7"/>
  <c r="R689" i="7"/>
  <c r="U44" i="7"/>
  <c r="V44" i="7" s="1"/>
  <c r="W44" i="7" s="1"/>
  <c r="U156" i="7"/>
  <c r="V156" i="7" s="1"/>
  <c r="W156" i="7" s="1"/>
  <c r="R624" i="7"/>
  <c r="R265" i="7"/>
  <c r="R22" i="7"/>
  <c r="U959" i="7"/>
  <c r="V959" i="7" s="1"/>
  <c r="W959" i="7" s="1"/>
  <c r="R896" i="7"/>
  <c r="U694" i="7"/>
  <c r="V694" i="7" s="1"/>
  <c r="W694" i="7" s="1"/>
  <c r="R603" i="7"/>
  <c r="U970" i="7"/>
  <c r="V970" i="7" s="1"/>
  <c r="W970" i="7" s="1"/>
  <c r="R844" i="7"/>
  <c r="U284" i="7"/>
  <c r="V284" i="7" s="1"/>
  <c r="W284" i="7" s="1"/>
  <c r="O316" i="7"/>
  <c r="P316" i="7" s="1"/>
  <c r="R439" i="7"/>
  <c r="R578" i="7"/>
  <c r="R165" i="7"/>
  <c r="R259" i="7"/>
  <c r="R345" i="7"/>
  <c r="O997" i="7"/>
  <c r="P997" i="7" s="1"/>
  <c r="R819" i="7"/>
  <c r="R301" i="7"/>
  <c r="R860" i="7"/>
  <c r="O789" i="7"/>
  <c r="P789" i="7" s="1"/>
  <c r="R201" i="7"/>
  <c r="U550" i="7"/>
  <c r="V550" i="7" s="1"/>
  <c r="W550" i="7" s="1"/>
  <c r="O411" i="7"/>
  <c r="P411" i="7" s="1"/>
  <c r="U772" i="7"/>
  <c r="V772" i="7" s="1"/>
  <c r="W772" i="7" s="1"/>
  <c r="U672" i="7"/>
  <c r="V672" i="7" s="1"/>
  <c r="W672" i="7" s="1"/>
  <c r="U933" i="7"/>
  <c r="V933" i="7" s="1"/>
  <c r="W933" i="7" s="1"/>
  <c r="R857" i="7"/>
  <c r="U788" i="7"/>
  <c r="V788" i="7" s="1"/>
  <c r="W788" i="7" s="1"/>
  <c r="O205" i="7"/>
  <c r="P205" i="7" s="1"/>
  <c r="U819" i="7"/>
  <c r="V819" i="7" s="1"/>
  <c r="W819" i="7" s="1"/>
  <c r="O791" i="7"/>
  <c r="P791" i="7" s="1"/>
  <c r="U812" i="7"/>
  <c r="V812" i="7" s="1"/>
  <c r="W812" i="7" s="1"/>
  <c r="R432" i="7"/>
  <c r="R813" i="7"/>
  <c r="O868" i="7"/>
  <c r="P868" i="7" s="1"/>
  <c r="R581" i="7"/>
  <c r="R899" i="7"/>
  <c r="U664" i="7"/>
  <c r="V664" i="7" s="1"/>
  <c r="W664" i="7" s="1"/>
  <c r="R436" i="7"/>
  <c r="R254" i="7"/>
  <c r="U558" i="7"/>
  <c r="V558" i="7" s="1"/>
  <c r="W558" i="7" s="1"/>
  <c r="U605" i="7"/>
  <c r="V605" i="7" s="1"/>
  <c r="W605" i="7" s="1"/>
  <c r="R106" i="7"/>
  <c r="R798" i="7"/>
  <c r="R610" i="7"/>
  <c r="U548" i="7"/>
  <c r="V548" i="7" s="1"/>
  <c r="W548" i="7" s="1"/>
  <c r="U670" i="7"/>
  <c r="V670" i="7" s="1"/>
  <c r="W670" i="7" s="1"/>
  <c r="U945" i="7"/>
  <c r="V945" i="7" s="1"/>
  <c r="W945" i="7" s="1"/>
  <c r="R181" i="7"/>
  <c r="U981" i="7"/>
  <c r="V981" i="7" s="1"/>
  <c r="W981" i="7" s="1"/>
  <c r="O799" i="7"/>
  <c r="P799" i="7" s="1"/>
  <c r="U762" i="7"/>
  <c r="V762" i="7" s="1"/>
  <c r="W762" i="7" s="1"/>
  <c r="R87" i="7"/>
  <c r="U1001" i="7"/>
  <c r="V1001" i="7" s="1"/>
  <c r="W1001" i="7" s="1"/>
  <c r="U971" i="7"/>
  <c r="V971" i="7" s="1"/>
  <c r="W971" i="7" s="1"/>
  <c r="R454" i="7"/>
  <c r="O72" i="7"/>
  <c r="P72" i="7" s="1"/>
  <c r="O297" i="7"/>
  <c r="P297" i="7" s="1"/>
  <c r="R912" i="7"/>
  <c r="R607" i="7"/>
  <c r="O969" i="7"/>
  <c r="P969" i="7" s="1"/>
  <c r="R200" i="7"/>
  <c r="R704" i="7"/>
  <c r="O908" i="7"/>
  <c r="P908" i="7" s="1"/>
  <c r="R699" i="7"/>
  <c r="O923" i="7"/>
  <c r="P923" i="7" s="1"/>
  <c r="R107" i="7"/>
  <c r="U332" i="7"/>
  <c r="V332" i="7" s="1"/>
  <c r="W332" i="7" s="1"/>
  <c r="U273" i="7"/>
  <c r="V273" i="7" s="1"/>
  <c r="W273" i="7" s="1"/>
  <c r="R210" i="7"/>
  <c r="O801" i="7"/>
  <c r="P801" i="7" s="1"/>
  <c r="R840" i="7"/>
  <c r="U105" i="7"/>
  <c r="V105" i="7" s="1"/>
  <c r="W105" i="7" s="1"/>
  <c r="U316" i="7"/>
  <c r="V316" i="7" s="1"/>
  <c r="W316" i="7" s="1"/>
  <c r="R55" i="7"/>
  <c r="O90" i="7"/>
  <c r="P90" i="7" s="1"/>
  <c r="O602" i="7"/>
  <c r="P602" i="7" s="1"/>
  <c r="U529" i="7"/>
  <c r="V529" i="7" s="1"/>
  <c r="W529" i="7" s="1"/>
  <c r="R312" i="7"/>
  <c r="R936" i="7"/>
  <c r="R923" i="7"/>
  <c r="R395" i="7"/>
  <c r="O980" i="7"/>
  <c r="P980" i="7" s="1"/>
  <c r="R352" i="7"/>
  <c r="R69" i="7"/>
  <c r="R140" i="7"/>
  <c r="R422" i="7"/>
  <c r="U784" i="7"/>
  <c r="V784" i="7" s="1"/>
  <c r="W784" i="7" s="1"/>
  <c r="O978" i="7"/>
  <c r="P978" i="7" s="1"/>
  <c r="U519" i="7"/>
  <c r="V519" i="7" s="1"/>
  <c r="W519" i="7" s="1"/>
  <c r="R31" i="7"/>
  <c r="U682" i="7"/>
  <c r="V682" i="7" s="1"/>
  <c r="W682" i="7" s="1"/>
  <c r="R141" i="7"/>
  <c r="U780" i="7"/>
  <c r="V780" i="7" s="1"/>
  <c r="W780" i="7" s="1"/>
  <c r="R354" i="7"/>
  <c r="U957" i="7"/>
  <c r="V957" i="7" s="1"/>
  <c r="W957" i="7" s="1"/>
  <c r="R599" i="7"/>
  <c r="U633" i="7"/>
  <c r="V633" i="7" s="1"/>
  <c r="W633" i="7" s="1"/>
  <c r="U712" i="7"/>
  <c r="V712" i="7" s="1"/>
  <c r="W712" i="7" s="1"/>
  <c r="R611" i="7"/>
  <c r="R511" i="7"/>
  <c r="U939" i="7"/>
  <c r="V939" i="7" s="1"/>
  <c r="W939" i="7" s="1"/>
  <c r="O993" i="7"/>
  <c r="P993" i="7" s="1"/>
  <c r="U597" i="7"/>
  <c r="V597" i="7" s="1"/>
  <c r="W597" i="7" s="1"/>
  <c r="R886" i="7"/>
  <c r="U530" i="7"/>
  <c r="V530" i="7" s="1"/>
  <c r="W530" i="7" s="1"/>
  <c r="R690" i="7"/>
  <c r="O177" i="7"/>
  <c r="P177" i="7" s="1"/>
  <c r="U613" i="7"/>
  <c r="V613" i="7" s="1"/>
  <c r="W613" i="7" s="1"/>
  <c r="U677" i="7"/>
  <c r="V677" i="7" s="1"/>
  <c r="W677" i="7" s="1"/>
  <c r="O999" i="7"/>
  <c r="P999" i="7" s="1"/>
  <c r="U539" i="7"/>
  <c r="V539" i="7" s="1"/>
  <c r="W539" i="7" s="1"/>
  <c r="R146" i="7"/>
  <c r="O973" i="7"/>
  <c r="P973" i="7" s="1"/>
  <c r="R873" i="7"/>
  <c r="U843" i="7"/>
  <c r="V843" i="7" s="1"/>
  <c r="W843" i="7" s="1"/>
  <c r="U705" i="7"/>
  <c r="V705" i="7" s="1"/>
  <c r="W705" i="7" s="1"/>
  <c r="U881" i="7"/>
  <c r="V881" i="7" s="1"/>
  <c r="W881" i="7" s="1"/>
  <c r="U553" i="7"/>
  <c r="V553" i="7" s="1"/>
  <c r="W553" i="7" s="1"/>
  <c r="R329" i="7"/>
  <c r="U710" i="7"/>
  <c r="V710" i="7" s="1"/>
  <c r="W710" i="7" s="1"/>
  <c r="U649" i="7"/>
  <c r="V649" i="7" s="1"/>
  <c r="W649" i="7" s="1"/>
  <c r="U535" i="7"/>
  <c r="V535" i="7" s="1"/>
  <c r="W535" i="7" s="1"/>
  <c r="R139" i="7"/>
  <c r="O970" i="7"/>
  <c r="P970" i="7" s="1"/>
  <c r="R193" i="7"/>
  <c r="U628" i="7"/>
  <c r="V628" i="7" s="1"/>
  <c r="W628" i="7" s="1"/>
  <c r="R728" i="7"/>
  <c r="U890" i="7"/>
  <c r="V890" i="7" s="1"/>
  <c r="W890" i="7" s="1"/>
  <c r="U755" i="7"/>
  <c r="V755" i="7" s="1"/>
  <c r="W755" i="7" s="1"/>
  <c r="U484" i="7"/>
  <c r="V484" i="7" s="1"/>
  <c r="W484" i="7" s="1"/>
  <c r="R463" i="7"/>
  <c r="R178" i="7"/>
  <c r="R928" i="7"/>
  <c r="U831" i="7"/>
  <c r="V831" i="7" s="1"/>
  <c r="W831" i="7" s="1"/>
  <c r="R158" i="7"/>
  <c r="U929" i="7"/>
  <c r="V929" i="7" s="1"/>
  <c r="W929" i="7" s="1"/>
  <c r="U854" i="7"/>
  <c r="V854" i="7" s="1"/>
  <c r="W854" i="7" s="1"/>
  <c r="U907" i="7"/>
  <c r="V907" i="7" s="1"/>
  <c r="W907" i="7" s="1"/>
  <c r="R101" i="7"/>
  <c r="R678" i="7"/>
  <c r="U913" i="7"/>
  <c r="V913" i="7" s="1"/>
  <c r="W913" i="7" s="1"/>
  <c r="U556" i="7"/>
  <c r="V556" i="7" s="1"/>
  <c r="W556" i="7" s="1"/>
  <c r="U922" i="7"/>
  <c r="V922" i="7" s="1"/>
  <c r="W922" i="7" s="1"/>
  <c r="U795" i="7"/>
  <c r="V795" i="7" s="1"/>
  <c r="W795" i="7" s="1"/>
  <c r="U946" i="7"/>
  <c r="V946" i="7" s="1"/>
  <c r="W946" i="7" s="1"/>
  <c r="U975" i="7"/>
  <c r="V975" i="7" s="1"/>
  <c r="W975" i="7" s="1"/>
  <c r="O986" i="7"/>
  <c r="P986" i="7" s="1"/>
  <c r="U490" i="7"/>
  <c r="V490" i="7" s="1"/>
  <c r="W490" i="7" s="1"/>
  <c r="U656" i="7"/>
  <c r="V656" i="7" s="1"/>
  <c r="W656" i="7" s="1"/>
  <c r="U544" i="7"/>
  <c r="V544" i="7" s="1"/>
  <c r="W544" i="7" s="1"/>
  <c r="R287" i="7"/>
  <c r="U920" i="7"/>
  <c r="V920" i="7" s="1"/>
  <c r="W920" i="7" s="1"/>
  <c r="R519" i="7"/>
  <c r="U505" i="7"/>
  <c r="V505" i="7" s="1"/>
  <c r="W505" i="7" s="1"/>
  <c r="R779" i="7"/>
  <c r="R712" i="7"/>
  <c r="R405" i="7"/>
  <c r="R407" i="7"/>
  <c r="U623" i="7"/>
  <c r="V623" i="7" s="1"/>
  <c r="W623" i="7" s="1"/>
  <c r="U511" i="7"/>
  <c r="V511" i="7" s="1"/>
  <c r="W511" i="7" s="1"/>
  <c r="O947" i="7"/>
  <c r="P947" i="7" s="1"/>
  <c r="U621" i="7"/>
  <c r="V621" i="7" s="1"/>
  <c r="W621" i="7" s="1"/>
  <c r="O567" i="7"/>
  <c r="P567" i="7" s="1"/>
  <c r="R765" i="7"/>
  <c r="R771" i="7"/>
  <c r="U687" i="7"/>
  <c r="V687" i="7" s="1"/>
  <c r="W687" i="7" s="1"/>
  <c r="R105" i="7"/>
  <c r="U754" i="7"/>
  <c r="V754" i="7" s="1"/>
  <c r="W754" i="7" s="1"/>
  <c r="R745" i="7"/>
  <c r="U949" i="7"/>
  <c r="V949" i="7" s="1"/>
  <c r="W949" i="7" s="1"/>
  <c r="U576" i="7"/>
  <c r="V576" i="7" s="1"/>
  <c r="W576" i="7" s="1"/>
  <c r="U824" i="7"/>
  <c r="V824" i="7" s="1"/>
  <c r="W824" i="7" s="1"/>
  <c r="U545" i="7"/>
  <c r="V545" i="7" s="1"/>
  <c r="W545" i="7" s="1"/>
  <c r="R826" i="7"/>
  <c r="U771" i="7"/>
  <c r="V771" i="7" s="1"/>
  <c r="W771" i="7" s="1"/>
  <c r="O971" i="7"/>
  <c r="P971" i="7" s="1"/>
  <c r="U727" i="7"/>
  <c r="V727" i="7" s="1"/>
  <c r="W727" i="7" s="1"/>
  <c r="U704" i="7"/>
  <c r="V704" i="7" s="1"/>
  <c r="W704" i="7" s="1"/>
  <c r="U718" i="7"/>
  <c r="V718" i="7" s="1"/>
  <c r="W718" i="7" s="1"/>
  <c r="R518" i="7"/>
  <c r="U844" i="7"/>
  <c r="V844" i="7" s="1"/>
  <c r="W844" i="7" s="1"/>
  <c r="U540" i="7"/>
  <c r="V540" i="7" s="1"/>
  <c r="W540" i="7" s="1"/>
  <c r="U790" i="7"/>
  <c r="V790" i="7" s="1"/>
  <c r="W790" i="7" s="1"/>
  <c r="U472" i="7"/>
  <c r="V472" i="7" s="1"/>
  <c r="W472" i="7" s="1"/>
  <c r="R608" i="7"/>
  <c r="R591" i="7"/>
  <c r="U891" i="7"/>
  <c r="V891" i="7" s="1"/>
  <c r="W891" i="7" s="1"/>
  <c r="U611" i="7"/>
  <c r="V611" i="7" s="1"/>
  <c r="W611" i="7" s="1"/>
  <c r="U739" i="7"/>
  <c r="V739" i="7" s="1"/>
  <c r="W739" i="7" s="1"/>
  <c r="U573" i="7"/>
  <c r="V573" i="7" s="1"/>
  <c r="W573" i="7" s="1"/>
  <c r="R70" i="7"/>
  <c r="R6" i="7"/>
  <c r="O891" i="7"/>
  <c r="P891" i="7" s="1"/>
  <c r="R796" i="7"/>
  <c r="U903" i="7"/>
  <c r="V903" i="7" s="1"/>
  <c r="W903" i="7" s="1"/>
  <c r="U625" i="7"/>
  <c r="V625" i="7" s="1"/>
  <c r="W625" i="7" s="1"/>
  <c r="U508" i="7"/>
  <c r="V508" i="7" s="1"/>
  <c r="W508" i="7" s="1"/>
  <c r="R586" i="7"/>
  <c r="R911" i="7"/>
  <c r="O148" i="7"/>
  <c r="P148" i="7" s="1"/>
  <c r="U896" i="7"/>
  <c r="V896" i="7" s="1"/>
  <c r="W896" i="7" s="1"/>
  <c r="U629" i="7"/>
  <c r="V629" i="7" s="1"/>
  <c r="W629" i="7" s="1"/>
  <c r="R111" i="7"/>
  <c r="R814" i="7"/>
  <c r="U962" i="7"/>
  <c r="V962" i="7" s="1"/>
  <c r="W962" i="7" s="1"/>
  <c r="R926" i="7"/>
  <c r="U969" i="7"/>
  <c r="V969" i="7" s="1"/>
  <c r="W969" i="7" s="1"/>
  <c r="U496" i="7"/>
  <c r="V496" i="7" s="1"/>
  <c r="W496" i="7" s="1"/>
  <c r="U470" i="7"/>
  <c r="V470" i="7" s="1"/>
  <c r="W470" i="7" s="1"/>
  <c r="R618" i="7"/>
  <c r="U580" i="7"/>
  <c r="V580" i="7" s="1"/>
  <c r="W580" i="7" s="1"/>
  <c r="U773" i="7"/>
  <c r="V773" i="7" s="1"/>
  <c r="W773" i="7" s="1"/>
  <c r="R889" i="7"/>
  <c r="R574" i="7"/>
  <c r="O623" i="7"/>
  <c r="P623" i="7" s="1"/>
  <c r="R680" i="7"/>
  <c r="R334" i="7"/>
  <c r="U909" i="7"/>
  <c r="V909" i="7" s="1"/>
  <c r="W909" i="7" s="1"/>
  <c r="R190" i="7"/>
  <c r="R175" i="7"/>
  <c r="U684" i="7"/>
  <c r="V684" i="7" s="1"/>
  <c r="W684" i="7" s="1"/>
  <c r="U770" i="7"/>
  <c r="V770" i="7" s="1"/>
  <c r="W770" i="7" s="1"/>
  <c r="U883" i="7"/>
  <c r="V883" i="7" s="1"/>
  <c r="W883" i="7" s="1"/>
  <c r="U779" i="7"/>
  <c r="V779" i="7" s="1"/>
  <c r="W779" i="7" s="1"/>
  <c r="U514" i="7"/>
  <c r="V514" i="7" s="1"/>
  <c r="W514" i="7" s="1"/>
  <c r="R818" i="7"/>
  <c r="O485" i="7"/>
  <c r="P485" i="7" s="1"/>
  <c r="O390" i="7"/>
  <c r="P390" i="7" s="1"/>
  <c r="U759" i="7"/>
  <c r="V759" i="7" s="1"/>
  <c r="W759" i="7" s="1"/>
  <c r="U794" i="7"/>
  <c r="V794" i="7" s="1"/>
  <c r="W794" i="7" s="1"/>
  <c r="O723" i="7"/>
  <c r="P723" i="7" s="1"/>
  <c r="O449" i="7"/>
  <c r="P449" i="7" s="1"/>
  <c r="R700" i="7"/>
  <c r="O832" i="7"/>
  <c r="P832" i="7" s="1"/>
  <c r="U328" i="7"/>
  <c r="V328" i="7" s="1"/>
  <c r="W328" i="7" s="1"/>
  <c r="O334" i="7"/>
  <c r="P334" i="7" s="1"/>
  <c r="O206" i="7"/>
  <c r="P206" i="7" s="1"/>
  <c r="U492" i="7"/>
  <c r="V492" i="7" s="1"/>
  <c r="W492" i="7" s="1"/>
  <c r="O20" i="7"/>
  <c r="P20" i="7" s="1"/>
  <c r="U179" i="7"/>
  <c r="V179" i="7" s="1"/>
  <c r="W179" i="7" s="1"/>
  <c r="R883" i="7"/>
  <c r="O119" i="7"/>
  <c r="P119" i="7" s="1"/>
  <c r="U15" i="7"/>
  <c r="V15" i="7" s="1"/>
  <c r="W15" i="7" s="1"/>
  <c r="U69" i="7"/>
  <c r="V69" i="7" s="1"/>
  <c r="W69" i="7" s="1"/>
  <c r="R694" i="7"/>
  <c r="U366" i="7"/>
  <c r="V366" i="7" s="1"/>
  <c r="W366" i="7" s="1"/>
  <c r="U14" i="7"/>
  <c r="V14" i="7" s="1"/>
  <c r="W14" i="7" s="1"/>
  <c r="R594" i="7"/>
  <c r="R280" i="7"/>
  <c r="R80" i="7"/>
  <c r="R303" i="7"/>
  <c r="R19" i="7"/>
  <c r="R57" i="7"/>
  <c r="U626" i="7"/>
  <c r="V626" i="7" s="1"/>
  <c r="W626" i="7" s="1"/>
  <c r="U862" i="7"/>
  <c r="V862" i="7" s="1"/>
  <c r="W862" i="7" s="1"/>
  <c r="U821" i="7"/>
  <c r="V821" i="7" s="1"/>
  <c r="W821" i="7" s="1"/>
  <c r="O692" i="7"/>
  <c r="P692" i="7" s="1"/>
  <c r="O383" i="7"/>
  <c r="P383" i="7" s="1"/>
  <c r="R892" i="7"/>
  <c r="O965" i="7"/>
  <c r="P965" i="7" s="1"/>
  <c r="O990" i="7"/>
  <c r="P990" i="7" s="1"/>
  <c r="R357" i="7"/>
  <c r="U221" i="7"/>
  <c r="V221" i="7" s="1"/>
  <c r="W221" i="7" s="1"/>
  <c r="U552" i="7"/>
  <c r="V552" i="7" s="1"/>
  <c r="W552" i="7" s="1"/>
  <c r="R742" i="7"/>
  <c r="U713" i="7"/>
  <c r="V713" i="7" s="1"/>
  <c r="W713" i="7" s="1"/>
  <c r="R863" i="7"/>
  <c r="U736" i="7"/>
  <c r="V736" i="7" s="1"/>
  <c r="W736" i="7" s="1"/>
  <c r="R931" i="7"/>
  <c r="U635" i="7"/>
  <c r="V635" i="7" s="1"/>
  <c r="W635" i="7" s="1"/>
  <c r="R391" i="7"/>
  <c r="U481" i="7"/>
  <c r="V481" i="7" s="1"/>
  <c r="W481" i="7" s="1"/>
  <c r="R649" i="7"/>
  <c r="U681" i="7"/>
  <c r="V681" i="7" s="1"/>
  <c r="W681" i="7" s="1"/>
  <c r="R632" i="7"/>
  <c r="U888" i="7"/>
  <c r="V888" i="7" s="1"/>
  <c r="W888" i="7" s="1"/>
  <c r="R245" i="7"/>
  <c r="U764" i="7"/>
  <c r="V764" i="7" s="1"/>
  <c r="W764" i="7" s="1"/>
  <c r="R533" i="7"/>
  <c r="U657" i="7"/>
  <c r="V657" i="7" s="1"/>
  <c r="W657" i="7" s="1"/>
  <c r="U469" i="7"/>
  <c r="V469" i="7" s="1"/>
  <c r="W469" i="7" s="1"/>
  <c r="U861" i="7"/>
  <c r="V861" i="7" s="1"/>
  <c r="W861" i="7" s="1"/>
  <c r="R517" i="7"/>
  <c r="U655" i="7"/>
  <c r="V655" i="7" s="1"/>
  <c r="W655" i="7" s="1"/>
  <c r="R418" i="7"/>
  <c r="U914" i="7"/>
  <c r="V914" i="7" s="1"/>
  <c r="W914" i="7" s="1"/>
  <c r="U520" i="7"/>
  <c r="V520" i="7" s="1"/>
  <c r="W520" i="7" s="1"/>
  <c r="U702" i="7"/>
  <c r="V702" i="7" s="1"/>
  <c r="W702" i="7" s="1"/>
  <c r="U839" i="7"/>
  <c r="V839" i="7" s="1"/>
  <c r="W839" i="7" s="1"/>
  <c r="U690" i="7"/>
  <c r="V690" i="7" s="1"/>
  <c r="W690" i="7" s="1"/>
  <c r="O233" i="7"/>
  <c r="P233" i="7" s="1"/>
  <c r="U89" i="7"/>
  <c r="V89" i="7" s="1"/>
  <c r="W89" i="7" s="1"/>
  <c r="O303" i="7"/>
  <c r="P303" i="7" s="1"/>
  <c r="U723" i="7"/>
  <c r="V723" i="7" s="1"/>
  <c r="W723" i="7" s="1"/>
  <c r="O588" i="7"/>
  <c r="P588" i="7" s="1"/>
  <c r="U99" i="7"/>
  <c r="V99" i="7" s="1"/>
  <c r="W99" i="7" s="1"/>
  <c r="R521" i="7"/>
  <c r="R269" i="7"/>
  <c r="U226" i="7"/>
  <c r="V226" i="7" s="1"/>
  <c r="W226" i="7" s="1"/>
  <c r="O340" i="7"/>
  <c r="P340" i="7" s="1"/>
  <c r="R515" i="7"/>
  <c r="O802" i="7"/>
  <c r="P802" i="7" s="1"/>
  <c r="U372" i="7"/>
  <c r="V372" i="7" s="1"/>
  <c r="W372" i="7" s="1"/>
  <c r="R293" i="7"/>
  <c r="O3" i="7"/>
  <c r="P3" i="7" s="1"/>
  <c r="U669" i="7"/>
  <c r="V669" i="7" s="1"/>
  <c r="W669" i="7" s="1"/>
  <c r="R504" i="7"/>
  <c r="R474" i="7"/>
  <c r="R489" i="7"/>
  <c r="U449" i="7"/>
  <c r="V449" i="7" s="1"/>
  <c r="W449" i="7" s="1"/>
  <c r="O344" i="7"/>
  <c r="P344" i="7" s="1"/>
  <c r="R97" i="7"/>
  <c r="U612" i="7"/>
  <c r="V612" i="7" s="1"/>
  <c r="W612" i="7" s="1"/>
  <c r="R910" i="7"/>
  <c r="R174" i="7"/>
  <c r="U555" i="7"/>
  <c r="V555" i="7" s="1"/>
  <c r="W555" i="7" s="1"/>
  <c r="R708" i="7"/>
  <c r="U619" i="7"/>
  <c r="V619" i="7" s="1"/>
  <c r="W619" i="7" s="1"/>
  <c r="R605" i="7"/>
  <c r="U648" i="7"/>
  <c r="V648" i="7" s="1"/>
  <c r="W648" i="7" s="1"/>
  <c r="R160" i="7"/>
  <c r="R386" i="7"/>
  <c r="R492" i="7"/>
  <c r="R695" i="7"/>
  <c r="R243" i="7"/>
  <c r="U842" i="7"/>
  <c r="V842" i="7" s="1"/>
  <c r="W842" i="7" s="1"/>
  <c r="R400" i="7"/>
  <c r="U886" i="7"/>
  <c r="V886" i="7" s="1"/>
  <c r="W886" i="7" s="1"/>
  <c r="R778" i="7"/>
  <c r="U641" i="7"/>
  <c r="V641" i="7" s="1"/>
  <c r="W641" i="7" s="1"/>
  <c r="U571" i="7"/>
  <c r="V571" i="7" s="1"/>
  <c r="W571" i="7" s="1"/>
  <c r="U609" i="7"/>
  <c r="V609" i="7" s="1"/>
  <c r="W609" i="7" s="1"/>
  <c r="O613" i="7"/>
  <c r="P613" i="7" s="1"/>
  <c r="U367" i="7"/>
  <c r="V367" i="7" s="1"/>
  <c r="W367" i="7" s="1"/>
  <c r="R36" i="7"/>
  <c r="U878" i="7"/>
  <c r="V878" i="7" s="1"/>
  <c r="W878" i="7" s="1"/>
  <c r="U999" i="7"/>
  <c r="V999" i="7" s="1"/>
  <c r="W999" i="7" s="1"/>
  <c r="U749" i="7"/>
  <c r="V749" i="7" s="1"/>
  <c r="W749" i="7" s="1"/>
  <c r="R367" i="7"/>
  <c r="R589" i="7"/>
  <c r="R500" i="7"/>
  <c r="R350" i="7"/>
  <c r="U457" i="7"/>
  <c r="V457" i="7" s="1"/>
  <c r="W457" i="7" s="1"/>
  <c r="R364" i="7"/>
  <c r="U741" i="7"/>
  <c r="V741" i="7" s="1"/>
  <c r="W741" i="7" s="1"/>
  <c r="U616" i="7"/>
  <c r="V616" i="7" s="1"/>
  <c r="W616" i="7" s="1"/>
  <c r="U517" i="7"/>
  <c r="V517" i="7" s="1"/>
  <c r="W517" i="7" s="1"/>
  <c r="U676" i="7"/>
  <c r="V676" i="7" s="1"/>
  <c r="W676" i="7" s="1"/>
  <c r="U832" i="7"/>
  <c r="V832" i="7" s="1"/>
  <c r="W832" i="7" s="1"/>
  <c r="R762" i="7"/>
  <c r="O987" i="7"/>
  <c r="P987" i="7" s="1"/>
  <c r="U587" i="7"/>
  <c r="V587" i="7" s="1"/>
  <c r="W587" i="7" s="1"/>
  <c r="U622" i="7"/>
  <c r="V622" i="7" s="1"/>
  <c r="W622" i="7" s="1"/>
  <c r="U554" i="7"/>
  <c r="V554" i="7" s="1"/>
  <c r="W554" i="7" s="1"/>
  <c r="U590" i="7"/>
  <c r="V590" i="7" s="1"/>
  <c r="W590" i="7" s="1"/>
  <c r="R715" i="7"/>
  <c r="U720" i="7"/>
  <c r="V720" i="7" s="1"/>
  <c r="W720" i="7" s="1"/>
  <c r="U506" i="7"/>
  <c r="V506" i="7" s="1"/>
  <c r="W506" i="7" s="1"/>
  <c r="R877" i="7"/>
  <c r="R50" i="7"/>
  <c r="U494" i="7"/>
  <c r="V494" i="7" s="1"/>
  <c r="W494" i="7" s="1"/>
  <c r="O963" i="7"/>
  <c r="P963" i="7" s="1"/>
  <c r="U871" i="7"/>
  <c r="V871" i="7" s="1"/>
  <c r="W871" i="7" s="1"/>
  <c r="R216" i="7"/>
  <c r="U646" i="7"/>
  <c r="V646" i="7" s="1"/>
  <c r="W646" i="7" s="1"/>
  <c r="U193" i="7"/>
  <c r="V193" i="7" s="1"/>
  <c r="W193" i="7" s="1"/>
  <c r="O607" i="7"/>
  <c r="P607" i="7" s="1"/>
  <c r="R761" i="7"/>
  <c r="O962" i="7"/>
  <c r="P962" i="7" s="1"/>
  <c r="U822" i="7"/>
  <c r="V822" i="7" s="1"/>
  <c r="W822" i="7" s="1"/>
  <c r="U825" i="7"/>
  <c r="V825" i="7" s="1"/>
  <c r="W825" i="7" s="1"/>
  <c r="U716" i="7"/>
  <c r="V716" i="7" s="1"/>
  <c r="W716" i="7" s="1"/>
  <c r="U703" i="7"/>
  <c r="V703" i="7" s="1"/>
  <c r="W703" i="7" s="1"/>
  <c r="R729" i="7"/>
  <c r="R662" i="7"/>
  <c r="U591" i="7"/>
  <c r="V591" i="7" s="1"/>
  <c r="W591" i="7" s="1"/>
  <c r="U685" i="7"/>
  <c r="V685" i="7" s="1"/>
  <c r="W685" i="7" s="1"/>
  <c r="U637" i="7"/>
  <c r="V637" i="7" s="1"/>
  <c r="W637" i="7" s="1"/>
  <c r="U956" i="7"/>
  <c r="V956" i="7" s="1"/>
  <c r="W956" i="7" s="1"/>
  <c r="U557" i="7"/>
  <c r="V557" i="7" s="1"/>
  <c r="W557" i="7" s="1"/>
  <c r="O955" i="7"/>
  <c r="P955" i="7" s="1"/>
  <c r="R751" i="7"/>
  <c r="U990" i="7"/>
  <c r="V990" i="7" s="1"/>
  <c r="W990" i="7" s="1"/>
  <c r="U706" i="7"/>
  <c r="V706" i="7" s="1"/>
  <c r="W706" i="7" s="1"/>
  <c r="U733" i="7"/>
  <c r="V733" i="7" s="1"/>
  <c r="W733" i="7" s="1"/>
  <c r="R791" i="7"/>
  <c r="U834" i="7"/>
  <c r="V834" i="7" s="1"/>
  <c r="W834" i="7" s="1"/>
  <c r="U814" i="7"/>
  <c r="V814" i="7" s="1"/>
  <c r="W814" i="7" s="1"/>
  <c r="U884" i="7"/>
  <c r="V884" i="7" s="1"/>
  <c r="W884" i="7" s="1"/>
  <c r="R262" i="7"/>
  <c r="O979" i="7"/>
  <c r="P979" i="7" s="1"/>
  <c r="R327" i="7"/>
  <c r="U473" i="7"/>
  <c r="V473" i="7" s="1"/>
  <c r="W473" i="7" s="1"/>
  <c r="U863" i="7"/>
  <c r="V863" i="7" s="1"/>
  <c r="W863" i="7" s="1"/>
  <c r="R638" i="7"/>
  <c r="U748" i="7"/>
  <c r="V748" i="7" s="1"/>
  <c r="W748" i="7" s="1"/>
  <c r="U471" i="7"/>
  <c r="V471" i="7" s="1"/>
  <c r="W471" i="7" s="1"/>
  <c r="R157" i="7"/>
  <c r="R477" i="7"/>
  <c r="R554" i="7"/>
  <c r="R498" i="7"/>
  <c r="U974" i="7"/>
  <c r="V974" i="7" s="1"/>
  <c r="W974" i="7" s="1"/>
  <c r="U595" i="7"/>
  <c r="V595" i="7" s="1"/>
  <c r="W595" i="7" s="1"/>
  <c r="R717" i="7"/>
  <c r="U897" i="7"/>
  <c r="V897" i="7" s="1"/>
  <c r="W897" i="7" s="1"/>
  <c r="U584" i="7"/>
  <c r="V584" i="7" s="1"/>
  <c r="W584" i="7" s="1"/>
  <c r="U559" i="7"/>
  <c r="V559" i="7" s="1"/>
  <c r="W559" i="7" s="1"/>
  <c r="U643" i="7"/>
  <c r="V643" i="7" s="1"/>
  <c r="W643" i="7" s="1"/>
  <c r="R446" i="7"/>
  <c r="U525" i="7"/>
  <c r="V525" i="7" s="1"/>
  <c r="W525" i="7" s="1"/>
  <c r="U565" i="7"/>
  <c r="V565" i="7" s="1"/>
  <c r="W565" i="7" s="1"/>
  <c r="U902" i="7"/>
  <c r="V902" i="7" s="1"/>
  <c r="W902" i="7" s="1"/>
  <c r="U792" i="7"/>
  <c r="V792" i="7" s="1"/>
  <c r="W792" i="7" s="1"/>
  <c r="U501" i="7"/>
  <c r="V501" i="7" s="1"/>
  <c r="W501" i="7" s="1"/>
  <c r="O984" i="7"/>
  <c r="P984" i="7" s="1"/>
  <c r="U615" i="7"/>
  <c r="V615" i="7" s="1"/>
  <c r="W615" i="7" s="1"/>
  <c r="U692" i="7"/>
  <c r="V692" i="7" s="1"/>
  <c r="W692" i="7" s="1"/>
  <c r="U744" i="7"/>
  <c r="V744" i="7" s="1"/>
  <c r="W744" i="7" s="1"/>
  <c r="O406" i="7"/>
  <c r="P406" i="7" s="1"/>
  <c r="R674" i="7"/>
  <c r="R556" i="7"/>
  <c r="U610" i="7"/>
  <c r="V610" i="7" s="1"/>
  <c r="W610" i="7" s="1"/>
  <c r="U873" i="7"/>
  <c r="V873" i="7" s="1"/>
  <c r="W873" i="7" s="1"/>
  <c r="U827" i="7"/>
  <c r="V827" i="7" s="1"/>
  <c r="W827" i="7" s="1"/>
  <c r="R869" i="7"/>
  <c r="R309" i="7"/>
  <c r="R612" i="7"/>
  <c r="R650" i="7"/>
  <c r="R143" i="7"/>
  <c r="U904" i="7"/>
  <c r="V904" i="7" s="1"/>
  <c r="W904" i="7" s="1"/>
  <c r="U498" i="7"/>
  <c r="V498" i="7" s="1"/>
  <c r="W498" i="7" s="1"/>
  <c r="U644" i="7"/>
  <c r="V644" i="7" s="1"/>
  <c r="W644" i="7" s="1"/>
  <c r="U673" i="7"/>
  <c r="V673" i="7" s="1"/>
  <c r="W673" i="7" s="1"/>
  <c r="R520" i="7"/>
  <c r="R633" i="7"/>
  <c r="U973" i="7"/>
  <c r="V973" i="7" s="1"/>
  <c r="W973" i="7" s="1"/>
  <c r="R921" i="7"/>
  <c r="R725" i="7"/>
  <c r="O952" i="7"/>
  <c r="P952" i="7" s="1"/>
  <c r="R870" i="7"/>
  <c r="R535" i="7"/>
  <c r="O981" i="7"/>
  <c r="P981" i="7" s="1"/>
  <c r="U851" i="7"/>
  <c r="V851" i="7" s="1"/>
  <c r="W851" i="7" s="1"/>
  <c r="U593" i="7"/>
  <c r="V593" i="7" s="1"/>
  <c r="W593" i="7" s="1"/>
  <c r="H24" i="18"/>
  <c r="H22" i="18"/>
  <c r="H14" i="18"/>
  <c r="H5" i="18"/>
  <c r="H12" i="18"/>
  <c r="H28" i="18"/>
  <c r="H4" i="18"/>
  <c r="H7" i="18"/>
  <c r="H6" i="18"/>
  <c r="H27" i="18"/>
  <c r="H26" i="18"/>
  <c r="H3" i="18"/>
  <c r="H19" i="18"/>
  <c r="H11" i="18"/>
  <c r="H17" i="18"/>
  <c r="H15" i="18"/>
  <c r="H29" i="18"/>
  <c r="H16" i="18"/>
  <c r="H20" i="18"/>
  <c r="H8" i="18"/>
  <c r="H23" i="18"/>
  <c r="H2" i="18"/>
  <c r="H10" i="18"/>
  <c r="H21" i="18"/>
  <c r="H18" i="18"/>
  <c r="H9" i="18"/>
  <c r="H13" i="18"/>
  <c r="H25" i="18"/>
</calcChain>
</file>

<file path=xl/sharedStrings.xml><?xml version="1.0" encoding="utf-8"?>
<sst xmlns="http://schemas.openxmlformats.org/spreadsheetml/2006/main" count="8113" uniqueCount="3453">
  <si>
    <t>ストレート</t>
    <phoneticPr fontId="1"/>
  </si>
  <si>
    <t>ストレート</t>
  </si>
  <si>
    <t>選手</t>
    <rPh sb="0" eb="2">
      <t>センシュ</t>
    </rPh>
    <phoneticPr fontId="1"/>
  </si>
  <si>
    <t>パワプロ</t>
    <phoneticPr fontId="1"/>
  </si>
  <si>
    <t>カーブ</t>
    <phoneticPr fontId="1"/>
  </si>
  <si>
    <t>全カストレート</t>
  </si>
  <si>
    <t>フォーク</t>
    <phoneticPr fontId="1"/>
  </si>
  <si>
    <t>シュート</t>
    <phoneticPr fontId="1"/>
  </si>
  <si>
    <t>シンカー</t>
    <phoneticPr fontId="1"/>
  </si>
  <si>
    <t>スライダー</t>
    <phoneticPr fontId="1"/>
  </si>
  <si>
    <t>スローカーブ</t>
    <phoneticPr fontId="1"/>
  </si>
  <si>
    <t>パワプロ</t>
    <phoneticPr fontId="1"/>
  </si>
  <si>
    <t>球種</t>
    <rPh sb="0" eb="2">
      <t>キュウシュ</t>
    </rPh>
    <phoneticPr fontId="1"/>
  </si>
  <si>
    <t>1/球速</t>
    <rPh sb="2" eb="4">
      <t>キュウソク</t>
    </rPh>
    <phoneticPr fontId="1"/>
  </si>
  <si>
    <t>チェンジアップ</t>
    <phoneticPr fontId="1"/>
  </si>
  <si>
    <t>カットボール</t>
    <phoneticPr fontId="1"/>
  </si>
  <si>
    <t>ナックルカーブ</t>
    <phoneticPr fontId="1"/>
  </si>
  <si>
    <t>-</t>
    <phoneticPr fontId="1"/>
  </si>
  <si>
    <t>オプション設定</t>
    <rPh sb="5" eb="7">
      <t>セッテイ</t>
    </rPh>
    <phoneticPr fontId="1"/>
  </si>
  <si>
    <t>基本</t>
    <rPh sb="0" eb="2">
      <t>キホン</t>
    </rPh>
    <phoneticPr fontId="1"/>
  </si>
  <si>
    <t>カメラ視点</t>
    <rPh sb="3" eb="5">
      <t>シテン</t>
    </rPh>
    <phoneticPr fontId="1"/>
  </si>
  <si>
    <t>ノーマル</t>
    <phoneticPr fontId="1"/>
  </si>
  <si>
    <t>打撃</t>
    <rPh sb="0" eb="2">
      <t>ダゲキ</t>
    </rPh>
    <phoneticPr fontId="1"/>
  </si>
  <si>
    <t>打撃システム</t>
    <rPh sb="0" eb="2">
      <t>ダゲキ</t>
    </rPh>
    <phoneticPr fontId="1"/>
  </si>
  <si>
    <t>フルダケ</t>
    <phoneticPr fontId="1"/>
  </si>
  <si>
    <t>COM</t>
    <phoneticPr fontId="1"/>
  </si>
  <si>
    <t>COMストライクゾーン</t>
    <phoneticPr fontId="1"/>
  </si>
  <si>
    <t>ストライクゾーンのみ</t>
    <phoneticPr fontId="1"/>
  </si>
  <si>
    <t>球場</t>
    <rPh sb="0" eb="2">
      <t>キュウジョウ</t>
    </rPh>
    <phoneticPr fontId="1"/>
  </si>
  <si>
    <t>甲子園</t>
    <rPh sb="0" eb="3">
      <t>コウシエン</t>
    </rPh>
    <phoneticPr fontId="1"/>
  </si>
  <si>
    <t>曇り</t>
    <rPh sb="0" eb="1">
      <t>クモ</t>
    </rPh>
    <phoneticPr fontId="1"/>
  </si>
  <si>
    <t>デーゲーム</t>
    <phoneticPr fontId="1"/>
  </si>
  <si>
    <t>球種変換表</t>
    <rPh sb="0" eb="2">
      <t>キュウシュ</t>
    </rPh>
    <rPh sb="2" eb="4">
      <t>ヘンカン</t>
    </rPh>
    <rPh sb="4" eb="5">
      <t>ヒョウ</t>
    </rPh>
    <phoneticPr fontId="1"/>
  </si>
  <si>
    <t>投手データ</t>
    <rPh sb="0" eb="2">
      <t>トウシュ</t>
    </rPh>
    <phoneticPr fontId="1"/>
  </si>
  <si>
    <t>データ数</t>
    <rPh sb="3" eb="4">
      <t>スウ</t>
    </rPh>
    <phoneticPr fontId="1"/>
  </si>
  <si>
    <t>全力ストレート</t>
    <rPh sb="0" eb="2">
      <t>ゼンリョク</t>
    </rPh>
    <phoneticPr fontId="1"/>
  </si>
  <si>
    <t>ムービングファスト</t>
    <phoneticPr fontId="1"/>
  </si>
  <si>
    <t>超スローボール</t>
    <rPh sb="0" eb="1">
      <t>チョウ</t>
    </rPh>
    <phoneticPr fontId="1"/>
  </si>
  <si>
    <t>Hスライダー</t>
    <phoneticPr fontId="1"/>
  </si>
  <si>
    <t>ドロップ</t>
    <phoneticPr fontId="1"/>
  </si>
  <si>
    <t>ドロップカーブ</t>
    <phoneticPr fontId="1"/>
  </si>
  <si>
    <t>スラーブ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</si>
  <si>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</si>
  <si>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</si>
  <si>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</si>
  <si>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</si>
  <si>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Hシンカー</t>
    <phoneticPr fontId="1"/>
  </si>
  <si>
    <t>サークルチェンジ</t>
    <phoneticPr fontId="1"/>
  </si>
  <si>
    <t>Hシュート</t>
    <phoneticPr fontId="1"/>
  </si>
  <si>
    <t>とコレ</t>
  </si>
  <si>
    <t>NG</t>
    <phoneticPr fontId="1"/>
  </si>
  <si>
    <t>ストレート換算式</t>
    <rPh sb="5" eb="7">
      <t>カンサン</t>
    </rPh>
    <rPh sb="7" eb="8">
      <t>シキ</t>
    </rPh>
    <phoneticPr fontId="1"/>
  </si>
  <si>
    <t>A</t>
    <phoneticPr fontId="1"/>
  </si>
  <si>
    <t>B</t>
    <phoneticPr fontId="1"/>
  </si>
  <si>
    <t>C</t>
    <phoneticPr fontId="1"/>
  </si>
  <si>
    <t>D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</si>
  <si>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</si>
  <si>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</si>
  <si>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</si>
  <si>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</si>
  <si>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I</t>
    <phoneticPr fontId="1"/>
  </si>
  <si>
    <t>J</t>
    <phoneticPr fontId="1"/>
  </si>
  <si>
    <t>K</t>
    <phoneticPr fontId="1"/>
  </si>
  <si>
    <t>L</t>
    <phoneticPr fontId="1"/>
  </si>
  <si>
    <t>M</t>
    <phoneticPr fontId="1"/>
  </si>
  <si>
    <t>N</t>
    <phoneticPr fontId="1"/>
  </si>
  <si>
    <t>O</t>
    <phoneticPr fontId="1"/>
  </si>
  <si>
    <t>P</t>
    <phoneticPr fontId="1"/>
  </si>
  <si>
    <t>Q</t>
    <phoneticPr fontId="1"/>
  </si>
  <si>
    <t>R</t>
    <phoneticPr fontId="1"/>
  </si>
  <si>
    <t>S</t>
    <phoneticPr fontId="1"/>
  </si>
  <si>
    <t>T</t>
    <phoneticPr fontId="1"/>
  </si>
  <si>
    <t>U</t>
    <phoneticPr fontId="1"/>
  </si>
  <si>
    <t>V</t>
    <phoneticPr fontId="1"/>
  </si>
  <si>
    <t>W</t>
    <phoneticPr fontId="1"/>
  </si>
  <si>
    <t>X</t>
    <phoneticPr fontId="1"/>
  </si>
  <si>
    <t>Y</t>
    <phoneticPr fontId="1"/>
  </si>
  <si>
    <t>Z</t>
    <phoneticPr fontId="1"/>
  </si>
  <si>
    <t>NG数</t>
    <rPh sb="2" eb="3">
      <t>スウ</t>
    </rPh>
    <phoneticPr fontId="1"/>
  </si>
  <si>
    <t>傾き</t>
    <rPh sb="0" eb="1">
      <t>カタム</t>
    </rPh>
    <phoneticPr fontId="1"/>
  </si>
  <si>
    <t>切片</t>
    <rPh sb="0" eb="2">
      <t>セッペン</t>
    </rPh>
    <phoneticPr fontId="1"/>
  </si>
  <si>
    <t>角度</t>
    <rPh sb="0" eb="2">
      <t>カクド</t>
    </rPh>
    <phoneticPr fontId="1"/>
  </si>
  <si>
    <t>変化</t>
    <rPh sb="0" eb="2">
      <t>ヘンカ</t>
    </rPh>
    <phoneticPr fontId="1"/>
  </si>
  <si>
    <t>球速</t>
    <rPh sb="0" eb="2">
      <t>キュウソク</t>
    </rPh>
    <phoneticPr fontId="1"/>
  </si>
  <si>
    <t>ノビ</t>
    <phoneticPr fontId="1"/>
  </si>
  <si>
    <t>ブレーキ</t>
    <phoneticPr fontId="1"/>
  </si>
  <si>
    <t>キレ</t>
    <phoneticPr fontId="1"/>
  </si>
  <si>
    <t>重さ</t>
    <rPh sb="0" eb="1">
      <t>オモ</t>
    </rPh>
    <phoneticPr fontId="1"/>
  </si>
  <si>
    <t>色Index</t>
    <rPh sb="0" eb="1">
      <t>イロ</t>
    </rPh>
    <phoneticPr fontId="1"/>
  </si>
  <si>
    <t>球速変換表</t>
    <rPh sb="0" eb="2">
      <t>キュウソク</t>
    </rPh>
    <rPh sb="2" eb="4">
      <t>ヘンカン</t>
    </rPh>
    <rPh sb="4" eb="5">
      <t>ヒョウ</t>
    </rPh>
    <phoneticPr fontId="1"/>
  </si>
  <si>
    <t>と3の</t>
  </si>
  <si>
    <t>レコの</t>
  </si>
  <si>
    <t>全力ストレート</t>
    <phoneticPr fontId="1"/>
  </si>
  <si>
    <t>とョコト</t>
  </si>
  <si>
    <t>と</t>
  </si>
  <si>
    <t>山中</t>
    <rPh sb="0" eb="2">
      <t>ヤマナカ</t>
    </rPh>
    <phoneticPr fontId="1"/>
  </si>
  <si>
    <t>真砂</t>
    <rPh sb="0" eb="2">
      <t>マサゴ</t>
    </rPh>
    <phoneticPr fontId="1"/>
  </si>
  <si>
    <t>五味</t>
    <rPh sb="0" eb="2">
      <t>ゴミ</t>
    </rPh>
    <phoneticPr fontId="1"/>
  </si>
  <si>
    <t>K-鈴木</t>
    <rPh sb="2" eb="4">
      <t>スズキ</t>
    </rPh>
    <phoneticPr fontId="1"/>
  </si>
  <si>
    <t>梅野</t>
    <rPh sb="0" eb="2">
      <t>ウメノ</t>
    </rPh>
    <phoneticPr fontId="1"/>
  </si>
  <si>
    <t>とココ</t>
    <phoneticPr fontId="1"/>
  </si>
  <si>
    <t>吉川</t>
    <rPh sb="0" eb="2">
      <t>ヨシカワ</t>
    </rPh>
    <phoneticPr fontId="1"/>
  </si>
  <si>
    <t>菅野</t>
    <rPh sb="0" eb="2">
      <t>スガノ</t>
    </rPh>
    <phoneticPr fontId="1"/>
  </si>
  <si>
    <t>神田</t>
    <rPh sb="0" eb="2">
      <t>カンダ</t>
    </rPh>
    <phoneticPr fontId="1"/>
  </si>
  <si>
    <t>エクシア</t>
    <phoneticPr fontId="1"/>
  </si>
  <si>
    <t>山足</t>
    <rPh sb="0" eb="2">
      <t>ヤマアシ</t>
    </rPh>
    <phoneticPr fontId="1"/>
  </si>
  <si>
    <t>フォーク</t>
  </si>
  <si>
    <t>アルの</t>
  </si>
  <si>
    <t>アルのん</t>
  </si>
  <si>
    <t>シア</t>
  </si>
  <si>
    <t>シア)</t>
  </si>
  <si>
    <t>木村</t>
    <rPh sb="0" eb="2">
      <t>キムラ</t>
    </rPh>
    <phoneticPr fontId="1"/>
  </si>
  <si>
    <t>塚田</t>
    <rPh sb="0" eb="2">
      <t>ツカダ</t>
    </rPh>
    <phoneticPr fontId="1"/>
  </si>
  <si>
    <t>建山</t>
    <rPh sb="0" eb="2">
      <t>タテヤマ</t>
    </rPh>
    <phoneticPr fontId="1"/>
  </si>
  <si>
    <t>神田２</t>
    <rPh sb="0" eb="2">
      <t>カンダ</t>
    </rPh>
    <phoneticPr fontId="1"/>
  </si>
  <si>
    <t>田中</t>
    <rPh sb="0" eb="2">
      <t>タナカ</t>
    </rPh>
    <phoneticPr fontId="1"/>
  </si>
  <si>
    <t>清田</t>
    <rPh sb="0" eb="2">
      <t>キヨタ</t>
    </rPh>
    <phoneticPr fontId="1"/>
  </si>
  <si>
    <t>豊田</t>
    <rPh sb="0" eb="2">
      <t>トヨタ</t>
    </rPh>
    <phoneticPr fontId="1"/>
  </si>
  <si>
    <t>ナイピ</t>
    <phoneticPr fontId="1"/>
  </si>
  <si>
    <t>SFF</t>
    <phoneticPr fontId="1"/>
  </si>
  <si>
    <t>に和良=</t>
    <phoneticPr fontId="1"/>
  </si>
  <si>
    <t>に良=</t>
    <phoneticPr fontId="1"/>
  </si>
  <si>
    <t>に==</t>
    <phoneticPr fontId="1"/>
  </si>
  <si>
    <t>パワーカーブ</t>
    <phoneticPr fontId="1"/>
  </si>
  <si>
    <t>0アたレル</t>
    <phoneticPr fontId="1"/>
  </si>
  <si>
    <t>0アたにん</t>
    <phoneticPr fontId="1"/>
  </si>
  <si>
    <t>0アたシルにん</t>
    <phoneticPr fontId="1"/>
  </si>
  <si>
    <t>ムービングファスト</t>
  </si>
  <si>
    <t>カットボール</t>
  </si>
  <si>
    <t>IVCの)</t>
  </si>
  <si>
    <t>野上</t>
    <rPh sb="0" eb="2">
      <t>ノガミ</t>
    </rPh>
    <phoneticPr fontId="1"/>
  </si>
  <si>
    <t>中島</t>
    <rPh sb="0" eb="2">
      <t>ナカジマ</t>
    </rPh>
    <phoneticPr fontId="1"/>
  </si>
  <si>
    <t>Vスライダー</t>
  </si>
  <si>
    <t>アーンアル</t>
  </si>
  <si>
    <t>HHスライダー</t>
  </si>
  <si>
    <t>Hスライダー</t>
  </si>
  <si>
    <t>いこ</t>
  </si>
  <si>
    <t>こらだ</t>
  </si>
  <si>
    <t>いこだ</t>
  </si>
  <si>
    <t>だ</t>
  </si>
  <si>
    <t>パーム</t>
  </si>
  <si>
    <t>ロレウンシンた</t>
  </si>
  <si>
    <t>北村</t>
    <rPh sb="0" eb="2">
      <t>キタムラ</t>
    </rPh>
    <phoneticPr fontId="1"/>
  </si>
  <si>
    <t>洒居</t>
    <rPh sb="0" eb="1">
      <t>シャ</t>
    </rPh>
    <rPh sb="1" eb="2">
      <t>イ</t>
    </rPh>
    <phoneticPr fontId="1"/>
  </si>
  <si>
    <t>いこプだ</t>
  </si>
  <si>
    <t>こら</t>
  </si>
  <si>
    <t>伯田</t>
    <rPh sb="0" eb="2">
      <t>ハクタ</t>
    </rPh>
    <phoneticPr fontId="1"/>
  </si>
  <si>
    <t>ツーシームファスト</t>
    <phoneticPr fontId="1"/>
  </si>
  <si>
    <t>パワーカーブ</t>
  </si>
  <si>
    <t>パワーカーブ</t>
    <phoneticPr fontId="1"/>
  </si>
  <si>
    <t>-</t>
    <phoneticPr fontId="1"/>
  </si>
  <si>
    <t>超シンカー</t>
    <rPh sb="0" eb="1">
      <t>チョウ</t>
    </rPh>
    <phoneticPr fontId="1"/>
  </si>
  <si>
    <t>シンキングツーシーム</t>
    <phoneticPr fontId="1"/>
  </si>
  <si>
    <t>スライダー</t>
  </si>
  <si>
    <t>ラウ7]</t>
  </si>
  <si>
    <t>トラに7</t>
  </si>
  <si>
    <t>トラ]</t>
  </si>
  <si>
    <t>トラ四つ7」凡</t>
  </si>
  <si>
    <t>アトg」凡</t>
  </si>
  <si>
    <t>トラ)</t>
  </si>
  <si>
    <t>ウト」凡</t>
  </si>
  <si>
    <t>ラウ7)</t>
  </si>
  <si>
    <t>ラウ)</t>
  </si>
  <si>
    <t>リーニアニラパシアッシ</t>
  </si>
  <si>
    <t>ッーシームファスト</t>
  </si>
  <si>
    <t>リーニアニラパシアッルショは</t>
  </si>
  <si>
    <t>とョコレコト</t>
  </si>
  <si>
    <t>超スローボール</t>
    <rPh sb="0" eb="1">
      <t>チョウ</t>
    </rPh>
    <phoneticPr fontId="1"/>
  </si>
  <si>
    <t>ッツーシームファスト</t>
    <phoneticPr fontId="1"/>
  </si>
  <si>
    <t>ツーシームファスト</t>
    <phoneticPr fontId="1"/>
  </si>
  <si>
    <t>明石</t>
    <rPh sb="0" eb="2">
      <t>アカシ</t>
    </rPh>
    <phoneticPr fontId="1"/>
  </si>
  <si>
    <t>菅野２</t>
    <rPh sb="0" eb="2">
      <t>スガノ</t>
    </rPh>
    <phoneticPr fontId="1"/>
  </si>
  <si>
    <t>小島</t>
    <rPh sb="0" eb="2">
      <t>コジマ</t>
    </rPh>
    <phoneticPr fontId="1"/>
  </si>
  <si>
    <t>大城</t>
    <rPh sb="0" eb="2">
      <t>オオシロ</t>
    </rPh>
    <phoneticPr fontId="1"/>
  </si>
  <si>
    <t>ナックルカーブ</t>
  </si>
  <si>
    <t>レルクルん</t>
  </si>
  <si>
    <t>リアニンアルッ</t>
  </si>
  <si>
    <t>スラーブ</t>
  </si>
  <si>
    <t>アンクル ピコ</t>
  </si>
  <si>
    <t>タンクル ピコ</t>
  </si>
  <si>
    <t>HHシンカー</t>
  </si>
  <si>
    <t>0アたシア/</t>
  </si>
  <si>
    <t>アク</t>
  </si>
  <si>
    <t>シュート</t>
  </si>
  <si>
    <t>アクに</t>
  </si>
  <si>
    <t>アク=</t>
  </si>
  <si>
    <t>アクEN</t>
  </si>
  <si>
    <t>Hシンカー</t>
    <phoneticPr fontId="1"/>
  </si>
  <si>
    <t>ゴンザレス</t>
    <phoneticPr fontId="1"/>
  </si>
  <si>
    <t>石井</t>
    <rPh sb="0" eb="2">
      <t>イシイ</t>
    </rPh>
    <phoneticPr fontId="1"/>
  </si>
  <si>
    <t>陽</t>
    <rPh sb="0" eb="1">
      <t>ヨウ</t>
    </rPh>
    <phoneticPr fontId="1"/>
  </si>
  <si>
    <t>A0001</t>
    <phoneticPr fontId="1"/>
  </si>
  <si>
    <t>レルガルにeyん</t>
  </si>
  <si>
    <t>サークルチェンジ</t>
  </si>
  <si>
    <t>ドロップカーブ</t>
  </si>
  <si>
    <t>7グッ</t>
  </si>
  <si>
    <t>アウ4</t>
  </si>
  <si>
    <t>DP</t>
  </si>
  <si>
    <t>ドロップ</t>
  </si>
  <si>
    <t>リアシンアル</t>
  </si>
  <si>
    <t>リアシンアルン</t>
  </si>
  <si>
    <t>DD002</t>
  </si>
  <si>
    <t>DD003</t>
  </si>
  <si>
    <t>DD004</t>
  </si>
  <si>
    <t>DD005</t>
  </si>
  <si>
    <t>DD001</t>
    <phoneticPr fontId="1"/>
  </si>
  <si>
    <t>アンアル</t>
  </si>
  <si>
    <t>PEん</t>
  </si>
  <si>
    <t>Poん</t>
  </si>
  <si>
    <t>PPん</t>
  </si>
  <si>
    <t>Po</t>
  </si>
  <si>
    <t>ypん</t>
  </si>
  <si>
    <t>DD006</t>
  </si>
  <si>
    <t>カーブ</t>
    <phoneticPr fontId="1"/>
  </si>
  <si>
    <t>ストレート</t>
    <phoneticPr fontId="1"/>
  </si>
  <si>
    <t>レコ</t>
  </si>
  <si>
    <t>pp</t>
  </si>
  <si>
    <t>DD010</t>
    <phoneticPr fontId="1"/>
  </si>
  <si>
    <t>DD011</t>
  </si>
  <si>
    <t>DD012</t>
  </si>
  <si>
    <t>DD013</t>
  </si>
  <si>
    <t>DD014</t>
  </si>
  <si>
    <t>換算フレーム
(モーション)</t>
    <rPh sb="0" eb="2">
      <t>カンサン</t>
    </rPh>
    <phoneticPr fontId="1"/>
  </si>
  <si>
    <t>時間
（モーション）</t>
    <rPh sb="0" eb="2">
      <t>ジカン</t>
    </rPh>
    <phoneticPr fontId="1"/>
  </si>
  <si>
    <t>換算球速
(モーション）</t>
    <rPh sb="0" eb="2">
      <t>カンサン</t>
    </rPh>
    <rPh sb="2" eb="4">
      <t>キュウソク</t>
    </rPh>
    <phoneticPr fontId="1"/>
  </si>
  <si>
    <t>時間
（ボール）</t>
    <rPh sb="0" eb="2">
      <t>ジカン</t>
    </rPh>
    <phoneticPr fontId="1"/>
  </si>
  <si>
    <t>換算球速
(ボール）</t>
    <rPh sb="0" eb="2">
      <t>カンサン</t>
    </rPh>
    <rPh sb="2" eb="4">
      <t>キュウソク</t>
    </rPh>
    <phoneticPr fontId="1"/>
  </si>
  <si>
    <t>換算フレーム
(ボール)</t>
    <rPh sb="0" eb="2">
      <t>カンサン</t>
    </rPh>
    <phoneticPr fontId="1"/>
  </si>
  <si>
    <t>人</t>
  </si>
  <si>
    <t>で</t>
  </si>
  <si>
    <t>リム</t>
  </si>
  <si>
    <t>でき</t>
  </si>
  <si>
    <t>DD015</t>
  </si>
  <si>
    <t>DD016</t>
  </si>
  <si>
    <t>DD017</t>
  </si>
  <si>
    <t>DD018</t>
  </si>
  <si>
    <t>DD019</t>
  </si>
  <si>
    <t>DD020</t>
  </si>
  <si>
    <t>DD021</t>
  </si>
  <si>
    <t>パーム</t>
    <phoneticPr fontId="1"/>
  </si>
  <si>
    <t>モーション</t>
    <phoneticPr fontId="1"/>
  </si>
  <si>
    <t>球速</t>
    <rPh sb="0" eb="2">
      <t>キュウソク</t>
    </rPh>
    <phoneticPr fontId="1"/>
  </si>
  <si>
    <t>コントロール</t>
    <phoneticPr fontId="1"/>
  </si>
  <si>
    <t>スタミナ</t>
    <phoneticPr fontId="1"/>
  </si>
  <si>
    <t>P001</t>
    <phoneticPr fontId="1"/>
  </si>
  <si>
    <t>P002</t>
  </si>
  <si>
    <t>P003</t>
  </si>
  <si>
    <t>P004</t>
  </si>
  <si>
    <t>P005</t>
  </si>
  <si>
    <t>P006</t>
  </si>
  <si>
    <t>P007</t>
  </si>
  <si>
    <t>P008</t>
  </si>
  <si>
    <t>P009</t>
  </si>
  <si>
    <t>P010</t>
  </si>
  <si>
    <t>P011</t>
  </si>
  <si>
    <t>P012</t>
  </si>
  <si>
    <t>P013</t>
  </si>
  <si>
    <t>P014</t>
  </si>
  <si>
    <t>P015</t>
  </si>
  <si>
    <t>P016</t>
  </si>
  <si>
    <t>P017</t>
  </si>
  <si>
    <t>P018</t>
  </si>
  <si>
    <t>P019</t>
  </si>
  <si>
    <t>P020</t>
  </si>
  <si>
    <t>P021</t>
  </si>
  <si>
    <t>P022</t>
  </si>
  <si>
    <t>P023</t>
  </si>
  <si>
    <t>P024</t>
  </si>
  <si>
    <t>P025</t>
  </si>
  <si>
    <t>P026</t>
  </si>
  <si>
    <t>P027</t>
  </si>
  <si>
    <t>P028</t>
  </si>
  <si>
    <t>P029</t>
  </si>
  <si>
    <t>P030</t>
  </si>
  <si>
    <t>P031</t>
  </si>
  <si>
    <t>P032</t>
  </si>
  <si>
    <t>P033</t>
  </si>
  <si>
    <t>P034</t>
  </si>
  <si>
    <t>P035</t>
  </si>
  <si>
    <t>P036</t>
  </si>
  <si>
    <t>P037</t>
  </si>
  <si>
    <t>P038</t>
  </si>
  <si>
    <t>P039</t>
  </si>
  <si>
    <t>P040</t>
  </si>
  <si>
    <t>P041</t>
  </si>
  <si>
    <t>P042</t>
  </si>
  <si>
    <t>P043</t>
  </si>
  <si>
    <t>P044</t>
  </si>
  <si>
    <t>P045</t>
  </si>
  <si>
    <t>P046</t>
  </si>
  <si>
    <t>P047</t>
  </si>
  <si>
    <t>P048</t>
  </si>
  <si>
    <t>P049</t>
  </si>
  <si>
    <t>P002</t>
    <phoneticPr fontId="1"/>
  </si>
  <si>
    <t>緩急〇</t>
    <rPh sb="0" eb="2">
      <t>カンキュウ</t>
    </rPh>
    <phoneticPr fontId="1"/>
  </si>
  <si>
    <t>P010</t>
    <phoneticPr fontId="1"/>
  </si>
  <si>
    <t>逃げ球</t>
    <rPh sb="0" eb="1">
      <t>ニ</t>
    </rPh>
    <rPh sb="2" eb="3">
      <t>キュウ</t>
    </rPh>
    <phoneticPr fontId="1"/>
  </si>
  <si>
    <t>ヤクルト</t>
    <phoneticPr fontId="1"/>
  </si>
  <si>
    <t>-</t>
    <phoneticPr fontId="1"/>
  </si>
  <si>
    <t>オリジナル</t>
    <phoneticPr fontId="1"/>
  </si>
  <si>
    <t>闘志</t>
    <rPh sb="0" eb="2">
      <t>トウシ</t>
    </rPh>
    <phoneticPr fontId="1"/>
  </si>
  <si>
    <t>対ピンチ</t>
    <rPh sb="0" eb="1">
      <t>タイ</t>
    </rPh>
    <phoneticPr fontId="1"/>
  </si>
  <si>
    <t>対左打者</t>
    <rPh sb="0" eb="1">
      <t>タイ</t>
    </rPh>
    <rPh sb="1" eb="4">
      <t>ヒダリダシャ</t>
    </rPh>
    <phoneticPr fontId="1"/>
  </si>
  <si>
    <t>打たれ強さ</t>
    <rPh sb="0" eb="1">
      <t>ウ</t>
    </rPh>
    <rPh sb="3" eb="4">
      <t>ヅヨ</t>
    </rPh>
    <phoneticPr fontId="1"/>
  </si>
  <si>
    <t>ケガしにくさ</t>
    <phoneticPr fontId="1"/>
  </si>
  <si>
    <t>ノビ</t>
    <phoneticPr fontId="1"/>
  </si>
  <si>
    <t>クイック</t>
    <phoneticPr fontId="1"/>
  </si>
  <si>
    <t>回復</t>
    <rPh sb="0" eb="2">
      <t>カイフク</t>
    </rPh>
    <phoneticPr fontId="1"/>
  </si>
  <si>
    <t>Ｃ</t>
    <phoneticPr fontId="1"/>
  </si>
  <si>
    <t>勝ち運</t>
    <rPh sb="0" eb="1">
      <t>カ</t>
    </rPh>
    <rPh sb="2" eb="3">
      <t>ウン</t>
    </rPh>
    <phoneticPr fontId="1"/>
  </si>
  <si>
    <t>C</t>
    <phoneticPr fontId="1"/>
  </si>
  <si>
    <t>P016</t>
    <phoneticPr fontId="1"/>
  </si>
  <si>
    <t>P019</t>
    <phoneticPr fontId="1"/>
  </si>
  <si>
    <t>P021</t>
    <phoneticPr fontId="1"/>
  </si>
  <si>
    <t>低め〇</t>
    <rPh sb="0" eb="1">
      <t>ヒク</t>
    </rPh>
    <phoneticPr fontId="1"/>
  </si>
  <si>
    <t>p022</t>
    <phoneticPr fontId="1"/>
  </si>
  <si>
    <t>回またぎ〇</t>
    <rPh sb="0" eb="1">
      <t>カイ</t>
    </rPh>
    <phoneticPr fontId="1"/>
  </si>
  <si>
    <t>p023</t>
  </si>
  <si>
    <t>牽制〇</t>
    <rPh sb="0" eb="2">
      <t>ケンセイ</t>
    </rPh>
    <phoneticPr fontId="1"/>
  </si>
  <si>
    <t>p024</t>
  </si>
  <si>
    <t>ポーカーフェイス</t>
    <phoneticPr fontId="1"/>
  </si>
  <si>
    <t>p026</t>
    <phoneticPr fontId="1"/>
  </si>
  <si>
    <t>P029</t>
    <phoneticPr fontId="1"/>
  </si>
  <si>
    <t>根性〇</t>
    <rPh sb="0" eb="2">
      <t>コンジョウ</t>
    </rPh>
    <phoneticPr fontId="1"/>
  </si>
  <si>
    <t>A</t>
    <phoneticPr fontId="1"/>
  </si>
  <si>
    <t>b</t>
    <phoneticPr fontId="1"/>
  </si>
  <si>
    <t>P031</t>
    <phoneticPr fontId="1"/>
  </si>
  <si>
    <t>キレ〇</t>
    <phoneticPr fontId="1"/>
  </si>
  <si>
    <t>調子安定</t>
    <rPh sb="0" eb="2">
      <t>チョウシ</t>
    </rPh>
    <rPh sb="2" eb="4">
      <t>アンテイ</t>
    </rPh>
    <phoneticPr fontId="1"/>
  </si>
  <si>
    <t>P032</t>
    <phoneticPr fontId="1"/>
  </si>
  <si>
    <t>p034</t>
    <phoneticPr fontId="1"/>
  </si>
  <si>
    <t>e</t>
    <phoneticPr fontId="1"/>
  </si>
  <si>
    <t>E</t>
    <phoneticPr fontId="1"/>
  </si>
  <si>
    <t>p035</t>
  </si>
  <si>
    <t>緊急登板</t>
    <rPh sb="0" eb="2">
      <t>キンキュウ</t>
    </rPh>
    <rPh sb="2" eb="4">
      <t>トウバン</t>
    </rPh>
    <phoneticPr fontId="1"/>
  </si>
  <si>
    <t>B</t>
    <phoneticPr fontId="1"/>
  </si>
  <si>
    <t>p037</t>
    <phoneticPr fontId="1"/>
  </si>
  <si>
    <t>g</t>
    <phoneticPr fontId="1"/>
  </si>
  <si>
    <t>P049</t>
    <phoneticPr fontId="1"/>
  </si>
  <si>
    <t>変化量</t>
    <rPh sb="0" eb="2">
      <t>ヘンカ</t>
    </rPh>
    <rPh sb="2" eb="3">
      <t>リョウ</t>
    </rPh>
    <phoneticPr fontId="1"/>
  </si>
  <si>
    <t>ID</t>
    <phoneticPr fontId="1"/>
  </si>
  <si>
    <t>名前</t>
    <rPh sb="0" eb="2">
      <t>ナマエ</t>
    </rPh>
    <phoneticPr fontId="1"/>
  </si>
  <si>
    <t>ストレート</t>
    <phoneticPr fontId="1"/>
  </si>
  <si>
    <t>全カストレート</t>
    <phoneticPr fontId="1"/>
  </si>
  <si>
    <t>にアー 得当アだコは</t>
    <phoneticPr fontId="1"/>
  </si>
  <si>
    <t>Ap</t>
    <phoneticPr fontId="1"/>
  </si>
  <si>
    <t>PE</t>
    <phoneticPr fontId="1"/>
  </si>
  <si>
    <t>PP</t>
    <phoneticPr fontId="1"/>
  </si>
  <si>
    <t>シンカー</t>
    <phoneticPr fontId="1"/>
  </si>
  <si>
    <t>アクアクルル ピコ</t>
    <phoneticPr fontId="1"/>
  </si>
  <si>
    <t>ドン</t>
    <phoneticPr fontId="1"/>
  </si>
  <si>
    <t>ンク</t>
    <phoneticPr fontId="1"/>
  </si>
  <si>
    <t>アク</t>
    <phoneticPr fontId="1"/>
  </si>
  <si>
    <t>パワプロ2020 - 投球解析 - 2020-08-23 11-10-26-00</t>
    <phoneticPr fontId="1"/>
  </si>
  <si>
    <t>パワプロ2020 - 投球解析 - 2020-08-23 11-10-26-01</t>
    <phoneticPr fontId="1"/>
  </si>
  <si>
    <t>パワプロ2020 - 投球解析 - 2020-08-23 11-10-26-02</t>
    <phoneticPr fontId="1"/>
  </si>
  <si>
    <t>パワプロ2020 - 投球解析 - 2020-08-23 11-10-26-03</t>
    <phoneticPr fontId="1"/>
  </si>
  <si>
    <t>パワプロ2020 - 投球解析 - 2020-08-23 11-10-26-04</t>
    <phoneticPr fontId="1"/>
  </si>
  <si>
    <t>パワプロ2020 - 投球解析 - 2020-08-23 11-10-26-05</t>
    <phoneticPr fontId="1"/>
  </si>
  <si>
    <t>パワプロ2020 - 投球解析 - 2020-08-23 11-10-26-06</t>
    <phoneticPr fontId="1"/>
  </si>
  <si>
    <t>パワプロ2020 - 投球解析 - 2020-08-23 11-10-26-07</t>
    <phoneticPr fontId="1"/>
  </si>
  <si>
    <t>パワプロ2020 - 投球解析 - 2020-08-23 11-10-26-08</t>
    <phoneticPr fontId="1"/>
  </si>
  <si>
    <t>パワプロ2020 - 投球解析 - 2020-08-23 11-10-26-09</t>
    <phoneticPr fontId="1"/>
  </si>
  <si>
    <t>パワプロ2020 - 投球解析 - 2020-08-23 11-11-35-00</t>
    <phoneticPr fontId="1"/>
  </si>
  <si>
    <t>パワプロ2020 - 投球解析 - 2020-08-23 11-11-35-01</t>
    <phoneticPr fontId="1"/>
  </si>
  <si>
    <t>パワプロ2020 - 投球解析 - 2020-08-23 11-11-35-02</t>
    <phoneticPr fontId="1"/>
  </si>
  <si>
    <t>パワプロ2020 - 投球解析 - 2020-08-23 11-11-35-03</t>
    <phoneticPr fontId="1"/>
  </si>
  <si>
    <t>パワプロ2020 - 投球解析 - 2020-08-23 11-11-35-04</t>
    <phoneticPr fontId="1"/>
  </si>
  <si>
    <t>パワプロ2020 - 投球解析 - 2020-08-23 11-11-35-05</t>
    <phoneticPr fontId="1"/>
  </si>
  <si>
    <t>パワプロ2020 - 投球解析 - 2020-08-23 11-11-35-06</t>
    <phoneticPr fontId="1"/>
  </si>
  <si>
    <t>パワプロ2020 - 投球解析 - 2020-08-23 11-11-35-07</t>
    <phoneticPr fontId="1"/>
  </si>
  <si>
    <t>パワプロ2020 - 投球解析 - 2020-08-23 11-11-35-08</t>
    <phoneticPr fontId="1"/>
  </si>
  <si>
    <t>パワプロ2020 - 投球解析 - 2020-08-23 11-11-35-09</t>
    <phoneticPr fontId="1"/>
  </si>
  <si>
    <t>パワプロ2020 - 投球解析 - 2020-08-23 11-12-45-00</t>
    <phoneticPr fontId="1"/>
  </si>
  <si>
    <t>パワプロ2020 - 投球解析 - 2020-08-23 11-12-45-01</t>
    <phoneticPr fontId="1"/>
  </si>
  <si>
    <t>パワプロ2020 - 投球解析 - 2020-08-23 11-12-45-02</t>
    <phoneticPr fontId="1"/>
  </si>
  <si>
    <t>パワプロ2020 - 投球解析 - 2020-08-23 11-12-45-03</t>
    <phoneticPr fontId="1"/>
  </si>
  <si>
    <t>パワプロ2020 - 投球解析 - 2020-08-23 11-12-45-04</t>
    <phoneticPr fontId="1"/>
  </si>
  <si>
    <t>パワプロ2020 - 投球解析 - 2020-08-23 11-12-45-05</t>
    <phoneticPr fontId="1"/>
  </si>
  <si>
    <t>パワプロ2020 - 投球解析 - 2020-08-23 11-12-45-06</t>
    <phoneticPr fontId="1"/>
  </si>
  <si>
    <t>パワプロ2020 - 投球解析 - 2020-08-23 11-12-45-07</t>
    <phoneticPr fontId="1"/>
  </si>
  <si>
    <t>パワプロ2020 - 投球解析 - 2020-08-23 11-12-45-08</t>
    <phoneticPr fontId="1"/>
  </si>
  <si>
    <t>パワプロ2020 - 投球解析 - 2020-08-23 11-12-45-09</t>
    <phoneticPr fontId="1"/>
  </si>
  <si>
    <t>パワプロ2020 - 投球解析 - 2020-08-23 11-13-59-00</t>
    <phoneticPr fontId="1"/>
  </si>
  <si>
    <t>パワプロ2020 - 投球解析 - 2020-08-23 11-13-59-01</t>
    <phoneticPr fontId="1"/>
  </si>
  <si>
    <t>パワプロ2020 - 投球解析 - 2020-08-23 11-13-59-02</t>
    <phoneticPr fontId="1"/>
  </si>
  <si>
    <t>パワプロ2020 - 投球解析 - 2020-08-23 11-13-59-03</t>
    <phoneticPr fontId="1"/>
  </si>
  <si>
    <t>パワプロ2020 - 投球解析 - 2020-08-23 11-13-59-04</t>
    <phoneticPr fontId="1"/>
  </si>
  <si>
    <t>パワプロ2020 - 投球解析 - 2020-08-23 11-13-59-05</t>
    <phoneticPr fontId="1"/>
  </si>
  <si>
    <t>パワプロ2020 - 投球解析 - 2020-08-23 11-13-59-06</t>
    <phoneticPr fontId="1"/>
  </si>
  <si>
    <t>パワプロ2020 - 投球解析 - 2020-08-23 11-13-59-07</t>
    <phoneticPr fontId="1"/>
  </si>
  <si>
    <t>パワプロ2020 - 投球解析 - 2020-08-23 11-13-59-08</t>
    <phoneticPr fontId="1"/>
  </si>
  <si>
    <t>パワプロ2020 - 投球解析 - 2020-08-23 11-13-59-09</t>
    <phoneticPr fontId="1"/>
  </si>
  <si>
    <t>パワプロ2020 - 投球解析 - 2020-08-23 11-15-09-00</t>
    <phoneticPr fontId="1"/>
  </si>
  <si>
    <t>パワプロ2020 - 投球解析 - 2020-08-23 11-15-09-01</t>
    <phoneticPr fontId="1"/>
  </si>
  <si>
    <t>パワプロ2020 - 投球解析 - 2020-08-23 11-15-09-02</t>
    <phoneticPr fontId="1"/>
  </si>
  <si>
    <t>パワプロ2020 - 投球解析 - 2020-08-23 11-15-09-03</t>
    <phoneticPr fontId="1"/>
  </si>
  <si>
    <t>パワプロ2020 - 投球解析 - 2020-08-23 11-15-09-04</t>
    <phoneticPr fontId="1"/>
  </si>
  <si>
    <t>パワプロ2020 - 投球解析 - 2020-08-23 11-15-09-05</t>
    <phoneticPr fontId="1"/>
  </si>
  <si>
    <t>パワプロ2020 - 投球解析 - 2020-08-23 11-15-09-06</t>
    <phoneticPr fontId="1"/>
  </si>
  <si>
    <t>パワプロ2020 - 投球解析 - 2020-08-23 11-15-09-07</t>
    <phoneticPr fontId="1"/>
  </si>
  <si>
    <t>パワプロ2020 - 投球解析 - 2020-08-23 11-15-09-08</t>
    <phoneticPr fontId="1"/>
  </si>
  <si>
    <t>パワプロ2020 - 投球解析 - 2020-08-23 11-15-09-09</t>
    <phoneticPr fontId="1"/>
  </si>
  <si>
    <t>パワプロ2020 - 投球解析 - 2020-08-23 11-16-20-00</t>
    <phoneticPr fontId="1"/>
  </si>
  <si>
    <t>パワプロ2020 - 投球解析 - 2020-08-23 11-16-20-01</t>
    <phoneticPr fontId="1"/>
  </si>
  <si>
    <t>パワプロ2020 - 投球解析 - 2020-08-23 11-16-20-02</t>
    <phoneticPr fontId="1"/>
  </si>
  <si>
    <t>パワプロ2020 - 投球解析 - 2020-08-23 11-16-20-03</t>
    <phoneticPr fontId="1"/>
  </si>
  <si>
    <t>パワプロ2020 - 投球解析 - 2020-08-23 11-16-20-04</t>
    <phoneticPr fontId="1"/>
  </si>
  <si>
    <t>パワプロ2020 - 投球解析 - 2020-08-23 11-16-20-05</t>
    <phoneticPr fontId="1"/>
  </si>
  <si>
    <t>パワプロ2020 - 投球解析 - 2020-08-23 11-16-20-06</t>
    <phoneticPr fontId="1"/>
  </si>
  <si>
    <t>パワプロ2020 - 投球解析 - 2020-08-23 11-16-20-07</t>
    <phoneticPr fontId="1"/>
  </si>
  <si>
    <t>パワプロ2020 - 投球解析 - 2020-08-23 11-16-20-08</t>
    <phoneticPr fontId="1"/>
  </si>
  <si>
    <t>パワプロ2020 - 投球解析 - 2020-08-23 11-16-20-09</t>
    <phoneticPr fontId="1"/>
  </si>
  <si>
    <t>球速</t>
    <rPh sb="0" eb="2">
      <t>キュウソク</t>
    </rPh>
    <phoneticPr fontId="1"/>
  </si>
  <si>
    <t>パワプロ</t>
    <phoneticPr fontId="1"/>
  </si>
  <si>
    <t>DD007</t>
  </si>
  <si>
    <t>DDO007</t>
  </si>
  <si>
    <t>DD0) 2 1</t>
  </si>
  <si>
    <t>00EWBG1</t>
  </si>
  <si>
    <t>DDO00 3</t>
  </si>
  <si>
    <t>BI0EWBG1</t>
  </si>
  <si>
    <t>BI0EWB1</t>
  </si>
  <si>
    <t>BN0EWBG1</t>
  </si>
  <si>
    <t>IN0EWBG1</t>
  </si>
  <si>
    <t>II0EWBG1</t>
  </si>
  <si>
    <t>00EWB1</t>
  </si>
  <si>
    <t>IN0BWBG1</t>
  </si>
  <si>
    <t>DDO00) 3</t>
  </si>
  <si>
    <t>BOB</t>
  </si>
  <si>
    <t>II0EWB1</t>
  </si>
  <si>
    <t>100EWB1</t>
  </si>
  <si>
    <t>0EWBG1</t>
  </si>
  <si>
    <t>DD00 3</t>
  </si>
  <si>
    <t>DD00) 3</t>
  </si>
  <si>
    <t>II0EWBG</t>
  </si>
  <si>
    <t>DD021</t>
    <phoneticPr fontId="1"/>
  </si>
  <si>
    <t>DD003</t>
    <phoneticPr fontId="1"/>
  </si>
  <si>
    <t>投手名変換表</t>
    <rPh sb="0" eb="2">
      <t>トウシュ</t>
    </rPh>
    <rPh sb="2" eb="3">
      <t>メイ</t>
    </rPh>
    <rPh sb="3" eb="5">
      <t>ヘンカン</t>
    </rPh>
    <rPh sb="5" eb="6">
      <t>ヒョウ</t>
    </rPh>
    <phoneticPr fontId="1"/>
  </si>
  <si>
    <t>DD007</t>
    <phoneticPr fontId="1"/>
  </si>
  <si>
    <t>DDO007</t>
    <phoneticPr fontId="1"/>
  </si>
  <si>
    <t>パワプロ2020 - 投球解析 - 2020-08-23 14-04-47-00</t>
    <phoneticPr fontId="1"/>
  </si>
  <si>
    <t>パワプロ2020 - 投球解析 - 2020-08-23 14-04-47-01</t>
    <phoneticPr fontId="1"/>
  </si>
  <si>
    <t>パワプロ2020 - 投球解析 - 2020-08-23 14-04-47-02</t>
    <phoneticPr fontId="1"/>
  </si>
  <si>
    <t>パワプロ2020 - 投球解析 - 2020-08-23 14-04-47-03</t>
    <phoneticPr fontId="1"/>
  </si>
  <si>
    <t>パワプロ2020 - 投球解析 - 2020-08-23 14-04-47-04</t>
    <phoneticPr fontId="1"/>
  </si>
  <si>
    <t>パワプロ2020 - 投球解析 - 2020-08-23 14-04-47-05</t>
    <phoneticPr fontId="1"/>
  </si>
  <si>
    <t>パワプロ2020 - 投球解析 - 2020-08-23 14-04-47-06</t>
    <phoneticPr fontId="1"/>
  </si>
  <si>
    <t>パワプロ2020 - 投球解析 - 2020-08-23 14-04-47-07</t>
    <phoneticPr fontId="1"/>
  </si>
  <si>
    <t>パワプロ2020 - 投球解析 - 2020-08-23 14-04-47-08</t>
    <phoneticPr fontId="1"/>
  </si>
  <si>
    <t>パワプロ2020 - 投球解析 - 2020-08-23 14-04-47-09</t>
    <phoneticPr fontId="1"/>
  </si>
  <si>
    <t>パワプロ2020 - 投球解析 - 2020-08-23 14-05-50-00</t>
    <phoneticPr fontId="1"/>
  </si>
  <si>
    <t>パワプロ2020 - 投球解析 - 2020-08-23 14-05-50-01</t>
    <phoneticPr fontId="1"/>
  </si>
  <si>
    <t>パワプロ2020 - 投球解析 - 2020-08-23 14-05-50-02</t>
    <phoneticPr fontId="1"/>
  </si>
  <si>
    <t>パワプロ2020 - 投球解析 - 2020-08-23 14-05-50-03</t>
    <phoneticPr fontId="1"/>
  </si>
  <si>
    <t>パワプロ2020 - 投球解析 - 2020-08-23 14-05-50-04</t>
    <phoneticPr fontId="1"/>
  </si>
  <si>
    <t>パワプロ2020 - 投球解析 - 2020-08-23 14-05-50-05</t>
    <phoneticPr fontId="1"/>
  </si>
  <si>
    <t>0アたニシEpん</t>
    <phoneticPr fontId="1"/>
  </si>
  <si>
    <t>パワプロ2020 - 投球解析 - 2020-08-23 14-05-50-06</t>
    <phoneticPr fontId="1"/>
  </si>
  <si>
    <t>パワプロ2020 - 投球解析 - 2020-08-23 14-05-50-07</t>
    <phoneticPr fontId="1"/>
  </si>
  <si>
    <t>パワプロ2020 - 投球解析 - 2020-08-23 14-05-50-08</t>
    <phoneticPr fontId="1"/>
  </si>
  <si>
    <t>パワプロ2020 - 投球解析 - 2020-08-23 14-05-50-09</t>
    <phoneticPr fontId="1"/>
  </si>
  <si>
    <t>パワプロ2020 - 投球解析 - 2020-08-23 14-06-56-00</t>
    <phoneticPr fontId="1"/>
  </si>
  <si>
    <t>パワプロ2020 - 投球解析 - 2020-08-23 14-06-56-01</t>
    <phoneticPr fontId="1"/>
  </si>
  <si>
    <t>パワプロ2020 - 投球解析 - 2020-08-23 14-06-56-02</t>
    <phoneticPr fontId="1"/>
  </si>
  <si>
    <t>パワプロ2020 - 投球解析 - 2020-08-23 14-06-56-03</t>
    <phoneticPr fontId="1"/>
  </si>
  <si>
    <t>パワプロ2020 - 投球解析 - 2020-08-23 14-06-56-04</t>
    <phoneticPr fontId="1"/>
  </si>
  <si>
    <t>パワプロ2020 - 投球解析 - 2020-08-23 14-06-56-05</t>
    <phoneticPr fontId="1"/>
  </si>
  <si>
    <t>パワプロ2020 - 投球解析 - 2020-08-23 14-06-56-06</t>
    <phoneticPr fontId="1"/>
  </si>
  <si>
    <t>パワプロ2020 - 投球解析 - 2020-08-23 14-06-56-07</t>
    <phoneticPr fontId="1"/>
  </si>
  <si>
    <t>パワプロ2020 - 投球解析 - 2020-08-23 14-06-56-08</t>
    <phoneticPr fontId="1"/>
  </si>
  <si>
    <t>パワプロ2020 - 投球解析 - 2020-08-23 14-06-56-09</t>
    <phoneticPr fontId="1"/>
  </si>
  <si>
    <t>ナックル</t>
    <phoneticPr fontId="1"/>
  </si>
  <si>
    <t>パワプロ2020 - 投球解析 - 2020-08-23 14-08-02-00</t>
    <phoneticPr fontId="1"/>
  </si>
  <si>
    <t>と品ソニガリの</t>
    <phoneticPr fontId="1"/>
  </si>
  <si>
    <t>パワプロ2020 - 投球解析 - 2020-08-23 14-08-02-01</t>
    <phoneticPr fontId="1"/>
  </si>
  <si>
    <t>レニプリ</t>
    <phoneticPr fontId="1"/>
  </si>
  <si>
    <t>パワプロ2020 - 投球解析 - 2020-08-23 14-08-02-02</t>
    <phoneticPr fontId="1"/>
  </si>
  <si>
    <t>パワプロ2020 - 投球解析 - 2020-08-23 14-08-02-03</t>
    <phoneticPr fontId="1"/>
  </si>
  <si>
    <t>レタンプ|</t>
    <phoneticPr fontId="1"/>
  </si>
  <si>
    <t>パワプロ2020 - 投球解析 - 2020-08-23 14-08-02-04</t>
    <phoneticPr fontId="1"/>
  </si>
  <si>
    <t>レニンプ!</t>
    <phoneticPr fontId="1"/>
  </si>
  <si>
    <t>パワプロ2020 - 投球解析 - 2020-08-23 14-08-02-05</t>
    <phoneticPr fontId="1"/>
  </si>
  <si>
    <t>リラクタ|の</t>
    <phoneticPr fontId="1"/>
  </si>
  <si>
    <t>パワプロ2020 - 投球解析 - 2020-08-23 14-08-02-06</t>
    <phoneticPr fontId="1"/>
  </si>
  <si>
    <t>パワプロ2020 - 投球解析 - 2020-08-23 14-08-02-07</t>
    <phoneticPr fontId="1"/>
  </si>
  <si>
    <t>パワプロ2020 - 投球解析 - 2020-08-23 14-08-02-08</t>
    <phoneticPr fontId="1"/>
  </si>
  <si>
    <t>とソラクプリ</t>
    <phoneticPr fontId="1"/>
  </si>
  <si>
    <t>パワプロ2020 - 投球解析 - 2020-08-23 14-08-02-09</t>
    <phoneticPr fontId="1"/>
  </si>
  <si>
    <t>DD0) 2 1</t>
    <phoneticPr fontId="1"/>
  </si>
  <si>
    <t>パワプロ2020 - 投球解析 - 2020-08-23 14-19-33-00</t>
    <phoneticPr fontId="1"/>
  </si>
  <si>
    <t>にアア竹アた</t>
    <phoneticPr fontId="1"/>
  </si>
  <si>
    <t>パワプロ2020 - 投球解析 - 2020-08-23 14-19-33-01</t>
    <phoneticPr fontId="1"/>
  </si>
  <si>
    <t>パワプロ2020 - 投球解析 - 2020-08-23 14-19-33-02</t>
    <phoneticPr fontId="1"/>
  </si>
  <si>
    <t>パワプロ2020 - 投球解析 - 2020-08-23 14-19-33-03</t>
    <phoneticPr fontId="1"/>
  </si>
  <si>
    <t>にコー 作た</t>
    <phoneticPr fontId="1"/>
  </si>
  <si>
    <t>パワプロ2020 - 投球解析 - 2020-08-23 14-19-33-04</t>
    <phoneticPr fontId="1"/>
  </si>
  <si>
    <t>パワプロ2020 - 投球解析 - 2020-08-23 14-19-33-05</t>
    <phoneticPr fontId="1"/>
  </si>
  <si>
    <t>パワプロ2020 - 投球解析 - 2020-08-23 14-19-33-06</t>
    <phoneticPr fontId="1"/>
  </si>
  <si>
    <t>パワプロ2020 - 投球解析 - 2020-08-23 14-19-33-07</t>
    <phoneticPr fontId="1"/>
  </si>
  <si>
    <t>にコアの作た</t>
    <phoneticPr fontId="1"/>
  </si>
  <si>
    <t>パワプロ2020 - 投球解析 - 2020-08-23 14-19-33-08</t>
    <phoneticPr fontId="1"/>
  </si>
  <si>
    <t>パワプロ2020 - 投球解析 - 2020-08-23 14-19-33-09</t>
    <phoneticPr fontId="1"/>
  </si>
  <si>
    <t>ルプ</t>
    <phoneticPr fontId="1"/>
  </si>
  <si>
    <t>パワプロ2020 - 投球解析 - 2020-08-23 14-21-04-00</t>
    <phoneticPr fontId="1"/>
  </si>
  <si>
    <t>パーム</t>
    <phoneticPr fontId="1"/>
  </si>
  <si>
    <t>パワプロ2020 - 投球解析 - 2020-08-23 14-21-04-01</t>
    <phoneticPr fontId="1"/>
  </si>
  <si>
    <t>に</t>
    <phoneticPr fontId="1"/>
  </si>
  <si>
    <t>パワプロ2020 - 投球解析 - 2020-08-23 14-21-04-02</t>
    <phoneticPr fontId="1"/>
  </si>
  <si>
    <t>パワプロ2020 - 投球解析 - 2020-08-23 14-21-04-03</t>
    <phoneticPr fontId="1"/>
  </si>
  <si>
    <t>パワプロ2020 - 投球解析 - 2020-08-23 14-21-04-04</t>
    <phoneticPr fontId="1"/>
  </si>
  <si>
    <t>パワプロ2020 - 投球解析 - 2020-08-23 14-21-04-05</t>
    <phoneticPr fontId="1"/>
  </si>
  <si>
    <t>パワプロ2020 - 投球解析 - 2020-08-23 14-21-04-06</t>
    <phoneticPr fontId="1"/>
  </si>
  <si>
    <t>パワプロ2020 - 投球解析 - 2020-08-23 14-21-04-07</t>
    <phoneticPr fontId="1"/>
  </si>
  <si>
    <t>パワプロ2020 - 投球解析 - 2020-08-23 14-21-04-08</t>
    <phoneticPr fontId="1"/>
  </si>
  <si>
    <t>パワプロ2020 - 投球解析 - 2020-08-23 14-21-04-09</t>
    <phoneticPr fontId="1"/>
  </si>
  <si>
    <t>00EWBG1</t>
    <phoneticPr fontId="1"/>
  </si>
  <si>
    <t>とココに</t>
    <phoneticPr fontId="1"/>
  </si>
  <si>
    <t>DDO00 3</t>
    <phoneticPr fontId="1"/>
  </si>
  <si>
    <t>BI0EWBG1</t>
    <phoneticPr fontId="1"/>
  </si>
  <si>
    <t>BI0EWB1</t>
    <phoneticPr fontId="1"/>
  </si>
  <si>
    <t>BN0EWBG1</t>
    <phoneticPr fontId="1"/>
  </si>
  <si>
    <t>パワプロ2020 - 投球解析 - 2020-08-23 14-23-42-00</t>
    <phoneticPr fontId="1"/>
  </si>
  <si>
    <t>パワプロ2020 - 投球解析 - 2020-08-23 14-23-42-01</t>
    <phoneticPr fontId="1"/>
  </si>
  <si>
    <t>IN0EWBG1</t>
    <phoneticPr fontId="1"/>
  </si>
  <si>
    <t>パワプロ2020 - 投球解析 - 2020-08-23 14-23-42-02</t>
    <phoneticPr fontId="1"/>
  </si>
  <si>
    <t>II0EWBG1</t>
    <phoneticPr fontId="1"/>
  </si>
  <si>
    <t>パワプロ2020 - 投球解析 - 2020-08-23 14-23-42-03</t>
    <phoneticPr fontId="1"/>
  </si>
  <si>
    <t>パワプロ2020 - 投球解析 - 2020-08-23 14-23-42-04</t>
    <phoneticPr fontId="1"/>
  </si>
  <si>
    <t>パワプロ2020 - 投球解析 - 2020-08-23 14-23-42-05</t>
    <phoneticPr fontId="1"/>
  </si>
  <si>
    <t>パワプロ2020 - 投球解析 - 2020-08-23 14-23-42-06</t>
    <phoneticPr fontId="1"/>
  </si>
  <si>
    <t>パワプロ2020 - 投球解析 - 2020-08-23 14-23-42-07</t>
    <phoneticPr fontId="1"/>
  </si>
  <si>
    <t>にアア作た</t>
    <phoneticPr fontId="1"/>
  </si>
  <si>
    <t>パワプロ2020 - 投球解析 - 2020-08-23 14-23-42-08</t>
    <phoneticPr fontId="1"/>
  </si>
  <si>
    <t>にアア作にアた</t>
    <phoneticPr fontId="1"/>
  </si>
  <si>
    <t>パワプロ2020 - 投球解析 - 2020-08-23 14-23-42-09</t>
    <phoneticPr fontId="1"/>
  </si>
  <si>
    <t>Py人NG</t>
    <phoneticPr fontId="1"/>
  </si>
  <si>
    <t>IN0BWBG1</t>
    <phoneticPr fontId="1"/>
  </si>
  <si>
    <t>パワプロ2020 - 投球解析 - 2020-08-23 14-24-49-00</t>
    <phoneticPr fontId="1"/>
  </si>
  <si>
    <t>DDO00) 3</t>
    <phoneticPr fontId="1"/>
  </si>
  <si>
    <t>パワプロ2020 - 投球解析 - 2020-08-23 14-24-49-01</t>
    <phoneticPr fontId="1"/>
  </si>
  <si>
    <t>パワプロ2020 - 投球解析 - 2020-08-23 14-24-49-02</t>
    <phoneticPr fontId="1"/>
  </si>
  <si>
    <t>パワプロ2020 - 投球解析 - 2020-08-23 14-24-49-03</t>
    <phoneticPr fontId="1"/>
  </si>
  <si>
    <t>パワプロ2020 - 投球解析 - 2020-08-23 14-24-49-04</t>
    <phoneticPr fontId="1"/>
  </si>
  <si>
    <t>パワプロ2020 - 投球解析 - 2020-08-23 14-24-49-05</t>
    <phoneticPr fontId="1"/>
  </si>
  <si>
    <t>パワプロ2020 - 投球解析 - 2020-08-23 14-24-49-06</t>
    <phoneticPr fontId="1"/>
  </si>
  <si>
    <t>BOB</t>
    <phoneticPr fontId="1"/>
  </si>
  <si>
    <t>パワプロ2020 - 投球解析 - 2020-08-23 14-24-49-07</t>
    <phoneticPr fontId="1"/>
  </si>
  <si>
    <t>II0EWB1</t>
    <phoneticPr fontId="1"/>
  </si>
  <si>
    <t>パワプロ2020 - 投球解析 - 2020-08-23 14-24-49-08</t>
    <phoneticPr fontId="1"/>
  </si>
  <si>
    <t>パワプロ2020 - 投球解析 - 2020-08-23 14-24-49-09</t>
    <phoneticPr fontId="1"/>
  </si>
  <si>
    <t>100EWB1</t>
    <phoneticPr fontId="1"/>
  </si>
  <si>
    <t>パワプロ2020 - 投球解析 - 2020-08-23 14-25-58-00</t>
    <phoneticPr fontId="1"/>
  </si>
  <si>
    <t>パワプロ2020 - 投球解析 - 2020-08-23 14-25-58-01</t>
    <phoneticPr fontId="1"/>
  </si>
  <si>
    <t>パワプロ2020 - 投球解析 - 2020-08-23 14-25-58-02</t>
    <phoneticPr fontId="1"/>
  </si>
  <si>
    <t>7ん</t>
    <phoneticPr fontId="1"/>
  </si>
  <si>
    <t>パワプロ2020 - 投球解析 - 2020-08-23 14-25-58-03</t>
    <phoneticPr fontId="1"/>
  </si>
  <si>
    <t>パワプロ2020 - 投球解析 - 2020-08-23 14-25-58-04</t>
    <phoneticPr fontId="1"/>
  </si>
  <si>
    <t>パワプロ2020 - 投球解析 - 2020-08-23 14-25-58-05</t>
    <phoneticPr fontId="1"/>
  </si>
  <si>
    <t>パワプロ2020 - 投球解析 - 2020-08-23 14-25-58-06</t>
    <phoneticPr fontId="1"/>
  </si>
  <si>
    <t>パワプロ2020 - 投球解析 - 2020-08-23 14-25-58-07</t>
    <phoneticPr fontId="1"/>
  </si>
  <si>
    <t>パワプロ2020 - 投球解析 - 2020-08-23 14-25-58-08</t>
    <phoneticPr fontId="1"/>
  </si>
  <si>
    <t>パワプロ2020 - 投球解析 - 2020-08-23 14-25-58-09</t>
    <phoneticPr fontId="1"/>
  </si>
  <si>
    <t>パワプロ2020 - 投球解析 - 2020-08-23 14-27-07-00</t>
    <phoneticPr fontId="1"/>
  </si>
  <si>
    <t>パワプロ2020 - 投球解析 - 2020-08-23 14-27-07-01</t>
    <phoneticPr fontId="1"/>
  </si>
  <si>
    <t>パワプロ2020 - 投球解析 - 2020-08-23 14-27-07-02</t>
    <phoneticPr fontId="1"/>
  </si>
  <si>
    <t>パワプロ2020 - 投球解析 - 2020-08-23 14-27-07-03</t>
    <phoneticPr fontId="1"/>
  </si>
  <si>
    <t>パワプロ2020 - 投球解析 - 2020-08-23 14-27-07-04</t>
    <phoneticPr fontId="1"/>
  </si>
  <si>
    <t>パワプロ2020 - 投球解析 - 2020-08-23 14-27-07-05</t>
    <phoneticPr fontId="1"/>
  </si>
  <si>
    <t>パワプロ2020 - 投球解析 - 2020-08-23 14-27-07-06</t>
    <phoneticPr fontId="1"/>
  </si>
  <si>
    <t>パワプロ2020 - 投球解析 - 2020-08-23 14-27-07-07</t>
    <phoneticPr fontId="1"/>
  </si>
  <si>
    <t>パワプロ2020 - 投球解析 - 2020-08-23 14-27-07-08</t>
    <phoneticPr fontId="1"/>
  </si>
  <si>
    <t>パワプロ2020 - 投球解析 - 2020-08-23 14-27-07-09</t>
    <phoneticPr fontId="1"/>
  </si>
  <si>
    <t>DD007</t>
    <phoneticPr fontId="1"/>
  </si>
  <si>
    <t>ドロップ</t>
    <phoneticPr fontId="1"/>
  </si>
  <si>
    <t>シュート</t>
    <phoneticPr fontId="1"/>
  </si>
  <si>
    <t>13)</t>
  </si>
  <si>
    <t>全力ストレート</t>
  </si>
  <si>
    <t>a}</t>
  </si>
  <si>
    <t>II6国還</t>
  </si>
  <si>
    <t>DD022</t>
  </si>
  <si>
    <t>ストレート</t>
    <phoneticPr fontId="1"/>
  </si>
  <si>
    <t>Ta</t>
    <phoneticPr fontId="1"/>
  </si>
  <si>
    <t>ari)</t>
    <phoneticPr fontId="1"/>
  </si>
  <si>
    <t>eh)</t>
    <phoneticPr fontId="1"/>
  </si>
  <si>
    <t>ce</t>
    <phoneticPr fontId="1"/>
  </si>
  <si>
    <t>cit)</t>
    <phoneticPr fontId="1"/>
  </si>
  <si>
    <t>ce}</t>
  </si>
  <si>
    <t>EL)</t>
    <phoneticPr fontId="1"/>
  </si>
  <si>
    <t>ars)</t>
    <phoneticPr fontId="1"/>
  </si>
  <si>
    <t>ra</t>
    <phoneticPr fontId="1"/>
  </si>
  <si>
    <t>ara}</t>
  </si>
  <si>
    <t>ara}</t>
    <phoneticPr fontId="1"/>
  </si>
  <si>
    <t>cm)</t>
    <phoneticPr fontId="1"/>
  </si>
  <si>
    <t>na}</t>
    <phoneticPr fontId="1"/>
  </si>
  <si>
    <t>re}</t>
    <phoneticPr fontId="1"/>
  </si>
  <si>
    <t>nr}</t>
    <phoneticPr fontId="1"/>
  </si>
  <si>
    <t>-)</t>
    <phoneticPr fontId="1"/>
  </si>
  <si>
    <t>ar}</t>
  </si>
  <si>
    <t>ide</t>
    <phoneticPr fontId="1"/>
  </si>
  <si>
    <t>rad</t>
  </si>
  <si>
    <t>rac}</t>
  </si>
  <si>
    <t>ra)</t>
  </si>
  <si>
    <t>ara</t>
    <phoneticPr fontId="1"/>
  </si>
  <si>
    <t>art)</t>
    <phoneticPr fontId="1"/>
  </si>
  <si>
    <t>amt}</t>
    <phoneticPr fontId="1"/>
  </si>
  <si>
    <t>mn}</t>
    <phoneticPr fontId="1"/>
  </si>
  <si>
    <t>ety</t>
    <phoneticPr fontId="1"/>
  </si>
  <si>
    <t>ETS</t>
    <phoneticPr fontId="1"/>
  </si>
  <si>
    <t>Ts</t>
    <phoneticPr fontId="1"/>
  </si>
  <si>
    <t>act}</t>
    <phoneticPr fontId="1"/>
  </si>
  <si>
    <t>Cv)</t>
  </si>
  <si>
    <t>cls)</t>
    <phoneticPr fontId="1"/>
  </si>
  <si>
    <t>cL</t>
    <phoneticPr fontId="1"/>
  </si>
  <si>
    <t>cv)</t>
    <phoneticPr fontId="1"/>
  </si>
  <si>
    <t>vy</t>
    <phoneticPr fontId="1"/>
  </si>
  <si>
    <t>ee</t>
    <phoneticPr fontId="1"/>
  </si>
  <si>
    <t>cc</t>
    <phoneticPr fontId="1"/>
  </si>
  <si>
    <t>act</t>
  </si>
  <si>
    <t>cE)</t>
    <phoneticPr fontId="1"/>
  </si>
  <si>
    <t>acl)</t>
    <phoneticPr fontId="1"/>
  </si>
  <si>
    <t>cls</t>
    <phoneticPr fontId="1"/>
  </si>
  <si>
    <t>ad 5)</t>
    <phoneticPr fontId="1"/>
  </si>
  <si>
    <t>art}</t>
    <phoneticPr fontId="1"/>
  </si>
  <si>
    <t>ar)</t>
    <phoneticPr fontId="1"/>
  </si>
  <si>
    <t>ra}</t>
    <phoneticPr fontId="1"/>
  </si>
  <si>
    <t>ar}</t>
    <phoneticPr fontId="1"/>
  </si>
  <si>
    <t>a4)</t>
    <phoneticPr fontId="1"/>
  </si>
  <si>
    <t>ara)</t>
    <phoneticPr fontId="1"/>
  </si>
  <si>
    <t>ar 5)</t>
  </si>
  <si>
    <t>ra)</t>
    <phoneticPr fontId="1"/>
  </si>
  <si>
    <t>aw]</t>
    <phoneticPr fontId="1"/>
  </si>
  <si>
    <t>aw)</t>
    <phoneticPr fontId="1"/>
  </si>
  <si>
    <t>ae)</t>
    <phoneticPr fontId="1"/>
  </si>
  <si>
    <t>ec</t>
    <phoneticPr fontId="1"/>
  </si>
  <si>
    <t>cn}</t>
    <phoneticPr fontId="1"/>
  </si>
  <si>
    <t>ct</t>
    <phoneticPr fontId="1"/>
  </si>
  <si>
    <t>ck</t>
  </si>
  <si>
    <t>rc}</t>
    <phoneticPr fontId="1"/>
  </si>
  <si>
    <t>Cv)</t>
    <phoneticPr fontId="1"/>
  </si>
  <si>
    <t>acl</t>
    <phoneticPr fontId="1"/>
  </si>
  <si>
    <t>act</t>
    <phoneticPr fontId="1"/>
  </si>
  <si>
    <t>vi</t>
  </si>
  <si>
    <t>cts</t>
    <phoneticPr fontId="1"/>
  </si>
  <si>
    <t>aa</t>
    <phoneticPr fontId="1"/>
  </si>
  <si>
    <t>ch)</t>
    <phoneticPr fontId="1"/>
  </si>
  <si>
    <t>Td</t>
  </si>
  <si>
    <t>co</t>
    <phoneticPr fontId="1"/>
  </si>
  <si>
    <t>Co)</t>
    <phoneticPr fontId="1"/>
  </si>
  <si>
    <t>a)</t>
    <phoneticPr fontId="1"/>
  </si>
  <si>
    <t>ar</t>
    <phoneticPr fontId="1"/>
  </si>
  <si>
    <t>a 5)</t>
  </si>
  <si>
    <t>art</t>
    <phoneticPr fontId="1"/>
  </si>
  <si>
    <t>rai</t>
    <phoneticPr fontId="1"/>
  </si>
  <si>
    <t>rh)</t>
    <phoneticPr fontId="1"/>
  </si>
  <si>
    <t>II60国必6|</t>
    <phoneticPr fontId="1"/>
  </si>
  <si>
    <t>DDO010</t>
    <phoneticPr fontId="1"/>
  </si>
  <si>
    <t>と</t>
    <phoneticPr fontId="1"/>
  </si>
  <si>
    <t>7h)</t>
    <phoneticPr fontId="1"/>
  </si>
  <si>
    <t>rh}</t>
    <phoneticPr fontId="1"/>
  </si>
  <si>
    <t>人19106国暫(|</t>
    <phoneticPr fontId="1"/>
  </si>
  <si>
    <t>rn</t>
    <phoneticPr fontId="1"/>
  </si>
  <si>
    <t>人10160国必(|</t>
    <phoneticPr fontId="1"/>
  </si>
  <si>
    <t>906国暫(|</t>
    <phoneticPr fontId="1"/>
  </si>
  <si>
    <t>006国必6|</t>
    <phoneticPr fontId="1"/>
  </si>
  <si>
    <t>rh</t>
    <phoneticPr fontId="1"/>
  </si>
  <si>
    <t>rh:</t>
    <phoneticPr fontId="1"/>
  </si>
  <si>
    <t>0I6国必6|</t>
    <phoneticPr fontId="1"/>
  </si>
  <si>
    <t>にコア作た</t>
    <phoneticPr fontId="1"/>
  </si>
  <si>
    <t>0160還必(|</t>
    <phoneticPr fontId="1"/>
  </si>
  <si>
    <t>パワプロ2020 - 投球解析 - 2020-08-23 15-48-07-00</t>
    <phoneticPr fontId="1"/>
  </si>
  <si>
    <t>パワプロ2020 - 投球解析 - 2020-08-23 15-48-07-01</t>
    <phoneticPr fontId="1"/>
  </si>
  <si>
    <t>19I60国攻6|</t>
    <phoneticPr fontId="1"/>
  </si>
  <si>
    <t>パワプロ2020 - 投球解析 - 2020-08-23 15-48-07-02</t>
    <phoneticPr fontId="1"/>
  </si>
  <si>
    <t>パワプロ2020 - 投球解析 - 2020-08-23 15-48-07-03</t>
    <phoneticPr fontId="1"/>
  </si>
  <si>
    <t>10I6国必6|</t>
    <phoneticPr fontId="1"/>
  </si>
  <si>
    <t>パワプロ2020 - 投球解析 - 2020-08-23 15-48-07-04</t>
    <phoneticPr fontId="1"/>
  </si>
  <si>
    <t>DI6国必6|</t>
    <phoneticPr fontId="1"/>
  </si>
  <si>
    <t>パワプロ2020 - 投球解析 - 2020-08-23 15-48-07-05</t>
    <phoneticPr fontId="1"/>
  </si>
  <si>
    <t>1060国暫(|</t>
    <phoneticPr fontId="1"/>
  </si>
  <si>
    <t>パワプロ2020 - 投球解析 - 2020-08-23 15-48-07-06</t>
    <phoneticPr fontId="1"/>
  </si>
  <si>
    <t>06国必(|</t>
    <phoneticPr fontId="1"/>
  </si>
  <si>
    <t>パワプロ2020 - 投球解析 - 2020-08-23 15-48-07-07</t>
    <phoneticPr fontId="1"/>
  </si>
  <si>
    <t>パワプロ2020 - 投球解析 - 2020-08-23 15-48-07-08</t>
    <phoneticPr fontId="1"/>
  </si>
  <si>
    <t>II6国軒(|</t>
    <phoneticPr fontId="1"/>
  </si>
  <si>
    <t>パワプロ2020 - 投球解析 - 2020-08-23 15-48-07-09</t>
    <phoneticPr fontId="1"/>
  </si>
  <si>
    <t>0106国必(|</t>
    <phoneticPr fontId="1"/>
  </si>
  <si>
    <t>パワプロ2020 - 投球解析 - 2020-08-23 15-49-19-00</t>
    <phoneticPr fontId="1"/>
  </si>
  <si>
    <t>rit)</t>
    <phoneticPr fontId="1"/>
  </si>
  <si>
    <t>0M6国必(|</t>
    <phoneticPr fontId="1"/>
  </si>
  <si>
    <t>パワプロ2020 - 投球解析 - 2020-08-23 15-49-19-01</t>
    <phoneticPr fontId="1"/>
  </si>
  <si>
    <t>it)</t>
    <phoneticPr fontId="1"/>
  </si>
  <si>
    <t>人19160国必(|</t>
    <phoneticPr fontId="1"/>
  </si>
  <si>
    <t>パワプロ2020 - 投球解析 - 2020-08-23 15-49-19-02</t>
    <phoneticPr fontId="1"/>
  </si>
  <si>
    <t>vit)</t>
    <phoneticPr fontId="1"/>
  </si>
  <si>
    <t>人1060国必6|</t>
    <phoneticPr fontId="1"/>
  </si>
  <si>
    <t>パワプロ2020 - 投球解析 - 2020-08-23 15-49-19-03</t>
    <phoneticPr fontId="1"/>
  </si>
  <si>
    <t>パワプロ2020 - 投球解析 - 2020-08-23 15-49-19-04</t>
    <phoneticPr fontId="1"/>
  </si>
  <si>
    <t>II6凍(|</t>
    <phoneticPr fontId="1"/>
  </si>
  <si>
    <t>パワプロ2020 - 投球解析 - 2020-08-23 15-49-19-05</t>
    <phoneticPr fontId="1"/>
  </si>
  <si>
    <t>0I60国必6|</t>
    <phoneticPr fontId="1"/>
  </si>
  <si>
    <t>パワプロ2020 - 投球解析 - 2020-08-23 15-49-19-06</t>
    <phoneticPr fontId="1"/>
  </si>
  <si>
    <t>106国還(|</t>
    <phoneticPr fontId="1"/>
  </si>
  <si>
    <t>パワプロ2020 - 投球解析 - 2020-08-23 15-49-19-07</t>
    <phoneticPr fontId="1"/>
  </si>
  <si>
    <t>Ip</t>
    <phoneticPr fontId="1"/>
  </si>
  <si>
    <t>960国必6|</t>
    <phoneticPr fontId="1"/>
  </si>
  <si>
    <t>パワプロ2020 - 投球解析 - 2020-08-23 15-49-19-08</t>
    <phoneticPr fontId="1"/>
  </si>
  <si>
    <t>II6国必6|</t>
    <phoneticPr fontId="1"/>
  </si>
  <si>
    <t>パワプロ2020 - 投球解析 - 2020-08-23 15-49-19-09</t>
    <phoneticPr fontId="1"/>
  </si>
  <si>
    <t>ih)</t>
    <phoneticPr fontId="1"/>
  </si>
  <si>
    <t>DD0) 1 1</t>
    <phoneticPr fontId="1"/>
  </si>
  <si>
    <t>Be)</t>
    <phoneticPr fontId="1"/>
  </si>
  <si>
    <t>ISM6国還|</t>
    <phoneticPr fontId="1"/>
  </si>
  <si>
    <t>He)</t>
    <phoneticPr fontId="1"/>
  </si>
  <si>
    <t>9I6還時|</t>
    <phoneticPr fontId="1"/>
  </si>
  <si>
    <t>HE)</t>
    <phoneticPr fontId="1"/>
  </si>
  <si>
    <t>II6国還|</t>
    <phoneticPr fontId="1"/>
  </si>
  <si>
    <t>とに</t>
    <phoneticPr fontId="1"/>
  </si>
  <si>
    <t>He}</t>
    <phoneticPr fontId="1"/>
  </si>
  <si>
    <t>Hee</t>
    <phoneticPr fontId="1"/>
  </si>
  <si>
    <t>0I6国還|</t>
    <phoneticPr fontId="1"/>
  </si>
  <si>
    <t>Hs)</t>
    <phoneticPr fontId="1"/>
  </si>
  <si>
    <t>10I6国還|</t>
    <phoneticPr fontId="1"/>
  </si>
  <si>
    <t>He</t>
    <phoneticPr fontId="1"/>
  </si>
  <si>
    <t>パワプロ2020 - 投球解析 - 2020-08-23 15-52-13-00</t>
    <phoneticPr fontId="1"/>
  </si>
  <si>
    <t>にアーア衝た</t>
    <phoneticPr fontId="1"/>
  </si>
  <si>
    <t>Hi</t>
    <phoneticPr fontId="1"/>
  </si>
  <si>
    <t>パワプロ2020 - 投球解析 - 2020-08-23 15-52-13-01</t>
    <phoneticPr fontId="1"/>
  </si>
  <si>
    <t>at)</t>
    <phoneticPr fontId="1"/>
  </si>
  <si>
    <t>パワプロ2020 - 投球解析 - 2020-08-23 15-52-13-02</t>
    <phoneticPr fontId="1"/>
  </si>
  <si>
    <t>1)</t>
    <phoneticPr fontId="1"/>
  </si>
  <si>
    <t>9I6国還|</t>
    <phoneticPr fontId="1"/>
  </si>
  <si>
    <t>パワプロ2020 - 投球解析 - 2020-08-23 15-52-13-03</t>
    <phoneticPr fontId="1"/>
  </si>
  <si>
    <t>BS</t>
    <phoneticPr fontId="1"/>
  </si>
  <si>
    <t>パワプロ2020 - 投球解析 - 2020-08-23 15-52-13-04</t>
    <phoneticPr fontId="1"/>
  </si>
  <si>
    <t>パワプロ2020 - 投球解析 - 2020-08-23 15-52-13-05</t>
    <phoneticPr fontId="1"/>
  </si>
  <si>
    <t>パワプロ2020 - 投球解析 - 2020-08-23 15-52-13-06</t>
    <phoneticPr fontId="1"/>
  </si>
  <si>
    <t>パワプロ2020 - 投球解析 - 2020-08-23 15-52-13-07</t>
    <phoneticPr fontId="1"/>
  </si>
  <si>
    <t>5]</t>
    <phoneticPr fontId="1"/>
  </si>
  <si>
    <t>DD0O) 1 1</t>
    <phoneticPr fontId="1"/>
  </si>
  <si>
    <t>パワプロ2020 - 投球解析 - 2020-08-23 15-52-13-08</t>
    <phoneticPr fontId="1"/>
  </si>
  <si>
    <t>パワプロ2020 - 投球解析 - 2020-08-23 15-52-13-09</t>
    <phoneticPr fontId="1"/>
  </si>
  <si>
    <t>ET</t>
    <phoneticPr fontId="1"/>
  </si>
  <si>
    <t>II6国六</t>
    <phoneticPr fontId="1"/>
  </si>
  <si>
    <t>En</t>
    <phoneticPr fontId="1"/>
  </si>
  <si>
    <t>IBM6国六</t>
    <phoneticPr fontId="1"/>
  </si>
  <si>
    <t>elt)</t>
    <phoneticPr fontId="1"/>
  </si>
  <si>
    <t>DI6国六</t>
    <phoneticPr fontId="1"/>
  </si>
  <si>
    <t>Ei</t>
    <phoneticPr fontId="1"/>
  </si>
  <si>
    <t>056国六</t>
    <phoneticPr fontId="1"/>
  </si>
  <si>
    <t>100国還の</t>
    <phoneticPr fontId="1"/>
  </si>
  <si>
    <t>DDO0 12</t>
    <phoneticPr fontId="1"/>
  </si>
  <si>
    <t>et]</t>
    <phoneticPr fontId="1"/>
  </si>
  <si>
    <t>016国還</t>
    <phoneticPr fontId="1"/>
  </si>
  <si>
    <t>ISI6国間</t>
    <phoneticPr fontId="1"/>
  </si>
  <si>
    <t>Ela</t>
    <phoneticPr fontId="1"/>
  </si>
  <si>
    <t>IDI6国六</t>
    <phoneticPr fontId="1"/>
  </si>
  <si>
    <t>パワプロ2020 - 投球解析 - 2020-08-23 15-54-48-00</t>
    <phoneticPr fontId="1"/>
  </si>
  <si>
    <t>9560国六</t>
    <phoneticPr fontId="1"/>
  </si>
  <si>
    <t>パワプロ2020 - 投球解析 - 2020-08-23 15-54-48-01</t>
    <phoneticPr fontId="1"/>
  </si>
  <si>
    <t>016国還の</t>
    <phoneticPr fontId="1"/>
  </si>
  <si>
    <t>パワプロ2020 - 投球解析 - 2020-08-23 15-54-48-02</t>
    <phoneticPr fontId="1"/>
  </si>
  <si>
    <t>パワプロ2020 - 投球解析 - 2020-08-23 15-54-48-03</t>
    <phoneticPr fontId="1"/>
  </si>
  <si>
    <t>EE}</t>
    <phoneticPr fontId="1"/>
  </si>
  <si>
    <t>人19160国還の</t>
    <phoneticPr fontId="1"/>
  </si>
  <si>
    <t>パワプロ2020 - 投球解析 - 2020-08-23 15-54-48-04</t>
    <phoneticPr fontId="1"/>
  </si>
  <si>
    <t>人1910国還の</t>
    <phoneticPr fontId="1"/>
  </si>
  <si>
    <t>パワプロ2020 - 投球解析 - 2020-08-23 15-54-48-05</t>
    <phoneticPr fontId="1"/>
  </si>
  <si>
    <t>人19560国還</t>
    <phoneticPr fontId="1"/>
  </si>
  <si>
    <t>パワプロ2020 - 投球解析 - 2020-08-23 15-54-48-06</t>
    <phoneticPr fontId="1"/>
  </si>
  <si>
    <t>にコアー 作た</t>
    <phoneticPr fontId="1"/>
  </si>
  <si>
    <t>パワプロ2020 - 投球解析 - 2020-08-23 15-54-48-07</t>
    <phoneticPr fontId="1"/>
  </si>
  <si>
    <t>IDI6国間</t>
    <phoneticPr fontId="1"/>
  </si>
  <si>
    <t>パワプロ2020 - 投球解析 - 2020-08-23 15-54-48-08</t>
    <phoneticPr fontId="1"/>
  </si>
  <si>
    <t>Bh</t>
    <phoneticPr fontId="1"/>
  </si>
  <si>
    <t>1910国間61</t>
    <phoneticPr fontId="1"/>
  </si>
  <si>
    <t>Ev)</t>
    <phoneticPr fontId="1"/>
  </si>
  <si>
    <t>BI9I6国間1</t>
    <phoneticPr fontId="1"/>
  </si>
  <si>
    <t>IDI6国間C1</t>
    <phoneticPr fontId="1"/>
  </si>
  <si>
    <t>DI6国間1</t>
    <phoneticPr fontId="1"/>
  </si>
  <si>
    <t>el</t>
    <phoneticPr fontId="1"/>
  </si>
  <si>
    <t>19I6国間C1</t>
    <phoneticPr fontId="1"/>
  </si>
  <si>
    <t>ey</t>
    <phoneticPr fontId="1"/>
  </si>
  <si>
    <t>人10160国間1</t>
    <phoneticPr fontId="1"/>
  </si>
  <si>
    <t>06国較1</t>
    <phoneticPr fontId="1"/>
  </si>
  <si>
    <t>96国較1</t>
    <phoneticPr fontId="1"/>
  </si>
  <si>
    <t>IM6国間1</t>
    <phoneticPr fontId="1"/>
  </si>
  <si>
    <t>9M6国間1</t>
    <phoneticPr fontId="1"/>
  </si>
  <si>
    <t>9I6国間1</t>
    <phoneticPr fontId="1"/>
  </si>
  <si>
    <t>パワプロ2020 - 投球解析 - 2020-08-23 16-03-31-00</t>
    <phoneticPr fontId="1"/>
  </si>
  <si>
    <t>Eh</t>
    <phoneticPr fontId="1"/>
  </si>
  <si>
    <t>0M6国還1</t>
    <phoneticPr fontId="1"/>
  </si>
  <si>
    <t>パワプロ2020 - 投球解析 - 2020-08-23 16-03-31-01</t>
    <phoneticPr fontId="1"/>
  </si>
  <si>
    <t>5b</t>
    <phoneticPr fontId="1"/>
  </si>
  <si>
    <t>II6国間61</t>
    <phoneticPr fontId="1"/>
  </si>
  <si>
    <t>パワプロ2020 - 投球解析 - 2020-08-23 16-03-31-02</t>
    <phoneticPr fontId="1"/>
  </si>
  <si>
    <t>人19506国間1</t>
    <phoneticPr fontId="1"/>
  </si>
  <si>
    <t>パワプロ2020 - 投球解析 - 2020-08-23 16-03-31-03</t>
    <phoneticPr fontId="1"/>
  </si>
  <si>
    <t>Bh)</t>
    <phoneticPr fontId="1"/>
  </si>
  <si>
    <t>人1016国間1</t>
    <phoneticPr fontId="1"/>
  </si>
  <si>
    <t>パワプロ2020 - 投球解析 - 2020-08-23 16-03-31-04</t>
    <phoneticPr fontId="1"/>
  </si>
  <si>
    <t>にコーア才た</t>
    <phoneticPr fontId="1"/>
  </si>
  <si>
    <t>19I6国較1</t>
    <phoneticPr fontId="1"/>
  </si>
  <si>
    <t>パワプロ2020 - 投球解析 - 2020-08-23 16-03-31-05</t>
    <phoneticPr fontId="1"/>
  </si>
  <si>
    <t>EE</t>
    <phoneticPr fontId="1"/>
  </si>
  <si>
    <t>DI6国較1</t>
    <phoneticPr fontId="1"/>
  </si>
  <si>
    <t>パワプロ2020 - 投球解析 - 2020-08-23 16-03-31-06</t>
    <phoneticPr fontId="1"/>
  </si>
  <si>
    <t>にアア衝アた</t>
    <phoneticPr fontId="1"/>
  </si>
  <si>
    <t>eh</t>
    <phoneticPr fontId="1"/>
  </si>
  <si>
    <t>06国間1</t>
    <phoneticPr fontId="1"/>
  </si>
  <si>
    <t>パワプロ2020 - 投球解析 - 2020-08-23 16-03-31-07</t>
    <phoneticPr fontId="1"/>
  </si>
  <si>
    <t>EE)</t>
    <phoneticPr fontId="1"/>
  </si>
  <si>
    <t>1060国間1</t>
    <phoneticPr fontId="1"/>
  </si>
  <si>
    <t>パワプロ2020 - 投球解析 - 2020-08-23 16-03-31-08</t>
    <phoneticPr fontId="1"/>
  </si>
  <si>
    <t>にコア作アた</t>
    <phoneticPr fontId="1"/>
  </si>
  <si>
    <t>Eh)</t>
    <phoneticPr fontId="1"/>
  </si>
  <si>
    <t>DI6国間C1</t>
    <phoneticPr fontId="1"/>
  </si>
  <si>
    <t>パワプロ2020 - 投球解析 - 2020-08-23 16-03-31-09</t>
    <phoneticPr fontId="1"/>
  </si>
  <si>
    <t>DD0 14</t>
    <phoneticPr fontId="1"/>
  </si>
  <si>
    <t>10M6還用</t>
    <phoneticPr fontId="1"/>
  </si>
  <si>
    <t>9I6国肢/|</t>
    <phoneticPr fontId="1"/>
  </si>
  <si>
    <t>BI0I6国肢/|</t>
    <phoneticPr fontId="1"/>
  </si>
  <si>
    <t>DD0 1 4</t>
    <phoneticPr fontId="1"/>
  </si>
  <si>
    <t>0I6還用</t>
    <phoneticPr fontId="1"/>
  </si>
  <si>
    <t>056還用</t>
    <phoneticPr fontId="1"/>
  </si>
  <si>
    <t>Eb)</t>
    <phoneticPr fontId="1"/>
  </si>
  <si>
    <t>19M6国肢|</t>
    <phoneticPr fontId="1"/>
  </si>
  <si>
    <t>パワプロ2020 - 投球解析 - 2020-08-23 16-06-08-00</t>
    <phoneticPr fontId="1"/>
  </si>
  <si>
    <t>aT</t>
  </si>
  <si>
    <t>パワプロ2020 - 投球解析 - 2020-08-23 16-06-08-01</t>
    <phoneticPr fontId="1"/>
  </si>
  <si>
    <t>パワプロ2020 - 投球解析 - 2020-08-23 16-06-08-02</t>
    <phoneticPr fontId="1"/>
  </si>
  <si>
    <t>anti)</t>
    <phoneticPr fontId="1"/>
  </si>
  <si>
    <t>0M6還用</t>
    <phoneticPr fontId="1"/>
  </si>
  <si>
    <t>パワプロ2020 - 投球解析 - 2020-08-23 16-06-08-03</t>
    <phoneticPr fontId="1"/>
  </si>
  <si>
    <t>II6国肢|</t>
    <phoneticPr fontId="1"/>
  </si>
  <si>
    <t>パワプロ2020 - 投球解析 - 2020-08-23 16-06-08-04</t>
    <phoneticPr fontId="1"/>
  </si>
  <si>
    <t>aT</t>
    <phoneticPr fontId="1"/>
  </si>
  <si>
    <t>パワプロ2020 - 投球解析 - 2020-08-23 16-06-08-05</t>
    <phoneticPr fontId="1"/>
  </si>
  <si>
    <t>10I6還用</t>
    <phoneticPr fontId="1"/>
  </si>
  <si>
    <t>パワプロ2020 - 投球解析 - 2020-08-23 16-06-08-06</t>
    <phoneticPr fontId="1"/>
  </si>
  <si>
    <t>9I6還用</t>
    <phoneticPr fontId="1"/>
  </si>
  <si>
    <t>パワプロ2020 - 投球解析 - 2020-08-23 16-06-08-07</t>
    <phoneticPr fontId="1"/>
  </si>
  <si>
    <t>anit)</t>
    <phoneticPr fontId="1"/>
  </si>
  <si>
    <t>人10I6還用</t>
    <phoneticPr fontId="1"/>
  </si>
  <si>
    <t>パワプロ2020 - 投球解析 - 2020-08-23 16-06-08-08</t>
    <phoneticPr fontId="1"/>
  </si>
  <si>
    <t>eh]</t>
    <phoneticPr fontId="1"/>
  </si>
  <si>
    <t>人19I6還用</t>
    <phoneticPr fontId="1"/>
  </si>
  <si>
    <t>パワプロ2020 - 投球解析 - 2020-08-23 16-06-08-09</t>
    <phoneticPr fontId="1"/>
  </si>
  <si>
    <t>IDI6還還</t>
    <phoneticPr fontId="1"/>
  </si>
  <si>
    <t>106国還1</t>
    <phoneticPr fontId="1"/>
  </si>
  <si>
    <t>人196時</t>
    <phoneticPr fontId="1"/>
  </si>
  <si>
    <t>anv)</t>
    <phoneticPr fontId="1"/>
  </si>
  <si>
    <t>DDO15</t>
    <phoneticPr fontId="1"/>
  </si>
  <si>
    <t>956国還</t>
    <phoneticPr fontId="1"/>
  </si>
  <si>
    <t>aE}</t>
    <phoneticPr fontId="1"/>
  </si>
  <si>
    <t>人10M6国還</t>
    <phoneticPr fontId="1"/>
  </si>
  <si>
    <t>II6国還1</t>
    <phoneticPr fontId="1"/>
  </si>
  <si>
    <t>人1960国還1</t>
    <phoneticPr fontId="1"/>
  </si>
  <si>
    <t>0M6国還</t>
    <phoneticPr fontId="1"/>
  </si>
  <si>
    <t>ands)</t>
    <phoneticPr fontId="1"/>
  </si>
  <si>
    <t>DDO015</t>
    <phoneticPr fontId="1"/>
  </si>
  <si>
    <t>パワプロ2020 - 投球解析 - 2020-08-23 16-08-46-00</t>
    <phoneticPr fontId="1"/>
  </si>
  <si>
    <t>9M6還時</t>
    <phoneticPr fontId="1"/>
  </si>
  <si>
    <t>パワプロ2020 - 投球解析 - 2020-08-23 16-08-46-01</t>
    <phoneticPr fontId="1"/>
  </si>
  <si>
    <t>ails)</t>
    <phoneticPr fontId="1"/>
  </si>
  <si>
    <t>10M6国還g1</t>
    <phoneticPr fontId="1"/>
  </si>
  <si>
    <t>パワプロ2020 - 投球解析 - 2020-08-23 16-08-46-02</t>
    <phoneticPr fontId="1"/>
  </si>
  <si>
    <t>人1016還時</t>
    <phoneticPr fontId="1"/>
  </si>
  <si>
    <t>パワプロ2020 - 投球解析 - 2020-08-23 16-08-46-03</t>
    <phoneticPr fontId="1"/>
  </si>
  <si>
    <t>n'y)</t>
    <phoneticPr fontId="1"/>
  </si>
  <si>
    <t>人1960還還1</t>
    <phoneticPr fontId="1"/>
  </si>
  <si>
    <t>パワプロ2020 - 投球解析 - 2020-08-23 16-08-46-04</t>
    <phoneticPr fontId="1"/>
  </si>
  <si>
    <t>パワプロ2020 - 投球解析 - 2020-08-23 16-08-46-05</t>
    <phoneticPr fontId="1"/>
  </si>
  <si>
    <t>006国還</t>
    <phoneticPr fontId="1"/>
  </si>
  <si>
    <t>パワプロ2020 - 投球解析 - 2020-08-23 16-08-46-06</t>
    <phoneticPr fontId="1"/>
  </si>
  <si>
    <t>にコア作だ</t>
    <phoneticPr fontId="1"/>
  </si>
  <si>
    <t>aT}</t>
    <phoneticPr fontId="1"/>
  </si>
  <si>
    <t>II6国還</t>
    <phoneticPr fontId="1"/>
  </si>
  <si>
    <t>パワプロ2020 - 投球解析 - 2020-08-23 16-08-46-07</t>
    <phoneticPr fontId="1"/>
  </si>
  <si>
    <t>パワプロ2020 - 投球解析 - 2020-08-23 16-08-46-08</t>
    <phoneticPr fontId="1"/>
  </si>
  <si>
    <t>19I6国還</t>
    <phoneticPr fontId="1"/>
  </si>
  <si>
    <t>パワプロ2020 - 投球解析 - 2020-08-23 16-08-46-09</t>
    <phoneticPr fontId="1"/>
  </si>
  <si>
    <t>el)</t>
    <phoneticPr fontId="1"/>
  </si>
  <si>
    <t>DI6国還</t>
    <phoneticPr fontId="1"/>
  </si>
  <si>
    <t>パワプロ2020 - 投球解析 - 2020-08-23 16-09-58-00</t>
    <phoneticPr fontId="1"/>
  </si>
  <si>
    <t>パワプロ2020 - 投球解析 - 2020-08-23 16-09-58-01</t>
    <phoneticPr fontId="1"/>
  </si>
  <si>
    <t>IM6国還1</t>
    <phoneticPr fontId="1"/>
  </si>
  <si>
    <t>パワプロ2020 - 投球解析 - 2020-08-23 16-09-58-02</t>
    <phoneticPr fontId="1"/>
  </si>
  <si>
    <t>916時1</t>
    <phoneticPr fontId="1"/>
  </si>
  <si>
    <t>パワプロ2020 - 投球解析 - 2020-08-23 16-09-58-03</t>
    <phoneticPr fontId="1"/>
  </si>
  <si>
    <t>06国還1</t>
    <phoneticPr fontId="1"/>
  </si>
  <si>
    <t>パワプロ2020 - 投球解析 - 2020-08-23 16-09-58-04</t>
    <phoneticPr fontId="1"/>
  </si>
  <si>
    <t>0I6国還</t>
    <phoneticPr fontId="1"/>
  </si>
  <si>
    <t>パワプロ2020 - 投球解析 - 2020-08-23 16-09-58-05</t>
    <phoneticPr fontId="1"/>
  </si>
  <si>
    <t>人196国還1</t>
    <phoneticPr fontId="1"/>
  </si>
  <si>
    <t>パワプロ2020 - 投球解析 - 2020-08-23 16-09-58-06</t>
    <phoneticPr fontId="1"/>
  </si>
  <si>
    <t>19I6還還</t>
    <phoneticPr fontId="1"/>
  </si>
  <si>
    <t>パワプロ2020 - 投球解析 - 2020-08-23 16-09-58-07</t>
    <phoneticPr fontId="1"/>
  </si>
  <si>
    <t>Ev]</t>
    <phoneticPr fontId="1"/>
  </si>
  <si>
    <t>9506国還1</t>
    <phoneticPr fontId="1"/>
  </si>
  <si>
    <t>パワプロ2020 - 投球解析 - 2020-08-23 16-09-58-08</t>
    <phoneticPr fontId="1"/>
  </si>
  <si>
    <t>IDM6国還</t>
    <phoneticPr fontId="1"/>
  </si>
  <si>
    <t>パワプロ2020 - 投球解析 - 2020-08-23 16-09-58-09</t>
    <phoneticPr fontId="1"/>
  </si>
  <si>
    <t>II0EWW/I</t>
    <phoneticPr fontId="1"/>
  </si>
  <si>
    <t>II0BWW/l</t>
    <phoneticPr fontId="1"/>
  </si>
  <si>
    <t>II WI</t>
    <phoneticPr fontId="1"/>
  </si>
  <si>
    <t>DIEWW/I</t>
    <phoneticPr fontId="1"/>
  </si>
  <si>
    <t>Ea)</t>
    <phoneticPr fontId="1"/>
  </si>
  <si>
    <t>IDBWW/I</t>
    <phoneticPr fontId="1"/>
  </si>
  <si>
    <t>06060W/I</t>
    <phoneticPr fontId="1"/>
  </si>
  <si>
    <t>IM0EWW/I</t>
    <phoneticPr fontId="1"/>
  </si>
  <si>
    <t>1060W/I</t>
    <phoneticPr fontId="1"/>
  </si>
  <si>
    <t>パワプロ2020 - 投球解析 - 2020-08-23 16-12-41-00</t>
    <phoneticPr fontId="1"/>
  </si>
  <si>
    <t>ID WI</t>
    <phoneticPr fontId="1"/>
  </si>
  <si>
    <t>パワプロ2020 - 投球解析 - 2020-08-23 16-12-41-01</t>
    <phoneticPr fontId="1"/>
  </si>
  <si>
    <t>パワプロ2020 - 投球解析 - 2020-08-23 16-12-41-02</t>
    <phoneticPr fontId="1"/>
  </si>
  <si>
    <t>II0E0W/I</t>
    <phoneticPr fontId="1"/>
  </si>
  <si>
    <t>パワプロ2020 - 投球解析 - 2020-08-23 16-12-41-03</t>
    <phoneticPr fontId="1"/>
  </si>
  <si>
    <t>DIM0EWW/I</t>
    <phoneticPr fontId="1"/>
  </si>
  <si>
    <t>パワプロ2020 - 投球解析 - 2020-08-23 16-12-41-04</t>
    <phoneticPr fontId="1"/>
  </si>
  <si>
    <t>100W/I</t>
    <phoneticPr fontId="1"/>
  </si>
  <si>
    <t>パワプロ2020 - 投球解析 - 2020-08-23 16-12-41-05</t>
    <phoneticPr fontId="1"/>
  </si>
  <si>
    <t>パワプロ2020 - 投球解析 - 2020-08-23 16-12-41-06</t>
    <phoneticPr fontId="1"/>
  </si>
  <si>
    <t>rT</t>
    <phoneticPr fontId="1"/>
  </si>
  <si>
    <t>パワプロ2020 - 投球解析 - 2020-08-23 16-12-41-07</t>
    <phoneticPr fontId="1"/>
  </si>
  <si>
    <t>パワプロ2020 - 投球解析 - 2020-08-23 16-12-41-08</t>
    <phoneticPr fontId="1"/>
  </si>
  <si>
    <t>0060W/I</t>
    <phoneticPr fontId="1"/>
  </si>
  <si>
    <t>パワプロ2020 - 投球解析 - 2020-08-23 16-12-41-09</t>
    <phoneticPr fontId="1"/>
  </si>
  <si>
    <t>Vスライダー</t>
    <phoneticPr fontId="1"/>
  </si>
  <si>
    <t>iL)</t>
    <phoneticPr fontId="1"/>
  </si>
  <si>
    <t>IM0EWP/I</t>
    <phoneticPr fontId="1"/>
  </si>
  <si>
    <t>パワプロ2020 - 投球解析 - 2020-08-23 16-13-55-00</t>
    <phoneticPr fontId="1"/>
  </si>
  <si>
    <t>vi</t>
    <phoneticPr fontId="1"/>
  </si>
  <si>
    <t>パワプロ2020 - 投球解析 - 2020-08-23 16-13-55-01</t>
    <phoneticPr fontId="1"/>
  </si>
  <si>
    <t>パワプロ2020 - 投球解析 - 2020-08-23 16-13-55-02</t>
    <phoneticPr fontId="1"/>
  </si>
  <si>
    <t>パワプロ2020 - 投球解析 - 2020-08-23 16-13-55-03</t>
    <phoneticPr fontId="1"/>
  </si>
  <si>
    <t>シンアル</t>
    <phoneticPr fontId="1"/>
  </si>
  <si>
    <t>パワプロ2020 - 投球解析 - 2020-08-23 16-13-55-04</t>
    <phoneticPr fontId="1"/>
  </si>
  <si>
    <t>パワプロ2020 - 投球解析 - 2020-08-23 16-13-55-05</t>
    <phoneticPr fontId="1"/>
  </si>
  <si>
    <t>パワプロ2020 - 投球解析 - 2020-08-23 16-13-55-06</t>
    <phoneticPr fontId="1"/>
  </si>
  <si>
    <t>レンアレンコ</t>
    <phoneticPr fontId="1"/>
  </si>
  <si>
    <t>er}</t>
    <phoneticPr fontId="1"/>
  </si>
  <si>
    <t>パワプロ2020 - 投球解析 - 2020-08-23 16-13-55-07</t>
    <phoneticPr fontId="1"/>
  </si>
  <si>
    <t>DIP</t>
    <phoneticPr fontId="1"/>
  </si>
  <si>
    <t>パワプロ2020 - 投球解析 - 2020-08-23 16-13-55-08</t>
    <phoneticPr fontId="1"/>
  </si>
  <si>
    <t>パワプロ2020 - 投球解析 - 2020-08-23 16-13-55-09</t>
    <phoneticPr fontId="1"/>
  </si>
  <si>
    <t>パワプロ2020 - 投球解析 - 2020-08-23 16-15-07-00</t>
    <phoneticPr fontId="1"/>
  </si>
  <si>
    <t>パワプロ2020 - 投球解析 - 2020-08-23 16-15-07-01</t>
    <phoneticPr fontId="1"/>
  </si>
  <si>
    <t>人10060W/I</t>
    <phoneticPr fontId="1"/>
  </si>
  <si>
    <t>パワプロ2020 - 投球解析 - 2020-08-23 16-15-07-02</t>
    <phoneticPr fontId="1"/>
  </si>
  <si>
    <t>パワプロ2020 - 投球解析 - 2020-08-23 16-15-07-03</t>
    <phoneticPr fontId="1"/>
  </si>
  <si>
    <t>01060W/I</t>
    <phoneticPr fontId="1"/>
  </si>
  <si>
    <t>パワプロ2020 - 投球解析 - 2020-08-23 16-15-07-04</t>
    <phoneticPr fontId="1"/>
  </si>
  <si>
    <t>パワプロ2020 - 投球解析 - 2020-08-23 16-15-07-05</t>
    <phoneticPr fontId="1"/>
  </si>
  <si>
    <t>パワプロ2020 - 投球解析 - 2020-08-23 16-15-07-06</t>
    <phoneticPr fontId="1"/>
  </si>
  <si>
    <t>DIE WI</t>
    <phoneticPr fontId="1"/>
  </si>
  <si>
    <t>パワプロ2020 - 投球解析 - 2020-08-23 16-15-07-07</t>
    <phoneticPr fontId="1"/>
  </si>
  <si>
    <t>DI0EWW/I</t>
    <phoneticPr fontId="1"/>
  </si>
  <si>
    <t>パワプロ2020 - 投球解析 - 2020-08-23 16-15-07-08</t>
    <phoneticPr fontId="1"/>
  </si>
  <si>
    <t>ID W/I</t>
    <phoneticPr fontId="1"/>
  </si>
  <si>
    <t>パワプロ2020 - 投球解析 - 2020-08-23 16-15-07-09</t>
    <phoneticPr fontId="1"/>
  </si>
  <si>
    <t>人100We1</t>
    <phoneticPr fontId="1"/>
  </si>
  <si>
    <t>ee!</t>
    <phoneticPr fontId="1"/>
  </si>
  <si>
    <t>DDO00 8</t>
    <phoneticPr fontId="1"/>
  </si>
  <si>
    <t>WWWe1</t>
    <phoneticPr fontId="1"/>
  </si>
  <si>
    <t>0 We</t>
    <phoneticPr fontId="1"/>
  </si>
  <si>
    <t>BI0W We</t>
    <phoneticPr fontId="1"/>
  </si>
  <si>
    <t>II0W We</t>
    <phoneticPr fontId="1"/>
  </si>
  <si>
    <t>acts</t>
    <phoneticPr fontId="1"/>
  </si>
  <si>
    <t>人106We1</t>
    <phoneticPr fontId="1"/>
  </si>
  <si>
    <t>0000 We</t>
    <phoneticPr fontId="1"/>
  </si>
  <si>
    <t>066We1</t>
    <phoneticPr fontId="1"/>
  </si>
  <si>
    <t>パワプロ2020 - 投球解析 - 2020-08-23 16-25-48-00</t>
    <phoneticPr fontId="1"/>
  </si>
  <si>
    <t>cy</t>
    <phoneticPr fontId="1"/>
  </si>
  <si>
    <t>人BIM0B6We1</t>
    <phoneticPr fontId="1"/>
  </si>
  <si>
    <t>パワプロ2020 - 投球解析 - 2020-08-23 16-25-48-01</t>
    <phoneticPr fontId="1"/>
  </si>
  <si>
    <t>re</t>
    <phoneticPr fontId="1"/>
  </si>
  <si>
    <t>パワプロ2020 - 投球解析 - 2020-08-23 16-25-48-02</t>
    <phoneticPr fontId="1"/>
  </si>
  <si>
    <t>人100BWWe1</t>
    <phoneticPr fontId="1"/>
  </si>
  <si>
    <t>パワプロ2020 - 投球解析 - 2020-08-23 16-25-48-03</t>
    <phoneticPr fontId="1"/>
  </si>
  <si>
    <t>WW We</t>
    <phoneticPr fontId="1"/>
  </si>
  <si>
    <t>パワプロ2020 - 投球解析 - 2020-08-23 16-25-48-04</t>
    <phoneticPr fontId="1"/>
  </si>
  <si>
    <t>II0BW We</t>
    <phoneticPr fontId="1"/>
  </si>
  <si>
    <t>パワプロ2020 - 投球解析 - 2020-08-23 16-25-48-05</t>
    <phoneticPr fontId="1"/>
  </si>
  <si>
    <t>にアー 作とた</t>
    <phoneticPr fontId="1"/>
  </si>
  <si>
    <t>DI0W We</t>
    <phoneticPr fontId="1"/>
  </si>
  <si>
    <t>パワプロ2020 - 投球解析 - 2020-08-23 16-25-48-06</t>
    <phoneticPr fontId="1"/>
  </si>
  <si>
    <t>人010I0WWe1</t>
    <phoneticPr fontId="1"/>
  </si>
  <si>
    <t>パワプロ2020 - 投球解析 - 2020-08-23 16-25-48-07</t>
    <phoneticPr fontId="1"/>
  </si>
  <si>
    <t>00 We</t>
    <phoneticPr fontId="1"/>
  </si>
  <si>
    <t>パワプロ2020 - 投球解析 - 2020-08-23 16-25-48-08</t>
    <phoneticPr fontId="1"/>
  </si>
  <si>
    <t>060We1</t>
    <phoneticPr fontId="1"/>
  </si>
  <si>
    <t>パワプロ2020 - 投球解析 - 2020-08-23 16-25-48-09</t>
    <phoneticPr fontId="1"/>
  </si>
  <si>
    <t>フォーク</t>
    <phoneticPr fontId="1"/>
  </si>
  <si>
    <t>人100 We</t>
    <phoneticPr fontId="1"/>
  </si>
  <si>
    <t>パワプロ2020 - 投球解析 - 2020-08-23 16-26-58-00</t>
    <phoneticPr fontId="1"/>
  </si>
  <si>
    <t>0060We1</t>
    <phoneticPr fontId="1"/>
  </si>
  <si>
    <t>パワプロ2020 - 投球解析 - 2020-08-23 16-26-58-01</t>
    <phoneticPr fontId="1"/>
  </si>
  <si>
    <t>人0100WWe1</t>
    <phoneticPr fontId="1"/>
  </si>
  <si>
    <t>パワプロ2020 - 投球解析 - 2020-08-23 16-26-58-02</t>
    <phoneticPr fontId="1"/>
  </si>
  <si>
    <t>パワプロ2020 - 投球解析 - 2020-08-23 16-26-58-03</t>
    <phoneticPr fontId="1"/>
  </si>
  <si>
    <t>II0BWWe1</t>
    <phoneticPr fontId="1"/>
  </si>
  <si>
    <t>パワプロ2020 - 投球解析 - 2020-08-23 16-26-58-04</t>
    <phoneticPr fontId="1"/>
  </si>
  <si>
    <t>DDOO8</t>
    <phoneticPr fontId="1"/>
  </si>
  <si>
    <t>パワプロ2020 - 投球解析 - 2020-08-23 16-26-58-05</t>
    <phoneticPr fontId="1"/>
  </si>
  <si>
    <t>パワプロ2020 - 投球解析 - 2020-08-23 16-26-58-06</t>
    <phoneticPr fontId="1"/>
  </si>
  <si>
    <t>II0WWe1</t>
    <phoneticPr fontId="1"/>
  </si>
  <si>
    <t>パワプロ2020 - 投球解析 - 2020-08-23 16-26-58-07</t>
    <phoneticPr fontId="1"/>
  </si>
  <si>
    <t>We</t>
    <phoneticPr fontId="1"/>
  </si>
  <si>
    <t>パワプロ2020 - 投球解析 - 2020-08-23 16-26-58-08</t>
    <phoneticPr fontId="1"/>
  </si>
  <si>
    <t>1シンクレ ピコ</t>
    <phoneticPr fontId="1"/>
  </si>
  <si>
    <t>パワプロ2020 - 投球解析 - 2020-08-23 16-28-07-00</t>
    <phoneticPr fontId="1"/>
  </si>
  <si>
    <t>シンクレ に</t>
    <phoneticPr fontId="1"/>
  </si>
  <si>
    <t>13e￠</t>
    <phoneticPr fontId="1"/>
  </si>
  <si>
    <t>DI We</t>
    <phoneticPr fontId="1"/>
  </si>
  <si>
    <t>パワプロ2020 - 投球解析 - 2020-08-23 16-28-07-01</t>
    <phoneticPr fontId="1"/>
  </si>
  <si>
    <t>Hけシンカー</t>
    <phoneticPr fontId="1"/>
  </si>
  <si>
    <t>DDO008</t>
    <phoneticPr fontId="1"/>
  </si>
  <si>
    <t>パワプロ2020 - 投球解析 - 2020-08-23 16-28-07-02</t>
    <phoneticPr fontId="1"/>
  </si>
  <si>
    <t>Hシンカー</t>
    <phoneticPr fontId="1"/>
  </si>
  <si>
    <t>パワプロ2020 - 投球解析 - 2020-08-23 16-28-07-03</t>
    <phoneticPr fontId="1"/>
  </si>
  <si>
    <t>パワプロ2020 - 投球解析 - 2020-08-23 16-28-07-04</t>
    <phoneticPr fontId="1"/>
  </si>
  <si>
    <t>1アンクレ ピコ</t>
    <phoneticPr fontId="1"/>
  </si>
  <si>
    <t>DI We1</t>
    <phoneticPr fontId="1"/>
  </si>
  <si>
    <t>パワプロ2020 - 投球解析 - 2020-08-23 16-28-07-05</t>
    <phoneticPr fontId="1"/>
  </si>
  <si>
    <t>1シンクレ に</t>
    <phoneticPr fontId="1"/>
  </si>
  <si>
    <t>0WWe1</t>
    <phoneticPr fontId="1"/>
  </si>
  <si>
    <t>パワプロ2020 - 投球解析 - 2020-08-23 16-28-07-06</t>
    <phoneticPr fontId="1"/>
  </si>
  <si>
    <t>シンクレ ピコ</t>
    <phoneticPr fontId="1"/>
  </si>
  <si>
    <t>DI0BW We</t>
    <phoneticPr fontId="1"/>
  </si>
  <si>
    <t>パワプロ2020 - 投球解析 - 2020-08-23 16-28-07-07</t>
    <phoneticPr fontId="1"/>
  </si>
  <si>
    <t>人0160Ws1</t>
    <phoneticPr fontId="1"/>
  </si>
  <si>
    <t>パワプロ2020 - 投球解析 - 2020-08-23 16-28-07-08</t>
    <phoneticPr fontId="1"/>
  </si>
  <si>
    <t>II0 5</t>
    <phoneticPr fontId="1"/>
  </si>
  <si>
    <t>100用</t>
    <phoneticPr fontId="1"/>
  </si>
  <si>
    <t>cL)</t>
    <phoneticPr fontId="1"/>
  </si>
  <si>
    <t>DDO022</t>
    <phoneticPr fontId="1"/>
  </si>
  <si>
    <t>00用</t>
    <phoneticPr fontId="1"/>
  </si>
  <si>
    <t>DD0 22</t>
    <phoneticPr fontId="1"/>
  </si>
  <si>
    <t>DD022</t>
    <phoneticPr fontId="1"/>
  </si>
  <si>
    <t>II0 用</t>
    <phoneticPr fontId="1"/>
  </si>
  <si>
    <t>人100</t>
    <phoneticPr fontId="1"/>
  </si>
  <si>
    <t>DD0 2 2</t>
    <phoneticPr fontId="1"/>
  </si>
  <si>
    <t>パワプロ2020 - 投球解析 - 2020-08-23 16-29-37-09</t>
    <phoneticPr fontId="1"/>
  </si>
  <si>
    <t>ck}</t>
  </si>
  <si>
    <t>パワプロ2020 - 投球解析 - 2020-08-23 16-30-55-00</t>
    <phoneticPr fontId="1"/>
  </si>
  <si>
    <t>IDの</t>
    <phoneticPr fontId="1"/>
  </si>
  <si>
    <t>パワプロ2020 - 投球解析 - 2020-08-23 16-30-55-01</t>
    <phoneticPr fontId="1"/>
  </si>
  <si>
    <t>パワプロ2020 - 投球解析 - 2020-08-23 16-30-55-02</t>
    <phoneticPr fontId="1"/>
  </si>
  <si>
    <t>パワプロ2020 - 投球解析 - 2020-08-23 16-30-55-03</t>
    <phoneticPr fontId="1"/>
  </si>
  <si>
    <t>パワプロ2020 - 投球解析 - 2020-08-23 16-30-55-04</t>
    <phoneticPr fontId="1"/>
  </si>
  <si>
    <t>II0</t>
    <phoneticPr fontId="1"/>
  </si>
  <si>
    <t>パワプロ2020 - 投球解析 - 2020-08-23 16-30-55-05</t>
    <phoneticPr fontId="1"/>
  </si>
  <si>
    <t>パワプロ2020 - 投球解析 - 2020-08-23 16-30-55-06</t>
    <phoneticPr fontId="1"/>
  </si>
  <si>
    <t>パワプロ2020 - 投球解析 - 2020-08-23 16-30-55-07</t>
    <phoneticPr fontId="1"/>
  </si>
  <si>
    <t>10用</t>
    <phoneticPr fontId="1"/>
  </si>
  <si>
    <t>パワプロ2020 - 投球解析 - 2020-08-23 16-30-55-08</t>
    <phoneticPr fontId="1"/>
  </si>
  <si>
    <t>rad</t>
    <phoneticPr fontId="1"/>
  </si>
  <si>
    <t>DIPあ/</t>
    <phoneticPr fontId="1"/>
  </si>
  <si>
    <t>パワプロ2020 - 投球解析 - 2020-08-23 16-32-07-00</t>
    <phoneticPr fontId="1"/>
  </si>
  <si>
    <t>パーム</t>
    <phoneticPr fontId="1"/>
  </si>
  <si>
    <t>パワプロ2020 - 投球解析 - 2020-08-23 16-32-07-01</t>
    <phoneticPr fontId="1"/>
  </si>
  <si>
    <t>パワプロ2020 - 投球解析 - 2020-08-23 16-32-07-02</t>
    <phoneticPr fontId="1"/>
  </si>
  <si>
    <t>パワプロ2020 - 投球解析 - 2020-08-23 16-32-07-03</t>
    <phoneticPr fontId="1"/>
  </si>
  <si>
    <t>パワプロ2020 - 投球解析 - 2020-08-23 16-32-07-04</t>
    <phoneticPr fontId="1"/>
  </si>
  <si>
    <t>た</t>
    <phoneticPr fontId="1"/>
  </si>
  <si>
    <t>パワプロ2020 - 投球解析 - 2020-08-23 16-32-07-05</t>
    <phoneticPr fontId="1"/>
  </si>
  <si>
    <t>パワプロ2020 - 投球解析 - 2020-08-23 16-32-07-06</t>
    <phoneticPr fontId="1"/>
  </si>
  <si>
    <t>パワプロ2020 - 投球解析 - 2020-08-23 16-32-07-07</t>
    <phoneticPr fontId="1"/>
  </si>
  <si>
    <t>パワプロ2020 - 投球解析 - 2020-08-23 16-32-07-08</t>
    <phoneticPr fontId="1"/>
  </si>
  <si>
    <t>パワプロ2020 - 投球解析 - 2020-08-23 16-32-07-09</t>
    <phoneticPr fontId="1"/>
  </si>
  <si>
    <t>90用</t>
    <phoneticPr fontId="1"/>
  </si>
  <si>
    <t>パワプロ2020 - 投球解析 - 2020-08-23 16-33-27-00</t>
    <phoneticPr fontId="1"/>
  </si>
  <si>
    <t>パワプロ2020 - 投球解析 - 2020-08-23 16-33-27-01</t>
    <phoneticPr fontId="1"/>
  </si>
  <si>
    <t>mi)</t>
    <phoneticPr fontId="1"/>
  </si>
  <si>
    <t>パワプロ2020 - 投球解析 - 2020-08-23 16-33-27-02</t>
    <phoneticPr fontId="1"/>
  </si>
  <si>
    <t>パワプロ2020 - 投球解析 - 2020-08-23 16-33-27-03</t>
    <phoneticPr fontId="1"/>
  </si>
  <si>
    <t>II0 の</t>
    <phoneticPr fontId="1"/>
  </si>
  <si>
    <t>パワプロ2020 - 投球解析 - 2020-08-23 16-33-27-04</t>
    <phoneticPr fontId="1"/>
  </si>
  <si>
    <t>パワプロ2020 - 投球解析 - 2020-08-23 16-33-27-05</t>
    <phoneticPr fontId="1"/>
  </si>
  <si>
    <t>mt)</t>
    <phoneticPr fontId="1"/>
  </si>
  <si>
    <t>パワプロ2020 - 投球解析 - 2020-08-23 16-33-27-06</t>
    <phoneticPr fontId="1"/>
  </si>
  <si>
    <t>Ta</t>
    <phoneticPr fontId="1"/>
  </si>
  <si>
    <t>DD010</t>
  </si>
  <si>
    <t>DD012</t>
    <phoneticPr fontId="1"/>
  </si>
  <si>
    <t>DD004</t>
    <phoneticPr fontId="1"/>
  </si>
  <si>
    <t>DD008</t>
  </si>
  <si>
    <t>DD008</t>
    <phoneticPr fontId="1"/>
  </si>
  <si>
    <t>P050</t>
  </si>
  <si>
    <t>P051</t>
  </si>
  <si>
    <t>P052</t>
  </si>
  <si>
    <t>C</t>
    <phoneticPr fontId="1"/>
  </si>
  <si>
    <t>E</t>
    <phoneticPr fontId="1"/>
  </si>
  <si>
    <t>P051</t>
    <phoneticPr fontId="1"/>
  </si>
  <si>
    <t>シュート回転</t>
    <rPh sb="4" eb="6">
      <t>カイテン</t>
    </rPh>
    <phoneticPr fontId="1"/>
  </si>
  <si>
    <t>DD009</t>
  </si>
  <si>
    <t>DD009</t>
    <phoneticPr fontId="1"/>
  </si>
  <si>
    <t>P053</t>
  </si>
  <si>
    <t>rac}</t>
    <phoneticPr fontId="1"/>
  </si>
  <si>
    <t>ck</t>
    <phoneticPr fontId="1"/>
  </si>
  <si>
    <t>Td</t>
    <phoneticPr fontId="1"/>
  </si>
  <si>
    <t>a 5)</t>
    <phoneticPr fontId="1"/>
  </si>
  <si>
    <t>et</t>
    <phoneticPr fontId="1"/>
  </si>
  <si>
    <t>MOEWBS</t>
    <phoneticPr fontId="1"/>
  </si>
  <si>
    <t>0EWBS</t>
    <phoneticPr fontId="1"/>
  </si>
  <si>
    <t>人00</t>
    <phoneticPr fontId="1"/>
  </si>
  <si>
    <t>BOBW上BS</t>
    <phoneticPr fontId="1"/>
  </si>
  <si>
    <t>BI0EW上BS</t>
    <phoneticPr fontId="1"/>
  </si>
  <si>
    <t>IOW上BS</t>
    <phoneticPr fontId="1"/>
  </si>
  <si>
    <t>EL}</t>
    <phoneticPr fontId="1"/>
  </si>
  <si>
    <t>パワプロ2020 - 投球解析 - 2020-08-24 11-22-14-08</t>
    <phoneticPr fontId="1"/>
  </si>
  <si>
    <t>DDO0009</t>
    <phoneticPr fontId="1"/>
  </si>
  <si>
    <t>パワプロ2020 - 投球解析 - 2020-08-24 11-22-14-09</t>
    <phoneticPr fontId="1"/>
  </si>
  <si>
    <t>0見</t>
    <phoneticPr fontId="1"/>
  </si>
  <si>
    <t>パワプロ2020 - 投球解析 - 2020-08-24 11-23-23-00</t>
    <phoneticPr fontId="1"/>
  </si>
  <si>
    <t>パワプロ2020 - 投球解析 - 2020-08-24 11-23-23-01</t>
    <phoneticPr fontId="1"/>
  </si>
  <si>
    <t>ls)</t>
    <phoneticPr fontId="1"/>
  </si>
  <si>
    <t>パワプロ2020 - 投球解析 - 2020-08-24 11-23-23-02</t>
    <phoneticPr fontId="1"/>
  </si>
  <si>
    <t>BOO</t>
    <phoneticPr fontId="1"/>
  </si>
  <si>
    <t>パワプロ2020 - 投球解析 - 2020-08-24 11-23-23-03</t>
    <phoneticPr fontId="1"/>
  </si>
  <si>
    <t>DDO00 9</t>
    <phoneticPr fontId="1"/>
  </si>
  <si>
    <t>パワプロ2020 - 投球解析 - 2020-08-24 11-23-23-04</t>
    <phoneticPr fontId="1"/>
  </si>
  <si>
    <t>DDO00 0</t>
    <phoneticPr fontId="1"/>
  </si>
  <si>
    <t>パワプロ2020 - 投球解析 - 2020-08-24 11-23-23-05</t>
    <phoneticPr fontId="1"/>
  </si>
  <si>
    <t>et)</t>
    <phoneticPr fontId="1"/>
  </si>
  <si>
    <t>パワプロ2020 - 投球解析 - 2020-08-24 11-23-23-06</t>
    <phoneticPr fontId="1"/>
  </si>
  <si>
    <t>eT</t>
    <phoneticPr fontId="1"/>
  </si>
  <si>
    <t>パワプロ2020 - 投球解析 - 2020-08-24 11-23-23-07</t>
    <phoneticPr fontId="1"/>
  </si>
  <si>
    <t>6見9</t>
    <phoneticPr fontId="1"/>
  </si>
  <si>
    <t>パワプロ2020 - 投球解析 - 2020-08-24 11-23-23-08</t>
    <phoneticPr fontId="1"/>
  </si>
  <si>
    <t>NOW上BS</t>
    <phoneticPr fontId="1"/>
  </si>
  <si>
    <t>パワプロ2020 - 投球解析 - 2020-08-24 11-23-23-09</t>
    <phoneticPr fontId="1"/>
  </si>
  <si>
    <t>人BIOS</t>
    <phoneticPr fontId="1"/>
  </si>
  <si>
    <t>パワプロ2020 - 投球解析 - 2020-08-24 11-24-36-00</t>
    <phoneticPr fontId="1"/>
  </si>
  <si>
    <t>パワプロ2020 - 投球解析 - 2020-08-24 11-24-36-01</t>
    <phoneticPr fontId="1"/>
  </si>
  <si>
    <t>IO上BS</t>
    <phoneticPr fontId="1"/>
  </si>
  <si>
    <t>パワプロ2020 - 投球解析 - 2020-08-24 11-24-36-02</t>
    <phoneticPr fontId="1"/>
  </si>
  <si>
    <t>II0EWBS</t>
    <phoneticPr fontId="1"/>
  </si>
  <si>
    <t>パワプロ2020 - 投球解析 - 2020-08-24 11-24-36-03</t>
    <phoneticPr fontId="1"/>
  </si>
  <si>
    <t>パワプロ2020 - 投球解析 - 2020-08-24 11-24-36-04</t>
    <phoneticPr fontId="1"/>
  </si>
  <si>
    <t>パワプロ2020 - 投球解析 - 2020-08-24 11-24-36-05</t>
    <phoneticPr fontId="1"/>
  </si>
  <si>
    <t>パワプロ2020 - 投球解析 - 2020-08-24 11-24-36-06</t>
    <phoneticPr fontId="1"/>
  </si>
  <si>
    <t>パワプロ2020 - 投球解析 - 2020-08-24 11-24-36-07</t>
    <phoneticPr fontId="1"/>
  </si>
  <si>
    <t>IOBW上BS</t>
    <phoneticPr fontId="1"/>
  </si>
  <si>
    <t>パワプロ2020 - 投球解析 - 2020-08-24 11-24-36-08</t>
    <phoneticPr fontId="1"/>
  </si>
  <si>
    <t>BBI0EWBV</t>
    <phoneticPr fontId="1"/>
  </si>
  <si>
    <t>パワプロ2020 - 投球解析 - 2020-08-24 11-24-36-09</t>
    <phoneticPr fontId="1"/>
  </si>
  <si>
    <t>amr}</t>
    <phoneticPr fontId="1"/>
  </si>
  <si>
    <t>パワプロ2020 - 投球解析 - 2020-08-24 11-25-48-00</t>
    <phoneticPr fontId="1"/>
  </si>
  <si>
    <t>パワプロ2020 - 投球解析 - 2020-08-24 11-25-48-01</t>
    <phoneticPr fontId="1"/>
  </si>
  <si>
    <t>MOB</t>
    <phoneticPr fontId="1"/>
  </si>
  <si>
    <t>パワプロ2020 - 投球解析 - 2020-08-24 11-25-48-02</t>
    <phoneticPr fontId="1"/>
  </si>
  <si>
    <t>パワプロ2020 - 投球解析 - 2020-08-24 11-25-48-03</t>
    <phoneticPr fontId="1"/>
  </si>
  <si>
    <t>アル</t>
    <phoneticPr fontId="1"/>
  </si>
  <si>
    <t>BTOBWBS</t>
    <phoneticPr fontId="1"/>
  </si>
  <si>
    <t>パワプロ2020 - 投球解析 - 2020-08-24 11-25-48-04</t>
    <phoneticPr fontId="1"/>
  </si>
  <si>
    <t>パワプロ2020 - 投球解析 - 2020-08-24 11-25-48-05</t>
    <phoneticPr fontId="1"/>
  </si>
  <si>
    <t>0見9</t>
    <phoneticPr fontId="1"/>
  </si>
  <si>
    <t>パワプロ2020 - 投球解析 - 2020-08-24 11-25-48-06</t>
    <phoneticPr fontId="1"/>
  </si>
  <si>
    <t>パワプロ2020 - 投球解析 - 2020-08-24 11-25-48-07</t>
    <phoneticPr fontId="1"/>
  </si>
  <si>
    <t>amt</t>
    <phoneticPr fontId="1"/>
  </si>
  <si>
    <t>BI</t>
    <phoneticPr fontId="1"/>
  </si>
  <si>
    <t>am)</t>
    <phoneticPr fontId="1"/>
  </si>
  <si>
    <t>DDO16</t>
    <phoneticPr fontId="1"/>
  </si>
  <si>
    <t>DDO016</t>
    <phoneticPr fontId="1"/>
  </si>
  <si>
    <t>パワプロ2020 - 投球解析 - 2020-08-24 12-00-01-06</t>
    <phoneticPr fontId="1"/>
  </si>
  <si>
    <t>cr</t>
    <phoneticPr fontId="1"/>
  </si>
  <si>
    <t>パワプロ2020 - 投球解析 - 2020-08-24 12-00-01-07</t>
    <phoneticPr fontId="1"/>
  </si>
  <si>
    <t>パワプロ2020 - 投球解析 - 2020-08-24 12-01-04-00</t>
    <phoneticPr fontId="1"/>
  </si>
  <si>
    <t>パワプロ2020 - 投球解析 - 2020-08-24 12-01-04-01</t>
    <phoneticPr fontId="1"/>
  </si>
  <si>
    <t>パワプロ2020 - 投球解析 - 2020-08-24 12-01-04-02</t>
    <phoneticPr fontId="1"/>
  </si>
  <si>
    <t>ac</t>
    <phoneticPr fontId="1"/>
  </si>
  <si>
    <t>パワプロ2020 - 投球解析 - 2020-08-24 12-01-04-03</t>
    <phoneticPr fontId="1"/>
  </si>
  <si>
    <t>パワプロ2020 - 投球解析 - 2020-08-24 12-01-04-04</t>
    <phoneticPr fontId="1"/>
  </si>
  <si>
    <t>パワプロ2020 - 投球解析 - 2020-08-24 12-01-04-05</t>
    <phoneticPr fontId="1"/>
  </si>
  <si>
    <t>パワプロ2020 - 投球解析 - 2020-08-24 12-01-04-06</t>
    <phoneticPr fontId="1"/>
  </si>
  <si>
    <t>パワプロ2020 - 投球解析 - 2020-08-24 12-01-04-07</t>
    <phoneticPr fontId="1"/>
  </si>
  <si>
    <t>パワプロ2020 - 投球解析 - 2020-08-24 12-01-04-08</t>
    <phoneticPr fontId="1"/>
  </si>
  <si>
    <t>パワプロ2020 - 投球解析 - 2020-08-24 12-02-12-00</t>
    <phoneticPr fontId="1"/>
  </si>
  <si>
    <t>パワプロ2020 - 投球解析 - 2020-08-24 12-02-12-01</t>
    <phoneticPr fontId="1"/>
  </si>
  <si>
    <t>パワプロ2020 - 投球解析 - 2020-08-24 12-02-12-02</t>
    <phoneticPr fontId="1"/>
  </si>
  <si>
    <t>パワプロ2020 - 投球解析 - 2020-08-24 12-02-12-03</t>
    <phoneticPr fontId="1"/>
  </si>
  <si>
    <t>パワプロ2020 - 投球解析 - 2020-08-24 12-02-12-04</t>
    <phoneticPr fontId="1"/>
  </si>
  <si>
    <t>にす</t>
    <phoneticPr fontId="1"/>
  </si>
  <si>
    <t>パワプロ2020 - 投球解析 - 2020-08-24 12-02-12-05</t>
    <phoneticPr fontId="1"/>
  </si>
  <si>
    <t>パワプロ2020 - 投球解析 - 2020-08-24 12-02-12-06</t>
    <phoneticPr fontId="1"/>
  </si>
  <si>
    <t>パワプロ2020 - 投球解析 - 2020-08-24 12-02-12-07</t>
    <phoneticPr fontId="1"/>
  </si>
  <si>
    <t>arc}</t>
    <phoneticPr fontId="1"/>
  </si>
  <si>
    <t>パワプロ2020 - 投球解析 - 2020-08-24 12-02-12-08</t>
    <phoneticPr fontId="1"/>
  </si>
  <si>
    <t>パワプロ2020 - 投球解析 - 2020-08-24 12-02-12-09</t>
    <phoneticPr fontId="1"/>
  </si>
  <si>
    <t>DDO0O16</t>
    <phoneticPr fontId="1"/>
  </si>
  <si>
    <t>パワプロ2020 - 投球解析 - 2020-08-24 12-03-33-00</t>
    <phoneticPr fontId="1"/>
  </si>
  <si>
    <t>パワプロ2020 - 投球解析 - 2020-08-24 12-03-33-01</t>
    <phoneticPr fontId="1"/>
  </si>
  <si>
    <t>パワプロ2020 - 投球解析 - 2020-08-24 12-03-33-02</t>
    <phoneticPr fontId="1"/>
  </si>
  <si>
    <t>パワプロ2020 - 投球解析 - 2020-08-24 12-03-33-03</t>
    <phoneticPr fontId="1"/>
  </si>
  <si>
    <t>パワプロ2020 - 投球解析 - 2020-08-24 12-03-33-04</t>
    <phoneticPr fontId="1"/>
  </si>
  <si>
    <t>パワプロ2020 - 投球解析 - 2020-08-24 12-03-33-05</t>
    <phoneticPr fontId="1"/>
  </si>
  <si>
    <t>rae}</t>
    <phoneticPr fontId="1"/>
  </si>
  <si>
    <t>パワプロ2020 - 投球解析 - 2020-08-24 12-03-33-06</t>
    <phoneticPr fontId="1"/>
  </si>
  <si>
    <t>パワプロ2020 - 投球解析 - 2020-08-24 12-03-33-07</t>
    <phoneticPr fontId="1"/>
  </si>
  <si>
    <t>パワプロ2020 - 投球解析 - 2020-08-24 12-03-33-08</t>
    <phoneticPr fontId="1"/>
  </si>
  <si>
    <t>パワプロ2020 - 投球解析 - 2020-08-24 12-03-33-09</t>
    <phoneticPr fontId="1"/>
  </si>
  <si>
    <t>パワプロ2020 - 投球解析 - 2020-08-24 12-04-51-00</t>
    <phoneticPr fontId="1"/>
  </si>
  <si>
    <t>アクた</t>
    <phoneticPr fontId="1"/>
  </si>
  <si>
    <t>パワプロ2020 - 投球解析 - 2020-08-24 12-04-51-01</t>
    <phoneticPr fontId="1"/>
  </si>
  <si>
    <t>パワプロ2020 - 投球解析 - 2020-08-24 12-04-51-02</t>
    <phoneticPr fontId="1"/>
  </si>
  <si>
    <t>パワプロ2020 - 投球解析 - 2020-08-24 12-04-51-03</t>
    <phoneticPr fontId="1"/>
  </si>
  <si>
    <t>パワプロ2020 - 投球解析 - 2020-08-24 12-04-51-04</t>
    <phoneticPr fontId="1"/>
  </si>
  <si>
    <t>パワプロ2020 - 投球解析 - 2020-08-24 12-04-51-05</t>
    <phoneticPr fontId="1"/>
  </si>
  <si>
    <t>パワプロ2020 - 投球解析 - 2020-08-24 12-04-51-06</t>
    <phoneticPr fontId="1"/>
  </si>
  <si>
    <t>DDO18</t>
    <phoneticPr fontId="1"/>
  </si>
  <si>
    <t>DDO018</t>
    <phoneticPr fontId="1"/>
  </si>
  <si>
    <t>act)</t>
    <phoneticPr fontId="1"/>
  </si>
  <si>
    <t>DDO0O18</t>
    <phoneticPr fontId="1"/>
  </si>
  <si>
    <t>ac)</t>
    <phoneticPr fontId="1"/>
  </si>
  <si>
    <t>パワプロ2020 - 投球解析 - 2020-08-24 12-06-16-07</t>
    <phoneticPr fontId="1"/>
  </si>
  <si>
    <t>パワプロ2020 - 投球解析 - 2020-08-24 12-06-16-08</t>
    <phoneticPr fontId="1"/>
  </si>
  <si>
    <t>パワプロ2020 - 投球解析 - 2020-08-24 12-06-16-09</t>
    <phoneticPr fontId="1"/>
  </si>
  <si>
    <t>パワプロ2020 - 投球解析 - 2020-08-24 12-07-26-00</t>
    <phoneticPr fontId="1"/>
  </si>
  <si>
    <t>パワプロ2020 - 投球解析 - 2020-08-24 12-07-26-01</t>
    <phoneticPr fontId="1"/>
  </si>
  <si>
    <t>パワプロ2020 - 投球解析 - 2020-08-24 12-07-26-02</t>
    <phoneticPr fontId="1"/>
  </si>
  <si>
    <t>パワプロ2020 - 投球解析 - 2020-08-24 12-07-26-03</t>
    <phoneticPr fontId="1"/>
  </si>
  <si>
    <t>パワプロ2020 - 投球解析 - 2020-08-24 12-07-26-04</t>
    <phoneticPr fontId="1"/>
  </si>
  <si>
    <t>パワプロ2020 - 投球解析 - 2020-08-24 12-07-26-05</t>
    <phoneticPr fontId="1"/>
  </si>
  <si>
    <t>パワプロ2020 - 投球解析 - 2020-08-24 12-07-26-06</t>
    <phoneticPr fontId="1"/>
  </si>
  <si>
    <t>パワプロ2020 - 投球解析 - 2020-08-24 12-07-26-07</t>
    <phoneticPr fontId="1"/>
  </si>
  <si>
    <t>パワプロ2020 - 投球解析 - 2020-08-24 12-07-26-08</t>
    <phoneticPr fontId="1"/>
  </si>
  <si>
    <t>パワプロ2020 - 投球解析 - 2020-08-24 12-07-26-09</t>
    <phoneticPr fontId="1"/>
  </si>
  <si>
    <t>ナックルカーブ</t>
    <phoneticPr fontId="1"/>
  </si>
  <si>
    <t>ald 5)</t>
    <phoneticPr fontId="1"/>
  </si>
  <si>
    <t>パワプロ2020 - 投球解析 - 2020-08-24 12-08-41-01</t>
    <phoneticPr fontId="1"/>
  </si>
  <si>
    <t>rs)</t>
    <phoneticPr fontId="1"/>
  </si>
  <si>
    <t>パワプロ2020 - 投球解析 - 2020-08-24 12-08-41-02</t>
    <phoneticPr fontId="1"/>
  </si>
  <si>
    <t>パワプロ2020 - 投球解析 - 2020-08-24 12-08-41-03</t>
    <phoneticPr fontId="1"/>
  </si>
  <si>
    <t>パワプロ2020 - 投球解析 - 2020-08-24 12-08-41-05</t>
    <phoneticPr fontId="1"/>
  </si>
  <si>
    <t>パワプロ2020 - 投球解析 - 2020-08-24 12-08-41-08</t>
    <phoneticPr fontId="1"/>
  </si>
  <si>
    <t>パワプロ2020 - 投球解析 - 2020-08-24 12-08-41-09</t>
    <phoneticPr fontId="1"/>
  </si>
  <si>
    <t>パワプロ2020 - 投球解析 - 2020-08-24 12-08-41-12</t>
    <phoneticPr fontId="1"/>
  </si>
  <si>
    <t>パワプロ2020 - 投球解析 - 2020-08-24 12-08-41-13</t>
    <phoneticPr fontId="1"/>
  </si>
  <si>
    <t>パワプロ2020 - 投球解析 - 2020-08-24 12-10-03-00</t>
    <phoneticPr fontId="1"/>
  </si>
  <si>
    <t>パワプロ2020 - 投球解析 - 2020-08-24 12-10-03-01</t>
    <phoneticPr fontId="1"/>
  </si>
  <si>
    <t>パワプロ2020 - 投球解析 - 2020-08-24 12-10-03-02</t>
    <phoneticPr fontId="1"/>
  </si>
  <si>
    <t>パワプロ2020 - 投球解析 - 2020-08-24 12-10-03-03</t>
    <phoneticPr fontId="1"/>
  </si>
  <si>
    <t>パワプロ2020 - 投球解析 - 2020-08-24 12-10-03-04</t>
    <phoneticPr fontId="1"/>
  </si>
  <si>
    <t>パワプロ2020 - 投球解析 - 2020-08-24 12-10-03-05</t>
    <phoneticPr fontId="1"/>
  </si>
  <si>
    <t>パワプロ2020 - 投球解析 - 2020-08-24 12-10-03-06</t>
    <phoneticPr fontId="1"/>
  </si>
  <si>
    <t>a4</t>
    <phoneticPr fontId="1"/>
  </si>
  <si>
    <t>パワプロ2020 - 投球解析 - 2020-08-24 12-10-03-07</t>
    <phoneticPr fontId="1"/>
  </si>
  <si>
    <t>パワプロ2020 - 投球解析 - 2020-08-24 12-10-03-08</t>
    <phoneticPr fontId="1"/>
  </si>
  <si>
    <t>aaa</t>
    <phoneticPr fontId="1"/>
  </si>
  <si>
    <t>パワプロ2020 - 投球解析 - 2020-08-24 12-10-03-09</t>
    <phoneticPr fontId="1"/>
  </si>
  <si>
    <t>パワプロ2020 - 投球解析 - 2020-08-24 12-11-18-00</t>
    <phoneticPr fontId="1"/>
  </si>
  <si>
    <t>パワプロ2020 - 投球解析 - 2020-08-24 12-11-18-01</t>
    <phoneticPr fontId="1"/>
  </si>
  <si>
    <t>パワプロ2020 - 投球解析 - 2020-08-24 12-11-18-12</t>
    <phoneticPr fontId="1"/>
  </si>
  <si>
    <t>パワプロ2020 - 投球解析 - 2020-08-24 12-11-18-13</t>
    <phoneticPr fontId="1"/>
  </si>
  <si>
    <t>DDO020)</t>
    <phoneticPr fontId="1"/>
  </si>
  <si>
    <t>パワプロ2020 - 投球解析 - 2020-08-24 12-12-56-00</t>
    <phoneticPr fontId="1"/>
  </si>
  <si>
    <t>DDO020</t>
    <phoneticPr fontId="1"/>
  </si>
  <si>
    <t>パワプロ2020 - 投球解析 - 2020-08-24 12-12-56-01</t>
    <phoneticPr fontId="1"/>
  </si>
  <si>
    <t>パワプロ2020 - 投球解析 - 2020-08-24 12-12-56-02</t>
    <phoneticPr fontId="1"/>
  </si>
  <si>
    <t>パワプロ2020 - 投球解析 - 2020-08-24 12-12-56-03</t>
    <phoneticPr fontId="1"/>
  </si>
  <si>
    <t>ac}</t>
    <phoneticPr fontId="1"/>
  </si>
  <si>
    <t>IBT0/有6|</t>
    <phoneticPr fontId="1"/>
  </si>
  <si>
    <t>パワプロ2020 - 投球解析 - 2020-08-24 12-12-56-04</t>
    <phoneticPr fontId="1"/>
  </si>
  <si>
    <t>パワプロ2020 - 投球解析 - 2020-08-24 12-12-56-05</t>
    <phoneticPr fontId="1"/>
  </si>
  <si>
    <t>ct)</t>
    <phoneticPr fontId="1"/>
  </si>
  <si>
    <t>パワプロ2020 - 投球解析 - 2020-08-24 12-12-56-06</t>
    <phoneticPr fontId="1"/>
  </si>
  <si>
    <t>パワプロ2020 - 投球解析 - 2020-08-24 12-12-56-07</t>
    <phoneticPr fontId="1"/>
  </si>
  <si>
    <t>パワプロ2020 - 投球解析 - 2020-08-24 12-12-56-08</t>
    <phoneticPr fontId="1"/>
  </si>
  <si>
    <t>パワプロ2020 - 投球解析 - 2020-08-24 12-21-33-00</t>
    <phoneticPr fontId="1"/>
  </si>
  <si>
    <t>パワプロ2020 - 投球解析 - 2020-08-24 12-21-33-01</t>
    <phoneticPr fontId="1"/>
  </si>
  <si>
    <t>パワプロ2020 - 投球解析 - 2020-08-24 12-21-33-02</t>
    <phoneticPr fontId="1"/>
  </si>
  <si>
    <t>パワプロ2020 - 投球解析 - 2020-08-24 12-21-33-03</t>
    <phoneticPr fontId="1"/>
  </si>
  <si>
    <t>パワプロ2020 - 投球解析 - 2020-08-24 12-21-33-04</t>
    <phoneticPr fontId="1"/>
  </si>
  <si>
    <t>パワプロ2020 - 投球解析 - 2020-08-24 12-21-33-05</t>
    <phoneticPr fontId="1"/>
  </si>
  <si>
    <t>パワプロ2020 - 投球解析 - 2020-08-24 12-21-33-06</t>
    <phoneticPr fontId="1"/>
  </si>
  <si>
    <t>パワプロ2020 - 投球解析 - 2020-08-24 12-21-33-07</t>
    <phoneticPr fontId="1"/>
  </si>
  <si>
    <t>cc}</t>
    <phoneticPr fontId="1"/>
  </si>
  <si>
    <t>パワプロ2020 - 投球解析 - 2020-08-24 12-21-33-08</t>
    <phoneticPr fontId="1"/>
  </si>
  <si>
    <t>パワプロ2020 - 投球解析 - 2020-08-24 12-22-44-00</t>
    <phoneticPr fontId="1"/>
  </si>
  <si>
    <t>ar)</t>
    <phoneticPr fontId="1"/>
  </si>
  <si>
    <t>パワプロ2020 - 投球解析 - 2020-08-24 12-22-44-01</t>
    <phoneticPr fontId="1"/>
  </si>
  <si>
    <t>error</t>
    <phoneticPr fontId="1"/>
  </si>
  <si>
    <t>パワプロ2020 - 投球解析 - 2020-08-24 12-22-44-02</t>
    <phoneticPr fontId="1"/>
  </si>
  <si>
    <t>パワプロ2020 - 投球解析 - 2020-08-24 12-22-44-03</t>
    <phoneticPr fontId="1"/>
  </si>
  <si>
    <t>パワプロ2020 - 投球解析 - 2020-08-24 12-22-44-04</t>
    <phoneticPr fontId="1"/>
  </si>
  <si>
    <t>00/有6|</t>
    <phoneticPr fontId="1"/>
  </si>
  <si>
    <t>EL</t>
    <phoneticPr fontId="1"/>
  </si>
  <si>
    <t>ev)</t>
    <phoneticPr fontId="1"/>
  </si>
  <si>
    <t>パワプロ2020 - 投球解析 - 2020-08-24 12-24-03-04</t>
    <phoneticPr fontId="1"/>
  </si>
  <si>
    <t>パワプロ2020 - 投球解析 - 2020-08-24 12-24-03-05</t>
    <phoneticPr fontId="1"/>
  </si>
  <si>
    <t>er</t>
    <phoneticPr fontId="1"/>
  </si>
  <si>
    <t>DDO20)</t>
    <phoneticPr fontId="1"/>
  </si>
  <si>
    <t>パワプロ2020 - 投球解析 - 2020-08-24 12-24-03-06</t>
    <phoneticPr fontId="1"/>
  </si>
  <si>
    <t>パワプロ2020 - 投球解析 - 2020-08-24 12-24-03-07</t>
    <phoneticPr fontId="1"/>
  </si>
  <si>
    <t>パワプロ2020 - 投球解析 - 2020-08-24 12-24-03-08</t>
    <phoneticPr fontId="1"/>
  </si>
  <si>
    <t>DDO00 5</t>
    <phoneticPr fontId="1"/>
  </si>
  <si>
    <t>パワプロ2020 - 投球解析 - 2020-08-24 12-25-33-00</t>
    <phoneticPr fontId="1"/>
  </si>
  <si>
    <t>NOBWBS1</t>
    <phoneticPr fontId="1"/>
  </si>
  <si>
    <t>パワプロ2020 - 投球解析 - 2020-08-24 12-25-33-01</t>
    <phoneticPr fontId="1"/>
  </si>
  <si>
    <t>ch</t>
    <phoneticPr fontId="1"/>
  </si>
  <si>
    <t>DDO005</t>
    <phoneticPr fontId="1"/>
  </si>
  <si>
    <t>パワプロ2020 - 投球解析 - 2020-08-24 12-25-33-02</t>
    <phoneticPr fontId="1"/>
  </si>
  <si>
    <t>BOBWBS1</t>
    <phoneticPr fontId="1"/>
  </si>
  <si>
    <t>パワプロ2020 - 投球解析 - 2020-08-24 12-25-33-03</t>
    <phoneticPr fontId="1"/>
  </si>
  <si>
    <t>II0EWBS1</t>
    <phoneticPr fontId="1"/>
  </si>
  <si>
    <t>パワプロ2020 - 投球解析 - 2020-08-24 12-25-33-04</t>
    <phoneticPr fontId="1"/>
  </si>
  <si>
    <t>ach)</t>
    <phoneticPr fontId="1"/>
  </si>
  <si>
    <t>BI0EWBS1</t>
    <phoneticPr fontId="1"/>
  </si>
  <si>
    <t>パワプロ2020 - 投球解析 - 2020-08-24 12-25-33-05</t>
    <phoneticPr fontId="1"/>
  </si>
  <si>
    <t>00EWBS1</t>
    <phoneticPr fontId="1"/>
  </si>
  <si>
    <t>パワプロ2020 - 投球解析 - 2020-08-24 12-25-33-06</t>
    <phoneticPr fontId="1"/>
  </si>
  <si>
    <t>パワプロ2020 - 投球解析 - 2020-08-24 12-25-33-07</t>
    <phoneticPr fontId="1"/>
  </si>
  <si>
    <t>IO0EWBS1</t>
    <phoneticPr fontId="1"/>
  </si>
  <si>
    <t>パワプロ2020 - 投球解析 - 2020-08-24 12-25-33-08</t>
    <phoneticPr fontId="1"/>
  </si>
  <si>
    <t>パワプロ2020 - 投球解析 - 2020-08-24 12-26-53-00</t>
    <phoneticPr fontId="1"/>
  </si>
  <si>
    <t>パワプロ2020 - 投球解析 - 2020-08-24 12-26-53-01</t>
    <phoneticPr fontId="1"/>
  </si>
  <si>
    <t>BI0BWBS1</t>
    <phoneticPr fontId="1"/>
  </si>
  <si>
    <t>パワプロ2020 - 投球解析 - 2020-08-24 12-26-53-02</t>
    <phoneticPr fontId="1"/>
  </si>
  <si>
    <t>IN0EWBS1</t>
    <phoneticPr fontId="1"/>
  </si>
  <si>
    <t>パワプロ2020 - 投球解析 - 2020-08-24 12-26-53-03</t>
    <phoneticPr fontId="1"/>
  </si>
  <si>
    <t>パワプロ2020 - 投球解析 - 2020-08-24 12-26-53-04</t>
    <phoneticPr fontId="1"/>
  </si>
  <si>
    <t>パワプロ2020 - 投球解析 - 2020-08-24 12-26-53-05</t>
    <phoneticPr fontId="1"/>
  </si>
  <si>
    <t>パワプロ2020 - 投球解析 - 2020-08-24 12-26-53-06</t>
    <phoneticPr fontId="1"/>
  </si>
  <si>
    <t>パワプロ2020 - 投球解析 - 2020-08-24 12-26-53-07</t>
    <phoneticPr fontId="1"/>
  </si>
  <si>
    <t>ドロップカーブ</t>
    <phoneticPr fontId="1"/>
  </si>
  <si>
    <t>パワプロ2020 - 投球解析 - 2020-08-24 12-28-05-00</t>
    <phoneticPr fontId="1"/>
  </si>
  <si>
    <t>DD00)5</t>
    <phoneticPr fontId="1"/>
  </si>
  <si>
    <t>クッ</t>
    <phoneticPr fontId="1"/>
  </si>
  <si>
    <t>a3)</t>
    <phoneticPr fontId="1"/>
  </si>
  <si>
    <t>パワプロ2020 - 投球解析 - 2020-08-24 12-32-08-01</t>
    <phoneticPr fontId="1"/>
  </si>
  <si>
    <t>パワプロ2020 - 投球解析 - 2020-08-24 12-32-08-02</t>
    <phoneticPr fontId="1"/>
  </si>
  <si>
    <t>パワプロ2020 - 投球解析 - 2020-08-24 12-32-08-03</t>
    <phoneticPr fontId="1"/>
  </si>
  <si>
    <t>パワプロ2020 - 投球解析 - 2020-08-24 12-32-08-04</t>
    <phoneticPr fontId="1"/>
  </si>
  <si>
    <t>Co</t>
    <phoneticPr fontId="1"/>
  </si>
  <si>
    <t>パワプロ2020 - 投球解析 - 2020-08-24 12-32-08-05</t>
    <phoneticPr fontId="1"/>
  </si>
  <si>
    <t>パワプロ2020 - 投球解析 - 2020-08-24 12-32-08-06</t>
    <phoneticPr fontId="1"/>
  </si>
  <si>
    <t>パワプロ2020 - 投球解析 - 2020-08-24 12-32-08-07</t>
    <phoneticPr fontId="1"/>
  </si>
  <si>
    <t>パワプロ2020 - 投球解析 - 2020-08-24 12-32-08-08</t>
    <phoneticPr fontId="1"/>
  </si>
  <si>
    <t>DDO010)</t>
    <phoneticPr fontId="1"/>
  </si>
  <si>
    <t>パワプロ2020 - 投球解析 - 2020-08-24 12-33-48-00</t>
    <phoneticPr fontId="1"/>
  </si>
  <si>
    <t>050還|</t>
    <phoneticPr fontId="1"/>
  </si>
  <si>
    <t>パワプロ2020 - 投球解析 - 2020-08-24 12-33-48-01</t>
    <phoneticPr fontId="1"/>
  </si>
  <si>
    <t>パワプロ2020 - 投球解析 - 2020-08-24 12-33-48-02</t>
    <phoneticPr fontId="1"/>
  </si>
  <si>
    <t>BI6還還|</t>
    <phoneticPr fontId="1"/>
  </si>
  <si>
    <t>パワプロ2020 - 投球解析 - 2020-08-24 12-33-48-03</t>
    <phoneticPr fontId="1"/>
  </si>
  <si>
    <t>パワプロ2020 - 投球解析 - 2020-08-24 12-33-48-04</t>
    <phoneticPr fontId="1"/>
  </si>
  <si>
    <t>パワプロ2020 - 投球解析 - 2020-08-24 12-33-48-05</t>
    <phoneticPr fontId="1"/>
  </si>
  <si>
    <t>DDO10)</t>
    <phoneticPr fontId="1"/>
  </si>
  <si>
    <t>パワプロ2020 - 投球解析 - 2020-08-24 12-33-48-06</t>
    <phoneticPr fontId="1"/>
  </si>
  <si>
    <t>パワプロ2020 - 投球解析 - 2020-08-24 12-33-48-07</t>
    <phoneticPr fontId="1"/>
  </si>
  <si>
    <t>パワプロ2020 - 投球解析 - 2020-08-24 12-33-48-08</t>
    <phoneticPr fontId="1"/>
  </si>
  <si>
    <t>パワプロ2020 - 投球解析 - 2020-08-24 12-33-48-09</t>
    <phoneticPr fontId="1"/>
  </si>
  <si>
    <t>パワプロ2020 - 投球解析 - 2020-08-24 12-35-33-00</t>
    <phoneticPr fontId="1"/>
  </si>
  <si>
    <t>BI0還国|</t>
    <phoneticPr fontId="1"/>
  </si>
  <si>
    <t>パワプロ2020 - 投球解析 - 2020-08-24 12-35-33-01</t>
    <phoneticPr fontId="1"/>
  </si>
  <si>
    <t>ci)</t>
    <phoneticPr fontId="1"/>
  </si>
  <si>
    <t>BBI0還還|</t>
    <phoneticPr fontId="1"/>
  </si>
  <si>
    <t>パワプロ2020 - 投球解析 - 2020-08-24 12-35-33-02</t>
    <phoneticPr fontId="1"/>
  </si>
  <si>
    <t>パワプロ2020 - 投球解析 - 2020-08-24 12-35-33-03</t>
    <phoneticPr fontId="1"/>
  </si>
  <si>
    <t>パワプロ2020 - 投球解析 - 2020-08-24 12-35-33-04</t>
    <phoneticPr fontId="1"/>
  </si>
  <si>
    <t>パワプロ2020 - 投球解析 - 2020-08-24 12-35-33-05</t>
    <phoneticPr fontId="1"/>
  </si>
  <si>
    <t>パワプロ2020 - 投球解析 - 2020-08-24 12-35-33-06</t>
    <phoneticPr fontId="1"/>
  </si>
  <si>
    <t>人1050還還|</t>
    <phoneticPr fontId="1"/>
  </si>
  <si>
    <t>ers</t>
    <phoneticPr fontId="1"/>
  </si>
  <si>
    <t>13￠</t>
    <phoneticPr fontId="1"/>
  </si>
  <si>
    <t>パワプロ2020 - 投球解析 - 2020-08-24 12-36-56-06</t>
    <phoneticPr fontId="1"/>
  </si>
  <si>
    <t>パワプロ2020 - 投球解析 - 2020-08-24 12-36-56-07</t>
    <phoneticPr fontId="1"/>
  </si>
  <si>
    <t>パワプロ2020 - 投球解析 - 2020-08-24 12-38-24-00</t>
    <phoneticPr fontId="1"/>
  </si>
  <si>
    <t>BI0還還|</t>
    <phoneticPr fontId="1"/>
  </si>
  <si>
    <t>パワプロ2020 - 投球解析 - 2020-08-24 12-38-24-01</t>
    <phoneticPr fontId="1"/>
  </si>
  <si>
    <t>パワプロ2020 - 投球解析 - 2020-08-24 12-38-24-02</t>
    <phoneticPr fontId="1"/>
  </si>
  <si>
    <t>パワプロ2020 - 投球解析 - 2020-08-24 12-38-24-03</t>
    <phoneticPr fontId="1"/>
  </si>
  <si>
    <t>パワプロ2020 - 投球解析 - 2020-08-24 12-38-24-04</t>
    <phoneticPr fontId="1"/>
  </si>
  <si>
    <t>パワプロ2020 - 投球解析 - 2020-08-24 12-38-24-05</t>
    <phoneticPr fontId="1"/>
  </si>
  <si>
    <t>パワプロ2020 - 投球解析 - 2020-08-24 12-38-24-06</t>
    <phoneticPr fontId="1"/>
  </si>
  <si>
    <t>BI6還還6|</t>
    <phoneticPr fontId="1"/>
  </si>
  <si>
    <t>パワプロ2020 - 投球解析 - 2020-08-24 12-38-24-07</t>
    <phoneticPr fontId="1"/>
  </si>
  <si>
    <t>パワプロ2020 - 投球解析 - 2020-08-24 12-38-24-08</t>
    <phoneticPr fontId="1"/>
  </si>
  <si>
    <t>DD0() 1</t>
    <phoneticPr fontId="1"/>
  </si>
  <si>
    <t>パワプロ2020 - 投球解析 - 2020-08-24 12-39-57-00</t>
    <phoneticPr fontId="1"/>
  </si>
  <si>
    <t>DD0)() 1</t>
    <phoneticPr fontId="1"/>
  </si>
  <si>
    <t>パワプロ2020 - 投球解析 - 2020-08-24 12-39-57-01</t>
    <phoneticPr fontId="1"/>
  </si>
  <si>
    <t>ty</t>
    <phoneticPr fontId="1"/>
  </si>
  <si>
    <t>DD0 0) 1</t>
    <phoneticPr fontId="1"/>
  </si>
  <si>
    <t>パワプロ2020 - 投球解析 - 2020-08-24 12-39-57-02</t>
    <phoneticPr fontId="1"/>
  </si>
  <si>
    <t>DD0) 0() 1</t>
    <phoneticPr fontId="1"/>
  </si>
  <si>
    <t>パワプロ2020 - 投球解析 - 2020-08-24 12-39-57-03</t>
    <phoneticPr fontId="1"/>
  </si>
  <si>
    <t>BI0BW還|</t>
    <phoneticPr fontId="1"/>
  </si>
  <si>
    <t>パワプロ2020 - 投球解析 - 2020-08-24 12-39-57-04</t>
    <phoneticPr fontId="1"/>
  </si>
  <si>
    <t>DD0O 0) 1</t>
    <phoneticPr fontId="1"/>
  </si>
  <si>
    <t>パワプロ2020 - 投球解析 - 2020-08-24 12-39-57-05</t>
    <phoneticPr fontId="1"/>
  </si>
  <si>
    <t>DD0 0() 1</t>
    <phoneticPr fontId="1"/>
  </si>
  <si>
    <t>パワプロ2020 - 投球解析 - 2020-08-24 12-39-57-06</t>
    <phoneticPr fontId="1"/>
  </si>
  <si>
    <t>パワプロ2020 - 投球解析 - 2020-08-24 12-39-57-07</t>
    <phoneticPr fontId="1"/>
  </si>
  <si>
    <t>rls)</t>
    <phoneticPr fontId="1"/>
  </si>
  <si>
    <t>パワプロ2020 - 投球解析 - 2020-08-24 12-39-57-08</t>
    <phoneticPr fontId="1"/>
  </si>
  <si>
    <t>パワプロ2020 - 投球解析 - 2020-08-24 12-41-25-00</t>
    <phoneticPr fontId="1"/>
  </si>
  <si>
    <t>にコア介さ</t>
    <phoneticPr fontId="1"/>
  </si>
  <si>
    <t>DD0O() 1</t>
    <phoneticPr fontId="1"/>
  </si>
  <si>
    <t>パワプロ2020 - 投球解析 - 2020-08-24 12-41-25-01</t>
    <phoneticPr fontId="1"/>
  </si>
  <si>
    <t>パワプロ2020 - 投球解析 - 2020-08-24 12-41-25-02</t>
    <phoneticPr fontId="1"/>
  </si>
  <si>
    <t>DD0) 0) 1</t>
    <phoneticPr fontId="1"/>
  </si>
  <si>
    <t>パワプロ2020 - 投球解析 - 2020-08-24 12-41-25-03</t>
    <phoneticPr fontId="1"/>
  </si>
  <si>
    <t>cy)</t>
    <phoneticPr fontId="1"/>
  </si>
  <si>
    <t>パワプロ2020 - 投球解析 - 2020-08-24 12-41-25-04</t>
    <phoneticPr fontId="1"/>
  </si>
  <si>
    <t>パワプロ2020 - 投球解析 - 2020-08-24 12-41-25-05</t>
    <phoneticPr fontId="1"/>
  </si>
  <si>
    <t>パワプロ2020 - 投球解析 - 2020-08-24 12-41-25-06</t>
    <phoneticPr fontId="1"/>
  </si>
  <si>
    <t>パワプロ2020 - 投球解析 - 2020-08-24 12-41-25-07</t>
    <phoneticPr fontId="1"/>
  </si>
  <si>
    <t>パワプロ2020 - 投球解析 - 2020-08-24 12-41-25-08</t>
    <phoneticPr fontId="1"/>
  </si>
  <si>
    <t>レン 多&gt;た</t>
    <phoneticPr fontId="1"/>
  </si>
  <si>
    <t>パワプロ2020 - 投球解析 - 2020-08-24 12-42-52-00</t>
    <phoneticPr fontId="1"/>
  </si>
  <si>
    <t>レンと人ンた</t>
    <phoneticPr fontId="1"/>
  </si>
  <si>
    <t>BI0BW胃|</t>
    <phoneticPr fontId="1"/>
  </si>
  <si>
    <t>パワプロ2020 - 投球解析 - 2020-08-24 12-42-52-01</t>
    <phoneticPr fontId="1"/>
  </si>
  <si>
    <t>レンと&gt;た</t>
    <phoneticPr fontId="1"/>
  </si>
  <si>
    <t>パワプロ2020 - 投球解析 - 2020-08-24 12-42-52-02</t>
    <phoneticPr fontId="1"/>
  </si>
  <si>
    <t>Hスライダー</t>
    <phoneticPr fontId="1"/>
  </si>
  <si>
    <t>ca</t>
    <phoneticPr fontId="1"/>
  </si>
  <si>
    <t>パワプロ2020 - 投球解析 - 2020-08-24 12-42-52-03</t>
    <phoneticPr fontId="1"/>
  </si>
  <si>
    <t>レンと&gt;</t>
    <phoneticPr fontId="1"/>
  </si>
  <si>
    <t>パワプロ2020 - 投球解析 - 2020-08-24 12-42-52-04</t>
    <phoneticPr fontId="1"/>
  </si>
  <si>
    <t>レンと人多た</t>
    <phoneticPr fontId="1"/>
  </si>
  <si>
    <t>DD0) 0 1</t>
    <phoneticPr fontId="1"/>
  </si>
  <si>
    <t>ジリタクガリルルEpん</t>
    <phoneticPr fontId="1"/>
  </si>
  <si>
    <t>シレリルクッガルルん</t>
    <phoneticPr fontId="1"/>
  </si>
  <si>
    <t>alr 5}</t>
    <phoneticPr fontId="1"/>
  </si>
  <si>
    <t>パワプロ2020 - 投球解析 - 2020-08-24 12-44-26-07</t>
    <phoneticPr fontId="1"/>
  </si>
  <si>
    <t>パワプロ2020 - 投球解析 - 2020-08-24 12-44-26-08</t>
    <phoneticPr fontId="1"/>
  </si>
  <si>
    <t>rv)</t>
    <phoneticPr fontId="1"/>
  </si>
  <si>
    <t>パワプロ2020 - 投球解析 - 2020-08-24 12-44-26-09</t>
    <phoneticPr fontId="1"/>
  </si>
  <si>
    <t>rei</t>
    <phoneticPr fontId="1"/>
  </si>
  <si>
    <t>パワプロ2020 - 投球解析 - 2020-08-24 12-44-26-10</t>
    <phoneticPr fontId="1"/>
  </si>
  <si>
    <t>パワプロ2020 - 投球解析 - 2020-08-24 12-44-26-11</t>
    <phoneticPr fontId="1"/>
  </si>
  <si>
    <t>パワプロ2020 - 投球解析 - 2020-08-24 12-44-26-17</t>
    <phoneticPr fontId="1"/>
  </si>
  <si>
    <t>パワプロ2020 - 投球解析 - 2020-08-24 12-46-03-00</t>
    <phoneticPr fontId="1"/>
  </si>
  <si>
    <t>DD0 0 1</t>
    <phoneticPr fontId="1"/>
  </si>
  <si>
    <t>パワプロ2020 - 投球解析 - 2020-08-24 12-46-03-03</t>
    <phoneticPr fontId="1"/>
  </si>
  <si>
    <t>are}</t>
    <phoneticPr fontId="1"/>
  </si>
  <si>
    <t>パワプロ2020 - 投球解析 - 2020-08-24 12-46-03-04</t>
    <phoneticPr fontId="1"/>
  </si>
  <si>
    <t>rtd</t>
    <phoneticPr fontId="1"/>
  </si>
  <si>
    <t>パワプロ2020 - 投球解析 - 2020-08-24 12-46-03-06</t>
    <phoneticPr fontId="1"/>
  </si>
  <si>
    <t>パワプロ2020 - 投球解析 - 2020-08-24 12-46-03-07</t>
    <phoneticPr fontId="1"/>
  </si>
  <si>
    <t>パワプロ2020 - 投球解析 - 2020-08-24 12-46-03-10</t>
    <phoneticPr fontId="1"/>
  </si>
  <si>
    <t>パワプロ2020 - 投球解析 - 2020-08-24 12-46-03-11</t>
    <phoneticPr fontId="1"/>
  </si>
  <si>
    <t>パワプロ2020 - 投球解析 - 2020-08-24 12-46-03-15</t>
    <phoneticPr fontId="1"/>
  </si>
  <si>
    <t>BI0BW肖|</t>
    <phoneticPr fontId="1"/>
  </si>
  <si>
    <t>パワプロ2020 - 投球解析 - 2020-08-24 12-46-03-16</t>
    <phoneticPr fontId="1"/>
  </si>
  <si>
    <t>DDO00)2</t>
  </si>
  <si>
    <t>BI0EOW/</t>
  </si>
  <si>
    <t>DDO00) 2</t>
  </si>
  <si>
    <t>arts</t>
  </si>
  <si>
    <t>10I0EWW/</t>
  </si>
  <si>
    <t>00EWW/</t>
  </si>
  <si>
    <t>BI0EWW/</t>
  </si>
  <si>
    <t>BBI0EWW/</t>
  </si>
  <si>
    <t>IO0EOW/</t>
  </si>
  <si>
    <t>DD00)2</t>
  </si>
  <si>
    <t>set</t>
  </si>
  <si>
    <t>の</t>
  </si>
  <si>
    <t>alr 5)</t>
  </si>
  <si>
    <t>10EWW/</t>
  </si>
  <si>
    <t>に=</t>
  </si>
  <si>
    <t>SFF</t>
  </si>
  <si>
    <t>BI0EW</t>
  </si>
  <si>
    <t>DDO17</t>
  </si>
  <si>
    <t>BI 較間/</t>
  </si>
  <si>
    <t>DDO017</t>
  </si>
  <si>
    <t>re!</t>
  </si>
  <si>
    <t>にアア作アた</t>
  </si>
  <si>
    <t>レンとンコ</t>
  </si>
  <si>
    <t>ロレウンとレンた</t>
  </si>
  <si>
    <t>レンと多ンた</t>
  </si>
  <si>
    <t>set)</t>
  </si>
  <si>
    <t>こす</t>
  </si>
  <si>
    <t>050国還/</t>
  </si>
  <si>
    <t>リト</t>
  </si>
  <si>
    <t>BBI0還6</t>
  </si>
  <si>
    <t>050国還6</t>
  </si>
  <si>
    <t>BI6国還6</t>
  </si>
  <si>
    <t>BI0国還</t>
  </si>
  <si>
    <t>BI0還還</t>
  </si>
  <si>
    <t>BI6国還</t>
  </si>
  <si>
    <t>BI6還還</t>
  </si>
  <si>
    <t>BIBI6還還6</t>
  </si>
  <si>
    <t>人1050国還9</t>
  </si>
  <si>
    <t>にアー 作た</t>
  </si>
  <si>
    <t>BI0還還6</t>
  </si>
  <si>
    <t>BBI6国還6</t>
  </si>
  <si>
    <t>BI0国還6</t>
  </si>
  <si>
    <t>BI6還還6</t>
  </si>
  <si>
    <t>ras</t>
  </si>
  <si>
    <t>人1060国還6</t>
  </si>
  <si>
    <t>BI6国還%</t>
  </si>
  <si>
    <t>DDO006</t>
  </si>
  <si>
    <t>ET}</t>
  </si>
  <si>
    <t>Lv)</t>
  </si>
  <si>
    <t>01060上</t>
  </si>
  <si>
    <t>DDO06</t>
  </si>
  <si>
    <t>BMW邊1</t>
  </si>
  <si>
    <t>にコアの作当アた</t>
  </si>
  <si>
    <t>0I0BW邊1</t>
  </si>
  <si>
    <t>060W邊9</t>
  </si>
  <si>
    <t>NG</t>
    <phoneticPr fontId="1"/>
  </si>
  <si>
    <t>DD016</t>
    <phoneticPr fontId="1"/>
  </si>
  <si>
    <t>DD018</t>
    <phoneticPr fontId="1"/>
  </si>
  <si>
    <t>DD020</t>
    <phoneticPr fontId="1"/>
  </si>
  <si>
    <t>DD005</t>
    <phoneticPr fontId="1"/>
  </si>
  <si>
    <t>DD010</t>
    <phoneticPr fontId="1"/>
  </si>
  <si>
    <t>DD001</t>
  </si>
  <si>
    <t>DD001</t>
    <phoneticPr fontId="1"/>
  </si>
  <si>
    <t>DD002</t>
    <phoneticPr fontId="1"/>
  </si>
  <si>
    <t>DD017</t>
    <phoneticPr fontId="1"/>
  </si>
  <si>
    <t>DD019</t>
    <phoneticPr fontId="1"/>
  </si>
  <si>
    <t>DD006</t>
    <phoneticPr fontId="1"/>
  </si>
  <si>
    <t>シュート</t>
    <phoneticPr fontId="1"/>
  </si>
  <si>
    <t>モーション</t>
    <phoneticPr fontId="1"/>
  </si>
  <si>
    <t>ボール</t>
    <phoneticPr fontId="1"/>
  </si>
  <si>
    <t>にコア作当アた</t>
    <phoneticPr fontId="1"/>
  </si>
  <si>
    <t>i)</t>
    <phoneticPr fontId="1"/>
  </si>
  <si>
    <t>ne</t>
    <phoneticPr fontId="1"/>
  </si>
  <si>
    <t>i}</t>
    <phoneticPr fontId="1"/>
  </si>
  <si>
    <t>rar</t>
    <phoneticPr fontId="1"/>
  </si>
  <si>
    <t>mt}</t>
    <phoneticPr fontId="1"/>
  </si>
  <si>
    <t>cei</t>
  </si>
  <si>
    <t>DD0O07</t>
  </si>
  <si>
    <t>re!</t>
    <phoneticPr fontId="1"/>
  </si>
  <si>
    <t>にアー 作所た</t>
    <phoneticPr fontId="1"/>
  </si>
  <si>
    <t>DD0O07</t>
    <phoneticPr fontId="1"/>
  </si>
  <si>
    <t>ry</t>
    <phoneticPr fontId="1"/>
  </si>
  <si>
    <t>ard 5)</t>
    <phoneticPr fontId="1"/>
  </si>
  <si>
    <t>arts}</t>
    <phoneticPr fontId="1"/>
  </si>
  <si>
    <t>rd)</t>
    <phoneticPr fontId="1"/>
  </si>
  <si>
    <t>alr)</t>
  </si>
  <si>
    <t>ami)</t>
  </si>
  <si>
    <t>と品リニタ!</t>
    <phoneticPr fontId="1"/>
  </si>
  <si>
    <t>set}</t>
    <phoneticPr fontId="1"/>
  </si>
  <si>
    <t>ane)</t>
    <phoneticPr fontId="1"/>
  </si>
  <si>
    <t>ec}</t>
    <phoneticPr fontId="1"/>
  </si>
  <si>
    <t>cn</t>
    <phoneticPr fontId="1"/>
  </si>
  <si>
    <t>DD0() 2 1</t>
  </si>
  <si>
    <t>にコア作ただ</t>
    <phoneticPr fontId="1"/>
  </si>
  <si>
    <t>にコア但当アだ</t>
    <phoneticPr fontId="1"/>
  </si>
  <si>
    <t>IDIO 前</t>
    <phoneticPr fontId="1"/>
  </si>
  <si>
    <t>にコア作に当アただに</t>
    <phoneticPr fontId="1"/>
  </si>
  <si>
    <t>lee</t>
    <phoneticPr fontId="1"/>
  </si>
  <si>
    <t>BIN0EWBG1</t>
  </si>
  <si>
    <t>0I0EWB1</t>
  </si>
  <si>
    <t>BI0EWBG</t>
  </si>
  <si>
    <t>BBI0EWBG1</t>
    <phoneticPr fontId="1"/>
  </si>
  <si>
    <t>PBV人Gy</t>
    <phoneticPr fontId="1"/>
  </si>
  <si>
    <t>ca)</t>
    <phoneticPr fontId="1"/>
  </si>
  <si>
    <t>are</t>
    <phoneticPr fontId="1"/>
  </si>
  <si>
    <t>0100EWBG1</t>
    <phoneticPr fontId="1"/>
  </si>
  <si>
    <t>0I0EWB1</t>
    <phoneticPr fontId="1"/>
  </si>
  <si>
    <t>NOBWB1</t>
    <phoneticPr fontId="1"/>
  </si>
  <si>
    <t>0160国必6|</t>
  </si>
  <si>
    <t>人10560国暫6|</t>
  </si>
  <si>
    <t>rh]</t>
  </si>
  <si>
    <t>人1906国必(|</t>
  </si>
  <si>
    <t>vii</t>
  </si>
  <si>
    <t>106国暫(|</t>
  </si>
  <si>
    <t>II6国暫6|</t>
  </si>
  <si>
    <t>0160国必(|</t>
  </si>
  <si>
    <t>96国必(|</t>
    <phoneticPr fontId="1"/>
  </si>
  <si>
    <t>II6還区6|</t>
    <phoneticPr fontId="1"/>
  </si>
  <si>
    <t>vi}</t>
    <phoneticPr fontId="1"/>
  </si>
  <si>
    <t>0106国暫(|</t>
    <phoneticPr fontId="1"/>
  </si>
  <si>
    <t>DI6国軒(|</t>
    <phoneticPr fontId="1"/>
  </si>
  <si>
    <t>016国必6|</t>
    <phoneticPr fontId="1"/>
  </si>
  <si>
    <t>9160国暫(|</t>
    <phoneticPr fontId="1"/>
  </si>
  <si>
    <t>人19560国暫(|</t>
    <phoneticPr fontId="1"/>
  </si>
  <si>
    <t>1006国必(|</t>
    <phoneticPr fontId="1"/>
  </si>
  <si>
    <t>0M6国必6|</t>
    <phoneticPr fontId="1"/>
  </si>
  <si>
    <t>II6国暫6|</t>
    <phoneticPr fontId="1"/>
  </si>
  <si>
    <t>)</t>
  </si>
  <si>
    <t>Bo</t>
  </si>
  <si>
    <t>人19I6国還|</t>
  </si>
  <si>
    <t>BE</t>
    <phoneticPr fontId="1"/>
  </si>
  <si>
    <t>にアア作当アた</t>
    <phoneticPr fontId="1"/>
  </si>
  <si>
    <t>gs</t>
    <phoneticPr fontId="1"/>
  </si>
  <si>
    <t>0I6還時|</t>
    <phoneticPr fontId="1"/>
  </si>
  <si>
    <t>にコア者</t>
    <phoneticPr fontId="1"/>
  </si>
  <si>
    <t>Hy</t>
    <phoneticPr fontId="1"/>
  </si>
  <si>
    <t>Eo</t>
  </si>
  <si>
    <t>人19560国間の</t>
  </si>
  <si>
    <t>050国六</t>
  </si>
  <si>
    <t>SI6国間</t>
  </si>
  <si>
    <t>人10160国六</t>
  </si>
  <si>
    <t>II6国還の</t>
  </si>
  <si>
    <t>SI6国六</t>
  </si>
  <si>
    <t>916国六</t>
  </si>
  <si>
    <t>eld</t>
    <phoneticPr fontId="1"/>
  </si>
  <si>
    <t>人1016国間の</t>
    <phoneticPr fontId="1"/>
  </si>
  <si>
    <t>050国還</t>
    <phoneticPr fontId="1"/>
  </si>
  <si>
    <t>人1050国六</t>
    <phoneticPr fontId="1"/>
  </si>
  <si>
    <t>956国六</t>
    <phoneticPr fontId="1"/>
  </si>
  <si>
    <t>EEE}</t>
    <phoneticPr fontId="1"/>
  </si>
  <si>
    <t>人19106国還の</t>
    <phoneticPr fontId="1"/>
  </si>
  <si>
    <t>lt)</t>
    <phoneticPr fontId="1"/>
  </si>
  <si>
    <t>El</t>
    <phoneticPr fontId="1"/>
  </si>
  <si>
    <t>ISM6国還</t>
    <phoneticPr fontId="1"/>
  </si>
  <si>
    <t>9560国間1</t>
  </si>
  <si>
    <t>Ey)</t>
  </si>
  <si>
    <t>0506国陳1</t>
  </si>
  <si>
    <t>人1916国間1</t>
  </si>
  <si>
    <t>Eby</t>
  </si>
  <si>
    <t>1006国較1</t>
  </si>
  <si>
    <t>IDI6国間1</t>
  </si>
  <si>
    <t>9506国間61</t>
  </si>
  <si>
    <t>10I6国較1</t>
    <phoneticPr fontId="1"/>
  </si>
  <si>
    <t>aL</t>
    <phoneticPr fontId="1"/>
  </si>
  <si>
    <t>06国較61</t>
    <phoneticPr fontId="1"/>
  </si>
  <si>
    <t>人1960国間C1</t>
    <phoneticPr fontId="1"/>
  </si>
  <si>
    <t>BE)</t>
    <phoneticPr fontId="1"/>
  </si>
  <si>
    <t>人B1916国間1</t>
    <phoneticPr fontId="1"/>
  </si>
  <si>
    <t>10M6国較C1</t>
    <phoneticPr fontId="1"/>
  </si>
  <si>
    <t>qs</t>
    <phoneticPr fontId="1"/>
  </si>
  <si>
    <t>DDO013</t>
    <phoneticPr fontId="1"/>
  </si>
  <si>
    <t>0M6国較1</t>
    <phoneticPr fontId="1"/>
  </si>
  <si>
    <t>19M6国間1</t>
    <phoneticPr fontId="1"/>
  </si>
  <si>
    <t>eb]</t>
  </si>
  <si>
    <t>ai)</t>
    <phoneticPr fontId="1"/>
  </si>
  <si>
    <t>人1010還用</t>
    <phoneticPr fontId="1"/>
  </si>
  <si>
    <t>にコアの介さ</t>
    <phoneticPr fontId="1"/>
  </si>
  <si>
    <t>II6還用</t>
    <phoneticPr fontId="1"/>
  </si>
  <si>
    <t>にアー 作た</t>
    <phoneticPr fontId="1"/>
  </si>
  <si>
    <t>19I6国肢/|</t>
    <phoneticPr fontId="1"/>
  </si>
  <si>
    <t>iv;</t>
  </si>
  <si>
    <t>人1960国還</t>
    <phoneticPr fontId="1"/>
  </si>
  <si>
    <t>96国還1</t>
    <phoneticPr fontId="1"/>
  </si>
  <si>
    <t>iTS)</t>
    <phoneticPr fontId="1"/>
  </si>
  <si>
    <t>10M6国還</t>
    <phoneticPr fontId="1"/>
  </si>
  <si>
    <t>0106国還</t>
    <phoneticPr fontId="1"/>
  </si>
  <si>
    <t>anil)</t>
  </si>
  <si>
    <t>10M6国還1</t>
    <phoneticPr fontId="1"/>
  </si>
  <si>
    <t>9I6国還</t>
    <phoneticPr fontId="1"/>
  </si>
  <si>
    <t>9M6国還</t>
    <phoneticPr fontId="1"/>
  </si>
  <si>
    <t>IDI6国還</t>
    <phoneticPr fontId="1"/>
  </si>
  <si>
    <t>人10I6国還</t>
    <phoneticPr fontId="1"/>
  </si>
  <si>
    <t>人1916国還1</t>
    <phoneticPr fontId="1"/>
  </si>
  <si>
    <t>1060国還1</t>
    <phoneticPr fontId="1"/>
  </si>
  <si>
    <t>人1056国還</t>
    <phoneticPr fontId="1"/>
  </si>
  <si>
    <t>DIEW0W/I</t>
    <phoneticPr fontId="1"/>
  </si>
  <si>
    <t>IDBW0W/I</t>
    <phoneticPr fontId="1"/>
  </si>
  <si>
    <t>IM0E0W/I</t>
    <phoneticPr fontId="1"/>
  </si>
  <si>
    <t>DDO00 4</t>
    <phoneticPr fontId="1"/>
  </si>
  <si>
    <t>19060W/I</t>
    <phoneticPr fontId="1"/>
  </si>
  <si>
    <t>にコア才た</t>
    <phoneticPr fontId="1"/>
  </si>
  <si>
    <t>にアア作だ</t>
    <phoneticPr fontId="1"/>
  </si>
  <si>
    <t>BIM0B60W/I</t>
    <phoneticPr fontId="1"/>
  </si>
  <si>
    <t>10660W/I</t>
    <phoneticPr fontId="1"/>
  </si>
  <si>
    <t>10 WI</t>
    <phoneticPr fontId="1"/>
  </si>
  <si>
    <t>IEWW/I</t>
    <phoneticPr fontId="1"/>
  </si>
  <si>
    <t>eC}</t>
    <phoneticPr fontId="1"/>
  </si>
  <si>
    <t>10I0E0W/I</t>
    <phoneticPr fontId="1"/>
  </si>
  <si>
    <t>人19060W/I</t>
    <phoneticPr fontId="1"/>
  </si>
  <si>
    <t>1提昌7</t>
    <phoneticPr fontId="1"/>
  </si>
  <si>
    <t>ct}</t>
    <phoneticPr fontId="1"/>
  </si>
  <si>
    <t>060WWe</t>
    <phoneticPr fontId="1"/>
  </si>
  <si>
    <t>ac C}</t>
    <phoneticPr fontId="1"/>
  </si>
  <si>
    <t>00BWWe1</t>
    <phoneticPr fontId="1"/>
  </si>
  <si>
    <t>100Ws1</t>
    <phoneticPr fontId="1"/>
  </si>
  <si>
    <t>DIEe1</t>
    <phoneticPr fontId="1"/>
  </si>
  <si>
    <t>0106 We</t>
    <phoneticPr fontId="1"/>
  </si>
  <si>
    <t>II We</t>
    <phoneticPr fontId="1"/>
  </si>
  <si>
    <t>060WWe1</t>
    <phoneticPr fontId="1"/>
  </si>
  <si>
    <t>60We1</t>
    <phoneticPr fontId="1"/>
  </si>
  <si>
    <t>人0100Ws1</t>
    <phoneticPr fontId="1"/>
  </si>
  <si>
    <t>as)</t>
  </si>
  <si>
    <t>DI0WWe1</t>
    <phoneticPr fontId="1"/>
  </si>
  <si>
    <t>人100WWe1</t>
    <phoneticPr fontId="1"/>
  </si>
  <si>
    <t>IO We</t>
    <phoneticPr fontId="1"/>
  </si>
  <si>
    <t>パワプロ2020 - 投球解析 - 2020-08-23 16-26-58-09</t>
    <phoneticPr fontId="1"/>
  </si>
  <si>
    <t>60 We</t>
    <phoneticPr fontId="1"/>
  </si>
  <si>
    <t>WWW We</t>
    <phoneticPr fontId="1"/>
  </si>
  <si>
    <t>シンクレョピコ</t>
    <phoneticPr fontId="1"/>
  </si>
  <si>
    <t>1アンクレ に</t>
    <phoneticPr fontId="1"/>
  </si>
  <si>
    <t>DD00 8</t>
    <phoneticPr fontId="1"/>
  </si>
  <si>
    <t>DI0BWWe1</t>
    <phoneticPr fontId="1"/>
  </si>
  <si>
    <t>にコア衝アた</t>
    <phoneticPr fontId="1"/>
  </si>
  <si>
    <t>II0 7用</t>
    <phoneticPr fontId="1"/>
  </si>
  <si>
    <t>パワプロ2020 - 投球解析 - 2020-08-23 16-30-55-09</t>
    <phoneticPr fontId="1"/>
  </si>
  <si>
    <t>1010 用</t>
    <phoneticPr fontId="1"/>
  </si>
  <si>
    <t>mas)</t>
  </si>
  <si>
    <t>ee)</t>
    <phoneticPr fontId="1"/>
  </si>
  <si>
    <t>DD00 0</t>
    <phoneticPr fontId="1"/>
  </si>
  <si>
    <t>IO</t>
    <phoneticPr fontId="1"/>
  </si>
  <si>
    <t>DDO00)09</t>
    <phoneticPr fontId="1"/>
  </si>
  <si>
    <t>WOW</t>
    <phoneticPr fontId="1"/>
  </si>
  <si>
    <t>NOW</t>
    <phoneticPr fontId="1"/>
  </si>
  <si>
    <t>106上BS</t>
    <phoneticPr fontId="1"/>
  </si>
  <si>
    <t>BI0W上BS</t>
    <phoneticPr fontId="1"/>
  </si>
  <si>
    <t>at}</t>
    <phoneticPr fontId="1"/>
  </si>
  <si>
    <t>BOBWBS</t>
    <phoneticPr fontId="1"/>
  </si>
  <si>
    <t>000上BS</t>
    <phoneticPr fontId="1"/>
  </si>
  <si>
    <t>00BWBS</t>
    <phoneticPr fontId="1"/>
  </si>
  <si>
    <t>ts</t>
    <phoneticPr fontId="1"/>
  </si>
  <si>
    <t>にの但当アた</t>
    <phoneticPr fontId="1"/>
  </si>
  <si>
    <t>にコーア作た</t>
    <phoneticPr fontId="1"/>
  </si>
  <si>
    <t>eL</t>
    <phoneticPr fontId="1"/>
  </si>
  <si>
    <t>パワプロ2020 - 投球解析 - 2020-08-24 12-08-41-00</t>
    <phoneticPr fontId="1"/>
  </si>
  <si>
    <t>rds)</t>
  </si>
  <si>
    <t>パワプロ2020 - 投球解析 - 2020-08-24 12-08-41-04</t>
    <phoneticPr fontId="1"/>
  </si>
  <si>
    <t>レリックガルルEpん</t>
    <phoneticPr fontId="1"/>
  </si>
  <si>
    <t>パワプロ2020 - 投球解析 - 2020-08-24 12-08-41-06</t>
    <phoneticPr fontId="1"/>
  </si>
  <si>
    <t>ジリンプルルEpん</t>
    <phoneticPr fontId="1"/>
  </si>
  <si>
    <t>パワプロ2020 - 投球解析 - 2020-08-24 12-08-41-07</t>
    <phoneticPr fontId="1"/>
  </si>
  <si>
    <t>BBI0 6|</t>
    <phoneticPr fontId="1"/>
  </si>
  <si>
    <t>BT0/有6|</t>
    <phoneticPr fontId="1"/>
  </si>
  <si>
    <t>パワプロ2020 - 投球解析 - 2020-08-24 12-12-56-09</t>
    <phoneticPr fontId="1"/>
  </si>
  <si>
    <t>Cy</t>
    <phoneticPr fontId="1"/>
  </si>
  <si>
    <t>人1006|</t>
    <phoneticPr fontId="1"/>
  </si>
  <si>
    <t>00 6|</t>
    <phoneticPr fontId="1"/>
  </si>
  <si>
    <t>cry</t>
    <phoneticPr fontId="1"/>
  </si>
  <si>
    <t>パワプロ2020 - 投球解析 - 2020-08-24 12-21-33-09</t>
    <phoneticPr fontId="1"/>
  </si>
  <si>
    <t>12e￠</t>
    <phoneticPr fontId="1"/>
  </si>
  <si>
    <t>パワプロ2020 - 投球解析 - 2020-08-24 12-24-03-09</t>
    <phoneticPr fontId="1"/>
  </si>
  <si>
    <t>パワプロ2020 - 投球解析 - 2020-08-24 12-25-33-09</t>
    <phoneticPr fontId="1"/>
  </si>
  <si>
    <t>にコア才だ</t>
    <phoneticPr fontId="1"/>
  </si>
  <si>
    <t>パワプロ2020 - 投球解析 - 2020-08-24 12-26-53-08</t>
    <phoneticPr fontId="1"/>
  </si>
  <si>
    <t>ンス</t>
    <phoneticPr fontId="1"/>
  </si>
  <si>
    <t>パワプロ2020 - 投球解析 - 2020-08-24 12-32-08-09</t>
    <phoneticPr fontId="1"/>
  </si>
  <si>
    <t>cl)</t>
    <phoneticPr fontId="1"/>
  </si>
  <si>
    <t>パワプロ2020 - 投球解析 - 2020-08-24 12-36-56-08</t>
    <phoneticPr fontId="1"/>
  </si>
  <si>
    <t>パワプロ2020 - 投球解析 - 2020-08-24 12-36-56-09</t>
    <phoneticPr fontId="1"/>
  </si>
  <si>
    <t>rat}</t>
    <phoneticPr fontId="1"/>
  </si>
  <si>
    <t>パワプロ2020 - 投球解析 - 2020-08-24 12-38-24-09</t>
    <phoneticPr fontId="1"/>
  </si>
  <si>
    <t>DD0O)() 1</t>
    <phoneticPr fontId="1"/>
  </si>
  <si>
    <t>パワプロ2020 - 投球解析 - 2020-08-24 12-39-57-09</t>
    <phoneticPr fontId="1"/>
  </si>
  <si>
    <t>にコア委た</t>
    <phoneticPr fontId="1"/>
  </si>
  <si>
    <t>にコアー 作とだ</t>
    <phoneticPr fontId="1"/>
  </si>
  <si>
    <t>パワプロ2020 - 投球解析 - 2020-08-24 12-41-25-09</t>
    <phoneticPr fontId="1"/>
  </si>
  <si>
    <t>にレンと多ンた</t>
    <phoneticPr fontId="1"/>
  </si>
  <si>
    <t>レンと多ンた</t>
    <phoneticPr fontId="1"/>
  </si>
  <si>
    <t>ロレンコ</t>
    <phoneticPr fontId="1"/>
  </si>
  <si>
    <t>DD0O) 0() 1</t>
    <phoneticPr fontId="1"/>
  </si>
  <si>
    <t>ロレウンと人ンた</t>
  </si>
  <si>
    <t>ジリルクガルル</t>
  </si>
  <si>
    <t>パワプロ2020 - 投球解析 - 2020-08-24 12-44-26-05</t>
    <phoneticPr fontId="1"/>
  </si>
  <si>
    <t>パワプロ2020 - 投球解析 - 2020-08-24 12-44-26-06</t>
    <phoneticPr fontId="1"/>
  </si>
  <si>
    <t>パワプロ2020 - 投球解析 - 2020-08-24 12-46-03-01</t>
    <phoneticPr fontId="1"/>
  </si>
  <si>
    <t>パワプロ2020 - 投球解析 - 2020-08-24 12-46-03-02</t>
    <phoneticPr fontId="1"/>
  </si>
  <si>
    <t>1ee</t>
  </si>
  <si>
    <t>パワプロ2020 - 投球解析 - 2020-08-24 12-46-03-05</t>
    <phoneticPr fontId="1"/>
  </si>
  <si>
    <t>パワプロ2020 - 投球解析 - 2020-08-24 12-46-03-08</t>
    <phoneticPr fontId="1"/>
  </si>
  <si>
    <t>パワプロ2020 - 投球解析 - 2020-08-24 12-46-03-09</t>
    <phoneticPr fontId="1"/>
  </si>
  <si>
    <t>パワプロ2020 - 投球解析 - 2020-08-24 12-46-03-18</t>
    <phoneticPr fontId="1"/>
  </si>
  <si>
    <t>DD00) 2</t>
    <phoneticPr fontId="1"/>
  </si>
  <si>
    <t>パワプロ2020 - 投球解析 - 2020-08-24 12-47-45-00</t>
    <phoneticPr fontId="1"/>
  </si>
  <si>
    <t>IN0EWW/</t>
    <phoneticPr fontId="1"/>
  </si>
  <si>
    <t>パワプロ2020 - 投球解析 - 2020-08-24 12-47-45-01</t>
    <phoneticPr fontId="1"/>
  </si>
  <si>
    <t>00EOW/</t>
    <phoneticPr fontId="1"/>
  </si>
  <si>
    <t>パワプロ2020 - 投球解析 - 2020-08-24 12-47-45-02</t>
    <phoneticPr fontId="1"/>
  </si>
  <si>
    <t>DDO00)2</t>
    <phoneticPr fontId="1"/>
  </si>
  <si>
    <t>パワプロ2020 - 投球解析 - 2020-08-24 12-47-45-03</t>
    <phoneticPr fontId="1"/>
  </si>
  <si>
    <t>DDO00) 2</t>
    <phoneticPr fontId="1"/>
  </si>
  <si>
    <t>パワプロ2020 - 投球解析 - 2020-08-24 12-47-45-04</t>
    <phoneticPr fontId="1"/>
  </si>
  <si>
    <t>BBI0EOW/</t>
    <phoneticPr fontId="1"/>
  </si>
  <si>
    <t>パワプロ2020 - 投球解析 - 2020-08-24 12-47-45-05</t>
    <phoneticPr fontId="1"/>
  </si>
  <si>
    <t>パワプロ2020 - 投球解析 - 2020-08-24 12-47-45-06</t>
    <phoneticPr fontId="1"/>
  </si>
  <si>
    <t>BI0EWW/</t>
    <phoneticPr fontId="1"/>
  </si>
  <si>
    <t>パワプロ2020 - 投球解析 - 2020-08-24 12-47-45-07</t>
    <phoneticPr fontId="1"/>
  </si>
  <si>
    <t>DD00)2</t>
    <phoneticPr fontId="1"/>
  </si>
  <si>
    <t>パワプロ2020 - 投球解析 - 2020-08-24 12-47-45-08</t>
    <phoneticPr fontId="1"/>
  </si>
  <si>
    <t>BI0EOW/</t>
    <phoneticPr fontId="1"/>
  </si>
  <si>
    <t>パワプロ2020 - 投球解析 - 2020-08-24 12-47-45-09</t>
    <phoneticPr fontId="1"/>
  </si>
  <si>
    <t>パワプロ2020 - 投球解析 - 2020-08-24 12-49-17-00</t>
    <phoneticPr fontId="1"/>
  </si>
  <si>
    <t>パワプロ2020 - 投球解析 - 2020-08-24 12-49-17-01</t>
    <phoneticPr fontId="1"/>
  </si>
  <si>
    <t>パワプロ2020 - 投球解析 - 2020-08-24 12-49-17-02</t>
    <phoneticPr fontId="1"/>
  </si>
  <si>
    <t>パワプロ2020 - 投球解析 - 2020-08-24 12-49-17-03</t>
    <phoneticPr fontId="1"/>
  </si>
  <si>
    <t>パワプロ2020 - 投球解析 - 2020-08-24 12-50-30-07</t>
    <phoneticPr fontId="1"/>
  </si>
  <si>
    <t>パワプロ2020 - 投球解析 - 2020-08-24 12-50-30-08</t>
    <phoneticPr fontId="1"/>
  </si>
  <si>
    <t>パワプロ2020 - 投球解析 - 2020-08-24 12-50-30-09</t>
    <phoneticPr fontId="1"/>
  </si>
  <si>
    <t>グッ</t>
    <phoneticPr fontId="1"/>
  </si>
  <si>
    <t>パワプロ2020 - 投球解析 - 2020-08-24 12-52-05-00</t>
    <phoneticPr fontId="1"/>
  </si>
  <si>
    <t>パワプロ2020 - 投球解析 - 2020-08-24 12-52-05-01</t>
    <phoneticPr fontId="1"/>
  </si>
  <si>
    <t>パワプロ2020 - 投球解析 - 2020-08-24 12-52-05-02</t>
    <phoneticPr fontId="1"/>
  </si>
  <si>
    <t>パワプロ2020 - 投球解析 - 2020-08-24 12-52-05-03</t>
    <phoneticPr fontId="1"/>
  </si>
  <si>
    <t>パワプロ2020 - 投球解析 - 2020-08-24 12-52-05-04</t>
    <phoneticPr fontId="1"/>
  </si>
  <si>
    <t>ard)</t>
    <phoneticPr fontId="1"/>
  </si>
  <si>
    <t>パワプロ2020 - 投球解析 - 2020-08-24 12-52-05-05</t>
    <phoneticPr fontId="1"/>
  </si>
  <si>
    <t>パワプロ2020 - 投球解析 - 2020-08-24 12-52-05-06</t>
    <phoneticPr fontId="1"/>
  </si>
  <si>
    <t>パワプロ2020 - 投球解析 - 2020-08-24 12-52-05-07</t>
    <phoneticPr fontId="1"/>
  </si>
  <si>
    <t>パワプロ2020 - 投球解析 - 2020-08-24 12-52-05-08</t>
    <phoneticPr fontId="1"/>
  </si>
  <si>
    <t>パワプロ2020 - 投球解析 - 2020-08-24 12-52-05-09</t>
    <phoneticPr fontId="1"/>
  </si>
  <si>
    <t>に=</t>
    <phoneticPr fontId="1"/>
  </si>
  <si>
    <t>MOEWW/</t>
    <phoneticPr fontId="1"/>
  </si>
  <si>
    <t>パワプロ2020 - 投球解析 - 2020-08-24 12-53-43-00</t>
    <phoneticPr fontId="1"/>
  </si>
  <si>
    <t>パワプロ2020 - 投球解析 - 2020-08-24 12-53-43-01</t>
    <phoneticPr fontId="1"/>
  </si>
  <si>
    <t>パワプロ2020 - 投球解析 - 2020-08-24 12-53-43-02</t>
    <phoneticPr fontId="1"/>
  </si>
  <si>
    <t>パワプロ2020 - 投球解析 - 2020-08-24 12-53-43-03</t>
    <phoneticPr fontId="1"/>
  </si>
  <si>
    <t>100EWW/</t>
    <phoneticPr fontId="1"/>
  </si>
  <si>
    <t>パワプロ2020 - 投球解析 - 2020-08-24 12-53-43-04</t>
    <phoneticPr fontId="1"/>
  </si>
  <si>
    <t>パワプロ2020 - 投球解析 - 2020-08-24 12-53-43-05</t>
    <phoneticPr fontId="1"/>
  </si>
  <si>
    <t>パワプロ2020 - 投球解析 - 2020-08-24 12-53-43-06</t>
    <phoneticPr fontId="1"/>
  </si>
  <si>
    <t>パワプロ2020 - 投球解析 - 2020-08-24 12-53-43-07</t>
    <phoneticPr fontId="1"/>
  </si>
  <si>
    <t>パワプロ2020 - 投球解析 - 2020-08-24 12-53-43-08</t>
    <phoneticPr fontId="1"/>
  </si>
  <si>
    <t>パワプロ2020 - 投球解析 - 2020-08-24 12-53-43-09</t>
    <phoneticPr fontId="1"/>
  </si>
  <si>
    <t>DDO17</t>
    <phoneticPr fontId="1"/>
  </si>
  <si>
    <t>パワプロ2020 - 投球解析 - 2020-08-24 12-55-39-00</t>
    <phoneticPr fontId="1"/>
  </si>
  <si>
    <t>パワプロ2020 - 投球解析 - 2020-08-24 12-55-39-01</t>
    <phoneticPr fontId="1"/>
  </si>
  <si>
    <t>パワプロ2020 - 投球解析 - 2020-08-24 12-55-39-02</t>
    <phoneticPr fontId="1"/>
  </si>
  <si>
    <t>パワプロ2020 - 投球解析 - 2020-08-24 12-55-39-03</t>
    <phoneticPr fontId="1"/>
  </si>
  <si>
    <t>パワプロ2020 - 投球解析 - 2020-08-24 12-55-39-04</t>
    <phoneticPr fontId="1"/>
  </si>
  <si>
    <t>パワプロ2020 - 投球解析 - 2020-08-24 12-55-39-05</t>
    <phoneticPr fontId="1"/>
  </si>
  <si>
    <t>にコーア衝た</t>
  </si>
  <si>
    <t>にアーア才た</t>
    <phoneticPr fontId="1"/>
  </si>
  <si>
    <t>パワプロ2020 - 投球解析 - 2020-08-24 12-58-52-06</t>
    <phoneticPr fontId="1"/>
  </si>
  <si>
    <t>パワプロ2020 - 投球解析 - 2020-08-24 12-58-52-07</t>
    <phoneticPr fontId="1"/>
  </si>
  <si>
    <t>パワプロ2020 - 投球解析 - 2020-08-24 12-58-52-08</t>
    <phoneticPr fontId="1"/>
  </si>
  <si>
    <t>パワプロ2020 - 投球解析 - 2020-08-24 12-58-52-09</t>
    <phoneticPr fontId="1"/>
  </si>
  <si>
    <t>パワプロ2020 - 投球解析 - 2020-08-24 13-00-20-00</t>
    <phoneticPr fontId="1"/>
  </si>
  <si>
    <t>パワプロ2020 - 投球解析 - 2020-08-24 13-00-20-01</t>
    <phoneticPr fontId="1"/>
  </si>
  <si>
    <t>パワプロ2020 - 投球解析 - 2020-08-24 13-00-20-02</t>
    <phoneticPr fontId="1"/>
  </si>
  <si>
    <t>パワプロ2020 - 投球解析 - 2020-08-24 13-00-20-03</t>
    <phoneticPr fontId="1"/>
  </si>
  <si>
    <t>レンとレンた</t>
    <phoneticPr fontId="1"/>
  </si>
  <si>
    <t>パワプロ2020 - 投球解析 - 2020-08-24 13-00-20-04</t>
    <phoneticPr fontId="1"/>
  </si>
  <si>
    <t>パワプロ2020 - 投球解析 - 2020-08-24 13-00-20-05</t>
    <phoneticPr fontId="1"/>
  </si>
  <si>
    <t>レンと レンた</t>
    <phoneticPr fontId="1"/>
  </si>
  <si>
    <t>パワプロ2020 - 投球解析 - 2020-08-24 13-00-20-06</t>
    <phoneticPr fontId="1"/>
  </si>
  <si>
    <t>ロレウンとレンた</t>
    <phoneticPr fontId="1"/>
  </si>
  <si>
    <t>パワプロ2020 - 投球解析 - 2020-08-24 13-00-20-07</t>
    <phoneticPr fontId="1"/>
  </si>
  <si>
    <t>パワプロ2020 - 投球解析 - 2020-08-24 13-00-20-08</t>
    <phoneticPr fontId="1"/>
  </si>
  <si>
    <t>パワプロ2020 - 投球解析 - 2020-08-24 13-02-04-00</t>
    <phoneticPr fontId="1"/>
  </si>
  <si>
    <t>こす</t>
    <phoneticPr fontId="1"/>
  </si>
  <si>
    <t>パワプロ2020 - 投球解析 - 2020-08-24 13-02-04-01</t>
    <phoneticPr fontId="1"/>
  </si>
  <si>
    <t>パワプロ2020 - 投球解析 - 2020-08-24 13-02-04-02</t>
    <phoneticPr fontId="1"/>
  </si>
  <si>
    <t>パワプロ2020 - 投球解析 - 2020-08-24 13-02-04-03</t>
    <phoneticPr fontId="1"/>
  </si>
  <si>
    <t>パワプロ2020 - 投球解析 - 2020-08-24 13-02-04-04</t>
    <phoneticPr fontId="1"/>
  </si>
  <si>
    <t>パワプロ2020 - 投球解析 - 2020-08-24 13-02-04-05</t>
    <phoneticPr fontId="1"/>
  </si>
  <si>
    <t>リト</t>
    <phoneticPr fontId="1"/>
  </si>
  <si>
    <t>パワプロ2020 - 投球解析 - 2020-08-24 13-02-04-06</t>
    <phoneticPr fontId="1"/>
  </si>
  <si>
    <t>パワプロ2020 - 投球解析 - 2020-08-24 13-02-04-07</t>
    <phoneticPr fontId="1"/>
  </si>
  <si>
    <t>パワプロ2020 - 投球解析 - 2020-08-24 13-02-04-08</t>
    <phoneticPr fontId="1"/>
  </si>
  <si>
    <t>パワプロ2020 - 投球解析 - 2020-08-24 13-02-04-09</t>
    <phoneticPr fontId="1"/>
  </si>
  <si>
    <t>BI6国還</t>
    <phoneticPr fontId="1"/>
  </si>
  <si>
    <t>パワプロ2020 - 投球解析 - 2020-08-24 13-03-51-00</t>
    <phoneticPr fontId="1"/>
  </si>
  <si>
    <t>パワプロ2020 - 投球解析 - 2020-08-24 13-03-51-01</t>
    <phoneticPr fontId="1"/>
  </si>
  <si>
    <t>BI6還還6</t>
    <phoneticPr fontId="1"/>
  </si>
  <si>
    <t>パワプロ2020 - 投球解析 - 2020-08-24 13-03-51-02</t>
    <phoneticPr fontId="1"/>
  </si>
  <si>
    <t>BI0還還</t>
    <phoneticPr fontId="1"/>
  </si>
  <si>
    <t>パワプロ2020 - 投球解析 - 2020-08-24 13-03-51-03</t>
    <phoneticPr fontId="1"/>
  </si>
  <si>
    <t>BI0国還</t>
    <phoneticPr fontId="1"/>
  </si>
  <si>
    <t>パワプロ2020 - 投球解析 - 2020-08-24 13-03-51-04</t>
    <phoneticPr fontId="1"/>
  </si>
  <si>
    <t>c</t>
    <phoneticPr fontId="1"/>
  </si>
  <si>
    <t>パワプロ2020 - 投球解析 - 2020-08-24 13-03-51-05</t>
    <phoneticPr fontId="1"/>
  </si>
  <si>
    <t>BI6還還</t>
    <phoneticPr fontId="1"/>
  </si>
  <si>
    <t>パワプロ2020 - 投球解析 - 2020-08-24 13-03-51-06</t>
    <phoneticPr fontId="1"/>
  </si>
  <si>
    <t>BI0国還6</t>
    <phoneticPr fontId="1"/>
  </si>
  <si>
    <t>パワプロ2020 - 投球解析 - 2020-08-24 13-05-36-07</t>
    <phoneticPr fontId="1"/>
  </si>
  <si>
    <t>050国還6</t>
    <phoneticPr fontId="1"/>
  </si>
  <si>
    <t>パワプロ2020 - 投球解析 - 2020-08-24 13-05-36-08</t>
    <phoneticPr fontId="1"/>
  </si>
  <si>
    <t>BI6国還6</t>
    <phoneticPr fontId="1"/>
  </si>
  <si>
    <t>パワプロ2020 - 投球解析 - 2020-08-24 13-05-36-09</t>
    <phoneticPr fontId="1"/>
  </si>
  <si>
    <t>パワプロ2020 - 投球解析 - 2020-08-24 13-05-36-10</t>
    <phoneticPr fontId="1"/>
  </si>
  <si>
    <t>パワプロ2020 - 投球解析 - 2020-08-24 13-07-27-00</t>
    <phoneticPr fontId="1"/>
  </si>
  <si>
    <t>パワプロ2020 - 投球解析 - 2020-08-24 13-07-27-01</t>
    <phoneticPr fontId="1"/>
  </si>
  <si>
    <t>BI0還還%</t>
    <phoneticPr fontId="1"/>
  </si>
  <si>
    <t>パワプロ2020 - 投球解析 - 2020-08-24 13-07-27-02</t>
    <phoneticPr fontId="1"/>
  </si>
  <si>
    <t>パワプロ2020 - 投球解析 - 2020-08-24 13-07-27-03</t>
    <phoneticPr fontId="1"/>
  </si>
  <si>
    <t>パワプロ2020 - 投球解析 - 2020-08-24 13-07-27-04</t>
    <phoneticPr fontId="1"/>
  </si>
  <si>
    <t>パワプロ2020 - 投球解析 - 2020-08-24 13-07-27-05</t>
    <phoneticPr fontId="1"/>
  </si>
  <si>
    <t>パワプロ2020 - 投球解析 - 2020-08-24 13-07-27-06</t>
    <phoneticPr fontId="1"/>
  </si>
  <si>
    <t>パワプロ2020 - 投球解析 - 2020-08-24 13-07-27-07</t>
    <phoneticPr fontId="1"/>
  </si>
  <si>
    <t>パワプロ2020 - 投球解析 - 2020-08-24 13-07-27-08</t>
    <phoneticPr fontId="1"/>
  </si>
  <si>
    <t>050還還</t>
    <phoneticPr fontId="1"/>
  </si>
  <si>
    <t>パワプロ2020 - 投球解析 - 2020-08-24 13-09-18-00</t>
    <phoneticPr fontId="1"/>
  </si>
  <si>
    <t>パワプロ2020 - 投球解析 - 2020-08-24 13-09-18-01</t>
    <phoneticPr fontId="1"/>
  </si>
  <si>
    <t>パワプロ2020 - 投球解析 - 2020-08-24 13-09-18-02</t>
    <phoneticPr fontId="1"/>
  </si>
  <si>
    <t>パワプロ2020 - 投球解析 - 2020-08-24 13-09-18-03</t>
    <phoneticPr fontId="1"/>
  </si>
  <si>
    <t>パワプロ2020 - 投球解析 - 2020-08-24 13-09-18-04</t>
    <phoneticPr fontId="1"/>
  </si>
  <si>
    <t>BI0還還6</t>
    <phoneticPr fontId="1"/>
  </si>
  <si>
    <t>パワプロ2020 - 投球解析 - 2020-08-24 13-09-18-05</t>
    <phoneticPr fontId="1"/>
  </si>
  <si>
    <t>パワプロ2020 - 投球解析 - 2020-08-24 13-09-18-06</t>
    <phoneticPr fontId="1"/>
  </si>
  <si>
    <t>パワプロ2020 - 投球解析 - 2020-08-24 13-09-18-07</t>
    <phoneticPr fontId="1"/>
  </si>
  <si>
    <t>パワプロ2020 - 投球解析 - 2020-08-24 13-09-18-08</t>
    <phoneticPr fontId="1"/>
  </si>
  <si>
    <t>パワプロ2020 - 投球解析 - 2020-08-24 13-09-18-09</t>
    <phoneticPr fontId="1"/>
  </si>
  <si>
    <t>パワプロ2020 - 投球解析 - 2020-08-24 13-09-18-10</t>
    <phoneticPr fontId="1"/>
  </si>
  <si>
    <t>BBI6国還</t>
    <phoneticPr fontId="1"/>
  </si>
  <si>
    <t>パワプロ2020 - 投球解析 - 2020-08-24 13-09-18-11</t>
    <phoneticPr fontId="1"/>
  </si>
  <si>
    <t>パワプロ2020 - 投球解析 - 2020-08-24 13-09-18-12</t>
    <phoneticPr fontId="1"/>
  </si>
  <si>
    <t>DDO006</t>
    <phoneticPr fontId="1"/>
  </si>
  <si>
    <t>パワプロ2020 - 投球解析 - 2020-08-24 13-14-19-00</t>
    <phoneticPr fontId="1"/>
  </si>
  <si>
    <t>ET}</t>
    <phoneticPr fontId="1"/>
  </si>
  <si>
    <t>パワプロ2020 - 投球解析 - 2020-08-24 13-14-19-01</t>
    <phoneticPr fontId="1"/>
  </si>
  <si>
    <t>パワプロ2020 - 投球解析 - 2020-08-24 13-14-19-02</t>
    <phoneticPr fontId="1"/>
  </si>
  <si>
    <t>にコア作アコ</t>
  </si>
  <si>
    <t>a5)</t>
  </si>
  <si>
    <t>NG</t>
    <phoneticPr fontId="1"/>
  </si>
  <si>
    <t>DD007</t>
    <phoneticPr fontId="1"/>
  </si>
  <si>
    <t>DD010</t>
    <phoneticPr fontId="1"/>
  </si>
  <si>
    <t>DD012</t>
    <phoneticPr fontId="1"/>
  </si>
  <si>
    <t>DD013</t>
    <phoneticPr fontId="1"/>
  </si>
  <si>
    <t>DD008</t>
    <phoneticPr fontId="1"/>
  </si>
  <si>
    <t>DD022</t>
    <phoneticPr fontId="1"/>
  </si>
  <si>
    <t>DD009</t>
    <phoneticPr fontId="1"/>
  </si>
  <si>
    <t>DD020</t>
    <phoneticPr fontId="1"/>
  </si>
  <si>
    <t>DD005</t>
    <phoneticPr fontId="1"/>
  </si>
  <si>
    <t>DD001</t>
    <phoneticPr fontId="1"/>
  </si>
  <si>
    <t>DD002</t>
    <phoneticPr fontId="1"/>
  </si>
  <si>
    <t>DD006</t>
    <phoneticPr fontId="1"/>
  </si>
  <si>
    <t>ナックル</t>
    <phoneticPr fontId="1"/>
  </si>
  <si>
    <t>カットボール</t>
    <phoneticPr fontId="1"/>
  </si>
  <si>
    <t>ドロップ</t>
    <phoneticPr fontId="1"/>
  </si>
  <si>
    <t>ナックルカーブ</t>
    <phoneticPr fontId="1"/>
  </si>
  <si>
    <t xml:space="preserve">【換算球速】
『見た目』と『体感』の違いというのは主にボールが
3/4
</t>
    <rPh sb="1" eb="3">
      <t>カンサン</t>
    </rPh>
    <rPh sb="3" eb="5">
      <t>キュウソク</t>
    </rPh>
    <rPh sb="8" eb="9">
      <t>ミ</t>
    </rPh>
    <rPh sb="10" eb="11">
      <t>メ</t>
    </rPh>
    <rPh sb="14" eb="16">
      <t>タイカン</t>
    </rPh>
    <rPh sb="18" eb="19">
      <t>チガ</t>
    </rPh>
    <rPh sb="25" eb="26">
      <t>オモ</t>
    </rPh>
    <phoneticPr fontId="1"/>
  </si>
  <si>
    <t>パワプロ2020 - 投球解析 - 2020-08-23 11-08-57-00</t>
    <phoneticPr fontId="1"/>
  </si>
  <si>
    <t>パワプロ2020 - 投球解析 - 2020-08-23 11-08-57-01</t>
    <phoneticPr fontId="1"/>
  </si>
  <si>
    <t>パワプロ2020 - 投球解析 - 2020-08-23 11-08-57-02</t>
    <phoneticPr fontId="1"/>
  </si>
  <si>
    <t>パワプロ2020 - 投球解析 - 2020-08-23 11-08-57-03</t>
    <phoneticPr fontId="1"/>
  </si>
  <si>
    <t>パワプロ2020 - 投球解析 - 2020-08-23 11-08-57-04</t>
    <phoneticPr fontId="1"/>
  </si>
  <si>
    <t>パワプロ2020 - 投球解析 - 2020-08-23 11-08-57-05</t>
    <phoneticPr fontId="1"/>
  </si>
  <si>
    <t>140</t>
  </si>
  <si>
    <t>パワプロ2020 - 投球解析 - 2020-08-23 11-08-57-06</t>
    <phoneticPr fontId="1"/>
  </si>
  <si>
    <t>139</t>
  </si>
  <si>
    <t>パワプロ2020 - 投球解析 - 2020-08-23 11-08-57-07</t>
    <phoneticPr fontId="1"/>
  </si>
  <si>
    <t>パワプロ2020 - 投球解析 - 2020-08-23 11-08-57-08</t>
    <phoneticPr fontId="1"/>
  </si>
  <si>
    <t>パワプロ2020 - 投球解析 - 2020-08-23 11-08-57-09</t>
    <phoneticPr fontId="1"/>
  </si>
  <si>
    <t>129</t>
  </si>
  <si>
    <t>126</t>
  </si>
  <si>
    <t>127</t>
  </si>
  <si>
    <t>114</t>
  </si>
  <si>
    <t>115</t>
  </si>
  <si>
    <t>113</t>
  </si>
  <si>
    <t>123</t>
  </si>
  <si>
    <t>124</t>
  </si>
  <si>
    <t>121</t>
  </si>
  <si>
    <t>119</t>
  </si>
  <si>
    <t>120</t>
  </si>
  <si>
    <t>118</t>
  </si>
  <si>
    <t>cei</t>
    <phoneticPr fontId="1"/>
  </si>
  <si>
    <t>132</t>
  </si>
  <si>
    <t>130</t>
  </si>
  <si>
    <t>131</t>
  </si>
  <si>
    <t>パワプロ2020 - 投球解析 - 2020-08-23 14-03-42-00</t>
    <phoneticPr fontId="1"/>
  </si>
  <si>
    <t>パワプロ2020 - 投球解析 - 2020-08-23 14-03-42-01</t>
    <phoneticPr fontId="1"/>
  </si>
  <si>
    <t>パワプロ2020 - 投球解析 - 2020-08-23 14-03-42-02</t>
    <phoneticPr fontId="1"/>
  </si>
  <si>
    <t>パワプロ2020 - 投球解析 - 2020-08-23 14-03-42-03</t>
    <phoneticPr fontId="1"/>
  </si>
  <si>
    <t>パワプロ2020 - 投球解析 - 2020-08-23 14-03-42-04</t>
    <phoneticPr fontId="1"/>
  </si>
  <si>
    <t>パワプロ2020 - 投球解析 - 2020-08-23 14-03-42-05</t>
    <phoneticPr fontId="1"/>
  </si>
  <si>
    <t>パワプロ2020 - 投球解析 - 2020-08-23 14-03-42-06</t>
    <phoneticPr fontId="1"/>
  </si>
  <si>
    <t>パワプロ2020 - 投球解析 - 2020-08-23 14-03-42-07</t>
    <phoneticPr fontId="1"/>
  </si>
  <si>
    <t>ce}</t>
    <phoneticPr fontId="1"/>
  </si>
  <si>
    <t>パワプロ2020 - 投球解析 - 2020-08-23 14-03-42-08</t>
    <phoneticPr fontId="1"/>
  </si>
  <si>
    <t>パワプロ2020 - 投球解析 - 2020-08-23 14-03-42-09</t>
    <phoneticPr fontId="1"/>
  </si>
  <si>
    <t>146</t>
  </si>
  <si>
    <t>125</t>
  </si>
  <si>
    <t>alr)</t>
    <phoneticPr fontId="1"/>
  </si>
  <si>
    <t>ami)</t>
    <phoneticPr fontId="1"/>
  </si>
  <si>
    <t>パワプロ2020 - 投球解析 - 2020-08-23 14-18-29-00</t>
    <phoneticPr fontId="1"/>
  </si>
  <si>
    <t>パワプロ2020 - 投球解析 - 2020-08-23 14-18-29-01</t>
    <phoneticPr fontId="1"/>
  </si>
  <si>
    <t>パワプロ2020 - 投球解析 - 2020-08-23 14-18-29-02</t>
    <phoneticPr fontId="1"/>
  </si>
  <si>
    <t>パワプロ2020 - 投球解析 - 2020-08-23 14-18-29-03</t>
    <phoneticPr fontId="1"/>
  </si>
  <si>
    <t>パワプロ2020 - 投球解析 - 2020-08-23 14-18-29-04</t>
    <phoneticPr fontId="1"/>
  </si>
  <si>
    <t>DD0() 2 1</t>
    <phoneticPr fontId="1"/>
  </si>
  <si>
    <t>パワプロ2020 - 投球解析 - 2020-08-23 14-18-29-05</t>
    <phoneticPr fontId="1"/>
  </si>
  <si>
    <t>パワプロ2020 - 投球解析 - 2020-08-23 14-18-29-06</t>
    <phoneticPr fontId="1"/>
  </si>
  <si>
    <t>パワプロ2020 - 投球解析 - 2020-08-23 14-18-29-07</t>
    <phoneticPr fontId="1"/>
  </si>
  <si>
    <t>パワプロ2020 - 投球解析 - 2020-08-23 14-18-29-08</t>
    <phoneticPr fontId="1"/>
  </si>
  <si>
    <t>パワプロ2020 - 投球解析 - 2020-08-23 14-18-29-09</t>
    <phoneticPr fontId="1"/>
  </si>
  <si>
    <t>148</t>
  </si>
  <si>
    <t>149</t>
  </si>
  <si>
    <t>パワプロ2020 - 投球解析 - 2020-08-23 14-22-38-00</t>
    <phoneticPr fontId="1"/>
  </si>
  <si>
    <t>パワプロ2020 - 投球解析 - 2020-08-23 14-22-38-01</t>
    <phoneticPr fontId="1"/>
  </si>
  <si>
    <t>00EWB1</t>
    <phoneticPr fontId="1"/>
  </si>
  <si>
    <t>パワプロ2020 - 投球解析 - 2020-08-23 14-22-38-02</t>
    <phoneticPr fontId="1"/>
  </si>
  <si>
    <t>パワプロ2020 - 投球解析 - 2020-08-23 14-22-38-03</t>
    <phoneticPr fontId="1"/>
  </si>
  <si>
    <t>パワプロ2020 - 投球解析 - 2020-08-23 14-22-38-04</t>
    <phoneticPr fontId="1"/>
  </si>
  <si>
    <t>BIN0EWBG1</t>
    <phoneticPr fontId="1"/>
  </si>
  <si>
    <t>パワプロ2020 - 投球解析 - 2020-08-23 14-22-38-05</t>
    <phoneticPr fontId="1"/>
  </si>
  <si>
    <t>パワプロ2020 - 投球解析 - 2020-08-23 14-22-38-06</t>
    <phoneticPr fontId="1"/>
  </si>
  <si>
    <t>パワプロ2020 - 投球解析 - 2020-08-23 14-22-38-07</t>
    <phoneticPr fontId="1"/>
  </si>
  <si>
    <t>cl</t>
    <phoneticPr fontId="1"/>
  </si>
  <si>
    <t>BI0EWBG</t>
    <phoneticPr fontId="1"/>
  </si>
  <si>
    <t>パワプロ2020 - 投球解析 - 2020-08-23 14-22-38-08</t>
    <phoneticPr fontId="1"/>
  </si>
  <si>
    <t>150</t>
  </si>
  <si>
    <t>0160国必6|</t>
    <phoneticPr fontId="1"/>
  </si>
  <si>
    <t>パワプロ2020 - 投球解析 - 2020-08-23 15-47-01-00</t>
    <phoneticPr fontId="1"/>
  </si>
  <si>
    <t/>
  </si>
  <si>
    <t>人10560国暫6|</t>
    <phoneticPr fontId="1"/>
  </si>
  <si>
    <t>パワプロ2020 - 投球解析 - 2020-08-23 15-47-01-01</t>
    <phoneticPr fontId="1"/>
  </si>
  <si>
    <t>rh]</t>
    <phoneticPr fontId="1"/>
  </si>
  <si>
    <t>パワプロ2020 - 投球解析 - 2020-08-23 15-47-01-02</t>
    <phoneticPr fontId="1"/>
  </si>
  <si>
    <t>人1906国必(|</t>
    <phoneticPr fontId="1"/>
  </si>
  <si>
    <t>パワプロ2020 - 投球解析 - 2020-08-23 15-47-01-03</t>
    <phoneticPr fontId="1"/>
  </si>
  <si>
    <t>vii</t>
    <phoneticPr fontId="1"/>
  </si>
  <si>
    <t>パワプロ2020 - 投球解析 - 2020-08-23 15-47-01-04</t>
    <phoneticPr fontId="1"/>
  </si>
  <si>
    <t>79</t>
  </si>
  <si>
    <t>106国暫(|</t>
    <phoneticPr fontId="1"/>
  </si>
  <si>
    <t>パワプロ2020 - 投球解析 - 2020-08-23 15-47-01-05</t>
    <phoneticPr fontId="1"/>
  </si>
  <si>
    <t>パワプロ2020 - 投球解析 - 2020-08-23 15-47-01-06</t>
    <phoneticPr fontId="1"/>
  </si>
  <si>
    <t>パワプロ2020 - 投球解析 - 2020-08-23 15-47-01-07</t>
    <phoneticPr fontId="1"/>
  </si>
  <si>
    <t>パワプロ2020 - 投球解析 - 2020-08-23 15-47-01-08</t>
    <phoneticPr fontId="1"/>
  </si>
  <si>
    <t>0160国必(|</t>
    <phoneticPr fontId="1"/>
  </si>
  <si>
    <t>パワプロ2020 - 投球解析 - 2020-08-23 15-47-01-09</t>
    <phoneticPr fontId="1"/>
  </si>
  <si>
    <t>78</t>
  </si>
  <si>
    <t>77</t>
  </si>
  <si>
    <t>)</t>
    <phoneticPr fontId="1"/>
  </si>
  <si>
    <t>パワプロ2020 - 投球解析 - 2020-08-23 15-51-08-00</t>
    <phoneticPr fontId="1"/>
  </si>
  <si>
    <t>パワプロ2020 - 投球解析 - 2020-08-23 15-51-08-01</t>
    <phoneticPr fontId="1"/>
  </si>
  <si>
    <t>パワプロ2020 - 投球解析 - 2020-08-23 15-51-08-02</t>
    <phoneticPr fontId="1"/>
  </si>
  <si>
    <t>Bo</t>
    <phoneticPr fontId="1"/>
  </si>
  <si>
    <t>パワプロ2020 - 投球解析 - 2020-08-23 15-51-08-03</t>
    <phoneticPr fontId="1"/>
  </si>
  <si>
    <t>83</t>
  </si>
  <si>
    <t>パワプロ2020 - 投球解析 - 2020-08-23 15-51-08-04</t>
    <phoneticPr fontId="1"/>
  </si>
  <si>
    <t>パワプロ2020 - 投球解析 - 2020-08-23 15-51-08-05</t>
    <phoneticPr fontId="1"/>
  </si>
  <si>
    <t>86</t>
  </si>
  <si>
    <t>パワプロ2020 - 投球解析 - 2020-08-23 15-51-08-06</t>
    <phoneticPr fontId="1"/>
  </si>
  <si>
    <t>人19I6国還|</t>
    <phoneticPr fontId="1"/>
  </si>
  <si>
    <t>パワプロ2020 - 投球解析 - 2020-08-23 15-51-08-07</t>
    <phoneticPr fontId="1"/>
  </si>
  <si>
    <t>パワプロ2020 - 投球解析 - 2020-08-23 15-51-08-08</t>
    <phoneticPr fontId="1"/>
  </si>
  <si>
    <t>パワプロ2020 - 投球解析 - 2020-08-23 15-51-08-09</t>
    <phoneticPr fontId="1"/>
  </si>
  <si>
    <t>85</t>
  </si>
  <si>
    <t>パワプロ2020 - 投球解析 - 2020-08-23 15-53-39-00</t>
    <phoneticPr fontId="1"/>
  </si>
  <si>
    <t>Eo</t>
    <phoneticPr fontId="1"/>
  </si>
  <si>
    <t>パワプロ2020 - 投球解析 - 2020-08-23 15-53-39-01</t>
    <phoneticPr fontId="1"/>
  </si>
  <si>
    <t>人19560国間の</t>
    <phoneticPr fontId="1"/>
  </si>
  <si>
    <t>パワプロ2020 - 投球解析 - 2020-08-23 15-53-39-02</t>
    <phoneticPr fontId="1"/>
  </si>
  <si>
    <t>050国六</t>
    <phoneticPr fontId="1"/>
  </si>
  <si>
    <t>パワプロ2020 - 投球解析 - 2020-08-23 15-53-39-03</t>
    <phoneticPr fontId="1"/>
  </si>
  <si>
    <t>SI6国間</t>
    <phoneticPr fontId="1"/>
  </si>
  <si>
    <t>パワプロ2020 - 投球解析 - 2020-08-23 15-53-39-04</t>
    <phoneticPr fontId="1"/>
  </si>
  <si>
    <t>人10160国六</t>
    <phoneticPr fontId="1"/>
  </si>
  <si>
    <t>パワプロ2020 - 投球解析 - 2020-08-23 15-53-39-05</t>
    <phoneticPr fontId="1"/>
  </si>
  <si>
    <t>90</t>
  </si>
  <si>
    <t>パワプロ2020 - 投球解析 - 2020-08-23 15-53-39-06</t>
    <phoneticPr fontId="1"/>
  </si>
  <si>
    <t>II6国還の</t>
    <phoneticPr fontId="1"/>
  </si>
  <si>
    <t>パワプロ2020 - 投球解析 - 2020-08-23 15-53-39-07</t>
    <phoneticPr fontId="1"/>
  </si>
  <si>
    <t>SI6国六</t>
    <phoneticPr fontId="1"/>
  </si>
  <si>
    <t>パワプロ2020 - 投球解析 - 2020-08-23 15-53-39-08</t>
    <phoneticPr fontId="1"/>
  </si>
  <si>
    <t>916国六</t>
    <phoneticPr fontId="1"/>
  </si>
  <si>
    <t>パワプロ2020 - 投球解析 - 2020-08-23 15-53-39-09</t>
    <phoneticPr fontId="1"/>
  </si>
  <si>
    <t>93</t>
  </si>
  <si>
    <t>9560国間1</t>
    <phoneticPr fontId="1"/>
  </si>
  <si>
    <t>パワプロ2020 - 投球解析 - 2020-08-23 15-56-09-00</t>
    <phoneticPr fontId="1"/>
  </si>
  <si>
    <t>Ey)</t>
    <phoneticPr fontId="1"/>
  </si>
  <si>
    <t>パワプロ2020 - 投球解析 - 2020-08-23 15-56-09-01</t>
    <phoneticPr fontId="1"/>
  </si>
  <si>
    <t>96</t>
  </si>
  <si>
    <t>0506国陳1</t>
    <phoneticPr fontId="1"/>
  </si>
  <si>
    <t>パワプロ2020 - 投球解析 - 2020-08-23 15-56-09-02</t>
    <phoneticPr fontId="1"/>
  </si>
  <si>
    <t>95</t>
  </si>
  <si>
    <t>パワプロ2020 - 投球解析 - 2020-08-23 15-56-09-03</t>
    <phoneticPr fontId="1"/>
  </si>
  <si>
    <t>人1916国間1</t>
    <phoneticPr fontId="1"/>
  </si>
  <si>
    <t>パワプロ2020 - 投球解析 - 2020-08-23 15-56-09-04</t>
    <phoneticPr fontId="1"/>
  </si>
  <si>
    <t>Eby</t>
    <phoneticPr fontId="1"/>
  </si>
  <si>
    <t>1006国較1</t>
    <phoneticPr fontId="1"/>
  </si>
  <si>
    <t>パワプロ2020 - 投球解析 - 2020-08-23 15-56-09-05</t>
    <phoneticPr fontId="1"/>
  </si>
  <si>
    <t>IDI6国間1</t>
    <phoneticPr fontId="1"/>
  </si>
  <si>
    <t>パワプロ2020 - 投球解析 - 2020-08-23 15-56-09-06</t>
    <phoneticPr fontId="1"/>
  </si>
  <si>
    <t>パワプロ2020 - 投球解析 - 2020-08-23 15-56-09-07</t>
    <phoneticPr fontId="1"/>
  </si>
  <si>
    <t>パワプロ2020 - 投球解析 - 2020-08-23 15-56-09-08</t>
    <phoneticPr fontId="1"/>
  </si>
  <si>
    <t>9506国間61</t>
    <phoneticPr fontId="1"/>
  </si>
  <si>
    <t>パワプロ2020 - 投球解析 - 2020-08-23 15-56-09-09</t>
    <phoneticPr fontId="1"/>
  </si>
  <si>
    <t>II6国肢/|</t>
    <phoneticPr fontId="1"/>
  </si>
  <si>
    <t>パワプロ2020 - 投球解析 - 2020-08-23 16-04-57-00</t>
    <phoneticPr fontId="1"/>
  </si>
  <si>
    <t>パワプロ2020 - 投球解析 - 2020-08-23 16-04-57-01</t>
    <phoneticPr fontId="1"/>
  </si>
  <si>
    <t>パワプロ2020 - 投球解析 - 2020-08-23 16-04-57-02</t>
    <phoneticPr fontId="1"/>
  </si>
  <si>
    <t>0I6国肢|</t>
    <phoneticPr fontId="1"/>
  </si>
  <si>
    <t>パワプロ2020 - 投球解析 - 2020-08-23 16-04-57-03</t>
    <phoneticPr fontId="1"/>
  </si>
  <si>
    <t>パワプロ2020 - 投球解析 - 2020-08-23 16-04-57-04</t>
    <phoneticPr fontId="1"/>
  </si>
  <si>
    <t>eb]</t>
    <phoneticPr fontId="1"/>
  </si>
  <si>
    <t>パワプロ2020 - 投球解析 - 2020-08-23 16-04-57-05</t>
    <phoneticPr fontId="1"/>
  </si>
  <si>
    <t>101</t>
  </si>
  <si>
    <t>パワプロ2020 - 投球解析 - 2020-08-23 16-04-57-06</t>
    <phoneticPr fontId="1"/>
  </si>
  <si>
    <t>100</t>
  </si>
  <si>
    <t>19I6還用</t>
    <phoneticPr fontId="1"/>
  </si>
  <si>
    <t>パワプロ2020 - 投球解析 - 2020-08-23 16-04-57-07</t>
    <phoneticPr fontId="1"/>
  </si>
  <si>
    <t>9I6国肢|</t>
    <phoneticPr fontId="1"/>
  </si>
  <si>
    <t>パワプロ2020 - 投球解析 - 2020-08-23 16-04-57-08</t>
    <phoneticPr fontId="1"/>
  </si>
  <si>
    <t>パワプロ2020 - 投球解析 - 2020-08-23 16-04-57-09</t>
    <phoneticPr fontId="1"/>
  </si>
  <si>
    <t>105</t>
  </si>
  <si>
    <t>10I6国還</t>
    <phoneticPr fontId="1"/>
  </si>
  <si>
    <t>パワプロ2020 - 投球解析 - 2020-08-23 16-07-35-00</t>
    <phoneticPr fontId="1"/>
  </si>
  <si>
    <t>BI9I6国還</t>
    <phoneticPr fontId="1"/>
  </si>
  <si>
    <t>パワプロ2020 - 投球解析 - 2020-08-23 16-07-35-01</t>
    <phoneticPr fontId="1"/>
  </si>
  <si>
    <t>108</t>
  </si>
  <si>
    <t>パワプロ2020 - 投球解析 - 2020-08-23 16-07-35-02</t>
    <phoneticPr fontId="1"/>
  </si>
  <si>
    <t>iv;</t>
    <phoneticPr fontId="1"/>
  </si>
  <si>
    <t>パワプロ2020 - 投球解析 - 2020-08-23 16-07-35-03</t>
    <phoneticPr fontId="1"/>
  </si>
  <si>
    <t>パワプロ2020 - 投球解析 - 2020-08-23 16-07-35-04</t>
    <phoneticPr fontId="1"/>
  </si>
  <si>
    <t>06還時</t>
    <phoneticPr fontId="1"/>
  </si>
  <si>
    <t>パワプロ2020 - 投球解析 - 2020-08-23 16-07-35-05</t>
    <phoneticPr fontId="1"/>
  </si>
  <si>
    <t>パワプロ2020 - 投球解析 - 2020-08-23 16-07-35-06</t>
    <phoneticPr fontId="1"/>
  </si>
  <si>
    <t>パワプロ2020 - 投球解析 - 2020-08-23 16-07-35-07</t>
    <phoneticPr fontId="1"/>
  </si>
  <si>
    <t>19M6国還</t>
    <phoneticPr fontId="1"/>
  </si>
  <si>
    <t>パワプロ2020 - 投球解析 - 2020-08-23 16-07-35-08</t>
    <phoneticPr fontId="1"/>
  </si>
  <si>
    <t>パワプロ2020 - 投球解析 - 2020-08-23 16-07-35-09</t>
    <phoneticPr fontId="1"/>
  </si>
  <si>
    <t>106</t>
  </si>
  <si>
    <t>107</t>
  </si>
  <si>
    <t>anil)</t>
    <phoneticPr fontId="1"/>
  </si>
  <si>
    <t>152</t>
  </si>
  <si>
    <t>パワプロ2020 - 投球解析 - 2020-08-23 16-11-33-00</t>
    <phoneticPr fontId="1"/>
  </si>
  <si>
    <t>パワプロ2020 - 投球解析 - 2020-08-23 16-11-33-01</t>
    <phoneticPr fontId="1"/>
  </si>
  <si>
    <t>II0BWW/I</t>
    <phoneticPr fontId="1"/>
  </si>
  <si>
    <t>パワプロ2020 - 投球解析 - 2020-08-23 16-11-33-02</t>
    <phoneticPr fontId="1"/>
  </si>
  <si>
    <t>パワプロ2020 - 投球解析 - 2020-08-23 16-11-33-03</t>
    <phoneticPr fontId="1"/>
  </si>
  <si>
    <t>パワプロ2020 - 投球解析 - 2020-08-23 16-11-33-04</t>
    <phoneticPr fontId="1"/>
  </si>
  <si>
    <t>パワプロ2020 - 投球解析 - 2020-08-23 16-11-33-05</t>
    <phoneticPr fontId="1"/>
  </si>
  <si>
    <t>パワプロ2020 - 投球解析 - 2020-08-23 16-11-33-06</t>
    <phoneticPr fontId="1"/>
  </si>
  <si>
    <t>IMEWW/I</t>
    <phoneticPr fontId="1"/>
  </si>
  <si>
    <t>パワプロ2020 - 投球解析 - 2020-08-23 16-11-33-07</t>
    <phoneticPr fontId="1"/>
  </si>
  <si>
    <t>パワプロ2020 - 投球解析 - 2020-08-23 16-11-33-08</t>
    <phoneticPr fontId="1"/>
  </si>
  <si>
    <t>パワプロ2020 - 投球解析 - 2020-08-23 16-11-33-09</t>
    <phoneticPr fontId="1"/>
  </si>
  <si>
    <t>153</t>
  </si>
  <si>
    <t>135</t>
  </si>
  <si>
    <t>136</t>
  </si>
  <si>
    <t>138</t>
  </si>
  <si>
    <t>128</t>
  </si>
  <si>
    <t>100We1</t>
    <phoneticPr fontId="1"/>
  </si>
  <si>
    <t>パワプロ2020 - 投球解析 - 2020-08-23 16-24-41-00</t>
    <phoneticPr fontId="1"/>
  </si>
  <si>
    <t>パワプロ2020 - 投球解析 - 2020-08-23 16-24-41-01</t>
    <phoneticPr fontId="1"/>
  </si>
  <si>
    <t>パワプロ2020 - 投球解析 - 2020-08-23 16-24-41-02</t>
    <phoneticPr fontId="1"/>
  </si>
  <si>
    <t>パワプロ2020 - 投球解析 - 2020-08-23 16-24-41-03</t>
    <phoneticPr fontId="1"/>
  </si>
  <si>
    <t>パワプロ2020 - 投球解析 - 2020-08-23 16-24-41-04</t>
    <phoneticPr fontId="1"/>
  </si>
  <si>
    <t>パワプロ2020 - 投球解析 - 2020-08-23 16-24-41-05</t>
    <phoneticPr fontId="1"/>
  </si>
  <si>
    <t>パワプロ2020 - 投球解析 - 2020-08-23 16-24-41-06</t>
    <phoneticPr fontId="1"/>
  </si>
  <si>
    <t>パワプロ2020 - 投球解析 - 2020-08-23 16-24-41-07</t>
    <phoneticPr fontId="1"/>
  </si>
  <si>
    <t>145</t>
  </si>
  <si>
    <t>パワプロ2020 - 投球解析 - 2020-08-23 16-24-41-08</t>
    <phoneticPr fontId="1"/>
  </si>
  <si>
    <t>00606WWe1</t>
    <phoneticPr fontId="1"/>
  </si>
  <si>
    <t>パワプロ2020 - 投球解析 - 2020-08-23 16-24-41-09</t>
    <phoneticPr fontId="1"/>
  </si>
  <si>
    <t>as)</t>
    <phoneticPr fontId="1"/>
  </si>
  <si>
    <t>133</t>
  </si>
  <si>
    <t>パワプロ2020 - 投球解析 - 2020-08-23 16-28-07-09</t>
    <phoneticPr fontId="1"/>
  </si>
  <si>
    <t>パワプロ2020 - 投球解析 - 2020-08-23 16-29-37-00</t>
    <phoneticPr fontId="1"/>
  </si>
  <si>
    <t>143</t>
  </si>
  <si>
    <t>パワプロ2020 - 投球解析 - 2020-08-23 16-29-37-01</t>
    <phoneticPr fontId="1"/>
  </si>
  <si>
    <t>1010の</t>
    <phoneticPr fontId="1"/>
  </si>
  <si>
    <t>パワプロ2020 - 投球解析 - 2020-08-23 16-29-37-02</t>
    <phoneticPr fontId="1"/>
  </si>
  <si>
    <t>パワプロ2020 - 投球解析 - 2020-08-23 16-29-37-03</t>
    <phoneticPr fontId="1"/>
  </si>
  <si>
    <t>パワプロ2020 - 投球解析 - 2020-08-23 16-29-37-04</t>
    <phoneticPr fontId="1"/>
  </si>
  <si>
    <t>パワプロ2020 - 投球解析 - 2020-08-23 16-29-37-05</t>
    <phoneticPr fontId="1"/>
  </si>
  <si>
    <t>パワプロ2020 - 投球解析 - 2020-08-23 16-29-37-06</t>
    <phoneticPr fontId="1"/>
  </si>
  <si>
    <t>パワプロ2020 - 投球解析 - 2020-08-23 16-29-37-07</t>
    <phoneticPr fontId="1"/>
  </si>
  <si>
    <t>パワプロ2020 - 投球解析 - 2020-08-23 16-29-37-08</t>
    <phoneticPr fontId="1"/>
  </si>
  <si>
    <t>mas)</t>
    <phoneticPr fontId="1"/>
  </si>
  <si>
    <t>116</t>
  </si>
  <si>
    <t>パワプロ2020 - 投球解析 - 2020-08-23 16-33-27-07</t>
    <phoneticPr fontId="1"/>
  </si>
  <si>
    <t>DDI0 用</t>
    <phoneticPr fontId="1"/>
  </si>
  <si>
    <t>パワプロ2020 - 投球解析 - 2020-08-23 16-33-27-08</t>
    <phoneticPr fontId="1"/>
  </si>
  <si>
    <t>パワプロ2020 - 投球解析 - 2020-08-24 11-22-14-00</t>
    <phoneticPr fontId="1"/>
  </si>
  <si>
    <t>パワプロ2020 - 投球解析 - 2020-08-24 11-22-14-01</t>
    <phoneticPr fontId="1"/>
  </si>
  <si>
    <t>BI0EWBS</t>
    <phoneticPr fontId="1"/>
  </si>
  <si>
    <t>パワプロ2020 - 投球解析 - 2020-08-24 11-22-14-02</t>
    <phoneticPr fontId="1"/>
  </si>
  <si>
    <t>パワプロ2020 - 投球解析 - 2020-08-24 11-22-14-03</t>
    <phoneticPr fontId="1"/>
  </si>
  <si>
    <t>パワプロ2020 - 投球解析 - 2020-08-24 11-22-14-04</t>
    <phoneticPr fontId="1"/>
  </si>
  <si>
    <t>パワプロ2020 - 投球解析 - 2020-08-24 11-22-14-05</t>
    <phoneticPr fontId="1"/>
  </si>
  <si>
    <t>パワプロ2020 - 投球解析 - 2020-08-24 11-22-14-06</t>
    <phoneticPr fontId="1"/>
  </si>
  <si>
    <t>BI0WBS</t>
    <phoneticPr fontId="1"/>
  </si>
  <si>
    <t>パワプロ2020 - 投球解析 - 2020-08-24 11-22-14-07</t>
    <phoneticPr fontId="1"/>
  </si>
  <si>
    <t>BOMB</t>
    <phoneticPr fontId="1"/>
  </si>
  <si>
    <t>パワプロ2020 - 投球解析 - 2020-08-24 11-25-48-08</t>
    <phoneticPr fontId="1"/>
  </si>
  <si>
    <t>パワプロ2020 - 投球解析 - 2020-08-24 11-25-48-09</t>
    <phoneticPr fontId="1"/>
  </si>
  <si>
    <t>パワプロ2020 - 投球解析 - 2020-08-24 12-00-01-00</t>
    <phoneticPr fontId="1"/>
  </si>
  <si>
    <t>パワプロ2020 - 投球解析 - 2020-08-24 12-00-01-01</t>
    <phoneticPr fontId="1"/>
  </si>
  <si>
    <t>パワプロ2020 - 投球解析 - 2020-08-24 12-00-01-02</t>
    <phoneticPr fontId="1"/>
  </si>
  <si>
    <t>パワプロ2020 - 投球解析 - 2020-08-24 12-00-01-03</t>
    <phoneticPr fontId="1"/>
  </si>
  <si>
    <t>パワプロ2020 - 投球解析 - 2020-08-24 12-00-01-04</t>
    <phoneticPr fontId="1"/>
  </si>
  <si>
    <t>パワプロ2020 - 投球解析 - 2020-08-24 12-00-01-05</t>
    <phoneticPr fontId="1"/>
  </si>
  <si>
    <t>パワプロ2020 - 投球解析 - 2020-08-24 12-04-51-07</t>
    <phoneticPr fontId="1"/>
  </si>
  <si>
    <t>パワプロ2020 - 投球解析 - 2020-08-24 12-04-51-08</t>
    <phoneticPr fontId="1"/>
  </si>
  <si>
    <t>Er}</t>
    <phoneticPr fontId="1"/>
  </si>
  <si>
    <t>パワプロ2020 - 投球解析 - 2020-08-24 12-04-51-09</t>
    <phoneticPr fontId="1"/>
  </si>
  <si>
    <t>パワプロ2020 - 投球解析 - 2020-08-24 12-06-16-00</t>
    <phoneticPr fontId="1"/>
  </si>
  <si>
    <t>パワプロ2020 - 投球解析 - 2020-08-24 12-06-16-01</t>
    <phoneticPr fontId="1"/>
  </si>
  <si>
    <t>パワプロ2020 - 投球解析 - 2020-08-24 12-06-16-02</t>
    <phoneticPr fontId="1"/>
  </si>
  <si>
    <t>パワプロ2020 - 投球解析 - 2020-08-24 12-06-16-03</t>
    <phoneticPr fontId="1"/>
  </si>
  <si>
    <t>パワプロ2020 - 投球解析 - 2020-08-24 12-06-16-04</t>
    <phoneticPr fontId="1"/>
  </si>
  <si>
    <t>パワプロ2020 - 投球解析 - 2020-08-24 12-06-16-05</t>
    <phoneticPr fontId="1"/>
  </si>
  <si>
    <t>パワプロ2020 - 投球解析 - 2020-08-24 12-06-16-06</t>
    <phoneticPr fontId="1"/>
  </si>
  <si>
    <t>rds)</t>
    <phoneticPr fontId="1"/>
  </si>
  <si>
    <t>パワプロ2020 - 投球解析 - 2020-08-24 12-11-18-02</t>
    <phoneticPr fontId="1"/>
  </si>
  <si>
    <t>パワプロ2020 - 投球解析 - 2020-08-24 12-11-18-03</t>
    <phoneticPr fontId="1"/>
  </si>
  <si>
    <t>パワプロ2020 - 投球解析 - 2020-08-24 12-11-18-04</t>
    <phoneticPr fontId="1"/>
  </si>
  <si>
    <t>パワプロ2020 - 投球解析 - 2020-08-24 12-11-18-05</t>
    <phoneticPr fontId="1"/>
  </si>
  <si>
    <t>パワプロ2020 - 投球解析 - 2020-08-24 12-11-18-06</t>
    <phoneticPr fontId="1"/>
  </si>
  <si>
    <t>パワプロ2020 - 投球解析 - 2020-08-24 12-11-18-07</t>
    <phoneticPr fontId="1"/>
  </si>
  <si>
    <t>パワプロ2020 - 投球解析 - 2020-08-24 12-11-18-08</t>
    <phoneticPr fontId="1"/>
  </si>
  <si>
    <t>パワプロ2020 - 投球解析 - 2020-08-24 12-11-18-09</t>
    <phoneticPr fontId="1"/>
  </si>
  <si>
    <t>パワプロ2020 - 投球解析 - 2020-08-24 12-11-18-11</t>
    <phoneticPr fontId="1"/>
  </si>
  <si>
    <t>144</t>
  </si>
  <si>
    <t>パワプロ2020 - 投球解析 - 2020-08-24 12-22-44-05</t>
    <phoneticPr fontId="1"/>
  </si>
  <si>
    <t>パワプロ2020 - 投球解析 - 2020-08-24 12-22-44-06</t>
    <phoneticPr fontId="1"/>
  </si>
  <si>
    <t>パワプロ2020 - 投球解析 - 2020-08-24 12-22-44-07</t>
    <phoneticPr fontId="1"/>
  </si>
  <si>
    <t>BN0 6|</t>
    <phoneticPr fontId="1"/>
  </si>
  <si>
    <t>パワプロ2020 - 投球解析 - 2020-08-24 12-22-44-08</t>
    <phoneticPr fontId="1"/>
  </si>
  <si>
    <t>パワプロ2020 - 投球解析 - 2020-08-24 12-22-44-09</t>
    <phoneticPr fontId="1"/>
  </si>
  <si>
    <t>パワプロ2020 - 投球解析 - 2020-08-24 12-24-03-00</t>
    <phoneticPr fontId="1"/>
  </si>
  <si>
    <t>パワプロ2020 - 投球解析 - 2020-08-24 12-24-03-01</t>
    <phoneticPr fontId="1"/>
  </si>
  <si>
    <t>パワプロ2020 - 投球解析 - 2020-08-24 12-24-03-02</t>
    <phoneticPr fontId="1"/>
  </si>
  <si>
    <t>パワプロ2020 - 投球解析 - 2020-08-24 12-24-03-03</t>
    <phoneticPr fontId="1"/>
  </si>
  <si>
    <t>Er</t>
    <phoneticPr fontId="1"/>
  </si>
  <si>
    <t>eL)</t>
    <phoneticPr fontId="1"/>
  </si>
  <si>
    <t>eb)</t>
    <phoneticPr fontId="1"/>
  </si>
  <si>
    <t>パワプロ2020 - 投球解析 - 2020-08-24 12-28-05-01</t>
    <phoneticPr fontId="1"/>
  </si>
  <si>
    <t>IEWBS1</t>
    <phoneticPr fontId="1"/>
  </si>
  <si>
    <t>パワプロ2020 - 投球解析 - 2020-08-24 12-28-05-02</t>
    <phoneticPr fontId="1"/>
  </si>
  <si>
    <t>パワプロ2020 - 投球解析 - 2020-08-24 12-28-05-03</t>
    <phoneticPr fontId="1"/>
  </si>
  <si>
    <t>BIO0EWBS1</t>
    <phoneticPr fontId="1"/>
  </si>
  <si>
    <t>パワプロ2020 - 投球解析 - 2020-08-24 12-28-05-04</t>
    <phoneticPr fontId="1"/>
  </si>
  <si>
    <t>パワプロ2020 - 投球解析 - 2020-08-24 12-28-05-05</t>
    <phoneticPr fontId="1"/>
  </si>
  <si>
    <t>IOEWBS1</t>
    <phoneticPr fontId="1"/>
  </si>
  <si>
    <t>パワプロ2020 - 投球解析 - 2020-08-24 12-28-05-06</t>
    <phoneticPr fontId="1"/>
  </si>
  <si>
    <t>パワプロ2020 - 投球解析 - 2020-08-24 12-28-05-07</t>
    <phoneticPr fontId="1"/>
  </si>
  <si>
    <t>パワプロ2020 - 投球解析 - 2020-08-24 12-28-05-08</t>
    <phoneticPr fontId="1"/>
  </si>
  <si>
    <t>パワプロ2020 - 投球解析 - 2020-08-24 12-28-05-09</t>
    <phoneticPr fontId="1"/>
  </si>
  <si>
    <t>パワプロ2020 - 投球解析 - 2020-08-24 12-32-08-00</t>
    <phoneticPr fontId="1"/>
  </si>
  <si>
    <t>set)</t>
    <phoneticPr fontId="1"/>
  </si>
  <si>
    <t>13)</t>
    <phoneticPr fontId="1"/>
  </si>
  <si>
    <t>パワプロ2020 - 投球解析 - 2020-08-24 12-35-33-07</t>
    <phoneticPr fontId="1"/>
  </si>
  <si>
    <t>パワプロ2020 - 投球解析 - 2020-08-24 12-35-33-08</t>
    <phoneticPr fontId="1"/>
  </si>
  <si>
    <t>パワプロ2020 - 投球解析 - 2020-08-24 12-35-33-09</t>
    <phoneticPr fontId="1"/>
  </si>
  <si>
    <t>60還還|</t>
    <phoneticPr fontId="1"/>
  </si>
  <si>
    <t>パワプロ2020 - 投球解析 - 2020-08-24 12-36-56-00</t>
    <phoneticPr fontId="1"/>
  </si>
  <si>
    <t>パワプロ2020 - 投球解析 - 2020-08-24 12-36-56-01</t>
    <phoneticPr fontId="1"/>
  </si>
  <si>
    <t>パワプロ2020 - 投球解析 - 2020-08-24 12-36-56-02</t>
    <phoneticPr fontId="1"/>
  </si>
  <si>
    <t>パワプロ2020 - 投球解析 - 2020-08-24 12-36-56-03</t>
    <phoneticPr fontId="1"/>
  </si>
  <si>
    <t>パワプロ2020 - 投球解析 - 2020-08-24 12-36-56-04</t>
    <phoneticPr fontId="1"/>
  </si>
  <si>
    <t>パワプロ2020 - 投球解析 - 2020-08-24 12-36-56-05</t>
    <phoneticPr fontId="1"/>
  </si>
  <si>
    <t>パワプロ2020 - 投球解析 - 2020-08-24 12-42-52-05</t>
    <phoneticPr fontId="1"/>
  </si>
  <si>
    <t>ロレウンと人ンた</t>
    <phoneticPr fontId="1"/>
  </si>
  <si>
    <t>パワプロ2020 - 投球解析 - 2020-08-24 12-42-52-06</t>
    <phoneticPr fontId="1"/>
  </si>
  <si>
    <t>パワプロ2020 - 投球解析 - 2020-08-24 12-42-52-07</t>
    <phoneticPr fontId="1"/>
  </si>
  <si>
    <t>パワプロ2020 - 投球解析 - 2020-08-24 12-42-52-08</t>
    <phoneticPr fontId="1"/>
  </si>
  <si>
    <t>パワプロ2020 - 投球解析 - 2020-08-24 12-42-52-09</t>
    <phoneticPr fontId="1"/>
  </si>
  <si>
    <t>パワプロ2020 - 投球解析 - 2020-08-24 12-44-26-00</t>
    <phoneticPr fontId="1"/>
  </si>
  <si>
    <t>パワプロ2020 - 投球解析 - 2020-08-24 12-44-26-01</t>
    <phoneticPr fontId="1"/>
  </si>
  <si>
    <t>パワプロ2020 - 投球解析 - 2020-08-24 12-44-26-02</t>
    <phoneticPr fontId="1"/>
  </si>
  <si>
    <t>パワプロ2020 - 投球解析 - 2020-08-24 12-44-26-03</t>
    <phoneticPr fontId="1"/>
  </si>
  <si>
    <t>ジリルクガルル</t>
    <phoneticPr fontId="1"/>
  </si>
  <si>
    <t>パワプロ2020 - 投球解析 - 2020-08-24 12-44-26-04</t>
    <phoneticPr fontId="1"/>
  </si>
  <si>
    <t>1ee</t>
    <phoneticPr fontId="1"/>
  </si>
  <si>
    <t>パワプロ2020 - 投球解析 - 2020-08-24 12-49-17-04</t>
    <phoneticPr fontId="1"/>
  </si>
  <si>
    <t>パワプロ2020 - 投球解析 - 2020-08-24 12-49-17-05</t>
    <phoneticPr fontId="1"/>
  </si>
  <si>
    <t>パワプロ2020 - 投球解析 - 2020-08-24 12-49-17-06</t>
    <phoneticPr fontId="1"/>
  </si>
  <si>
    <t>パワプロ2020 - 投球解析 - 2020-08-24 12-50-30-00</t>
    <phoneticPr fontId="1"/>
  </si>
  <si>
    <t>パワプロ2020 - 投球解析 - 2020-08-24 12-50-30-01</t>
    <phoneticPr fontId="1"/>
  </si>
  <si>
    <t>パワプロ2020 - 投球解析 - 2020-08-24 12-50-30-02</t>
    <phoneticPr fontId="1"/>
  </si>
  <si>
    <t>パワプロ2020 - 投球解析 - 2020-08-24 12-50-30-03</t>
    <phoneticPr fontId="1"/>
  </si>
  <si>
    <t>パワプロ2020 - 投球解析 - 2020-08-24 12-50-30-04</t>
    <phoneticPr fontId="1"/>
  </si>
  <si>
    <t>パワプロ2020 - 投球解析 - 2020-08-24 12-50-30-05</t>
    <phoneticPr fontId="1"/>
  </si>
  <si>
    <t>BI0BWW/</t>
    <phoneticPr fontId="1"/>
  </si>
  <si>
    <t>パワプロ2020 - 投球解析 - 2020-08-24 12-50-30-06</t>
    <phoneticPr fontId="1"/>
  </si>
  <si>
    <t>alr 5)</t>
    <phoneticPr fontId="1"/>
  </si>
  <si>
    <t>DDO017</t>
    <phoneticPr fontId="1"/>
  </si>
  <si>
    <t>パワプロ2020 - 投球解析 - 2020-08-24 12-55-39-06</t>
    <phoneticPr fontId="1"/>
  </si>
  <si>
    <t>パワプロ2020 - 投球解析 - 2020-08-24 12-55-39-07</t>
    <phoneticPr fontId="1"/>
  </si>
  <si>
    <t>パワプロ2020 - 投球解析 - 2020-08-24 12-55-39-08</t>
    <phoneticPr fontId="1"/>
  </si>
  <si>
    <t>パワプロ2020 - 投球解析 - 2020-08-24 12-55-39-09</t>
    <phoneticPr fontId="1"/>
  </si>
  <si>
    <t>パワプロ2020 - 投球解析 - 2020-08-24 12-58-52-00</t>
    <phoneticPr fontId="1"/>
  </si>
  <si>
    <t>パワプロ2020 - 投球解析 - 2020-08-24 12-58-52-01</t>
    <phoneticPr fontId="1"/>
  </si>
  <si>
    <t>パワプロ2020 - 投球解析 - 2020-08-24 12-58-52-02</t>
    <phoneticPr fontId="1"/>
  </si>
  <si>
    <t>パワプロ2020 - 投球解析 - 2020-08-24 12-58-52-03</t>
    <phoneticPr fontId="1"/>
  </si>
  <si>
    <t>にコーア衝た</t>
    <phoneticPr fontId="1"/>
  </si>
  <si>
    <t>パワプロ2020 - 投球解析 - 2020-08-24 12-58-52-04</t>
    <phoneticPr fontId="1"/>
  </si>
  <si>
    <t>パワプロ2020 - 投球解析 - 2020-08-24 12-58-52-05</t>
    <phoneticPr fontId="1"/>
  </si>
  <si>
    <t>BI6還還%</t>
    <phoneticPr fontId="1"/>
  </si>
  <si>
    <t>パワプロ2020 - 投球解析 - 2020-08-24 13-03-51-07</t>
    <phoneticPr fontId="1"/>
  </si>
  <si>
    <t>パワプロ2020 - 投球解析 - 2020-08-24 13-03-51-08</t>
    <phoneticPr fontId="1"/>
  </si>
  <si>
    <t>パワプロ2020 - 投球解析 - 2020-08-24 13-03-51-09</t>
    <phoneticPr fontId="1"/>
  </si>
  <si>
    <t>パワプロ2020 - 投球解析 - 2020-08-24 13-05-36-00</t>
    <phoneticPr fontId="1"/>
  </si>
  <si>
    <t>パワプロ2020 - 投球解析 - 2020-08-24 13-05-36-01</t>
    <phoneticPr fontId="1"/>
  </si>
  <si>
    <t>パワプロ2020 - 投球解析 - 2020-08-24 13-05-36-02</t>
    <phoneticPr fontId="1"/>
  </si>
  <si>
    <t>パワプロ2020 - 投球解析 - 2020-08-24 13-05-36-03</t>
    <phoneticPr fontId="1"/>
  </si>
  <si>
    <t>パワプロ2020 - 投球解析 - 2020-08-24 13-05-36-04</t>
    <phoneticPr fontId="1"/>
  </si>
  <si>
    <t>パワプロ2020 - 投球解析 - 2020-08-24 13-05-36-05</t>
    <phoneticPr fontId="1"/>
  </si>
  <si>
    <t>パワプロ2020 - 投球解析 - 2020-08-24 13-05-36-06</t>
    <phoneticPr fontId="1"/>
  </si>
  <si>
    <t>Et)</t>
    <phoneticPr fontId="1"/>
  </si>
  <si>
    <t>1</t>
    <phoneticPr fontId="1"/>
  </si>
  <si>
    <t>155</t>
  </si>
  <si>
    <t>パワプロ2020 - 投球解析 - 2020-08-24 13-14-19-03</t>
    <phoneticPr fontId="1"/>
  </si>
  <si>
    <t>Lv)</t>
    <phoneticPr fontId="1"/>
  </si>
  <si>
    <t>パワプロ2020 - 投球解析 - 2020-08-24 13-14-19-04</t>
    <phoneticPr fontId="1"/>
  </si>
  <si>
    <t>パワプロ2020 - 投球解析 - 2020-08-24 13-14-19-05</t>
    <phoneticPr fontId="1"/>
  </si>
  <si>
    <t>パワプロ2020 - 投球解析 - 2020-08-24 13-14-19-06</t>
    <phoneticPr fontId="1"/>
  </si>
  <si>
    <t>パワプロ2020 - 投球解析 - 2020-08-24 13-14-19-07</t>
    <phoneticPr fontId="1"/>
  </si>
  <si>
    <t>156</t>
  </si>
  <si>
    <t>パワプロ2020 - 投球解析 - 2020-08-24 13-14-19-08</t>
    <phoneticPr fontId="1"/>
  </si>
  <si>
    <t>パワプロ2020 - 投球解析 - 2020-08-24 13-14-19-09</t>
    <phoneticPr fontId="1"/>
  </si>
  <si>
    <t>DDO06</t>
    <phoneticPr fontId="1"/>
  </si>
  <si>
    <t>パワプロ2020 - 投球解析 - 2020-08-24 13-16-19-00</t>
    <phoneticPr fontId="1"/>
  </si>
  <si>
    <t>パワプロ2020 - 投球解析 - 2020-08-24 13-16-19-01</t>
    <phoneticPr fontId="1"/>
  </si>
  <si>
    <t>パワプロ2020 - 投球解析 - 2020-08-24 13-16-19-02</t>
    <phoneticPr fontId="1"/>
  </si>
  <si>
    <t>パワプロ2020 - 投球解析 - 2020-08-24 13-16-19-03</t>
    <phoneticPr fontId="1"/>
  </si>
  <si>
    <t>BI0W和3</t>
    <phoneticPr fontId="1"/>
  </si>
  <si>
    <t>パワプロ2020 - 投球解析 - 2020-08-24 13-16-19-04</t>
    <phoneticPr fontId="1"/>
  </si>
  <si>
    <t>パワプロ2020 - 投球解析 - 2020-08-24 13-16-19-05</t>
    <phoneticPr fontId="1"/>
  </si>
  <si>
    <t>にコア作アコ</t>
    <phoneticPr fontId="1"/>
  </si>
  <si>
    <t>パワプロ2020 - 投球解析 - 2020-08-24 13-16-19-06</t>
    <phoneticPr fontId="1"/>
  </si>
  <si>
    <t>パワプロ2020 - 投球解析 - 2020-08-24 13-16-19-07</t>
    <phoneticPr fontId="1"/>
  </si>
  <si>
    <t>パワプロ2020 - 投球解析 - 2020-08-24 13-16-19-08</t>
    <phoneticPr fontId="1"/>
  </si>
  <si>
    <t>パワプロ2020 - 投球解析 - 2020-08-24 13-17-56-00</t>
    <phoneticPr fontId="1"/>
  </si>
  <si>
    <t>パワプロ2020 - 投球解析 - 2020-08-24 13-17-56-01</t>
    <phoneticPr fontId="1"/>
  </si>
  <si>
    <t>BI0BW邊3</t>
    <phoneticPr fontId="1"/>
  </si>
  <si>
    <t>パワプロ2020 - 投球解析 - 2020-08-24 13-17-56-02</t>
    <phoneticPr fontId="1"/>
  </si>
  <si>
    <t>パワプロ2020 - 投球解析 - 2020-08-24 13-17-56-03</t>
    <phoneticPr fontId="1"/>
  </si>
  <si>
    <t>パワプロ2020 - 投球解析 - 2020-08-24 13-17-56-04</t>
    <phoneticPr fontId="1"/>
  </si>
  <si>
    <t>パワプロ2020 - 投球解析 - 2020-08-24 13-17-56-05</t>
    <phoneticPr fontId="1"/>
  </si>
  <si>
    <t>a5)</t>
    <phoneticPr fontId="1"/>
  </si>
  <si>
    <t>パワプロ2020 - 投球解析 - 2020-08-24 13-17-56-06</t>
    <phoneticPr fontId="1"/>
  </si>
  <si>
    <t>パワプロ2020 - 投球解析 - 2020-08-24 13-17-56-07</t>
    <phoneticPr fontId="1"/>
  </si>
  <si>
    <t>010I0BW邊3</t>
    <phoneticPr fontId="1"/>
  </si>
  <si>
    <t>パワプロ2020 - 投球解析 - 2020-08-24 13-17-56-08</t>
    <phoneticPr fontId="1"/>
  </si>
  <si>
    <t>パワプロ2020 - 投球解析 - 2020-08-24 13-17-56-09</t>
    <phoneticPr fontId="1"/>
  </si>
  <si>
    <t>パワプロ2020 - 投球解析 - 2020-08-24 13-20-06-00</t>
    <phoneticPr fontId="1"/>
  </si>
  <si>
    <t>パワプロ2020 - 投球解析 - 2020-08-24 13-20-06-01</t>
    <phoneticPr fontId="1"/>
  </si>
  <si>
    <t>パワプロ2020 - 投球解析 - 2020-08-24 13-20-06-02</t>
    <phoneticPr fontId="1"/>
  </si>
  <si>
    <t>ce)</t>
    <phoneticPr fontId="1"/>
  </si>
  <si>
    <t>パワプロ2020 - 投球解析 - 2020-08-24 13-20-06-03</t>
    <phoneticPr fontId="1"/>
  </si>
  <si>
    <t>パワプロ2020 - 投球解析 - 2020-08-24 13-20-06-04</t>
    <phoneticPr fontId="1"/>
  </si>
  <si>
    <t>BI0BW和る</t>
    <phoneticPr fontId="1"/>
  </si>
  <si>
    <t>パワプロ2020 - 投球解析 - 2020-08-24 13-20-06-05</t>
    <phoneticPr fontId="1"/>
  </si>
  <si>
    <t>パワプロ2020 - 投球解析 - 2020-08-24 13-20-06-06</t>
    <phoneticPr fontId="1"/>
  </si>
  <si>
    <t>eT}</t>
    <phoneticPr fontId="1"/>
  </si>
  <si>
    <t>パワプロ2020 - 投球解析 - 2020-08-24 13-20-06-07</t>
    <phoneticPr fontId="1"/>
  </si>
  <si>
    <t>パワプロ2020 - 投球解析 - 2020-08-24 13-20-06-08</t>
    <phoneticPr fontId="1"/>
  </si>
  <si>
    <t>0上</t>
    <phoneticPr fontId="1"/>
  </si>
  <si>
    <t>パワプロ2020 - 投球解析 - 2020-08-24 13-20-06-09</t>
    <phoneticPr fontId="1"/>
  </si>
  <si>
    <t>時6男|</t>
  </si>
  <si>
    <t>TA0OO) 1</t>
  </si>
  <si>
    <t>時6前|</t>
  </si>
  <si>
    <t>時80前|</t>
  </si>
  <si>
    <t>時0胃|</t>
  </si>
  <si>
    <t>時:前|</t>
  </si>
  <si>
    <t>700胃|</t>
  </si>
  <si>
    <t>TA0O) 1</t>
  </si>
  <si>
    <t>rT)</t>
  </si>
  <si>
    <t>TAOO) 1</t>
  </si>
  <si>
    <t>時</t>
  </si>
  <si>
    <t>時(00</t>
  </si>
  <si>
    <t>時0</t>
  </si>
  <si>
    <t>時(06</t>
  </si>
  <si>
    <t>md)</t>
  </si>
  <si>
    <t>TA003</t>
  </si>
  <si>
    <t>TAO003</t>
  </si>
  <si>
    <t>mis)</t>
  </si>
  <si>
    <t>にコーア衝に当た</t>
  </si>
  <si>
    <t>時60 Be1</t>
  </si>
  <si>
    <t>mts)</t>
  </si>
  <si>
    <t>700 Be</t>
  </si>
  <si>
    <t>nc}</t>
  </si>
  <si>
    <t>ni</t>
  </si>
  <si>
    <t>時0 BC</t>
  </si>
  <si>
    <t>時0 Be1</t>
  </si>
  <si>
    <t>70</t>
    <phoneticPr fontId="1"/>
  </si>
  <si>
    <t>71</t>
  </si>
  <si>
    <t>72</t>
  </si>
  <si>
    <t>73</t>
  </si>
  <si>
    <t>74</t>
  </si>
  <si>
    <t>75</t>
  </si>
  <si>
    <t>76</t>
  </si>
  <si>
    <t>80</t>
  </si>
  <si>
    <t>81</t>
  </si>
  <si>
    <t>82</t>
  </si>
  <si>
    <t>84</t>
  </si>
  <si>
    <t>87</t>
  </si>
  <si>
    <t>88</t>
  </si>
  <si>
    <t>89</t>
  </si>
  <si>
    <t>91</t>
  </si>
  <si>
    <t>92</t>
  </si>
  <si>
    <t>94</t>
  </si>
  <si>
    <t>97</t>
  </si>
  <si>
    <t>98</t>
  </si>
  <si>
    <t>99</t>
  </si>
  <si>
    <t>102</t>
  </si>
  <si>
    <t>103</t>
  </si>
  <si>
    <t>104</t>
  </si>
  <si>
    <t>109</t>
  </si>
  <si>
    <t>110</t>
  </si>
  <si>
    <t>111</t>
  </si>
  <si>
    <t>112</t>
  </si>
  <si>
    <t>117</t>
  </si>
  <si>
    <t>122</t>
  </si>
  <si>
    <t>134</t>
  </si>
  <si>
    <t>137</t>
  </si>
  <si>
    <t>141</t>
  </si>
  <si>
    <t>142</t>
  </si>
  <si>
    <t>147</t>
  </si>
  <si>
    <t>151</t>
  </si>
  <si>
    <t>154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</si>
  <si>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</si>
  <si>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</si>
  <si>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</si>
  <si>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</si>
  <si>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</si>
  <si>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</si>
  <si>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</si>
  <si>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</si>
  <si>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</si>
  <si>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</si>
  <si>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</si>
  <si>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</si>
  <si>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</si>
  <si>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</si>
  <si>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</si>
  <si>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</si>
  <si>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</si>
  <si>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</si>
  <si>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</si>
  <si>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DD006</t>
    <phoneticPr fontId="1"/>
  </si>
  <si>
    <t>TA001</t>
  </si>
  <si>
    <t>TA001</t>
    <phoneticPr fontId="1"/>
  </si>
  <si>
    <t>TA002</t>
  </si>
  <si>
    <t>TA002</t>
    <phoneticPr fontId="1"/>
  </si>
  <si>
    <t>TA003</t>
    <phoneticPr fontId="1"/>
  </si>
  <si>
    <t>P054</t>
  </si>
  <si>
    <t>P055</t>
  </si>
  <si>
    <t>P056</t>
  </si>
  <si>
    <t>P057</t>
  </si>
  <si>
    <t>P058</t>
  </si>
  <si>
    <t>P059</t>
  </si>
  <si>
    <t>P054</t>
    <phoneticPr fontId="1"/>
  </si>
  <si>
    <t>球持ち〇</t>
    <rPh sb="0" eb="1">
      <t>タマ</t>
    </rPh>
    <rPh sb="1" eb="2">
      <t>モ</t>
    </rPh>
    <phoneticPr fontId="1"/>
  </si>
  <si>
    <t>打球反応〇</t>
    <rPh sb="0" eb="2">
      <t>ダキュウ</t>
    </rPh>
    <rPh sb="2" eb="4">
      <t>ハンノウ</t>
    </rPh>
    <phoneticPr fontId="1"/>
  </si>
  <si>
    <t>DD023</t>
    <phoneticPr fontId="1"/>
  </si>
  <si>
    <t>DD024</t>
    <phoneticPr fontId="1"/>
  </si>
  <si>
    <t>140</t>
    <phoneticPr fontId="1"/>
  </si>
  <si>
    <t>139</t>
    <phoneticPr fontId="1"/>
  </si>
  <si>
    <t>129</t>
    <phoneticPr fontId="1"/>
  </si>
  <si>
    <t>126</t>
    <phoneticPr fontId="1"/>
  </si>
  <si>
    <t>127</t>
    <phoneticPr fontId="1"/>
  </si>
  <si>
    <t>114</t>
    <phoneticPr fontId="1"/>
  </si>
  <si>
    <t>115</t>
    <phoneticPr fontId="1"/>
  </si>
  <si>
    <t>113</t>
    <phoneticPr fontId="1"/>
  </si>
  <si>
    <t>123</t>
    <phoneticPr fontId="1"/>
  </si>
  <si>
    <t>124</t>
    <phoneticPr fontId="1"/>
  </si>
  <si>
    <t>121</t>
    <phoneticPr fontId="1"/>
  </si>
  <si>
    <t>119</t>
    <phoneticPr fontId="1"/>
  </si>
  <si>
    <t>120</t>
    <phoneticPr fontId="1"/>
  </si>
  <si>
    <t>118</t>
    <phoneticPr fontId="1"/>
  </si>
  <si>
    <t>132</t>
    <phoneticPr fontId="1"/>
  </si>
  <si>
    <t>130</t>
    <phoneticPr fontId="1"/>
  </si>
  <si>
    <t>131</t>
    <phoneticPr fontId="1"/>
  </si>
  <si>
    <t>146</t>
    <phoneticPr fontId="1"/>
  </si>
  <si>
    <t>125</t>
    <phoneticPr fontId="1"/>
  </si>
  <si>
    <t>148</t>
    <phoneticPr fontId="1"/>
  </si>
  <si>
    <t>149</t>
    <phoneticPr fontId="1"/>
  </si>
  <si>
    <t>150</t>
    <phoneticPr fontId="1"/>
  </si>
  <si>
    <t>79</t>
    <phoneticPr fontId="1"/>
  </si>
  <si>
    <t>78</t>
    <phoneticPr fontId="1"/>
  </si>
  <si>
    <t>77</t>
    <phoneticPr fontId="1"/>
  </si>
  <si>
    <t>83</t>
    <phoneticPr fontId="1"/>
  </si>
  <si>
    <t>86</t>
    <phoneticPr fontId="1"/>
  </si>
  <si>
    <t>56</t>
    <phoneticPr fontId="1"/>
  </si>
  <si>
    <t>85</t>
    <phoneticPr fontId="1"/>
  </si>
  <si>
    <t>90</t>
    <phoneticPr fontId="1"/>
  </si>
  <si>
    <t>93</t>
    <phoneticPr fontId="1"/>
  </si>
  <si>
    <t>96</t>
    <phoneticPr fontId="1"/>
  </si>
  <si>
    <t>95</t>
    <phoneticPr fontId="1"/>
  </si>
  <si>
    <t>49</t>
    <phoneticPr fontId="1"/>
  </si>
  <si>
    <t>101</t>
    <phoneticPr fontId="1"/>
  </si>
  <si>
    <t>100</t>
    <phoneticPr fontId="1"/>
  </si>
  <si>
    <t>105</t>
    <phoneticPr fontId="1"/>
  </si>
  <si>
    <t>108</t>
    <phoneticPr fontId="1"/>
  </si>
  <si>
    <t>106</t>
    <phoneticPr fontId="1"/>
  </si>
  <si>
    <t>107</t>
    <phoneticPr fontId="1"/>
  </si>
  <si>
    <t>152</t>
    <phoneticPr fontId="1"/>
  </si>
  <si>
    <t>153</t>
    <phoneticPr fontId="1"/>
  </si>
  <si>
    <t>135</t>
    <phoneticPr fontId="1"/>
  </si>
  <si>
    <t>136</t>
    <phoneticPr fontId="1"/>
  </si>
  <si>
    <t>138</t>
    <phoneticPr fontId="1"/>
  </si>
  <si>
    <t>128</t>
    <phoneticPr fontId="1"/>
  </si>
  <si>
    <t>145</t>
    <phoneticPr fontId="1"/>
  </si>
  <si>
    <t>133</t>
    <phoneticPr fontId="1"/>
  </si>
  <si>
    <t>143</t>
    <phoneticPr fontId="1"/>
  </si>
  <si>
    <t>116</t>
    <phoneticPr fontId="1"/>
  </si>
  <si>
    <t>144</t>
    <phoneticPr fontId="1"/>
  </si>
  <si>
    <t>155</t>
    <phoneticPr fontId="1"/>
  </si>
  <si>
    <t>156</t>
    <phoneticPr fontId="1"/>
  </si>
  <si>
    <t>時6男|</t>
    <phoneticPr fontId="1"/>
  </si>
  <si>
    <t>パワプロ2020 - 投球解析 - 2020-08-26 21-15-29-00</t>
    <phoneticPr fontId="1"/>
  </si>
  <si>
    <t>TA0OO) 1</t>
    <phoneticPr fontId="1"/>
  </si>
  <si>
    <t>パワプロ2020 - 投球解析 - 2020-08-26 21-15-29-01</t>
    <phoneticPr fontId="1"/>
  </si>
  <si>
    <t>時6前|</t>
    <phoneticPr fontId="1"/>
  </si>
  <si>
    <t>パワプロ2020 - 投球解析 - 2020-08-26 21-15-29-02</t>
    <phoneticPr fontId="1"/>
  </si>
  <si>
    <t>パワプロ2020 - 投球解析 - 2020-08-26 21-15-29-03</t>
    <phoneticPr fontId="1"/>
  </si>
  <si>
    <t>時80前|</t>
    <phoneticPr fontId="1"/>
  </si>
  <si>
    <t>パワプロ2020 - 投球解析 - 2020-08-26 21-15-29-04</t>
    <phoneticPr fontId="1"/>
  </si>
  <si>
    <t>時0胃|</t>
    <phoneticPr fontId="1"/>
  </si>
  <si>
    <t>パワプロ2020 - 投球解析 - 2020-08-26 21-15-29-05</t>
    <phoneticPr fontId="1"/>
  </si>
  <si>
    <t>パワプロ2020 - 投球解析 - 2020-08-26 21-15-29-06</t>
    <phoneticPr fontId="1"/>
  </si>
  <si>
    <t>パワプロ2020 - 投球解析 - 2020-08-26 21-15-29-07</t>
    <phoneticPr fontId="1"/>
  </si>
  <si>
    <t>時:前|</t>
    <phoneticPr fontId="1"/>
  </si>
  <si>
    <t>パワプロ2020 - 投球解析 - 2020-08-26 21-15-29-08</t>
    <phoneticPr fontId="1"/>
  </si>
  <si>
    <t>パワプロ2020 - 投球解析 - 2020-08-26 21-15-29-09</t>
    <phoneticPr fontId="1"/>
  </si>
  <si>
    <t>パワプロ2020 - 投球解析 - 2020-08-26 21-17-48-00</t>
    <phoneticPr fontId="1"/>
  </si>
  <si>
    <t>パワプロ2020 - 投球解析 - 2020-08-26 21-17-48-01</t>
    <phoneticPr fontId="1"/>
  </si>
  <si>
    <t>パワプロ2020 - 投球解析 - 2020-08-26 21-17-48-02</t>
    <phoneticPr fontId="1"/>
  </si>
  <si>
    <t>700胃|</t>
    <phoneticPr fontId="1"/>
  </si>
  <si>
    <t>パワプロ2020 - 投球解析 - 2020-08-26 21-17-48-03</t>
    <phoneticPr fontId="1"/>
  </si>
  <si>
    <t>TA0O) 1</t>
    <phoneticPr fontId="1"/>
  </si>
  <si>
    <t>パワプロ2020 - 投球解析 - 2020-08-26 21-17-48-04</t>
    <phoneticPr fontId="1"/>
  </si>
  <si>
    <t>rT)</t>
    <phoneticPr fontId="1"/>
  </si>
  <si>
    <t>TAOO) 1</t>
    <phoneticPr fontId="1"/>
  </si>
  <si>
    <t>パワプロ2020 - 投球解析 - 2020-08-26 21-17-48-05</t>
    <phoneticPr fontId="1"/>
  </si>
  <si>
    <t>パワプロ2020 - 投球解析 - 2020-08-26 21-17-48-06</t>
    <phoneticPr fontId="1"/>
  </si>
  <si>
    <t>時</t>
    <phoneticPr fontId="1"/>
  </si>
  <si>
    <t>パワプロ2020 - 投球解析 - 2020-08-26 21-19-02-00</t>
    <phoneticPr fontId="1"/>
  </si>
  <si>
    <t>時(00</t>
    <phoneticPr fontId="1"/>
  </si>
  <si>
    <t>パワプロ2020 - 投球解析 - 2020-08-26 21-19-02-01</t>
    <phoneticPr fontId="1"/>
  </si>
  <si>
    <t>パワプロ2020 - 投球解析 - 2020-08-26 21-19-02-02</t>
    <phoneticPr fontId="1"/>
  </si>
  <si>
    <t>時0</t>
    <phoneticPr fontId="1"/>
  </si>
  <si>
    <t>パワプロ2020 - 投球解析 - 2020-08-26 21-19-02-03</t>
    <phoneticPr fontId="1"/>
  </si>
  <si>
    <t>パワプロ2020 - 投球解析 - 2020-08-26 21-19-02-04</t>
    <phoneticPr fontId="1"/>
  </si>
  <si>
    <t>パワプロ2020 - 投球解析 - 2020-08-26 21-19-02-05</t>
    <phoneticPr fontId="1"/>
  </si>
  <si>
    <t>パワプロ2020 - 投球解析 - 2020-08-26 21-19-02-06</t>
    <phoneticPr fontId="1"/>
  </si>
  <si>
    <t>パワプロ2020 - 投球解析 - 2020-08-26 21-19-02-07</t>
    <phoneticPr fontId="1"/>
  </si>
  <si>
    <t>パワプロ2020 - 投球解析 - 2020-08-26 21-19-02-08</t>
    <phoneticPr fontId="1"/>
  </si>
  <si>
    <t>パワプロ2020 - 投球解析 - 2020-08-26 21-19-02-09</t>
    <phoneticPr fontId="1"/>
  </si>
  <si>
    <t>パワプロ2020 - 投球解析 - 2020-08-26 21-20-35-00</t>
    <phoneticPr fontId="1"/>
  </si>
  <si>
    <t>パワプロ2020 - 投球解析 - 2020-08-26 21-20-35-01</t>
    <phoneticPr fontId="1"/>
  </si>
  <si>
    <t>パワプロ2020 - 投球解析 - 2020-08-26 21-20-35-02</t>
    <phoneticPr fontId="1"/>
  </si>
  <si>
    <t>パワプロ2020 - 投球解析 - 2020-08-26 21-20-35-03</t>
    <phoneticPr fontId="1"/>
  </si>
  <si>
    <t>パワプロ2020 - 投球解析 - 2020-08-26 21-20-35-04</t>
    <phoneticPr fontId="1"/>
  </si>
  <si>
    <t>にアア作アた</t>
    <phoneticPr fontId="1"/>
  </si>
  <si>
    <t>パワプロ2020 - 投球解析 - 2020-08-26 21-20-35-05</t>
    <phoneticPr fontId="1"/>
  </si>
  <si>
    <t>パワプロ2020 - 投球解析 - 2020-08-26 21-20-35-06</t>
    <phoneticPr fontId="1"/>
  </si>
  <si>
    <t>時(06</t>
    <phoneticPr fontId="1"/>
  </si>
  <si>
    <t>パワプロ2020 - 投球解析 - 2020-08-26 21-20-35-07</t>
    <phoneticPr fontId="1"/>
  </si>
  <si>
    <t>パワプロ2020 - 投球解析 - 2020-08-26 21-20-35-08</t>
    <phoneticPr fontId="1"/>
  </si>
  <si>
    <t>パワプロ2020 - 投球解析 - 2020-08-26 21-20-35-09</t>
    <phoneticPr fontId="1"/>
  </si>
  <si>
    <t>md)</t>
    <phoneticPr fontId="1"/>
  </si>
  <si>
    <t>パワプロ2020 - 投球解析 - 2020-08-26 21-30-58-00</t>
    <phoneticPr fontId="1"/>
  </si>
  <si>
    <t>TAO003</t>
    <phoneticPr fontId="1"/>
  </si>
  <si>
    <t>パワプロ2020 - 投球解析 - 2020-08-26 21-30-58-01</t>
    <phoneticPr fontId="1"/>
  </si>
  <si>
    <t>パワプロ2020 - 投球解析 - 2020-08-26 21-30-58-02</t>
    <phoneticPr fontId="1"/>
  </si>
  <si>
    <t>mis)</t>
    <phoneticPr fontId="1"/>
  </si>
  <si>
    <t>パワプロ2020 - 投球解析 - 2020-08-26 21-30-58-03</t>
    <phoneticPr fontId="1"/>
  </si>
  <si>
    <t>にコーア衝に当た</t>
    <phoneticPr fontId="1"/>
  </si>
  <si>
    <t>パワプロ2020 - 投球解析 - 2020-08-26 21-30-58-04</t>
    <phoneticPr fontId="1"/>
  </si>
  <si>
    <t>a}</t>
    <phoneticPr fontId="1"/>
  </si>
  <si>
    <t>パワプロ2020 - 投球解析 - 2020-08-26 21-30-58-05</t>
    <phoneticPr fontId="1"/>
  </si>
  <si>
    <t>パワプロ2020 - 投球解析 - 2020-08-26 21-30-58-06</t>
    <phoneticPr fontId="1"/>
  </si>
  <si>
    <t>パワプロ2020 - 投球解析 - 2020-08-26 21-30-58-07</t>
    <phoneticPr fontId="1"/>
  </si>
  <si>
    <t>時60 Be1</t>
    <phoneticPr fontId="1"/>
  </si>
  <si>
    <t>パワプロ2020 - 投球解析 - 2020-08-26 21-30-58-08</t>
    <phoneticPr fontId="1"/>
  </si>
  <si>
    <t>mts)</t>
    <phoneticPr fontId="1"/>
  </si>
  <si>
    <t>700 Be</t>
    <phoneticPr fontId="1"/>
  </si>
  <si>
    <t>パワプロ2020 - 投球解析 - 2020-08-26 21-30-58-09</t>
    <phoneticPr fontId="1"/>
  </si>
  <si>
    <t>nc}</t>
    <phoneticPr fontId="1"/>
  </si>
  <si>
    <t>パワプロ2020 - 投球解析 - 2020-08-26 21-35-18-00</t>
    <phoneticPr fontId="1"/>
  </si>
  <si>
    <t>パワプロ2020 - 投球解析 - 2020-08-26 21-35-18-01</t>
    <phoneticPr fontId="1"/>
  </si>
  <si>
    <t>ni</t>
    <phoneticPr fontId="1"/>
  </si>
  <si>
    <t>パワプロ2020 - 投球解析 - 2020-08-26 21-35-18-02</t>
    <phoneticPr fontId="1"/>
  </si>
  <si>
    <t>パワプロ2020 - 投球解析 - 2020-08-26 21-35-18-03</t>
    <phoneticPr fontId="1"/>
  </si>
  <si>
    <t>パワプロ2020 - 投球解析 - 2020-08-26 21-35-18-04</t>
    <phoneticPr fontId="1"/>
  </si>
  <si>
    <t>時0 BC</t>
    <phoneticPr fontId="1"/>
  </si>
  <si>
    <t>パワプロ2020 - 投球解析 - 2020-08-26 21-35-18-05</t>
    <phoneticPr fontId="1"/>
  </si>
  <si>
    <t>時0 Be1</t>
    <phoneticPr fontId="1"/>
  </si>
  <si>
    <t>パワプロ2020 - 投球解析 - 2020-08-26 21-35-18-06</t>
    <phoneticPr fontId="1"/>
  </si>
  <si>
    <t>パワプロ2020 - 投球解析 - 2020-08-26 21-35-18-07</t>
    <phoneticPr fontId="1"/>
  </si>
  <si>
    <t>パワプロ2020 - 投球解析 - 2020-08-26 21-35-18-08</t>
    <phoneticPr fontId="1"/>
  </si>
  <si>
    <t>パワプロ2020 - 投球解析 - 2020-08-26 21-35-18-09</t>
    <phoneticPr fontId="1"/>
  </si>
  <si>
    <t>DDO023</t>
  </si>
  <si>
    <t>DDO23</t>
  </si>
  <si>
    <t>BBI0 1</t>
  </si>
  <si>
    <t>BI0 BC</t>
  </si>
  <si>
    <t>BI0 6</t>
  </si>
  <si>
    <t>レニクタ1の</t>
  </si>
  <si>
    <t>レラプリの</t>
  </si>
  <si>
    <t>レとツニクタの</t>
  </si>
  <si>
    <t>レタプリ</t>
  </si>
  <si>
    <t>レラクタの</t>
  </si>
  <si>
    <t>BI0 61</t>
  </si>
  <si>
    <t>レニプリの</t>
  </si>
  <si>
    <t>ツメガワ</t>
  </si>
  <si>
    <t>oh)</t>
  </si>
  <si>
    <t>ans)</t>
  </si>
  <si>
    <t>BI0 01</t>
  </si>
  <si>
    <t>an]</t>
  </si>
  <si>
    <t>any)</t>
  </si>
  <si>
    <t>ant]</t>
  </si>
  <si>
    <t>00 61</t>
  </si>
  <si>
    <t>an)</t>
  </si>
  <si>
    <t>a1)</t>
  </si>
  <si>
    <t>na</t>
  </si>
  <si>
    <t>DDO024</t>
  </si>
  <si>
    <t>DDO24</t>
  </si>
  <si>
    <t>nz</t>
  </si>
  <si>
    <t>DDO0O24</t>
  </si>
  <si>
    <t>mn</t>
  </si>
  <si>
    <t>ann)</t>
  </si>
  <si>
    <t>mr}</t>
  </si>
  <si>
    <t>にセア作当アコ</t>
  </si>
  <si>
    <t>nih)</t>
  </si>
  <si>
    <t>nie)</t>
  </si>
  <si>
    <t>ah)</t>
  </si>
  <si>
    <t>Br</t>
  </si>
  <si>
    <t>DD023</t>
  </si>
  <si>
    <t>DD023</t>
    <phoneticPr fontId="1"/>
  </si>
  <si>
    <t>DD024</t>
  </si>
  <si>
    <t>DD024</t>
    <phoneticPr fontId="1"/>
  </si>
  <si>
    <t>・</t>
    <phoneticPr fontId="1"/>
  </si>
  <si>
    <t>DDO023</t>
    <phoneticPr fontId="1"/>
  </si>
  <si>
    <t>パワプロ2020 - 投球解析 - 2020-08-27 18-14-40-00</t>
    <phoneticPr fontId="1"/>
  </si>
  <si>
    <t>DDO23</t>
    <phoneticPr fontId="1"/>
  </si>
  <si>
    <t>パワプロ2020 - 投球解析 - 2020-08-27 18-14-40-01</t>
    <phoneticPr fontId="1"/>
  </si>
  <si>
    <t>パワプロ2020 - 投球解析 - 2020-08-27 18-14-40-02</t>
    <phoneticPr fontId="1"/>
  </si>
  <si>
    <t>パワプロ2020 - 投球解析 - 2020-08-27 18-14-40-03</t>
    <phoneticPr fontId="1"/>
  </si>
  <si>
    <t>パワプロ2020 - 投球解析 - 2020-08-27 18-14-40-04</t>
    <phoneticPr fontId="1"/>
  </si>
  <si>
    <t>パワプロ2020 - 投球解析 - 2020-08-27 18-14-40-05</t>
    <phoneticPr fontId="1"/>
  </si>
  <si>
    <t>パワプロ2020 - 投球解析 - 2020-08-27 18-14-40-06</t>
    <phoneticPr fontId="1"/>
  </si>
  <si>
    <t>ar 5)</t>
    <phoneticPr fontId="1"/>
  </si>
  <si>
    <t>パワプロ2020 - 投球解析 - 2020-08-27 18-14-40-07</t>
    <phoneticPr fontId="1"/>
  </si>
  <si>
    <t>BBI0 1</t>
    <phoneticPr fontId="1"/>
  </si>
  <si>
    <t>パワプロ2020 - 投球解析 - 2020-08-27 18-14-40-08</t>
    <phoneticPr fontId="1"/>
  </si>
  <si>
    <t>パワプロ2020 - 投球解析 - 2020-08-27 18-14-40-09</t>
    <phoneticPr fontId="1"/>
  </si>
  <si>
    <t>パワプロ2020 - 投球解析 - 2020-08-27 18-16-14-00</t>
    <phoneticPr fontId="1"/>
  </si>
  <si>
    <t>パワプロ2020 - 投球解析 - 2020-08-27 18-16-14-01</t>
    <phoneticPr fontId="1"/>
  </si>
  <si>
    <t>パワプロ2020 - 投球解析 - 2020-08-27 18-16-14-02</t>
    <phoneticPr fontId="1"/>
  </si>
  <si>
    <t>BI0 BC</t>
    <phoneticPr fontId="1"/>
  </si>
  <si>
    <t>パワプロ2020 - 投球解析 - 2020-08-27 18-16-14-03</t>
    <phoneticPr fontId="1"/>
  </si>
  <si>
    <t>パワプロ2020 - 投球解析 - 2020-08-27 18-16-14-04</t>
    <phoneticPr fontId="1"/>
  </si>
  <si>
    <t>BI0 6</t>
    <phoneticPr fontId="1"/>
  </si>
  <si>
    <t>パワプロ2020 - 投球解析 - 2020-08-27 18-16-14-05</t>
    <phoneticPr fontId="1"/>
  </si>
  <si>
    <t>パワプロ2020 - 投球解析 - 2020-08-27 18-16-14-06</t>
    <phoneticPr fontId="1"/>
  </si>
  <si>
    <t>パワプロ2020 - 投球解析 - 2020-08-27 18-16-14-07</t>
    <phoneticPr fontId="1"/>
  </si>
  <si>
    <t>パワプロ2020 - 投球解析 - 2020-08-27 18-16-14-08</t>
    <phoneticPr fontId="1"/>
  </si>
  <si>
    <t>パワプロ2020 - 投球解析 - 2020-08-27 18-16-14-09</t>
    <phoneticPr fontId="1"/>
  </si>
  <si>
    <t>レニクタ1の</t>
    <phoneticPr fontId="1"/>
  </si>
  <si>
    <t>パワプロ2020 - 投球解析 - 2020-08-27 18-17-46-00</t>
    <phoneticPr fontId="1"/>
  </si>
  <si>
    <t>レラプリの</t>
    <phoneticPr fontId="1"/>
  </si>
  <si>
    <t>パワプロ2020 - 投球解析 - 2020-08-27 18-17-46-01</t>
    <phoneticPr fontId="1"/>
  </si>
  <si>
    <t>レとツニクタの</t>
    <phoneticPr fontId="1"/>
  </si>
  <si>
    <t>102</t>
    <phoneticPr fontId="1"/>
  </si>
  <si>
    <t>パワプロ2020 - 投球解析 - 2020-08-27 18-17-46-02</t>
    <phoneticPr fontId="1"/>
  </si>
  <si>
    <t>レタプリ</t>
    <phoneticPr fontId="1"/>
  </si>
  <si>
    <t>パワプロ2020 - 投球解析 - 2020-08-27 18-17-46-03</t>
    <phoneticPr fontId="1"/>
  </si>
  <si>
    <t>パワプロ2020 - 投球解析 - 2020-08-27 18-17-46-04</t>
    <phoneticPr fontId="1"/>
  </si>
  <si>
    <t>レラクタの</t>
    <phoneticPr fontId="1"/>
  </si>
  <si>
    <t>BI0 61</t>
    <phoneticPr fontId="1"/>
  </si>
  <si>
    <t>パワプロ2020 - 投球解析 - 2020-08-27 18-17-46-05</t>
    <phoneticPr fontId="1"/>
  </si>
  <si>
    <t>レニプリの</t>
    <phoneticPr fontId="1"/>
  </si>
  <si>
    <t>パワプロ2020 - 投球解析 - 2020-08-27 18-17-46-06</t>
    <phoneticPr fontId="1"/>
  </si>
  <si>
    <t>ツメガワ</t>
    <phoneticPr fontId="1"/>
  </si>
  <si>
    <t>パワプロ2020 - 投球解析 - 2020-08-27 18-17-46-07</t>
    <phoneticPr fontId="1"/>
  </si>
  <si>
    <t>oh)</t>
    <phoneticPr fontId="1"/>
  </si>
  <si>
    <t>パワプロ2020 - 投球解析 - 2020-08-27 18-17-46-08</t>
    <phoneticPr fontId="1"/>
  </si>
  <si>
    <t>パワプロ2020 - 投球解析 - 2020-08-27 18-17-46-09</t>
    <phoneticPr fontId="1"/>
  </si>
  <si>
    <t>ans)</t>
    <phoneticPr fontId="1"/>
  </si>
  <si>
    <t>BI0 01</t>
    <phoneticPr fontId="1"/>
  </si>
  <si>
    <t>パワプロ2020 - 投球解析 - 2020-08-27 18-19-19-00</t>
    <phoneticPr fontId="1"/>
  </si>
  <si>
    <t>パワプロ2020 - 投球解析 - 2020-08-27 18-19-19-01</t>
    <phoneticPr fontId="1"/>
  </si>
  <si>
    <t>109</t>
    <phoneticPr fontId="1"/>
  </si>
  <si>
    <t>パワプロ2020 - 投球解析 - 2020-08-27 18-19-19-02</t>
    <phoneticPr fontId="1"/>
  </si>
  <si>
    <t>パワプロ2020 - 投球解析 - 2020-08-27 18-19-19-03</t>
    <phoneticPr fontId="1"/>
  </si>
  <si>
    <t>an]</t>
    <phoneticPr fontId="1"/>
  </si>
  <si>
    <t>パワプロ2020 - 投球解析 - 2020-08-27 18-19-19-04</t>
    <phoneticPr fontId="1"/>
  </si>
  <si>
    <t>パワプロ2020 - 投球解析 - 2020-08-27 18-19-19-05</t>
    <phoneticPr fontId="1"/>
  </si>
  <si>
    <t>any)</t>
    <phoneticPr fontId="1"/>
  </si>
  <si>
    <t>パワプロ2020 - 投球解析 - 2020-08-27 18-19-19-06</t>
    <phoneticPr fontId="1"/>
  </si>
  <si>
    <t>ant]</t>
    <phoneticPr fontId="1"/>
  </si>
  <si>
    <t>00 61</t>
    <phoneticPr fontId="1"/>
  </si>
  <si>
    <t>パワプロ2020 - 投球解析 - 2020-08-27 18-19-19-07</t>
    <phoneticPr fontId="1"/>
  </si>
  <si>
    <t>an)</t>
    <phoneticPr fontId="1"/>
  </si>
  <si>
    <t>パワプロ2020 - 投球解析 - 2020-08-27 18-19-19-08</t>
    <phoneticPr fontId="1"/>
  </si>
  <si>
    <t>a1)</t>
    <phoneticPr fontId="1"/>
  </si>
  <si>
    <t>パワプロ2020 - 投球解析 - 2020-08-27 18-19-19-09</t>
    <phoneticPr fontId="1"/>
  </si>
  <si>
    <t>na</t>
    <phoneticPr fontId="1"/>
  </si>
  <si>
    <t>DDO024</t>
    <phoneticPr fontId="1"/>
  </si>
  <si>
    <t>パワプロ2020 - 投球解析 - 2020-08-27 18-21-04-00</t>
    <phoneticPr fontId="1"/>
  </si>
  <si>
    <t>パワプロ2020 - 投球解析 - 2020-08-27 18-21-04-01</t>
    <phoneticPr fontId="1"/>
  </si>
  <si>
    <t>パワプロ2020 - 投球解析 - 2020-08-27 18-21-04-02</t>
    <phoneticPr fontId="1"/>
  </si>
  <si>
    <t>パワプロ2020 - 投球解析 - 2020-08-27 18-21-04-03</t>
    <phoneticPr fontId="1"/>
  </si>
  <si>
    <t>DDO24</t>
    <phoneticPr fontId="1"/>
  </si>
  <si>
    <t>パワプロ2020 - 投球解析 - 2020-08-27 18-21-04-04</t>
    <phoneticPr fontId="1"/>
  </si>
  <si>
    <t>パワプロ2020 - 投球解析 - 2020-08-27 18-21-04-05</t>
    <phoneticPr fontId="1"/>
  </si>
  <si>
    <t>nz</t>
    <phoneticPr fontId="1"/>
  </si>
  <si>
    <t>DDO0O24</t>
    <phoneticPr fontId="1"/>
  </si>
  <si>
    <t>パワプロ2020 - 投球解析 - 2020-08-27 18-21-04-06</t>
    <phoneticPr fontId="1"/>
  </si>
  <si>
    <t>mn</t>
    <phoneticPr fontId="1"/>
  </si>
  <si>
    <t>パワプロ2020 - 投球解析 - 2020-08-27 18-21-04-07</t>
    <phoneticPr fontId="1"/>
  </si>
  <si>
    <t>パワプロ2020 - 投球解析 - 2020-08-27 18-21-04-08</t>
    <phoneticPr fontId="1"/>
  </si>
  <si>
    <t>パワプロ2020 - 投球解析 - 2020-08-27 18-21-04-09</t>
    <phoneticPr fontId="1"/>
  </si>
  <si>
    <t>パワプロ2020 - 投球解析 - 2020-08-27 18-22-42-00</t>
    <phoneticPr fontId="1"/>
  </si>
  <si>
    <t>パワプロ2020 - 投球解析 - 2020-08-27 18-22-42-01</t>
    <phoneticPr fontId="1"/>
  </si>
  <si>
    <t>パワプロ2020 - 投球解析 - 2020-08-27 18-22-42-02</t>
    <phoneticPr fontId="1"/>
  </si>
  <si>
    <t>パワプロ2020 - 投球解析 - 2020-08-27 18-22-42-03</t>
    <phoneticPr fontId="1"/>
  </si>
  <si>
    <t>ann)</t>
    <phoneticPr fontId="1"/>
  </si>
  <si>
    <t>パワプロ2020 - 投球解析 - 2020-08-27 18-22-42-04</t>
    <phoneticPr fontId="1"/>
  </si>
  <si>
    <t>パワプロ2020 - 投球解析 - 2020-08-27 18-22-42-05</t>
    <phoneticPr fontId="1"/>
  </si>
  <si>
    <t>パワプロ2020 - 投球解析 - 2020-08-27 18-22-42-06</t>
    <phoneticPr fontId="1"/>
  </si>
  <si>
    <t>パワプロ2020 - 投球解析 - 2020-08-27 18-22-42-07</t>
    <phoneticPr fontId="1"/>
  </si>
  <si>
    <t>mr}</t>
    <phoneticPr fontId="1"/>
  </si>
  <si>
    <t>パワプロ2020 - 投球解析 - 2020-08-27 18-22-42-08</t>
    <phoneticPr fontId="1"/>
  </si>
  <si>
    <t>にセア作当アコ</t>
    <phoneticPr fontId="1"/>
  </si>
  <si>
    <t>パワプロ2020 - 投球解析 - 2020-08-27 18-22-42-09</t>
    <phoneticPr fontId="1"/>
  </si>
  <si>
    <t>パワプロ2020 - 投球解析 - 2020-08-27 18-24-30-00</t>
    <phoneticPr fontId="1"/>
  </si>
  <si>
    <t>パワプロ2020 - 投球解析 - 2020-08-27 18-24-30-01</t>
    <phoneticPr fontId="1"/>
  </si>
  <si>
    <t>nih)</t>
    <phoneticPr fontId="1"/>
  </si>
  <si>
    <t>パワプロ2020 - 投球解析 - 2020-08-27 18-24-30-02</t>
    <phoneticPr fontId="1"/>
  </si>
  <si>
    <t>nie)</t>
    <phoneticPr fontId="1"/>
  </si>
  <si>
    <t>パワプロ2020 - 投球解析 - 2020-08-27 18-24-30-03</t>
    <phoneticPr fontId="1"/>
  </si>
  <si>
    <t>パワプロ2020 - 投球解析 - 2020-08-27 18-24-30-04</t>
    <phoneticPr fontId="1"/>
  </si>
  <si>
    <t>パワプロ2020 - 投球解析 - 2020-08-27 18-24-30-05</t>
    <phoneticPr fontId="1"/>
  </si>
  <si>
    <t>パワプロ2020 - 投球解析 - 2020-08-27 18-24-30-06</t>
    <phoneticPr fontId="1"/>
  </si>
  <si>
    <t>ah)</t>
    <phoneticPr fontId="1"/>
  </si>
  <si>
    <t>パワプロ2020 - 投球解析 - 2020-08-27 18-24-30-07</t>
    <phoneticPr fontId="1"/>
  </si>
  <si>
    <t>パワプロ2020 - 投球解析 - 2020-08-27 18-24-30-08</t>
    <phoneticPr fontId="1"/>
  </si>
  <si>
    <t>パワプロ2020 - 投球解析 - 2020-08-27 18-24-30-09</t>
    <phoneticPr fontId="1"/>
  </si>
  <si>
    <t>Ee</t>
    <phoneticPr fontId="1"/>
  </si>
  <si>
    <t>パワプロ2020 - 投球解析 - 2020-08-27 18-26-47-00</t>
    <phoneticPr fontId="1"/>
  </si>
  <si>
    <t>パワプロ2020 - 投球解析 - 2020-08-27 18-26-47-01</t>
    <phoneticPr fontId="1"/>
  </si>
  <si>
    <t>パワプロ2020 - 投球解析 - 2020-08-27 18-26-47-02</t>
    <phoneticPr fontId="1"/>
  </si>
  <si>
    <t>パワプロ2020 - 投球解析 - 2020-08-27 18-26-47-03</t>
    <phoneticPr fontId="1"/>
  </si>
  <si>
    <t>パワプロ2020 - 投球解析 - 2020-08-27 18-26-47-04</t>
    <phoneticPr fontId="1"/>
  </si>
  <si>
    <t>94</t>
    <phoneticPr fontId="1"/>
  </si>
  <si>
    <t>パワプロ2020 - 投球解析 - 2020-08-27 18-26-47-05</t>
    <phoneticPr fontId="1"/>
  </si>
  <si>
    <t>Br</t>
    <phoneticPr fontId="1"/>
  </si>
  <si>
    <t>パワプロ2020 - 投球解析 - 2020-08-27 18-26-47-06</t>
    <phoneticPr fontId="1"/>
  </si>
  <si>
    <t>パワプロ2020 - 投球解析 - 2020-08-27 18-26-47-07</t>
    <phoneticPr fontId="1"/>
  </si>
  <si>
    <t>パワプロ2020 - 投球解析 - 2020-08-27 18-26-47-08</t>
    <phoneticPr fontId="1"/>
  </si>
  <si>
    <t>パワプロ2020 - 投球解析 - 2020-08-27 18-26-47-09</t>
    <phoneticPr fontId="1"/>
  </si>
  <si>
    <t>SI前</t>
  </si>
  <si>
    <t>IE6肖|</t>
  </si>
  <si>
    <t>IE0肖|</t>
  </si>
  <si>
    <t>SI06肖|</t>
  </si>
  <si>
    <t>IE6胃|</t>
  </si>
  <si>
    <t>IE60肖|</t>
  </si>
  <si>
    <t>SI00肖|</t>
  </si>
  <si>
    <t>SI 肖|</t>
  </si>
  <si>
    <t>cc)</t>
  </si>
  <si>
    <t>にコア 作アた</t>
  </si>
  <si>
    <t>SE0肖|</t>
  </si>
  <si>
    <t>60肖|</t>
  </si>
  <si>
    <t>カーブ</t>
  </si>
  <si>
    <t>IE前</t>
  </si>
  <si>
    <t>mn)</t>
  </si>
  <si>
    <t>mi}</t>
  </si>
  <si>
    <t>amt)</t>
  </si>
  <si>
    <t>SW 肖|</t>
  </si>
  <si>
    <t>are)</t>
  </si>
  <si>
    <t>IE6肖</t>
  </si>
  <si>
    <t>ar 3)</t>
  </si>
  <si>
    <t>KR001</t>
  </si>
  <si>
    <t>KR001</t>
    <phoneticPr fontId="1"/>
  </si>
  <si>
    <t>B</t>
    <phoneticPr fontId="1"/>
  </si>
  <si>
    <t>P059</t>
    <phoneticPr fontId="1"/>
  </si>
  <si>
    <t>NG</t>
    <phoneticPr fontId="1"/>
  </si>
  <si>
    <t>P060</t>
    <phoneticPr fontId="1"/>
  </si>
  <si>
    <t>DD025</t>
    <phoneticPr fontId="1"/>
  </si>
  <si>
    <t>P061</t>
  </si>
  <si>
    <t>DD026</t>
  </si>
  <si>
    <t>闘志</t>
    <rPh sb="0" eb="2">
      <t>トウシ</t>
    </rPh>
    <phoneticPr fontId="1"/>
  </si>
  <si>
    <t>P062</t>
    <phoneticPr fontId="1"/>
  </si>
  <si>
    <t>AD001</t>
    <phoneticPr fontId="1"/>
  </si>
  <si>
    <t>A</t>
    <phoneticPr fontId="1"/>
  </si>
  <si>
    <t>E</t>
    <phoneticPr fontId="1"/>
  </si>
  <si>
    <t>C</t>
    <phoneticPr fontId="1"/>
  </si>
  <si>
    <t>威圧感</t>
    <rPh sb="0" eb="3">
      <t>イアツカン</t>
    </rPh>
    <phoneticPr fontId="1"/>
  </si>
  <si>
    <t>P063</t>
  </si>
  <si>
    <t>AD002</t>
  </si>
  <si>
    <t>重い球</t>
    <rPh sb="0" eb="1">
      <t>オモ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</si>
  <si>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</si>
  <si>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P064</t>
  </si>
  <si>
    <t>P064</t>
    <phoneticPr fontId="1"/>
  </si>
  <si>
    <t>AD003</t>
    <phoneticPr fontId="1"/>
  </si>
  <si>
    <t>P065</t>
    <phoneticPr fontId="1"/>
  </si>
  <si>
    <t>AD004</t>
    <phoneticPr fontId="1"/>
  </si>
  <si>
    <t>力配分</t>
    <rPh sb="0" eb="1">
      <t>チカラ</t>
    </rPh>
    <rPh sb="1" eb="3">
      <t>ハイブン</t>
    </rPh>
    <phoneticPr fontId="1"/>
  </si>
  <si>
    <t>P066</t>
  </si>
  <si>
    <t>KR002</t>
    <phoneticPr fontId="1"/>
  </si>
  <si>
    <t>P067</t>
    <phoneticPr fontId="1"/>
  </si>
  <si>
    <t>CD001</t>
    <phoneticPr fontId="1"/>
  </si>
  <si>
    <t>P066</t>
    <phoneticPr fontId="1"/>
  </si>
  <si>
    <t>P068</t>
    <phoneticPr fontId="1"/>
  </si>
  <si>
    <t>DB001</t>
    <phoneticPr fontId="1"/>
  </si>
  <si>
    <t>SI前</t>
    <phoneticPr fontId="1"/>
  </si>
  <si>
    <t>パワプロ2020 - 投球解析 - 2020-08-28 22-31-31-00</t>
    <phoneticPr fontId="1"/>
  </si>
  <si>
    <t>IE6肖|</t>
    <phoneticPr fontId="1"/>
  </si>
  <si>
    <t>パワプロ2020 - 投球解析 - 2020-08-28 22-31-31-01</t>
    <phoneticPr fontId="1"/>
  </si>
  <si>
    <t>IE0肖|</t>
    <phoneticPr fontId="1"/>
  </si>
  <si>
    <t>パワプロ2020 - 投球解析 - 2020-08-28 22-31-31-02</t>
    <phoneticPr fontId="1"/>
  </si>
  <si>
    <t>パワプロ2020 - 投球解析 - 2020-08-28 22-31-31-03</t>
    <phoneticPr fontId="1"/>
  </si>
  <si>
    <t>パワプロ2020 - 投球解析 - 2020-08-28 22-31-31-04</t>
    <phoneticPr fontId="1"/>
  </si>
  <si>
    <t>パワプロ2020 - 投球解析 - 2020-08-28 22-31-31-05</t>
    <phoneticPr fontId="1"/>
  </si>
  <si>
    <t>SI06肖|</t>
    <phoneticPr fontId="1"/>
  </si>
  <si>
    <t>パワプロ2020 - 投球解析 - 2020-08-28 22-31-31-06</t>
    <phoneticPr fontId="1"/>
  </si>
  <si>
    <t>IE6胃|</t>
    <phoneticPr fontId="1"/>
  </si>
  <si>
    <t>パワプロ2020 - 投球解析 - 2020-08-28 22-31-31-07</t>
    <phoneticPr fontId="1"/>
  </si>
  <si>
    <t>rt)</t>
    <phoneticPr fontId="1"/>
  </si>
  <si>
    <t>パワプロ2020 - 投球解析 - 2020-08-28 22-31-31-08</t>
    <phoneticPr fontId="1"/>
  </si>
  <si>
    <t>IE60肖|</t>
    <phoneticPr fontId="1"/>
  </si>
  <si>
    <t>パワプロ2020 - 投球解析 - 2020-08-28 22-31-31-09</t>
    <phoneticPr fontId="1"/>
  </si>
  <si>
    <t>パワプロ2020 - 投球解析 - 2020-08-28 22-33-04-00</t>
    <phoneticPr fontId="1"/>
  </si>
  <si>
    <t>SI00肖|</t>
    <phoneticPr fontId="1"/>
  </si>
  <si>
    <t>パワプロ2020 - 投球解析 - 2020-08-28 22-33-04-01</t>
    <phoneticPr fontId="1"/>
  </si>
  <si>
    <t>SI 肖|</t>
    <phoneticPr fontId="1"/>
  </si>
  <si>
    <t>パワプロ2020 - 投球解析 - 2020-08-28 22-33-04-02</t>
    <phoneticPr fontId="1"/>
  </si>
  <si>
    <t>パワプロ2020 - 投球解析 - 2020-08-28 22-33-04-03</t>
    <phoneticPr fontId="1"/>
  </si>
  <si>
    <t>cc)</t>
    <phoneticPr fontId="1"/>
  </si>
  <si>
    <t>パワプロ2020 - 投球解析 - 2020-08-28 22-33-04-04</t>
    <phoneticPr fontId="1"/>
  </si>
  <si>
    <t>パワプロ2020 - 投球解析 - 2020-08-28 22-33-04-05</t>
    <phoneticPr fontId="1"/>
  </si>
  <si>
    <t>にコア 作アた</t>
    <phoneticPr fontId="1"/>
  </si>
  <si>
    <t>SE0肖|</t>
    <phoneticPr fontId="1"/>
  </si>
  <si>
    <t>パワプロ2020 - 投球解析 - 2020-08-28 22-33-04-06</t>
    <phoneticPr fontId="1"/>
  </si>
  <si>
    <t>パワプロ2020 - 投球解析 - 2020-08-28 22-33-04-07</t>
    <phoneticPr fontId="1"/>
  </si>
  <si>
    <t>パワプロ2020 - 投球解析 - 2020-08-28 22-33-04-08</t>
    <phoneticPr fontId="1"/>
  </si>
  <si>
    <t>パワプロ2020 - 投球解析 - 2020-08-28 22-33-04-09</t>
    <phoneticPr fontId="1"/>
  </si>
  <si>
    <t>パワプロ2020 - 投球解析 - 2020-08-28 22-34-32-00</t>
    <phoneticPr fontId="1"/>
  </si>
  <si>
    <t>パワプロ2020 - 投球解析 - 2020-08-28 22-34-32-01</t>
    <phoneticPr fontId="1"/>
  </si>
  <si>
    <t>|</t>
    <phoneticPr fontId="1"/>
  </si>
  <si>
    <t>パワプロ2020 - 投球解析 - 2020-08-28 22-34-32-02</t>
    <phoneticPr fontId="1"/>
  </si>
  <si>
    <t>パワプロ2020 - 投球解析 - 2020-08-28 22-34-32-03</t>
    <phoneticPr fontId="1"/>
  </si>
  <si>
    <t>パワプロ2020 - 投球解析 - 2020-08-28 22-34-32-04</t>
    <phoneticPr fontId="1"/>
  </si>
  <si>
    <t>パワプロ2020 - 投球解析 - 2020-08-28 22-34-32-05</t>
    <phoneticPr fontId="1"/>
  </si>
  <si>
    <t>パワプロ2020 - 投球解析 - 2020-08-28 22-34-32-06</t>
    <phoneticPr fontId="1"/>
  </si>
  <si>
    <t>パワプロ2020 - 投球解析 - 2020-08-28 22-34-32-07</t>
    <phoneticPr fontId="1"/>
  </si>
  <si>
    <t>1320</t>
    <phoneticPr fontId="1"/>
  </si>
  <si>
    <t>パワプロ2020 - 投球解析 - 2020-08-28 22-34-32-08</t>
    <phoneticPr fontId="1"/>
  </si>
  <si>
    <t>60肖|</t>
    <phoneticPr fontId="1"/>
  </si>
  <si>
    <t>パワプロ2020 - 投球解析 - 2020-08-28 22-34-32-09</t>
    <phoneticPr fontId="1"/>
  </si>
  <si>
    <t>パワプロ2020 - 投球解析 - 2020-08-28 22-36-12-00</t>
    <phoneticPr fontId="1"/>
  </si>
  <si>
    <t>パワプロ2020 - 投球解析 - 2020-08-28 22-36-12-01</t>
    <phoneticPr fontId="1"/>
  </si>
  <si>
    <t>パワプロ2020 - 投球解析 - 2020-08-28 22-36-12-02</t>
    <phoneticPr fontId="1"/>
  </si>
  <si>
    <t>PEん</t>
    <phoneticPr fontId="1"/>
  </si>
  <si>
    <t>IE前</t>
    <phoneticPr fontId="1"/>
  </si>
  <si>
    <t>パワプロ2020 - 投球解析 - 2020-08-28 22-36-12-03</t>
    <phoneticPr fontId="1"/>
  </si>
  <si>
    <t>mn)</t>
    <phoneticPr fontId="1"/>
  </si>
  <si>
    <t>パワプロ2020 - 投球解析 - 2020-08-28 22-36-12-04</t>
    <phoneticPr fontId="1"/>
  </si>
  <si>
    <t>mi}</t>
    <phoneticPr fontId="1"/>
  </si>
  <si>
    <t>パワプロ2020 - 投球解析 - 2020-08-28 22-36-12-05</t>
    <phoneticPr fontId="1"/>
  </si>
  <si>
    <t>amt)</t>
    <phoneticPr fontId="1"/>
  </si>
  <si>
    <t>パワプロ2020 - 投球解析 - 2020-08-28 22-36-12-06</t>
    <phoneticPr fontId="1"/>
  </si>
  <si>
    <t>SW 肖|</t>
    <phoneticPr fontId="1"/>
  </si>
  <si>
    <t>パワプロ2020 - 投球解析 - 2020-08-28 22-36-12-07</t>
    <phoneticPr fontId="1"/>
  </si>
  <si>
    <t>パワプロ2020 - 投球解析 - 2020-08-28 22-36-12-08</t>
    <phoneticPr fontId="1"/>
  </si>
  <si>
    <t>パワプロ2020 - 投球解析 - 2020-08-28 22-36-12-09</t>
    <phoneticPr fontId="1"/>
  </si>
  <si>
    <t>are)</t>
    <phoneticPr fontId="1"/>
  </si>
  <si>
    <t>IE6肖</t>
    <phoneticPr fontId="1"/>
  </si>
  <si>
    <t>パワプロ2020 - 投球解析 - 2020-08-28 22-37-55-00</t>
    <phoneticPr fontId="1"/>
  </si>
  <si>
    <t>パワプロ2020 - 投球解析 - 2020-08-28 22-37-55-01</t>
    <phoneticPr fontId="1"/>
  </si>
  <si>
    <t>パワプロ2020 - 投球解析 - 2020-08-28 22-37-55-02</t>
    <phoneticPr fontId="1"/>
  </si>
  <si>
    <t>パワプロ2020 - 投球解析 - 2020-08-28 22-37-55-03</t>
    <phoneticPr fontId="1"/>
  </si>
  <si>
    <t>ar 3)</t>
    <phoneticPr fontId="1"/>
  </si>
  <si>
    <t>パワプロ2020 - 投球解析 - 2020-08-28 22-37-55-04</t>
    <phoneticPr fontId="1"/>
  </si>
  <si>
    <t>パワプロ2020 - 投球解析 - 2020-08-28 22-37-55-05</t>
    <phoneticPr fontId="1"/>
  </si>
  <si>
    <t>パワプロ2020 - 投球解析 - 2020-08-28 22-37-55-06</t>
    <phoneticPr fontId="1"/>
  </si>
  <si>
    <t>パワプロ2020 - 投球解析 - 2020-08-28 22-37-55-07</t>
    <phoneticPr fontId="1"/>
  </si>
  <si>
    <t>パワプロ2020 - 投球解析 - 2020-08-28 22-37-55-08</t>
    <phoneticPr fontId="1"/>
  </si>
  <si>
    <t>パワプロ2020 - 投球解析 - 2020-08-28 22-37-55-09</t>
    <phoneticPr fontId="1"/>
  </si>
  <si>
    <t>DO026</t>
  </si>
  <si>
    <t>0 7/必</t>
  </si>
  <si>
    <t>als)</t>
  </si>
  <si>
    <t>DO0O026</t>
  </si>
  <si>
    <t>DO0026</t>
  </si>
  <si>
    <t>ard =)</t>
  </si>
  <si>
    <t>IE0</t>
  </si>
  <si>
    <t>IE6還</t>
  </si>
  <si>
    <t>IE0胃|</t>
  </si>
  <si>
    <t>IN</t>
  </si>
  <si>
    <t>IE胃|</t>
  </si>
  <si>
    <t>IE6</t>
  </si>
  <si>
    <t>ard 5}</t>
  </si>
  <si>
    <t>ra]</t>
  </si>
  <si>
    <t>IE肖|</t>
  </si>
  <si>
    <t>al 5)</t>
  </si>
  <si>
    <t>ジア</t>
  </si>
  <si>
    <t>DD026</t>
    <phoneticPr fontId="1"/>
  </si>
  <si>
    <t>フォーク</t>
    <phoneticPr fontId="1"/>
  </si>
  <si>
    <t>【全力ストレート】
2018でも解析しましたが2020でも解析しました。
全力ストレートは『見た目の球速』が25km/hも早くなります！詳しくは画像にて！
1/1
#パワプロ　#実況パワフルプロ野球2020
#パワプロ特能解析</t>
    <rPh sb="1" eb="3">
      <t>ゼンリョク</t>
    </rPh>
    <rPh sb="16" eb="18">
      <t>カイセキ</t>
    </rPh>
    <rPh sb="29" eb="31">
      <t>カイセキ</t>
    </rPh>
    <rPh sb="37" eb="39">
      <t>ゼンリョク</t>
    </rPh>
    <rPh sb="46" eb="47">
      <t>ミ</t>
    </rPh>
    <rPh sb="48" eb="49">
      <t>メ</t>
    </rPh>
    <rPh sb="50" eb="52">
      <t>キュウソク</t>
    </rPh>
    <rPh sb="61" eb="62">
      <t>ハヤ</t>
    </rPh>
    <rPh sb="68" eb="69">
      <t>クワ</t>
    </rPh>
    <rPh sb="72" eb="74">
      <t>ガゾウ</t>
    </rPh>
    <phoneticPr fontId="1"/>
  </si>
  <si>
    <t>ce</t>
  </si>
  <si>
    <t>eh)</t>
  </si>
  <si>
    <t>にアア作た</t>
  </si>
  <si>
    <t>BOO</t>
  </si>
  <si>
    <t>DO026</t>
    <phoneticPr fontId="1"/>
  </si>
  <si>
    <t>パワプロ2020 - 投球解析 - 2020-08-29 09-37-40-00</t>
    <phoneticPr fontId="1"/>
  </si>
  <si>
    <t>パワプロ2020 - 投球解析 - 2020-08-29 09-37-40-01</t>
    <phoneticPr fontId="1"/>
  </si>
  <si>
    <t>0 7/必</t>
    <phoneticPr fontId="1"/>
  </si>
  <si>
    <t>パワプロ2020 - 投球解析 - 2020-08-29 09-37-40-02</t>
    <phoneticPr fontId="1"/>
  </si>
  <si>
    <t>als)</t>
    <phoneticPr fontId="1"/>
  </si>
  <si>
    <t>パワプロ2020 - 投球解析 - 2020-08-29 09-37-40-03</t>
    <phoneticPr fontId="1"/>
  </si>
  <si>
    <t>パワプロ2020 - 投球解析 - 2020-08-29 09-37-40-04</t>
    <phoneticPr fontId="1"/>
  </si>
  <si>
    <t>パワプロ2020 - 投球解析 - 2020-08-29 09-37-40-05</t>
    <phoneticPr fontId="1"/>
  </si>
  <si>
    <t>パワプロ2020 - 投球解析 - 2020-08-29 09-37-40-06</t>
    <phoneticPr fontId="1"/>
  </si>
  <si>
    <t>パワプロ2020 - 投球解析 - 2020-08-29 09-37-40-07</t>
    <phoneticPr fontId="1"/>
  </si>
  <si>
    <t>パワプロ2020 - 投球解析 - 2020-08-29 09-37-40-08</t>
    <phoneticPr fontId="1"/>
  </si>
  <si>
    <t>パワプロ2020 - 投球解析 - 2020-08-29 09-37-40-09</t>
    <phoneticPr fontId="1"/>
  </si>
  <si>
    <t>パワプロ2020 - 投球解析 - 2020-08-29 09-39-15-00</t>
    <phoneticPr fontId="1"/>
  </si>
  <si>
    <t>パワプロ2020 - 投球解析 - 2020-08-29 09-39-15-01</t>
    <phoneticPr fontId="1"/>
  </si>
  <si>
    <t>DO0O026</t>
    <phoneticPr fontId="1"/>
  </si>
  <si>
    <t>パワプロ2020 - 投球解析 - 2020-08-29 09-39-15-02</t>
    <phoneticPr fontId="1"/>
  </si>
  <si>
    <t>パワプロ2020 - 投球解析 - 2020-08-29 09-39-15-03</t>
    <phoneticPr fontId="1"/>
  </si>
  <si>
    <t>パワプロ2020 - 投球解析 - 2020-08-29 09-39-15-04</t>
    <phoneticPr fontId="1"/>
  </si>
  <si>
    <t>パワプロ2020 - 投球解析 - 2020-08-29 09-39-15-05</t>
    <phoneticPr fontId="1"/>
  </si>
  <si>
    <t>パワプロ2020 - 投球解析 - 2020-08-29 09-39-15-06</t>
    <phoneticPr fontId="1"/>
  </si>
  <si>
    <t>パワプロ2020 - 投球解析 - 2020-08-29 09-39-15-07</t>
    <phoneticPr fontId="1"/>
  </si>
  <si>
    <t>DO0026</t>
    <phoneticPr fontId="1"/>
  </si>
  <si>
    <t>パワプロ2020 - 投球解析 - 2020-08-29 09-39-15-08</t>
    <phoneticPr fontId="1"/>
  </si>
  <si>
    <t>パワプロ2020 - 投球解析 - 2020-08-29 09-39-15-09</t>
    <phoneticPr fontId="1"/>
  </si>
  <si>
    <t>パワプロ2020 - 投球解析 - 2020-08-29 09-41-06-00</t>
    <phoneticPr fontId="1"/>
  </si>
  <si>
    <t>パワプロ2020 - 投球解析 - 2020-08-29 09-41-06-01</t>
    <phoneticPr fontId="1"/>
  </si>
  <si>
    <t>パワプロ2020 - 投球解析 - 2020-08-29 09-41-06-02</t>
    <phoneticPr fontId="1"/>
  </si>
  <si>
    <t>パワプロ2020 - 投球解析 - 2020-08-29 09-41-06-03</t>
    <phoneticPr fontId="1"/>
  </si>
  <si>
    <t>パワプロ2020 - 投球解析 - 2020-08-29 09-41-06-04</t>
    <phoneticPr fontId="1"/>
  </si>
  <si>
    <t>パワプロ2020 - 投球解析 - 2020-08-29 09-41-06-05</t>
    <phoneticPr fontId="1"/>
  </si>
  <si>
    <t>パワプロ2020 - 投球解析 - 2020-08-29 09-41-06-06</t>
    <phoneticPr fontId="1"/>
  </si>
  <si>
    <t>パワプロ2020 - 投球解析 - 2020-08-29 09-41-06-07</t>
    <phoneticPr fontId="1"/>
  </si>
  <si>
    <t>パワプロ2020 - 投球解析 - 2020-08-29 09-41-06-08</t>
    <phoneticPr fontId="1"/>
  </si>
  <si>
    <t>パワプロ2020 - 投球解析 - 2020-08-29 09-41-06-09</t>
    <phoneticPr fontId="1"/>
  </si>
  <si>
    <t>パワプロ2020 - 投球解析 - 2020-08-29 09-42-48-00</t>
    <phoneticPr fontId="1"/>
  </si>
  <si>
    <t>ard =)</t>
    <phoneticPr fontId="1"/>
  </si>
  <si>
    <t>パワプロ2020 - 投球解析 - 2020-08-29 09-42-48-01</t>
    <phoneticPr fontId="1"/>
  </si>
  <si>
    <t>パワプロ2020 - 投球解析 - 2020-08-29 09-42-48-02</t>
    <phoneticPr fontId="1"/>
  </si>
  <si>
    <t>パワプロ2020 - 投球解析 - 2020-08-29 09-42-48-03</t>
    <phoneticPr fontId="1"/>
  </si>
  <si>
    <t>パワプロ2020 - 投球解析 - 2020-08-29 09-42-48-04</t>
    <phoneticPr fontId="1"/>
  </si>
  <si>
    <t>パワプロ2020 - 投球解析 - 2020-08-29 09-42-48-05</t>
    <phoneticPr fontId="1"/>
  </si>
  <si>
    <t>パワプロ2020 - 投球解析 - 2020-08-29 09-42-48-06</t>
    <phoneticPr fontId="1"/>
  </si>
  <si>
    <t>パワプロ2020 - 投球解析 - 2020-08-29 09-42-48-07</t>
    <phoneticPr fontId="1"/>
  </si>
  <si>
    <t>パワプロ2020 - 投球解析 - 2020-08-29 09-42-48-08</t>
    <phoneticPr fontId="1"/>
  </si>
  <si>
    <t>IE0</t>
    <phoneticPr fontId="1"/>
  </si>
  <si>
    <t>パワプロ2020 - 投球解析 - 2020-08-29 09-44-23-00</t>
    <phoneticPr fontId="1"/>
  </si>
  <si>
    <t>パワプロ2020 - 投球解析 - 2020-08-29 09-44-23-01</t>
    <phoneticPr fontId="1"/>
  </si>
  <si>
    <t>パワプロ2020 - 投球解析 - 2020-08-29 09-44-23-02</t>
    <phoneticPr fontId="1"/>
  </si>
  <si>
    <t>パワプロ2020 - 投球解析 - 2020-08-29 09-44-23-03</t>
    <phoneticPr fontId="1"/>
  </si>
  <si>
    <t>IE6還</t>
    <phoneticPr fontId="1"/>
  </si>
  <si>
    <t>パワプロ2020 - 投球解析 - 2020-08-29 09-44-23-04</t>
    <phoneticPr fontId="1"/>
  </si>
  <si>
    <t>パワプロ2020 - 投球解析 - 2020-08-29 09-44-23-05</t>
    <phoneticPr fontId="1"/>
  </si>
  <si>
    <t>IE0胃|</t>
    <phoneticPr fontId="1"/>
  </si>
  <si>
    <t>パワプロ2020 - 投球解析 - 2020-08-29 09-44-23-06</t>
    <phoneticPr fontId="1"/>
  </si>
  <si>
    <t>パワプロ2020 - 投球解析 - 2020-08-29 09-44-23-07</t>
    <phoneticPr fontId="1"/>
  </si>
  <si>
    <t>IN</t>
    <phoneticPr fontId="1"/>
  </si>
  <si>
    <t>パワプロ2020 - 投球解析 - 2020-08-29 09-44-23-08</t>
    <phoneticPr fontId="1"/>
  </si>
  <si>
    <t>パワプロ2020 - 投球解析 - 2020-08-29 09-44-23-09</t>
    <phoneticPr fontId="1"/>
  </si>
  <si>
    <t>パワプロ2020 - 投球解析 - 2020-08-29 09-46-05-00</t>
    <phoneticPr fontId="1"/>
  </si>
  <si>
    <t>パワプロ2020 - 投球解析 - 2020-08-29 09-46-05-01</t>
    <phoneticPr fontId="1"/>
  </si>
  <si>
    <t>パワプロ2020 - 投球解析 - 2020-08-29 09-46-05-02</t>
    <phoneticPr fontId="1"/>
  </si>
  <si>
    <t>IE胃|</t>
    <phoneticPr fontId="1"/>
  </si>
  <si>
    <t>パワプロ2020 - 投球解析 - 2020-08-29 09-46-05-03</t>
    <phoneticPr fontId="1"/>
  </si>
  <si>
    <t>パワプロ2020 - 投球解析 - 2020-08-29 09-46-05-04</t>
    <phoneticPr fontId="1"/>
  </si>
  <si>
    <t>パワプロ2020 - 投球解析 - 2020-08-29 09-46-05-05</t>
    <phoneticPr fontId="1"/>
  </si>
  <si>
    <t>パワプロ2020 - 投球解析 - 2020-08-29 09-46-05-06</t>
    <phoneticPr fontId="1"/>
  </si>
  <si>
    <t>パワプロ2020 - 投球解析 - 2020-08-29 09-46-05-07</t>
    <phoneticPr fontId="1"/>
  </si>
  <si>
    <t>パワプロ2020 - 投球解析 - 2020-08-29 09-46-05-08</t>
    <phoneticPr fontId="1"/>
  </si>
  <si>
    <t>IE6</t>
    <phoneticPr fontId="1"/>
  </si>
  <si>
    <t>パワプロ2020 - 投球解析 - 2020-08-29 09-46-05-09</t>
    <phoneticPr fontId="1"/>
  </si>
  <si>
    <t>パワプロ2020 - 投球解析 - 2020-08-29 09-48-04-00</t>
    <phoneticPr fontId="1"/>
  </si>
  <si>
    <t>パワプロ2020 - 投球解析 - 2020-08-29 09-48-04-01</t>
    <phoneticPr fontId="1"/>
  </si>
  <si>
    <t>パワプロ2020 - 投球解析 - 2020-08-29 09-48-04-02</t>
    <phoneticPr fontId="1"/>
  </si>
  <si>
    <t>パワプロ2020 - 投球解析 - 2020-08-29 09-48-04-03</t>
    <phoneticPr fontId="1"/>
  </si>
  <si>
    <t>パワプロ2020 - 投球解析 - 2020-08-29 09-48-04-04</t>
    <phoneticPr fontId="1"/>
  </si>
  <si>
    <t>パワプロ2020 - 投球解析 - 2020-08-29 09-48-04-05</t>
    <phoneticPr fontId="1"/>
  </si>
  <si>
    <t>パワプロ2020 - 投球解析 - 2020-08-29 09-48-04-06</t>
    <phoneticPr fontId="1"/>
  </si>
  <si>
    <t>パワプロ2020 - 投球解析 - 2020-08-29 09-48-04-07</t>
    <phoneticPr fontId="1"/>
  </si>
  <si>
    <t>ard 5}</t>
    <phoneticPr fontId="1"/>
  </si>
  <si>
    <t>パワプロ2020 - 投球解析 - 2020-08-29 09-48-04-08</t>
    <phoneticPr fontId="1"/>
  </si>
  <si>
    <t>ra]</t>
    <phoneticPr fontId="1"/>
  </si>
  <si>
    <t>パワプロ2020 - 投球解析 - 2020-08-29 09-48-04-09</t>
    <phoneticPr fontId="1"/>
  </si>
  <si>
    <t>IE肖|</t>
    <phoneticPr fontId="1"/>
  </si>
  <si>
    <t>パワプロ2020 - 投球解析 - 2020-08-29 09-49-52-00</t>
    <phoneticPr fontId="1"/>
  </si>
  <si>
    <t>al 5)</t>
    <phoneticPr fontId="1"/>
  </si>
  <si>
    <t>パワプロ2020 - 投球解析 - 2020-08-29 09-49-52-01</t>
    <phoneticPr fontId="1"/>
  </si>
  <si>
    <t>パワプロ2020 - 投球解析 - 2020-08-29 09-49-52-02</t>
    <phoneticPr fontId="1"/>
  </si>
  <si>
    <t>パワプロ2020 - 投球解析 - 2020-08-29 09-49-52-03</t>
    <phoneticPr fontId="1"/>
  </si>
  <si>
    <t>パワプロ2020 - 投球解析 - 2020-08-29 09-49-52-04</t>
    <phoneticPr fontId="1"/>
  </si>
  <si>
    <t>パワプロ2020 - 投球解析 - 2020-08-29 09-49-52-05</t>
    <phoneticPr fontId="1"/>
  </si>
  <si>
    <t>パワプロ2020 - 投球解析 - 2020-08-29 09-49-52-06</t>
    <phoneticPr fontId="1"/>
  </si>
  <si>
    <t>ジア</t>
    <phoneticPr fontId="1"/>
  </si>
  <si>
    <t>パワプロ2020 - 投球解析 - 2020-08-29 09-49-52-07</t>
    <phoneticPr fontId="1"/>
  </si>
  <si>
    <t>パワプロ2020 - 投球解析 - 2020-08-29 09-49-52-08</t>
    <phoneticPr fontId="1"/>
  </si>
  <si>
    <t>パワプロ2020 - 投球解析 - 2020-08-29 09-49-52-09</t>
    <phoneticPr fontId="1"/>
  </si>
  <si>
    <t>ADO00() 1</t>
  </si>
  <si>
    <t>wr</t>
  </si>
  <si>
    <t>LSDI0BO且|</t>
  </si>
  <si>
    <t>wird</t>
  </si>
  <si>
    <t>LSDI0BO還|</t>
  </si>
  <si>
    <t>LSDI0BO朋|</t>
  </si>
  <si>
    <t>LBHI0BO還|</t>
  </si>
  <si>
    <t>LSDIO0BO還|</t>
  </si>
  <si>
    <t>val</t>
  </si>
  <si>
    <t>ADO0() 1</t>
  </si>
  <si>
    <t>wis</t>
  </si>
  <si>
    <t>at:</t>
  </si>
  <si>
    <t>LINBO還|</t>
  </si>
  <si>
    <t>LSDIO0BO胃|</t>
  </si>
  <si>
    <t>にコア 作アコ</t>
  </si>
  <si>
    <t>AD0 0() 1</t>
  </si>
  <si>
    <t>wee}</t>
  </si>
  <si>
    <t>に 作た</t>
  </si>
  <si>
    <t>ait)</t>
  </si>
  <si>
    <t>LSDIO0BO且|</t>
  </si>
  <si>
    <t>ロレシンと 人ンた</t>
  </si>
  <si>
    <t>nT}</t>
  </si>
  <si>
    <t>LSDI0BO有|</t>
  </si>
  <si>
    <t>1be</t>
  </si>
  <si>
    <t>レンと多&gt;た</t>
  </si>
  <si>
    <t>Ta)</t>
  </si>
  <si>
    <t>BI0BO胃|</t>
  </si>
  <si>
    <t>De}</t>
  </si>
  <si>
    <t>SDIOBO還|</t>
  </si>
  <si>
    <t>LSDI0BO胃|</t>
  </si>
  <si>
    <t>ADO0) 0() 1</t>
  </si>
  <si>
    <t>LINBO且|</t>
  </si>
  <si>
    <t>LINBG前|</t>
  </si>
  <si>
    <t>LSDI0BO思|</t>
  </si>
  <si>
    <t>BB</t>
  </si>
  <si>
    <t>BOBW</t>
  </si>
  <si>
    <t>BIG</t>
  </si>
  <si>
    <t>BBO</t>
  </si>
  <si>
    <t>rw)</t>
  </si>
  <si>
    <t>BOBO</t>
  </si>
  <si>
    <t>cmt}</t>
  </si>
  <si>
    <t>ツーシームファスト</t>
  </si>
  <si>
    <t>P1:)</t>
  </si>
  <si>
    <t>ADO003</t>
  </si>
  <si>
    <t>ADOO03</t>
  </si>
  <si>
    <t>BB BC1</t>
  </si>
  <si>
    <t>BB et1</t>
  </si>
  <si>
    <t>DC1</t>
  </si>
  <si>
    <t>ADO00O3</t>
  </si>
  <si>
    <t>ADO00 3</t>
  </si>
  <si>
    <t>BB 1</t>
  </si>
  <si>
    <t>eT:</t>
  </si>
  <si>
    <t>Be1</t>
  </si>
  <si>
    <t>ADO0OS3</t>
  </si>
  <si>
    <t>DIG Be1</t>
  </si>
  <si>
    <t>BB Be1</t>
  </si>
  <si>
    <t>LT</t>
  </si>
  <si>
    <t>BC1</t>
  </si>
  <si>
    <t>DIG BC1</t>
  </si>
  <si>
    <t>BOO1</t>
  </si>
  <si>
    <t>LE}</t>
  </si>
  <si>
    <t>0 1</t>
  </si>
  <si>
    <t>ロレウシンコ</t>
  </si>
  <si>
    <t>ンンキングツーシーム</t>
  </si>
  <si>
    <t>De1</t>
  </si>
  <si>
    <t>ADO0O4</t>
  </si>
  <si>
    <t>DBW/I</t>
  </si>
  <si>
    <t>DB /|</t>
  </si>
  <si>
    <t>ADO0O 4</t>
  </si>
  <si>
    <t>ADOO4</t>
  </si>
  <si>
    <t>WI</t>
  </si>
  <si>
    <t>DIGI</t>
  </si>
  <si>
    <t>DI</t>
  </si>
  <si>
    <t>DBW/|</t>
  </si>
  <si>
    <t>DBW 4I</t>
  </si>
  <si>
    <t>DBW |</t>
  </si>
  <si>
    <t>ADO0OO4</t>
  </si>
  <si>
    <t>an</t>
  </si>
  <si>
    <t>ジリメッガ1ルルん</t>
  </si>
  <si>
    <t>mnt)</t>
  </si>
  <si>
    <t>ジリメッガルルEpん</t>
  </si>
  <si>
    <t>ae</t>
  </si>
  <si>
    <t>ジリルクガリルルEpん</t>
  </si>
  <si>
    <t>ars</t>
  </si>
  <si>
    <t>WI|</t>
  </si>
  <si>
    <t>ジリメッグ1ルルん</t>
  </si>
  <si>
    <t>am</t>
  </si>
  <si>
    <t>ADO00O4</t>
  </si>
  <si>
    <t>NG</t>
    <phoneticPr fontId="1"/>
  </si>
  <si>
    <t>AD001</t>
  </si>
  <si>
    <t>AD001</t>
    <phoneticPr fontId="1"/>
  </si>
  <si>
    <t>AD003</t>
  </si>
  <si>
    <t>AD004</t>
  </si>
  <si>
    <t>シンキングツーシーム</t>
    <phoneticPr fontId="1"/>
  </si>
  <si>
    <t>ナックルカーブ</t>
    <phoneticPr fontId="1"/>
  </si>
  <si>
    <t>SD001</t>
    <phoneticPr fontId="1"/>
  </si>
  <si>
    <t>S</t>
    <phoneticPr fontId="1"/>
  </si>
  <si>
    <t>SD002</t>
    <phoneticPr fontId="1"/>
  </si>
  <si>
    <t>P069</t>
  </si>
  <si>
    <t>P070</t>
  </si>
  <si>
    <t>P071</t>
  </si>
  <si>
    <t>P072</t>
  </si>
  <si>
    <t>P073</t>
  </si>
  <si>
    <t>P074</t>
  </si>
  <si>
    <t>P075</t>
  </si>
  <si>
    <t>P076</t>
  </si>
  <si>
    <t>P077</t>
  </si>
  <si>
    <t>SD003</t>
    <phoneticPr fontId="1"/>
  </si>
  <si>
    <t>DA001</t>
    <phoneticPr fontId="1"/>
  </si>
  <si>
    <t>A</t>
    <phoneticPr fontId="1"/>
  </si>
  <si>
    <t>重い球</t>
    <rPh sb="0" eb="1">
      <t>オモ</t>
    </rPh>
    <rPh sb="2" eb="3">
      <t>タマ</t>
    </rPh>
    <phoneticPr fontId="1"/>
  </si>
  <si>
    <t>リリース〇</t>
    <phoneticPr fontId="1"/>
  </si>
  <si>
    <t>GD001</t>
    <phoneticPr fontId="1"/>
  </si>
  <si>
    <t>G</t>
    <phoneticPr fontId="1"/>
  </si>
  <si>
    <t>HJ001</t>
    <phoneticPr fontId="1"/>
  </si>
  <si>
    <t>精密機械</t>
    <rPh sb="0" eb="2">
      <t>セイミツ</t>
    </rPh>
    <rPh sb="2" eb="4">
      <t>キカイ</t>
    </rPh>
    <phoneticPr fontId="1"/>
  </si>
  <si>
    <t>ハイスピンジャイロ</t>
    <phoneticPr fontId="1"/>
  </si>
  <si>
    <t>パワプロ</t>
  </si>
  <si>
    <t>ari)</t>
  </si>
  <si>
    <t>rT</t>
  </si>
  <si>
    <t>ce)</t>
  </si>
  <si>
    <t>ストレート</t>
    <phoneticPr fontId="1"/>
  </si>
  <si>
    <t>168</t>
    <phoneticPr fontId="1"/>
  </si>
  <si>
    <t>ADO00() 1</t>
    <phoneticPr fontId="1"/>
  </si>
  <si>
    <t>パワプロ2020 - 投球解析 - 2020-08-29 15-42-43-00</t>
    <phoneticPr fontId="1"/>
  </si>
  <si>
    <t>wr</t>
    <phoneticPr fontId="1"/>
  </si>
  <si>
    <t>LSDI0BO且|</t>
    <phoneticPr fontId="1"/>
  </si>
  <si>
    <t>パワプロ2020 - 投球解析 - 2020-08-29 15-42-43-01</t>
    <phoneticPr fontId="1"/>
  </si>
  <si>
    <t>wird</t>
    <phoneticPr fontId="1"/>
  </si>
  <si>
    <t>LSDI0BO還|</t>
    <phoneticPr fontId="1"/>
  </si>
  <si>
    <t>パワプロ2020 - 投球解析 - 2020-08-29 15-42-43-02</t>
    <phoneticPr fontId="1"/>
  </si>
  <si>
    <t>169</t>
    <phoneticPr fontId="1"/>
  </si>
  <si>
    <t>LSDI0BO朋|</t>
    <phoneticPr fontId="1"/>
  </si>
  <si>
    <t>パワプロ2020 - 投球解析 - 2020-08-29 15-42-43-03</t>
    <phoneticPr fontId="1"/>
  </si>
  <si>
    <t>at}</t>
    <phoneticPr fontId="1"/>
  </si>
  <si>
    <t>LBHI0BO還|</t>
    <phoneticPr fontId="1"/>
  </si>
  <si>
    <t>パワプロ2020 - 投球解析 - 2020-08-29 15-42-43-04</t>
    <phoneticPr fontId="1"/>
  </si>
  <si>
    <t>170</t>
    <phoneticPr fontId="1"/>
  </si>
  <si>
    <t>LSDIO0BO還|</t>
    <phoneticPr fontId="1"/>
  </si>
  <si>
    <t>パワプロ2020 - 投球解析 - 2020-08-29 15-42-43-05</t>
    <phoneticPr fontId="1"/>
  </si>
  <si>
    <t>val</t>
    <phoneticPr fontId="1"/>
  </si>
  <si>
    <t>ADO0() 1</t>
    <phoneticPr fontId="1"/>
  </si>
  <si>
    <t>パワプロ2020 - 投球解析 - 2020-08-29 15-42-43-06</t>
    <phoneticPr fontId="1"/>
  </si>
  <si>
    <t>wis</t>
    <phoneticPr fontId="1"/>
  </si>
  <si>
    <t>パワプロ2020 - 投球解析 - 2020-08-29 15-42-43-07</t>
    <phoneticPr fontId="1"/>
  </si>
  <si>
    <t>173</t>
    <phoneticPr fontId="1"/>
  </si>
  <si>
    <t>パワプロ2020 - 投球解析 - 2020-08-29 15-42-43-08</t>
    <phoneticPr fontId="1"/>
  </si>
  <si>
    <t>error</t>
    <phoneticPr fontId="1"/>
  </si>
  <si>
    <t>パワプロ2020 - 投球解析 - 2020-08-29 15-42-43-09</t>
    <phoneticPr fontId="1"/>
  </si>
  <si>
    <t>2の1主人をJIプチ</t>
    <phoneticPr fontId="1"/>
  </si>
  <si>
    <t>パワプロ2020 - 投球解析 - 2020-08-29 15-44-12-00</t>
    <phoneticPr fontId="1"/>
  </si>
  <si>
    <t>全カストレート</t>
    <phoneticPr fontId="1"/>
  </si>
  <si>
    <t>パワプロ2020 - 投球解析 - 2020-08-29 15-44-12-01</t>
    <phoneticPr fontId="1"/>
  </si>
  <si>
    <t>にアア作た</t>
    <phoneticPr fontId="1"/>
  </si>
  <si>
    <t>at:</t>
    <phoneticPr fontId="1"/>
  </si>
  <si>
    <t>LINBO還|</t>
    <phoneticPr fontId="1"/>
  </si>
  <si>
    <t>パワプロ2020 - 投球解析 - 2020-08-29 15-44-12-02</t>
    <phoneticPr fontId="1"/>
  </si>
  <si>
    <t>LSDIO0BO胃|</t>
    <phoneticPr fontId="1"/>
  </si>
  <si>
    <t>パワプロ2020 - 投球解析 - 2020-08-29 15-44-12-03</t>
    <phoneticPr fontId="1"/>
  </si>
  <si>
    <t>パワプロ2020 - 投球解析 - 2020-08-29 15-44-12-04</t>
    <phoneticPr fontId="1"/>
  </si>
  <si>
    <t>にコア 作アコ</t>
    <phoneticPr fontId="1"/>
  </si>
  <si>
    <t>パワプロ2020 - 投球解析 - 2020-08-29 15-44-12-05</t>
    <phoneticPr fontId="1"/>
  </si>
  <si>
    <t>パワプロ2020 - 投球解析 - 2020-08-29 15-44-12-06</t>
    <phoneticPr fontId="1"/>
  </si>
  <si>
    <t>AD0 0() 1</t>
    <phoneticPr fontId="1"/>
  </si>
  <si>
    <t>パワプロ2020 - 投球解析 - 2020-08-29 15-44-12-07</t>
    <phoneticPr fontId="1"/>
  </si>
  <si>
    <t>wee}</t>
    <phoneticPr fontId="1"/>
  </si>
  <si>
    <t>パワプロ2020 - 投球解析 - 2020-08-29 15-44-12-08</t>
    <phoneticPr fontId="1"/>
  </si>
  <si>
    <t>に 作た</t>
    <phoneticPr fontId="1"/>
  </si>
  <si>
    <t>パワプロ2020 - 投球解析 - 2020-08-29 15-44-12-09</t>
    <phoneticPr fontId="1"/>
  </si>
  <si>
    <t>パワプロ2020 - 投球解析 - 2020-08-29 15-44-12-10</t>
    <phoneticPr fontId="1"/>
  </si>
  <si>
    <t>Hスライダー</t>
    <phoneticPr fontId="1"/>
  </si>
  <si>
    <t>ait)</t>
    <phoneticPr fontId="1"/>
  </si>
  <si>
    <t>LSDIO0BO且|</t>
    <phoneticPr fontId="1"/>
  </si>
  <si>
    <t>パワプロ2020 - 投球解析 - 2020-08-29 15-45-22-00</t>
    <phoneticPr fontId="1"/>
  </si>
  <si>
    <t>レンと多ンた</t>
    <phoneticPr fontId="1"/>
  </si>
  <si>
    <t>aT</t>
    <phoneticPr fontId="1"/>
  </si>
  <si>
    <t>パワプロ2020 - 投球解析 - 2020-08-29 15-45-22-01</t>
    <phoneticPr fontId="1"/>
  </si>
  <si>
    <t>ロレシンと 人ンた</t>
    <phoneticPr fontId="1"/>
  </si>
  <si>
    <t>nT}</t>
    <phoneticPr fontId="1"/>
  </si>
  <si>
    <t>LSDI0BO有|</t>
    <phoneticPr fontId="1"/>
  </si>
  <si>
    <t>パワプロ2020 - 投球解析 - 2020-08-29 15-45-22-02</t>
    <phoneticPr fontId="1"/>
  </si>
  <si>
    <t>レンと人ンた</t>
    <phoneticPr fontId="1"/>
  </si>
  <si>
    <t>1be</t>
    <phoneticPr fontId="1"/>
  </si>
  <si>
    <t>パワプロ2020 - 投球解析 - 2020-08-29 15-45-22-03</t>
    <phoneticPr fontId="1"/>
  </si>
  <si>
    <t>160</t>
    <phoneticPr fontId="1"/>
  </si>
  <si>
    <t>パワプロ2020 - 投球解析 - 2020-08-29 15-45-22-04</t>
    <phoneticPr fontId="1"/>
  </si>
  <si>
    <t>レンと多&gt;た</t>
    <phoneticPr fontId="1"/>
  </si>
  <si>
    <t>Ta)</t>
    <phoneticPr fontId="1"/>
  </si>
  <si>
    <t>パワプロ2020 - 投球解析 - 2020-08-29 15-45-22-05</t>
    <phoneticPr fontId="1"/>
  </si>
  <si>
    <t>BI0BO胃|</t>
    <phoneticPr fontId="1"/>
  </si>
  <si>
    <t>パワプロ2020 - 投球解析 - 2020-08-29 15-45-22-06</t>
    <phoneticPr fontId="1"/>
  </si>
  <si>
    <t>パワプロ2020 - 投球解析 - 2020-08-29 15-45-22-07</t>
    <phoneticPr fontId="1"/>
  </si>
  <si>
    <t>De}</t>
    <phoneticPr fontId="1"/>
  </si>
  <si>
    <t>パワプロ2020 - 投球解析 - 2020-08-29 15-45-22-08</t>
    <phoneticPr fontId="1"/>
  </si>
  <si>
    <t>パワプロ2020 - 投球解析 - 2020-08-29 15-45-22-09</t>
    <phoneticPr fontId="1"/>
  </si>
  <si>
    <t>サークルチェンジ</t>
    <phoneticPr fontId="1"/>
  </si>
  <si>
    <t>cc</t>
    <phoneticPr fontId="1"/>
  </si>
  <si>
    <t>SDIOBO還|</t>
    <phoneticPr fontId="1"/>
  </si>
  <si>
    <t>パワプロ2020 - 投球解析 - 2020-08-29 15-46-34-00</t>
    <phoneticPr fontId="1"/>
  </si>
  <si>
    <t>Td</t>
    <phoneticPr fontId="1"/>
  </si>
  <si>
    <t>パワプロ2020 - 投球解析 - 2020-08-29 15-46-34-01</t>
    <phoneticPr fontId="1"/>
  </si>
  <si>
    <t>LSDI0BO胃|</t>
    <phoneticPr fontId="1"/>
  </si>
  <si>
    <t>パワプロ2020 - 投球解析 - 2020-08-29 15-46-34-02</t>
    <phoneticPr fontId="1"/>
  </si>
  <si>
    <t>ADO0) 0() 1</t>
    <phoneticPr fontId="1"/>
  </si>
  <si>
    <t>パワプロ2020 - 投球解析 - 2020-08-29 15-46-34-03</t>
    <phoneticPr fontId="1"/>
  </si>
  <si>
    <t>ey</t>
    <phoneticPr fontId="1"/>
  </si>
  <si>
    <t>LINBO且|</t>
    <phoneticPr fontId="1"/>
  </si>
  <si>
    <t>パワプロ2020 - 投球解析 - 2020-08-29 15-46-34-04</t>
    <phoneticPr fontId="1"/>
  </si>
  <si>
    <t>パワプロ2020 - 投球解析 - 2020-08-29 15-46-34-05</t>
    <phoneticPr fontId="1"/>
  </si>
  <si>
    <t>ce</t>
    <phoneticPr fontId="1"/>
  </si>
  <si>
    <t>パワプロ2020 - 投球解析 - 2020-08-29 15-46-34-06</t>
    <phoneticPr fontId="1"/>
  </si>
  <si>
    <t>LINBG前|</t>
    <phoneticPr fontId="1"/>
  </si>
  <si>
    <t>パワプロ2020 - 投球解析 - 2020-08-29 15-46-34-07</t>
    <phoneticPr fontId="1"/>
  </si>
  <si>
    <t>cy</t>
    <phoneticPr fontId="1"/>
  </si>
  <si>
    <t>パワプロ2020 - 投球解析 - 2020-08-29 15-46-34-08</t>
    <phoneticPr fontId="1"/>
  </si>
  <si>
    <t>re</t>
    <phoneticPr fontId="1"/>
  </si>
  <si>
    <t>LSDI0BO思|</t>
    <phoneticPr fontId="1"/>
  </si>
  <si>
    <t>パワプロ2020 - 投球解析 - 2020-08-29 15-46-34-09</t>
    <phoneticPr fontId="1"/>
  </si>
  <si>
    <t>cr</t>
    <phoneticPr fontId="1"/>
  </si>
  <si>
    <t>BB</t>
    <phoneticPr fontId="1"/>
  </si>
  <si>
    <t>パワプロ2020 - 投球解析 - 2020-08-29 15-48-09-00</t>
    <phoneticPr fontId="1"/>
  </si>
  <si>
    <t>EL)</t>
    <phoneticPr fontId="1"/>
  </si>
  <si>
    <t>BOBW</t>
    <phoneticPr fontId="1"/>
  </si>
  <si>
    <t>パワプロ2020 - 投球解析 - 2020-08-29 15-48-09-01</t>
    <phoneticPr fontId="1"/>
  </si>
  <si>
    <t>BOB</t>
    <phoneticPr fontId="1"/>
  </si>
  <si>
    <t>パワプロ2020 - 投球解析 - 2020-08-29 15-48-09-02</t>
    <phoneticPr fontId="1"/>
  </si>
  <si>
    <t>パワプロ2020 - 投球解析 - 2020-08-29 15-48-09-03</t>
    <phoneticPr fontId="1"/>
  </si>
  <si>
    <t>139</t>
    <phoneticPr fontId="1"/>
  </si>
  <si>
    <t>パワプロ2020 - 投球解析 - 2020-08-29 15-48-09-04</t>
    <phoneticPr fontId="1"/>
  </si>
  <si>
    <t>Eb)</t>
    <phoneticPr fontId="1"/>
  </si>
  <si>
    <t>パワプロ2020 - 投球解析 - 2020-08-29 15-48-09-05</t>
    <phoneticPr fontId="1"/>
  </si>
  <si>
    <t>eh)</t>
    <phoneticPr fontId="1"/>
  </si>
  <si>
    <t>パワプロ2020 - 投球解析 - 2020-08-29 15-48-09-06</t>
    <phoneticPr fontId="1"/>
  </si>
  <si>
    <t>co</t>
    <phoneticPr fontId="1"/>
  </si>
  <si>
    <t>BIG</t>
    <phoneticPr fontId="1"/>
  </si>
  <si>
    <t>パワプロ2020 - 投球解析 - 2020-08-29 15-48-09-07</t>
    <phoneticPr fontId="1"/>
  </si>
  <si>
    <t>Ta</t>
    <phoneticPr fontId="1"/>
  </si>
  <si>
    <t>BOO</t>
    <phoneticPr fontId="1"/>
  </si>
  <si>
    <t>パワプロ2020 - 投球解析 - 2020-08-29 15-48-09-08</t>
    <phoneticPr fontId="1"/>
  </si>
  <si>
    <t>パワプロ2020 - 投球解析 - 2020-08-29 15-48-09-09</t>
    <phoneticPr fontId="1"/>
  </si>
  <si>
    <t>にコー 作た</t>
    <phoneticPr fontId="1"/>
  </si>
  <si>
    <t>パワプロ2020 - 投球解析 - 2020-08-29 15-49-13-00</t>
    <phoneticPr fontId="1"/>
  </si>
  <si>
    <t>パワプロ2020 - 投球解析 - 2020-08-29 15-49-13-01</t>
    <phoneticPr fontId="1"/>
  </si>
  <si>
    <t>141</t>
    <phoneticPr fontId="1"/>
  </si>
  <si>
    <t>パワプロ2020 - 投球解析 - 2020-08-29 15-49-13-02</t>
    <phoneticPr fontId="1"/>
  </si>
  <si>
    <t>パワプロ2020 - 投球解析 - 2020-08-29 15-49-13-03</t>
    <phoneticPr fontId="1"/>
  </si>
  <si>
    <t>140</t>
    <phoneticPr fontId="1"/>
  </si>
  <si>
    <t>パワプロ2020 - 投球解析 - 2020-08-29 15-49-13-04</t>
    <phoneticPr fontId="1"/>
  </si>
  <si>
    <t>パワプロ2020 - 投球解析 - 2020-08-29 15-49-13-05</t>
    <phoneticPr fontId="1"/>
  </si>
  <si>
    <t>パワプロ2020 - 投球解析 - 2020-08-29 15-49-13-06</t>
    <phoneticPr fontId="1"/>
  </si>
  <si>
    <t>パワプロ2020 - 投球解析 - 2020-08-29 15-49-13-07</t>
    <phoneticPr fontId="1"/>
  </si>
  <si>
    <t>パワプロ2020 - 投球解析 - 2020-08-29 15-49-13-08</t>
    <phoneticPr fontId="1"/>
  </si>
  <si>
    <t>パワプロ2020 - 投球解析 - 2020-08-29 15-49-13-09</t>
    <phoneticPr fontId="1"/>
  </si>
  <si>
    <t>スライダー</t>
    <phoneticPr fontId="1"/>
  </si>
  <si>
    <t>a5)</t>
    <phoneticPr fontId="1"/>
  </si>
  <si>
    <t>パワプロ2020 - 投球解析 - 2020-08-29 15-50-19-00</t>
    <phoneticPr fontId="1"/>
  </si>
  <si>
    <t>127</t>
    <phoneticPr fontId="1"/>
  </si>
  <si>
    <t>パワプロ2020 - 投球解析 - 2020-08-29 15-50-19-01</t>
    <phoneticPr fontId="1"/>
  </si>
  <si>
    <t>ara}</t>
    <phoneticPr fontId="1"/>
  </si>
  <si>
    <t>パワプロ2020 - 投球解析 - 2020-08-29 15-50-19-02</t>
    <phoneticPr fontId="1"/>
  </si>
  <si>
    <t>BBO</t>
    <phoneticPr fontId="1"/>
  </si>
  <si>
    <t>パワプロ2020 - 投球解析 - 2020-08-29 15-50-19-03</t>
    <phoneticPr fontId="1"/>
  </si>
  <si>
    <t>129</t>
    <phoneticPr fontId="1"/>
  </si>
  <si>
    <t>パワプロ2020 - 投球解析 - 2020-08-29 15-50-19-04</t>
    <phoneticPr fontId="1"/>
  </si>
  <si>
    <t>ar}</t>
    <phoneticPr fontId="1"/>
  </si>
  <si>
    <t>パワプロ2020 - 投球解析 - 2020-08-29 15-50-19-05</t>
    <phoneticPr fontId="1"/>
  </si>
  <si>
    <t>パワプロ2020 - 投球解析 - 2020-08-29 15-50-19-06</t>
    <phoneticPr fontId="1"/>
  </si>
  <si>
    <t>126</t>
    <phoneticPr fontId="1"/>
  </si>
  <si>
    <t>パワプロ2020 - 投球解析 - 2020-08-29 15-50-19-07</t>
    <phoneticPr fontId="1"/>
  </si>
  <si>
    <t>rw)</t>
    <phoneticPr fontId="1"/>
  </si>
  <si>
    <t>パワプロ2020 - 投球解析 - 2020-08-29 15-50-19-08</t>
    <phoneticPr fontId="1"/>
  </si>
  <si>
    <t>パワプロ2020 - 投球解析 - 2020-08-29 15-50-19-09</t>
    <phoneticPr fontId="1"/>
  </si>
  <si>
    <t>に=</t>
    <phoneticPr fontId="1"/>
  </si>
  <si>
    <t>130</t>
    <phoneticPr fontId="1"/>
  </si>
  <si>
    <t>パワプロ2020 - 投球解析 - 2020-08-29 15-51-26-00</t>
    <phoneticPr fontId="1"/>
  </si>
  <si>
    <t>EE}</t>
    <phoneticPr fontId="1"/>
  </si>
  <si>
    <t>パワプロ2020 - 投球解析 - 2020-08-29 15-51-26-01</t>
    <phoneticPr fontId="1"/>
  </si>
  <si>
    <t>Ts</t>
    <phoneticPr fontId="1"/>
  </si>
  <si>
    <t>パワプロ2020 - 投球解析 - 2020-08-29 15-51-26-02</t>
    <phoneticPr fontId="1"/>
  </si>
  <si>
    <t>パワプロ2020 - 投球解析 - 2020-08-29 15-51-26-03</t>
    <phoneticPr fontId="1"/>
  </si>
  <si>
    <t>133</t>
    <phoneticPr fontId="1"/>
  </si>
  <si>
    <t>パワプロ2020 - 投球解析 - 2020-08-29 15-51-26-04</t>
    <phoneticPr fontId="1"/>
  </si>
  <si>
    <t>SFF</t>
    <phoneticPr fontId="1"/>
  </si>
  <si>
    <t>BOBO</t>
    <phoneticPr fontId="1"/>
  </si>
  <si>
    <t>パワプロ2020 - 投球解析 - 2020-08-29 15-51-26-05</t>
    <phoneticPr fontId="1"/>
  </si>
  <si>
    <t>er}</t>
    <phoneticPr fontId="1"/>
  </si>
  <si>
    <t>パワプロ2020 - 投球解析 - 2020-08-29 15-51-26-06</t>
    <phoneticPr fontId="1"/>
  </si>
  <si>
    <t>パワプロ2020 - 投球解析 - 2020-08-29 15-51-26-07</t>
    <phoneticPr fontId="1"/>
  </si>
  <si>
    <t>パワプロ2020 - 投球解析 - 2020-08-29 15-51-26-08</t>
    <phoneticPr fontId="1"/>
  </si>
  <si>
    <t>パワプロ2020 - 投球解析 - 2020-08-29 15-51-26-09</t>
    <phoneticPr fontId="1"/>
  </si>
  <si>
    <t>シンカー</t>
    <phoneticPr fontId="1"/>
  </si>
  <si>
    <t>ar)</t>
    <phoneticPr fontId="1"/>
  </si>
  <si>
    <t>パワプロ2020 - 投球解析 - 2020-08-29 15-52-32-00</t>
    <phoneticPr fontId="1"/>
  </si>
  <si>
    <t>119</t>
    <phoneticPr fontId="1"/>
  </si>
  <si>
    <t>パワプロ2020 - 投球解析 - 2020-08-29 15-52-32-01</t>
    <phoneticPr fontId="1"/>
  </si>
  <si>
    <t>cmt}</t>
    <phoneticPr fontId="1"/>
  </si>
  <si>
    <t>パワプロ2020 - 投球解析 - 2020-08-29 15-52-32-02</t>
    <phoneticPr fontId="1"/>
  </si>
  <si>
    <t>120</t>
    <phoneticPr fontId="1"/>
  </si>
  <si>
    <t>パワプロ2020 - 投球解析 - 2020-08-29 15-52-32-03</t>
    <phoneticPr fontId="1"/>
  </si>
  <si>
    <t>ra)</t>
    <phoneticPr fontId="1"/>
  </si>
  <si>
    <t>パワプロ2020 - 投球解析 - 2020-08-29 15-52-32-04</t>
    <phoneticPr fontId="1"/>
  </si>
  <si>
    <t>art)</t>
    <phoneticPr fontId="1"/>
  </si>
  <si>
    <t>パワプロ2020 - 投球解析 - 2020-08-29 15-52-32-05</t>
    <phoneticPr fontId="1"/>
  </si>
  <si>
    <t>パワプロ2020 - 投球解析 - 2020-08-29 15-52-32-06</t>
    <phoneticPr fontId="1"/>
  </si>
  <si>
    <t>a)</t>
    <phoneticPr fontId="1"/>
  </si>
  <si>
    <t>パワプロ2020 - 投球解析 - 2020-08-29 15-52-32-07</t>
    <phoneticPr fontId="1"/>
  </si>
  <si>
    <t>パワプロ2020 - 投球解析 - 2020-08-29 15-52-32-08</t>
    <phoneticPr fontId="1"/>
  </si>
  <si>
    <t>パワプロ2020 - 投球解析 - 2020-08-29 15-52-32-09</t>
    <phoneticPr fontId="1"/>
  </si>
  <si>
    <t>ツーシームファスト</t>
    <phoneticPr fontId="1"/>
  </si>
  <si>
    <t>パワプロ2020 - 投球解析 - 2020-08-29 15-53-40-00</t>
    <phoneticPr fontId="1"/>
  </si>
  <si>
    <t>パワプロ2020 - 投球解析 - 2020-08-29 15-53-40-01</t>
    <phoneticPr fontId="1"/>
  </si>
  <si>
    <t>136</t>
    <phoneticPr fontId="1"/>
  </si>
  <si>
    <t>パワプロ2020 - 投球解析 - 2020-08-29 15-53-40-02</t>
    <phoneticPr fontId="1"/>
  </si>
  <si>
    <t>ev)</t>
    <phoneticPr fontId="1"/>
  </si>
  <si>
    <t>パワプロ2020 - 投球解析 - 2020-08-29 15-53-40-03</t>
    <phoneticPr fontId="1"/>
  </si>
  <si>
    <t>ッツーシームファスト</t>
    <phoneticPr fontId="1"/>
  </si>
  <si>
    <t>eb)</t>
    <phoneticPr fontId="1"/>
  </si>
  <si>
    <t>パワプロ2020 - 投球解析 - 2020-08-29 15-53-40-04</t>
    <phoneticPr fontId="1"/>
  </si>
  <si>
    <t>EL</t>
    <phoneticPr fontId="1"/>
  </si>
  <si>
    <t>パワプロ2020 - 投球解析 - 2020-08-29 15-53-40-05</t>
    <phoneticPr fontId="1"/>
  </si>
  <si>
    <t>set}</t>
    <phoneticPr fontId="1"/>
  </si>
  <si>
    <t>パワプロ2020 - 投球解析 - 2020-08-29 15-53-40-06</t>
    <phoneticPr fontId="1"/>
  </si>
  <si>
    <t>138</t>
    <phoneticPr fontId="1"/>
  </si>
  <si>
    <t>パワプロ2020 - 投球解析 - 2020-08-29 15-53-40-07</t>
    <phoneticPr fontId="1"/>
  </si>
  <si>
    <t>135</t>
    <phoneticPr fontId="1"/>
  </si>
  <si>
    <t>パワプロ2020 - 投球解析 - 2020-08-29 15-53-40-08</t>
    <phoneticPr fontId="1"/>
  </si>
  <si>
    <t>パワプロ2020 - 投球解析 - 2020-08-29 15-53-40-09</t>
    <phoneticPr fontId="1"/>
  </si>
  <si>
    <t>P1:)</t>
    <phoneticPr fontId="1"/>
  </si>
  <si>
    <t>ADO003</t>
    <phoneticPr fontId="1"/>
  </si>
  <si>
    <t>パワプロ2020 - 投球解析 - 2020-08-29 15-55-24-00</t>
    <phoneticPr fontId="1"/>
  </si>
  <si>
    <t>ADOO03</t>
    <phoneticPr fontId="1"/>
  </si>
  <si>
    <t>パワプロ2020 - 投球解析 - 2020-08-29 15-55-24-01</t>
    <phoneticPr fontId="1"/>
  </si>
  <si>
    <t>BB BC1</t>
    <phoneticPr fontId="1"/>
  </si>
  <si>
    <t>パワプロ2020 - 投球解析 - 2020-08-29 15-55-24-02</t>
    <phoneticPr fontId="1"/>
  </si>
  <si>
    <t>BB et1</t>
    <phoneticPr fontId="1"/>
  </si>
  <si>
    <t>パワプロ2020 - 投球解析 - 2020-08-29 15-55-24-03</t>
    <phoneticPr fontId="1"/>
  </si>
  <si>
    <t>DC1</t>
    <phoneticPr fontId="1"/>
  </si>
  <si>
    <t>パワプロ2020 - 投球解析 - 2020-08-29 15-55-24-04</t>
    <phoneticPr fontId="1"/>
  </si>
  <si>
    <t>1)</t>
    <phoneticPr fontId="1"/>
  </si>
  <si>
    <t>パワプロ2020 - 投球解析 - 2020-08-29 15-55-24-05</t>
    <phoneticPr fontId="1"/>
  </si>
  <si>
    <t>ADO00O3</t>
    <phoneticPr fontId="1"/>
  </si>
  <si>
    <t>パワプロ2020 - 投球解析 - 2020-08-29 15-55-24-06</t>
    <phoneticPr fontId="1"/>
  </si>
  <si>
    <t>ADO00 3</t>
    <phoneticPr fontId="1"/>
  </si>
  <si>
    <t>パワプロ2020 - 投球解析 - 2020-08-29 15-55-24-07</t>
    <phoneticPr fontId="1"/>
  </si>
  <si>
    <t>BB 1</t>
    <phoneticPr fontId="1"/>
  </si>
  <si>
    <t>パワプロ2020 - 投球解析 - 2020-08-29 15-55-24-08</t>
    <phoneticPr fontId="1"/>
  </si>
  <si>
    <t>eT:</t>
    <phoneticPr fontId="1"/>
  </si>
  <si>
    <t>Be1</t>
    <phoneticPr fontId="1"/>
  </si>
  <si>
    <t>パワプロ2020 - 投球解析 - 2020-08-29 15-55-24-09</t>
    <phoneticPr fontId="1"/>
  </si>
  <si>
    <t>159</t>
    <phoneticPr fontId="1"/>
  </si>
  <si>
    <t>パワプロ2020 - 投球解析 - 2020-08-29 15-56-35-00</t>
    <phoneticPr fontId="1"/>
  </si>
  <si>
    <t>ADO0OS3</t>
    <phoneticPr fontId="1"/>
  </si>
  <si>
    <t>パワプロ2020 - 投球解析 - 2020-08-29 15-56-35-01</t>
    <phoneticPr fontId="1"/>
  </si>
  <si>
    <t>にコア介さ</t>
    <phoneticPr fontId="1"/>
  </si>
  <si>
    <t>Et)</t>
    <phoneticPr fontId="1"/>
  </si>
  <si>
    <t>パワプロ2020 - 投球解析 - 2020-08-29 15-56-35-02</t>
    <phoneticPr fontId="1"/>
  </si>
  <si>
    <t>163</t>
    <phoneticPr fontId="1"/>
  </si>
  <si>
    <t>DIG Be1</t>
    <phoneticPr fontId="1"/>
  </si>
  <si>
    <t>パワプロ2020 - 投球解析 - 2020-08-29 15-56-35-03</t>
    <phoneticPr fontId="1"/>
  </si>
  <si>
    <t>BB Be1</t>
    <phoneticPr fontId="1"/>
  </si>
  <si>
    <t>パワプロ2020 - 投球解析 - 2020-08-29 15-56-35-04</t>
    <phoneticPr fontId="1"/>
  </si>
  <si>
    <t>パワプロ2020 - 投球解析 - 2020-08-29 15-56-35-05</t>
    <phoneticPr fontId="1"/>
  </si>
  <si>
    <t>パワプロ2020 - 投球解析 - 2020-08-29 15-56-35-06</t>
    <phoneticPr fontId="1"/>
  </si>
  <si>
    <t>パワプロ2020 - 投球解析 - 2020-08-29 15-56-35-07</t>
    <phoneticPr fontId="1"/>
  </si>
  <si>
    <t>LT</t>
    <phoneticPr fontId="1"/>
  </si>
  <si>
    <t>BC1</t>
    <phoneticPr fontId="1"/>
  </si>
  <si>
    <t>パワプロ2020 - 投球解析 - 2020-08-29 15-56-35-08</t>
    <phoneticPr fontId="1"/>
  </si>
  <si>
    <t>パワプロ2020 - 投球解析 - 2020-08-29 15-56-35-09</t>
    <phoneticPr fontId="1"/>
  </si>
  <si>
    <t>-</t>
    <phoneticPr fontId="1"/>
  </si>
  <si>
    <t>HHスライダー</t>
    <phoneticPr fontId="1"/>
  </si>
  <si>
    <t>152</t>
    <phoneticPr fontId="1"/>
  </si>
  <si>
    <t>パワプロ2020 - 投球解析 - 2020-08-29 15-57-36-00</t>
    <phoneticPr fontId="1"/>
  </si>
  <si>
    <t>DIG BC1</t>
    <phoneticPr fontId="1"/>
  </si>
  <si>
    <t>パワプロ2020 - 投球解析 - 2020-08-29 15-57-36-01</t>
    <phoneticPr fontId="1"/>
  </si>
  <si>
    <t>BOO1</t>
    <phoneticPr fontId="1"/>
  </si>
  <si>
    <t>パワプロ2020 - 投球解析 - 2020-08-29 15-57-36-02</t>
    <phoneticPr fontId="1"/>
  </si>
  <si>
    <t>レンと&gt;た</t>
    <phoneticPr fontId="1"/>
  </si>
  <si>
    <t>ET}</t>
    <phoneticPr fontId="1"/>
  </si>
  <si>
    <t>パワプロ2020 - 投球解析 - 2020-08-29 15-57-36-03</t>
    <phoneticPr fontId="1"/>
  </si>
  <si>
    <t>LE}</t>
    <phoneticPr fontId="1"/>
  </si>
  <si>
    <t>0 1</t>
    <phoneticPr fontId="1"/>
  </si>
  <si>
    <t>パワプロ2020 - 投球解析 - 2020-08-29 15-57-36-04</t>
    <phoneticPr fontId="1"/>
  </si>
  <si>
    <t>ET</t>
    <phoneticPr fontId="1"/>
  </si>
  <si>
    <t>パワプロ2020 - 投球解析 - 2020-08-29 15-57-36-05</t>
    <phoneticPr fontId="1"/>
  </si>
  <si>
    <t>ロレウシンコ</t>
    <phoneticPr fontId="1"/>
  </si>
  <si>
    <t>パワプロ2020 - 投球解析 - 2020-08-29 15-57-36-06</t>
    <phoneticPr fontId="1"/>
  </si>
  <si>
    <t>Ea)</t>
    <phoneticPr fontId="1"/>
  </si>
  <si>
    <t>パワプロ2020 - 投球解析 - 2020-08-29 15-57-36-07</t>
    <phoneticPr fontId="1"/>
  </si>
  <si>
    <t>154</t>
    <phoneticPr fontId="1"/>
  </si>
  <si>
    <t>パワプロ2020 - 投球解析 - 2020-08-29 15-57-36-08</t>
    <phoneticPr fontId="1"/>
  </si>
  <si>
    <t>151</t>
    <phoneticPr fontId="1"/>
  </si>
  <si>
    <t>パワプロ2020 - 投球解析 - 2020-08-29 15-57-36-09</t>
    <phoneticPr fontId="1"/>
  </si>
  <si>
    <t>ンンキングツーシーム</t>
    <phoneticPr fontId="1"/>
  </si>
  <si>
    <t>ch)</t>
    <phoneticPr fontId="1"/>
  </si>
  <si>
    <t>パワプロ2020 - 投球解析 - 2020-08-29 15-58-43-00</t>
    <phoneticPr fontId="1"/>
  </si>
  <si>
    <t>パワプロ2020 - 投球解析 - 2020-08-29 15-58-43-01</t>
    <phoneticPr fontId="1"/>
  </si>
  <si>
    <t>ci)</t>
    <phoneticPr fontId="1"/>
  </si>
  <si>
    <t>パワプロ2020 - 投球解析 - 2020-08-29 15-58-43-02</t>
    <phoneticPr fontId="1"/>
  </si>
  <si>
    <t>150</t>
    <phoneticPr fontId="1"/>
  </si>
  <si>
    <t>パワプロ2020 - 投球解析 - 2020-08-29 15-58-43-03</t>
    <phoneticPr fontId="1"/>
  </si>
  <si>
    <t>De1</t>
    <phoneticPr fontId="1"/>
  </si>
  <si>
    <t>パワプロ2020 - 投球解析 - 2020-08-29 15-58-43-04</t>
    <phoneticPr fontId="1"/>
  </si>
  <si>
    <t>パワプロ2020 - 投球解析 - 2020-08-29 15-58-43-05</t>
    <phoneticPr fontId="1"/>
  </si>
  <si>
    <t>パワプロ2020 - 投球解析 - 2020-08-29 15-58-43-06</t>
    <phoneticPr fontId="1"/>
  </si>
  <si>
    <t>パワプロ2020 - 投球解析 - 2020-08-29 15-58-43-07</t>
    <phoneticPr fontId="1"/>
  </si>
  <si>
    <t>パワプロ2020 - 投球解析 - 2020-08-29 15-58-43-08</t>
    <phoneticPr fontId="1"/>
  </si>
  <si>
    <t>パワプロ2020 - 投球解析 - 2020-08-29 15-58-43-09</t>
    <phoneticPr fontId="1"/>
  </si>
  <si>
    <t>131</t>
    <phoneticPr fontId="1"/>
  </si>
  <si>
    <t>ADO0O4</t>
    <phoneticPr fontId="1"/>
  </si>
  <si>
    <t>パワプロ2020 - 投球解析 - 2020-08-29 16-00-15-00</t>
    <phoneticPr fontId="1"/>
  </si>
  <si>
    <t>DBW/I</t>
    <phoneticPr fontId="1"/>
  </si>
  <si>
    <t>パワプロ2020 - 投球解析 - 2020-08-29 16-00-15-01</t>
    <phoneticPr fontId="1"/>
  </si>
  <si>
    <t>DB /|</t>
    <phoneticPr fontId="1"/>
  </si>
  <si>
    <t>パワプロ2020 - 投球解析 - 2020-08-29 16-00-15-02</t>
    <phoneticPr fontId="1"/>
  </si>
  <si>
    <t>ADO0O 4</t>
    <phoneticPr fontId="1"/>
  </si>
  <si>
    <t>パワプロ2020 - 投球解析 - 2020-08-29 16-00-15-03</t>
    <phoneticPr fontId="1"/>
  </si>
  <si>
    <t>と</t>
    <phoneticPr fontId="1"/>
  </si>
  <si>
    <t>ADOO4</t>
    <phoneticPr fontId="1"/>
  </si>
  <si>
    <t>パワプロ2020 - 投球解析 - 2020-08-29 16-00-15-04</t>
    <phoneticPr fontId="1"/>
  </si>
  <si>
    <t>パワプロ2020 - 投球解析 - 2020-08-29 16-00-15-05</t>
    <phoneticPr fontId="1"/>
  </si>
  <si>
    <t>WI</t>
    <phoneticPr fontId="1"/>
  </si>
  <si>
    <t>パワプロ2020 - 投球解析 - 2020-08-29 16-00-15-06</t>
    <phoneticPr fontId="1"/>
  </si>
  <si>
    <t>パワプロ2020 - 投球解析 - 2020-08-29 16-00-15-07</t>
    <phoneticPr fontId="1"/>
  </si>
  <si>
    <t>パワプロ2020 - 投球解析 - 2020-08-29 16-00-15-08</t>
    <phoneticPr fontId="1"/>
  </si>
  <si>
    <t>DIGI</t>
    <phoneticPr fontId="1"/>
  </si>
  <si>
    <t>パワプロ2020 - 投球解析 - 2020-08-29 16-00-15-09</t>
    <phoneticPr fontId="1"/>
  </si>
  <si>
    <t>DI</t>
    <phoneticPr fontId="1"/>
  </si>
  <si>
    <t>パワプロ2020 - 投球解析 - 2020-08-29 16-01-23-00</t>
    <phoneticPr fontId="1"/>
  </si>
  <si>
    <t>パワプロ2020 - 投球解析 - 2020-08-29 16-01-23-01</t>
    <phoneticPr fontId="1"/>
  </si>
  <si>
    <t>パワプロ2020 - 投球解析 - 2020-08-29 16-01-23-02</t>
    <phoneticPr fontId="1"/>
  </si>
  <si>
    <t>パワプロ2020 - 投球解析 - 2020-08-29 16-01-23-03</t>
    <phoneticPr fontId="1"/>
  </si>
  <si>
    <t>パワプロ2020 - 投球解析 - 2020-08-29 16-01-23-04</t>
    <phoneticPr fontId="1"/>
  </si>
  <si>
    <t>DBW/|</t>
    <phoneticPr fontId="1"/>
  </si>
  <si>
    <t>パワプロ2020 - 投球解析 - 2020-08-29 16-01-23-05</t>
    <phoneticPr fontId="1"/>
  </si>
  <si>
    <t>DBW 4I</t>
    <phoneticPr fontId="1"/>
  </si>
  <si>
    <t>パワプロ2020 - 投球解析 - 2020-08-29 16-01-23-06</t>
    <phoneticPr fontId="1"/>
  </si>
  <si>
    <t>全力ストレート</t>
    <phoneticPr fontId="1"/>
  </si>
  <si>
    <t>パワプロ2020 - 投球解析 - 2020-08-29 16-01-23-07</t>
    <phoneticPr fontId="1"/>
  </si>
  <si>
    <t>DBW |</t>
    <phoneticPr fontId="1"/>
  </si>
  <si>
    <t>パワプロ2020 - 投球解析 - 2020-08-29 16-01-23-08</t>
    <phoneticPr fontId="1"/>
  </si>
  <si>
    <t>にコーア才た</t>
    <phoneticPr fontId="1"/>
  </si>
  <si>
    <t>ADO0OO4</t>
    <phoneticPr fontId="1"/>
  </si>
  <si>
    <t>パワプロ2020 - 投球解析 - 2020-08-29 16-01-23-09</t>
    <phoneticPr fontId="1"/>
  </si>
  <si>
    <t>ナックルカーブ</t>
    <phoneticPr fontId="1"/>
  </si>
  <si>
    <t>an</t>
    <phoneticPr fontId="1"/>
  </si>
  <si>
    <t>パワプロ2020 - 投球解析 - 2020-08-29 16-06-51-00</t>
    <phoneticPr fontId="1"/>
  </si>
  <si>
    <t>ジリメッガ1ルルん</t>
    <phoneticPr fontId="1"/>
  </si>
  <si>
    <t>i}</t>
    <phoneticPr fontId="1"/>
  </si>
  <si>
    <t>パワプロ2020 - 投球解析 - 2020-08-29 16-06-51-01</t>
    <phoneticPr fontId="1"/>
  </si>
  <si>
    <t>111</t>
    <phoneticPr fontId="1"/>
  </si>
  <si>
    <t>パワプロ2020 - 投球解析 - 2020-08-29 16-06-51-02</t>
    <phoneticPr fontId="1"/>
  </si>
  <si>
    <t>mnt)</t>
    <phoneticPr fontId="1"/>
  </si>
  <si>
    <t>パワプロ2020 - 投球解析 - 2020-08-29 16-06-51-03</t>
    <phoneticPr fontId="1"/>
  </si>
  <si>
    <t>パワプロ2020 - 投球解析 - 2020-08-29 16-06-51-04</t>
    <phoneticPr fontId="1"/>
  </si>
  <si>
    <t>ジリメッガルルEpん</t>
    <phoneticPr fontId="1"/>
  </si>
  <si>
    <t>113</t>
    <phoneticPr fontId="1"/>
  </si>
  <si>
    <t>パワプロ2020 - 投球解析 - 2020-08-29 16-06-51-05</t>
    <phoneticPr fontId="1"/>
  </si>
  <si>
    <t>ae</t>
    <phoneticPr fontId="1"/>
  </si>
  <si>
    <t>パワプロ2020 - 投球解析 - 2020-08-29 16-06-51-06</t>
    <phoneticPr fontId="1"/>
  </si>
  <si>
    <t>ジリルクガリルルEpん</t>
    <phoneticPr fontId="1"/>
  </si>
  <si>
    <t>ars</t>
    <phoneticPr fontId="1"/>
  </si>
  <si>
    <t>WI|</t>
    <phoneticPr fontId="1"/>
  </si>
  <si>
    <t>パワプロ2020 - 投球解析 - 2020-08-29 16-06-51-07</t>
    <phoneticPr fontId="1"/>
  </si>
  <si>
    <t>ジリメッグ1ルルん</t>
    <phoneticPr fontId="1"/>
  </si>
  <si>
    <t>am</t>
    <phoneticPr fontId="1"/>
  </si>
  <si>
    <t>パワプロ2020 - 投球解析 - 2020-08-29 16-06-51-08</t>
    <phoneticPr fontId="1"/>
  </si>
  <si>
    <t>110</t>
    <phoneticPr fontId="1"/>
  </si>
  <si>
    <t>ADO00O4</t>
    <phoneticPr fontId="1"/>
  </si>
  <si>
    <t>パワプロ2020 - 投球解析 - 2020-08-29 16-06-51-09</t>
    <phoneticPr fontId="1"/>
  </si>
  <si>
    <t>投球解析 - パワプロ2020 - 2020-09-08 23-37-52-00</t>
  </si>
  <si>
    <t>投球解析 - パワプロ2020 - 2020-09-08 23-37-52-01</t>
  </si>
  <si>
    <t>投球解析 - パワプロ2020 - 2020-09-08 23-37-52-02</t>
  </si>
  <si>
    <t>投球解析 - パワプロ2020 - 2020-09-08 23-37-52-03</t>
  </si>
  <si>
    <t>投球解析 - パワプロ2020 - 2020-09-08 23-37-52-04</t>
  </si>
  <si>
    <t>投球解析 - パワプロ2020 - 2020-09-08 23-37-52-05</t>
  </si>
  <si>
    <t>投球解析 - パワプロ2020 - 2020-09-08 23-37-52-06</t>
  </si>
  <si>
    <t>投球解析 - パワプロ2020 - 2020-09-08 23-37-52-07</t>
  </si>
  <si>
    <t>投球解析 - パワプロ2020 - 2020-09-08 23-37-52-08</t>
  </si>
  <si>
    <t>投球解析 - パワプロ2020 - 2020-09-08 23-37-52-09</t>
  </si>
  <si>
    <t>投球解析 - パワプロ2020 - 2020-09-08 23-39-02-00</t>
  </si>
  <si>
    <t>投球解析 - パワプロ2020 - 2020-09-08 23-39-02-01</t>
  </si>
  <si>
    <t>にコーの作アたー</t>
  </si>
  <si>
    <t>投球解析 - パワプロ2020 - 2020-09-08 23-39-02-02</t>
  </si>
  <si>
    <t>投球解析 - パワプロ2020 - 2020-09-08 23-39-02-03</t>
  </si>
  <si>
    <t>投球解析 - パワプロ2020 - 2020-09-08 23-39-02-04</t>
  </si>
  <si>
    <t>投球解析 - パワプロ2020 - 2020-09-08 23-39-02-05</t>
  </si>
  <si>
    <t>投球解析 - パワプロ2020 - 2020-09-08 23-39-02-06</t>
  </si>
  <si>
    <t>にコア 作当アた</t>
  </si>
  <si>
    <t>投球解析 - パワプロ2020 - 2020-09-08 23-39-02-07</t>
  </si>
  <si>
    <t>投球解析 - パワプロ2020 - 2020-09-08 23-39-02-08</t>
  </si>
  <si>
    <t>投球解析 - パワプロ2020 - 2020-09-08 23-39-02-09</t>
  </si>
  <si>
    <t>〇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</si>
</sst>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12">
    <xf numFmtId="0" fontId="0" fillId="0" borderId="0" xfId="0">
      <alignment vertical="center"/>
    </xf>
    <xf numFmtId="0" fontId="2" fillId="0" borderId="0" xfId="1">
      <alignment vertical="center"/>
    </xf>
    <xf numFmtId="176" fontId="0" fillId="0" borderId="0" xfId="0" applyNumberFormat="1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top" textRotation="180"/>
    </xf>
    <xf numFmtId="49" fontId="0" fillId="0" borderId="0" xfId="0" applyNumberFormat="1" applyAlignment="1">
      <alignment horizontal="center"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1103592592592593"/>
                  <c:y val="-1.560870370370370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output!$R$2:$R$2000</c:f>
              <c:numCache>
                <c:formatCode>General</c:formatCode>
                <c:ptCount val="618"/>
                <c:pt idx="0">
                  <c:v>7.0422535211267607E-3</c:v>
                </c:pt>
                <c:pt idx="1">
                  <c:v>7.0422535211267607E-3</c:v>
                </c:pt>
                <c:pt idx="2">
                  <c:v>7.1428571428571426E-3</c:v>
                </c:pt>
                <c:pt idx="3">
                  <c:v>7.0921985815602835E-3</c:v>
                </c:pt>
                <c:pt idx="4">
                  <c:v>7.1428571428571426E-3</c:v>
                </c:pt>
                <c:pt idx="5">
                  <c:v>7.0921985815602835E-3</c:v>
                </c:pt>
                <c:pt idx="6">
                  <c:v>7.0921985815602835E-3</c:v>
                </c:pt>
                <c:pt idx="7">
                  <c:v>7.0422535211267607E-3</c:v>
                </c:pt>
                <c:pt idx="8">
                  <c:v>7.0921985815602835E-3</c:v>
                </c:pt>
                <c:pt idx="9">
                  <c:v>7.1942446043165471E-3</c:v>
                </c:pt>
                <c:pt idx="10">
                  <c:v>7.0422535211267607E-3</c:v>
                </c:pt>
                <c:pt idx="11">
                  <c:v>7.1942446043165471E-3</c:v>
                </c:pt>
                <c:pt idx="12">
                  <c:v>7.1942446043165471E-3</c:v>
                </c:pt>
                <c:pt idx="13">
                  <c:v>7.0921985815602835E-3</c:v>
                </c:pt>
                <c:pt idx="14">
                  <c:v>7.1428571428571426E-3</c:v>
                </c:pt>
                <c:pt idx="15">
                  <c:v>6.8965517241379309E-3</c:v>
                </c:pt>
                <c:pt idx="16">
                  <c:v>6.7567567567567571E-3</c:v>
                </c:pt>
                <c:pt idx="17">
                  <c:v>7.1428571428571426E-3</c:v>
                </c:pt>
                <c:pt idx="18">
                  <c:v>6.993006993006993E-3</c:v>
                </c:pt>
                <c:pt idx="19">
                  <c:v>7.1428571428571426E-3</c:v>
                </c:pt>
              </c:numCache>
            </c:numRef>
          </c:xVal>
          <c:yVal>
            <c:numRef>
              <c:f>output!$U$2:$U$2000</c:f>
              <c:numCache>
                <c:formatCode>General</c:formatCode>
                <c:ptCount val="618"/>
                <c:pt idx="0">
                  <c:v>0.51249999999999996</c:v>
                </c:pt>
                <c:pt idx="1">
                  <c:v>0.51284722222222223</c:v>
                </c:pt>
                <c:pt idx="2">
                  <c:v>0.52048611111111109</c:v>
                </c:pt>
                <c:pt idx="3">
                  <c:v>0.51354166666666667</c:v>
                </c:pt>
                <c:pt idx="4">
                  <c:v>0.52118055555555554</c:v>
                </c:pt>
                <c:pt idx="5">
                  <c:v>0.51180555555555551</c:v>
                </c:pt>
                <c:pt idx="6">
                  <c:v>0.51180555555555551</c:v>
                </c:pt>
                <c:pt idx="7">
                  <c:v>0.51215277777777779</c:v>
                </c:pt>
                <c:pt idx="8">
                  <c:v>0.51180555555555551</c:v>
                </c:pt>
                <c:pt idx="9">
                  <c:v>0.52326388888888886</c:v>
                </c:pt>
                <c:pt idx="10">
                  <c:v>0.5371527777777777</c:v>
                </c:pt>
                <c:pt idx="11">
                  <c:v>0.50937500000000002</c:v>
                </c:pt>
                <c:pt idx="12">
                  <c:v>0.52638888888888891</c:v>
                </c:pt>
                <c:pt idx="13">
                  <c:v>0.50520833333333337</c:v>
                </c:pt>
                <c:pt idx="14">
                  <c:v>0.5072916666666667</c:v>
                </c:pt>
                <c:pt idx="15">
                  <c:v>0.50590277777777781</c:v>
                </c:pt>
                <c:pt idx="16">
                  <c:v>0.50173611111111116</c:v>
                </c:pt>
                <c:pt idx="17">
                  <c:v>0.5072916666666667</c:v>
                </c:pt>
                <c:pt idx="18">
                  <c:v>0.50173611111111116</c:v>
                </c:pt>
                <c:pt idx="19">
                  <c:v>0.5083333333333333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32-4844-A7EC-FC3E6FE433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4.00000000000000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1/</a:t>
                </a:r>
                <a:r>
                  <a:rPr lang="ja-JP" altLang="en-US"/>
                  <a:t>表示球速  </a:t>
                </a:r>
                <a:r>
                  <a:rPr lang="en-US" altLang="ja-JP"/>
                  <a:t>(h/km)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ベースまでの到達時間（秒）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output!$J$2:$J$2000</c:f>
              <c:numCache>
                <c:formatCode>General</c:formatCode>
                <c:ptCount val="618"/>
                <c:pt idx="0">
                  <c:v>142</c:v>
                </c:pt>
                <c:pt idx="1">
                  <c:v>142</c:v>
                </c:pt>
                <c:pt idx="2">
                  <c:v>140</c:v>
                </c:pt>
                <c:pt idx="3">
                  <c:v>141</c:v>
                </c:pt>
                <c:pt idx="4">
                  <c:v>140</c:v>
                </c:pt>
                <c:pt idx="5">
                  <c:v>141</c:v>
                </c:pt>
                <c:pt idx="6">
                  <c:v>141</c:v>
                </c:pt>
                <c:pt idx="7">
                  <c:v>142</c:v>
                </c:pt>
                <c:pt idx="8">
                  <c:v>141</c:v>
                </c:pt>
                <c:pt idx="9">
                  <c:v>139</c:v>
                </c:pt>
                <c:pt idx="10">
                  <c:v>142</c:v>
                </c:pt>
                <c:pt idx="11">
                  <c:v>139</c:v>
                </c:pt>
                <c:pt idx="12">
                  <c:v>139</c:v>
                </c:pt>
                <c:pt idx="13">
                  <c:v>141</c:v>
                </c:pt>
                <c:pt idx="14">
                  <c:v>140</c:v>
                </c:pt>
                <c:pt idx="15">
                  <c:v>145</c:v>
                </c:pt>
                <c:pt idx="16">
                  <c:v>148</c:v>
                </c:pt>
                <c:pt idx="17">
                  <c:v>140</c:v>
                </c:pt>
                <c:pt idx="18">
                  <c:v>143</c:v>
                </c:pt>
                <c:pt idx="19">
                  <c:v>140</c:v>
                </c:pt>
              </c:numCache>
            </c:numRef>
          </c:xVal>
          <c:yVal>
            <c:numRef>
              <c:f>output!$U$2:$U$2000</c:f>
              <c:numCache>
                <c:formatCode>General</c:formatCode>
                <c:ptCount val="618"/>
                <c:pt idx="0">
                  <c:v>0.51249999999999996</c:v>
                </c:pt>
                <c:pt idx="1">
                  <c:v>0.51284722222222223</c:v>
                </c:pt>
                <c:pt idx="2">
                  <c:v>0.52048611111111109</c:v>
                </c:pt>
                <c:pt idx="3">
                  <c:v>0.51354166666666667</c:v>
                </c:pt>
                <c:pt idx="4">
                  <c:v>0.52118055555555554</c:v>
                </c:pt>
                <c:pt idx="5">
                  <c:v>0.51180555555555551</c:v>
                </c:pt>
                <c:pt idx="6">
                  <c:v>0.51180555555555551</c:v>
                </c:pt>
                <c:pt idx="7">
                  <c:v>0.51215277777777779</c:v>
                </c:pt>
                <c:pt idx="8">
                  <c:v>0.51180555555555551</c:v>
                </c:pt>
                <c:pt idx="9">
                  <c:v>0.52326388888888886</c:v>
                </c:pt>
                <c:pt idx="10">
                  <c:v>0.5371527777777777</c:v>
                </c:pt>
                <c:pt idx="11">
                  <c:v>0.50937500000000002</c:v>
                </c:pt>
                <c:pt idx="12">
                  <c:v>0.52638888888888891</c:v>
                </c:pt>
                <c:pt idx="13">
                  <c:v>0.50520833333333337</c:v>
                </c:pt>
                <c:pt idx="14">
                  <c:v>0.5072916666666667</c:v>
                </c:pt>
                <c:pt idx="15">
                  <c:v>0.50590277777777781</c:v>
                </c:pt>
                <c:pt idx="16">
                  <c:v>0.50173611111111116</c:v>
                </c:pt>
                <c:pt idx="17">
                  <c:v>0.5072916666666667</c:v>
                </c:pt>
                <c:pt idx="18">
                  <c:v>0.50173611111111116</c:v>
                </c:pt>
                <c:pt idx="19">
                  <c:v>0.5083333333333333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5C-480C-9BCE-2F6AA8495B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表示球速　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ベースまでの到達時間　（秒）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70C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1103592592592593"/>
                  <c:y val="-2.375407407407407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output!$R$2:$R$2000</c:f>
              <c:numCache>
                <c:formatCode>General</c:formatCode>
                <c:ptCount val="618"/>
                <c:pt idx="0">
                  <c:v>7.0422535211267607E-3</c:v>
                </c:pt>
                <c:pt idx="1">
                  <c:v>7.0422535211267607E-3</c:v>
                </c:pt>
                <c:pt idx="2">
                  <c:v>7.1428571428571426E-3</c:v>
                </c:pt>
                <c:pt idx="3">
                  <c:v>7.0921985815602835E-3</c:v>
                </c:pt>
                <c:pt idx="4">
                  <c:v>7.1428571428571426E-3</c:v>
                </c:pt>
                <c:pt idx="5">
                  <c:v>7.0921985815602835E-3</c:v>
                </c:pt>
                <c:pt idx="6">
                  <c:v>7.0921985815602835E-3</c:v>
                </c:pt>
                <c:pt idx="7">
                  <c:v>7.0422535211267607E-3</c:v>
                </c:pt>
                <c:pt idx="8">
                  <c:v>7.0921985815602835E-3</c:v>
                </c:pt>
                <c:pt idx="9">
                  <c:v>7.1942446043165471E-3</c:v>
                </c:pt>
                <c:pt idx="10">
                  <c:v>7.0422535211267607E-3</c:v>
                </c:pt>
                <c:pt idx="11">
                  <c:v>7.1942446043165471E-3</c:v>
                </c:pt>
                <c:pt idx="12">
                  <c:v>7.1942446043165471E-3</c:v>
                </c:pt>
                <c:pt idx="13">
                  <c:v>7.0921985815602835E-3</c:v>
                </c:pt>
                <c:pt idx="14">
                  <c:v>7.1428571428571426E-3</c:v>
                </c:pt>
                <c:pt idx="15">
                  <c:v>6.8965517241379309E-3</c:v>
                </c:pt>
                <c:pt idx="16">
                  <c:v>6.7567567567567571E-3</c:v>
                </c:pt>
                <c:pt idx="17">
                  <c:v>7.1428571428571426E-3</c:v>
                </c:pt>
                <c:pt idx="18">
                  <c:v>6.993006993006993E-3</c:v>
                </c:pt>
                <c:pt idx="19">
                  <c:v>7.1428571428571426E-3</c:v>
                </c:pt>
              </c:numCache>
            </c:numRef>
          </c:xVal>
          <c:yVal>
            <c:numRef>
              <c:f>output!$S$2:$S$2000</c:f>
              <c:numCache>
                <c:formatCode>General</c:formatCode>
                <c:ptCount val="618"/>
                <c:pt idx="0">
                  <c:v>0.44583333333333336</c:v>
                </c:pt>
                <c:pt idx="1">
                  <c:v>0.44618055555555552</c:v>
                </c:pt>
                <c:pt idx="2">
                  <c:v>0.45381944444444444</c:v>
                </c:pt>
                <c:pt idx="3">
                  <c:v>0.44687500000000002</c:v>
                </c:pt>
                <c:pt idx="4">
                  <c:v>0.45451388888888888</c:v>
                </c:pt>
                <c:pt idx="5">
                  <c:v>0.44513888888888886</c:v>
                </c:pt>
                <c:pt idx="6">
                  <c:v>0.44513888888888886</c:v>
                </c:pt>
                <c:pt idx="7">
                  <c:v>0.44548611111111114</c:v>
                </c:pt>
                <c:pt idx="8">
                  <c:v>0.44513888888888886</c:v>
                </c:pt>
                <c:pt idx="9">
                  <c:v>0.45659722222222221</c:v>
                </c:pt>
                <c:pt idx="10">
                  <c:v>0.40381944444444445</c:v>
                </c:pt>
                <c:pt idx="11">
                  <c:v>0.37604166666666666</c:v>
                </c:pt>
                <c:pt idx="12">
                  <c:v>0.37638888888888888</c:v>
                </c:pt>
                <c:pt idx="13">
                  <c:v>0.37187500000000001</c:v>
                </c:pt>
                <c:pt idx="14">
                  <c:v>0.37395833333333334</c:v>
                </c:pt>
                <c:pt idx="15">
                  <c:v>0.37256944444444445</c:v>
                </c:pt>
                <c:pt idx="16">
                  <c:v>0.3684027777777778</c:v>
                </c:pt>
                <c:pt idx="17">
                  <c:v>0.37395833333333334</c:v>
                </c:pt>
                <c:pt idx="18">
                  <c:v>0.3684027777777778</c:v>
                </c:pt>
                <c:pt idx="19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4C-4330-93B5-E3AB9D4A4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4.000000000000001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1/</a:t>
                </a:r>
                <a:r>
                  <a:rPr lang="ja-JP" altLang="en-US"/>
                  <a:t>表示球速  </a:t>
                </a:r>
                <a:r>
                  <a:rPr lang="en-US" altLang="ja-JP"/>
                  <a:t>(h/km)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  <c:min val="0.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ベースまでの到達時間（秒）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0070C0"/>
                </a:solidFill>
              </a:ln>
              <a:effectLst/>
            </c:spPr>
          </c:marker>
          <c:xVal>
            <c:numRef>
              <c:f>output!$J$2:$J$2000</c:f>
              <c:numCache>
                <c:formatCode>General</c:formatCode>
                <c:ptCount val="618"/>
                <c:pt idx="0">
                  <c:v>142</c:v>
                </c:pt>
                <c:pt idx="1">
                  <c:v>142</c:v>
                </c:pt>
                <c:pt idx="2">
                  <c:v>140</c:v>
                </c:pt>
                <c:pt idx="3">
                  <c:v>141</c:v>
                </c:pt>
                <c:pt idx="4">
                  <c:v>140</c:v>
                </c:pt>
                <c:pt idx="5">
                  <c:v>141</c:v>
                </c:pt>
                <c:pt idx="6">
                  <c:v>141</c:v>
                </c:pt>
                <c:pt idx="7">
                  <c:v>142</c:v>
                </c:pt>
                <c:pt idx="8">
                  <c:v>141</c:v>
                </c:pt>
                <c:pt idx="9">
                  <c:v>139</c:v>
                </c:pt>
                <c:pt idx="10">
                  <c:v>142</c:v>
                </c:pt>
                <c:pt idx="11">
                  <c:v>139</c:v>
                </c:pt>
                <c:pt idx="12">
                  <c:v>139</c:v>
                </c:pt>
                <c:pt idx="13">
                  <c:v>141</c:v>
                </c:pt>
                <c:pt idx="14">
                  <c:v>140</c:v>
                </c:pt>
                <c:pt idx="15">
                  <c:v>145</c:v>
                </c:pt>
                <c:pt idx="16">
                  <c:v>148</c:v>
                </c:pt>
                <c:pt idx="17">
                  <c:v>140</c:v>
                </c:pt>
                <c:pt idx="18">
                  <c:v>143</c:v>
                </c:pt>
                <c:pt idx="19">
                  <c:v>140</c:v>
                </c:pt>
              </c:numCache>
            </c:numRef>
          </c:xVal>
          <c:yVal>
            <c:numRef>
              <c:f>output!$S$2:$S$2000</c:f>
              <c:numCache>
                <c:formatCode>General</c:formatCode>
                <c:ptCount val="618"/>
                <c:pt idx="0">
                  <c:v>0.44583333333333336</c:v>
                </c:pt>
                <c:pt idx="1">
                  <c:v>0.44618055555555552</c:v>
                </c:pt>
                <c:pt idx="2">
                  <c:v>0.45381944444444444</c:v>
                </c:pt>
                <c:pt idx="3">
                  <c:v>0.44687500000000002</c:v>
                </c:pt>
                <c:pt idx="4">
                  <c:v>0.45451388888888888</c:v>
                </c:pt>
                <c:pt idx="5">
                  <c:v>0.44513888888888886</c:v>
                </c:pt>
                <c:pt idx="6">
                  <c:v>0.44513888888888886</c:v>
                </c:pt>
                <c:pt idx="7">
                  <c:v>0.44548611111111114</c:v>
                </c:pt>
                <c:pt idx="8">
                  <c:v>0.44513888888888886</c:v>
                </c:pt>
                <c:pt idx="9">
                  <c:v>0.45659722222222221</c:v>
                </c:pt>
                <c:pt idx="10">
                  <c:v>0.40381944444444445</c:v>
                </c:pt>
                <c:pt idx="11">
                  <c:v>0.37604166666666666</c:v>
                </c:pt>
                <c:pt idx="12">
                  <c:v>0.37638888888888888</c:v>
                </c:pt>
                <c:pt idx="13">
                  <c:v>0.37187500000000001</c:v>
                </c:pt>
                <c:pt idx="14">
                  <c:v>0.37395833333333334</c:v>
                </c:pt>
                <c:pt idx="15">
                  <c:v>0.37256944444444445</c:v>
                </c:pt>
                <c:pt idx="16">
                  <c:v>0.3684027777777778</c:v>
                </c:pt>
                <c:pt idx="17">
                  <c:v>0.37395833333333334</c:v>
                </c:pt>
                <c:pt idx="18">
                  <c:v>0.3684027777777778</c:v>
                </c:pt>
                <c:pt idx="19">
                  <c:v>0.375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51-4A28-BA27-11755C804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1/</a:t>
                </a:r>
                <a:r>
                  <a:rPr lang="ja-JP" altLang="en-US"/>
                  <a:t>表示球速  </a:t>
                </a:r>
                <a:r>
                  <a:rPr lang="en-US" altLang="ja-JP"/>
                  <a:t>(h/km)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ベースまでの到達時間（秒）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1780981481481481"/>
                  <c:y val="2.5473333333333334E-2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output!$J$2:$J$2000</c:f>
              <c:numCache>
                <c:formatCode>General</c:formatCode>
                <c:ptCount val="618"/>
                <c:pt idx="0">
                  <c:v>142</c:v>
                </c:pt>
                <c:pt idx="1">
                  <c:v>142</c:v>
                </c:pt>
                <c:pt idx="2">
                  <c:v>140</c:v>
                </c:pt>
                <c:pt idx="3">
                  <c:v>141</c:v>
                </c:pt>
                <c:pt idx="4">
                  <c:v>140</c:v>
                </c:pt>
                <c:pt idx="5">
                  <c:v>141</c:v>
                </c:pt>
                <c:pt idx="6">
                  <c:v>141</c:v>
                </c:pt>
                <c:pt idx="7">
                  <c:v>142</c:v>
                </c:pt>
                <c:pt idx="8">
                  <c:v>141</c:v>
                </c:pt>
                <c:pt idx="9">
                  <c:v>139</c:v>
                </c:pt>
                <c:pt idx="10">
                  <c:v>142</c:v>
                </c:pt>
                <c:pt idx="11">
                  <c:v>139</c:v>
                </c:pt>
                <c:pt idx="12">
                  <c:v>139</c:v>
                </c:pt>
                <c:pt idx="13">
                  <c:v>141</c:v>
                </c:pt>
                <c:pt idx="14">
                  <c:v>140</c:v>
                </c:pt>
                <c:pt idx="15">
                  <c:v>145</c:v>
                </c:pt>
                <c:pt idx="16">
                  <c:v>148</c:v>
                </c:pt>
                <c:pt idx="17">
                  <c:v>140</c:v>
                </c:pt>
                <c:pt idx="18">
                  <c:v>143</c:v>
                </c:pt>
                <c:pt idx="19">
                  <c:v>140</c:v>
                </c:pt>
              </c:numCache>
            </c:numRef>
          </c:xVal>
          <c:yVal>
            <c:numRef>
              <c:f>output!$V$2:$V$2000</c:f>
              <c:numCache>
                <c:formatCode>General</c:formatCode>
                <c:ptCount val="618"/>
                <c:pt idx="0">
                  <c:v>167.58742206560046</c:v>
                </c:pt>
                <c:pt idx="1">
                  <c:v>167.42983096239345</c:v>
                </c:pt>
                <c:pt idx="2">
                  <c:v>164.03629154106383</c:v>
                </c:pt>
                <c:pt idx="3">
                  <c:v>167.11553623318991</c:v>
                </c:pt>
                <c:pt idx="4">
                  <c:v>163.73459673800295</c:v>
                </c:pt>
                <c:pt idx="5">
                  <c:v>167.9034959337327</c:v>
                </c:pt>
                <c:pt idx="6">
                  <c:v>167.9034959337327</c:v>
                </c:pt>
                <c:pt idx="7">
                  <c:v>167.7453101093617</c:v>
                </c:pt>
                <c:pt idx="8">
                  <c:v>167.9034959337327</c:v>
                </c:pt>
                <c:pt idx="9">
                  <c:v>162.83613430007537</c:v>
                </c:pt>
                <c:pt idx="10">
                  <c:v>157.08947691612732</c:v>
                </c:pt>
                <c:pt idx="11">
                  <c:v>169.01920579591277</c:v>
                </c:pt>
                <c:pt idx="12">
                  <c:v>161.50677774230064</c:v>
                </c:pt>
                <c:pt idx="13">
                  <c:v>170.96674578849121</c:v>
                </c:pt>
                <c:pt idx="14">
                  <c:v>169.98739774992552</c:v>
                </c:pt>
                <c:pt idx="15">
                  <c:v>170.63904499766156</c:v>
                </c:pt>
                <c:pt idx="16">
                  <c:v>172.62431260616307</c:v>
                </c:pt>
                <c:pt idx="17">
                  <c:v>169.98739774992552</c:v>
                </c:pt>
                <c:pt idx="18">
                  <c:v>172.62431260616307</c:v>
                </c:pt>
                <c:pt idx="19">
                  <c:v>169.50191921038203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7F-439B-9562-97CF8B9F2D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表示球速（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  <a:endParaRPr lang="en-US" alt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ストレート換算球速　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output!$U$1</c:f>
              <c:strCache>
                <c:ptCount val="1"/>
                <c:pt idx="0">
                  <c:v>時間
（モーション）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0.11780981481481481"/>
                  <c:y val="2.5473333333333334E-2"/>
                </c:manualLayout>
              </c:layout>
              <c:numFmt formatCode="General" sourceLinked="0"/>
              <c:spPr>
                <a:solidFill>
                  <a:schemeClr val="bg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05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ja-JP"/>
                </a:p>
              </c:txPr>
            </c:trendlineLbl>
          </c:trendline>
          <c:xVal>
            <c:numRef>
              <c:f>output!$J$2:$J$2000</c:f>
              <c:numCache>
                <c:formatCode>General</c:formatCode>
                <c:ptCount val="618"/>
                <c:pt idx="0">
                  <c:v>142</c:v>
                </c:pt>
                <c:pt idx="1">
                  <c:v>142</c:v>
                </c:pt>
                <c:pt idx="2">
                  <c:v>140</c:v>
                </c:pt>
                <c:pt idx="3">
                  <c:v>141</c:v>
                </c:pt>
                <c:pt idx="4">
                  <c:v>140</c:v>
                </c:pt>
                <c:pt idx="5">
                  <c:v>141</c:v>
                </c:pt>
                <c:pt idx="6">
                  <c:v>141</c:v>
                </c:pt>
                <c:pt idx="7">
                  <c:v>142</c:v>
                </c:pt>
                <c:pt idx="8">
                  <c:v>141</c:v>
                </c:pt>
                <c:pt idx="9">
                  <c:v>139</c:v>
                </c:pt>
                <c:pt idx="10">
                  <c:v>142</c:v>
                </c:pt>
                <c:pt idx="11">
                  <c:v>139</c:v>
                </c:pt>
                <c:pt idx="12">
                  <c:v>139</c:v>
                </c:pt>
                <c:pt idx="13">
                  <c:v>141</c:v>
                </c:pt>
                <c:pt idx="14">
                  <c:v>140</c:v>
                </c:pt>
                <c:pt idx="15">
                  <c:v>145</c:v>
                </c:pt>
                <c:pt idx="16">
                  <c:v>148</c:v>
                </c:pt>
                <c:pt idx="17">
                  <c:v>140</c:v>
                </c:pt>
                <c:pt idx="18">
                  <c:v>143</c:v>
                </c:pt>
                <c:pt idx="19">
                  <c:v>140</c:v>
                </c:pt>
              </c:numCache>
            </c:numRef>
          </c:xVal>
          <c:yVal>
            <c:numRef>
              <c:f>output!$T$2:$T$2000</c:f>
              <c:numCache>
                <c:formatCode>General</c:formatCode>
                <c:ptCount val="618"/>
                <c:pt idx="0">
                  <c:v>160.3570810997752</c:v>
                </c:pt>
                <c:pt idx="1">
                  <c:v>160.21278893152029</c:v>
                </c:pt>
                <c:pt idx="2">
                  <c:v>157.10278328756874</c:v>
                </c:pt>
                <c:pt idx="3">
                  <c:v>159.92498221561146</c:v>
                </c:pt>
                <c:pt idx="4">
                  <c:v>156.82603211736438</c:v>
                </c:pt>
                <c:pt idx="5">
                  <c:v>160.64644656494062</c:v>
                </c:pt>
                <c:pt idx="6">
                  <c:v>160.64644656494062</c:v>
                </c:pt>
                <c:pt idx="7">
                  <c:v>160.50163340953506</c:v>
                </c:pt>
                <c:pt idx="8">
                  <c:v>160.64644656494062</c:v>
                </c:pt>
                <c:pt idx="9">
                  <c:v>156.0015981271072</c:v>
                </c:pt>
                <c:pt idx="10">
                  <c:v>179.96943404465219</c:v>
                </c:pt>
                <c:pt idx="11">
                  <c:v>195.80247565256408</c:v>
                </c:pt>
                <c:pt idx="12">
                  <c:v>195.58738751406077</c:v>
                </c:pt>
                <c:pt idx="13">
                  <c:v>198.42092594078474</c:v>
                </c:pt>
                <c:pt idx="14">
                  <c:v>197.10300486197829</c:v>
                </c:pt>
                <c:pt idx="15">
                  <c:v>197.9796649972869</c:v>
                </c:pt>
                <c:pt idx="16">
                  <c:v>200.65706789761714</c:v>
                </c:pt>
                <c:pt idx="17">
                  <c:v>197.10300486197829</c:v>
                </c:pt>
                <c:pt idx="18">
                  <c:v>200.65706789761714</c:v>
                </c:pt>
                <c:pt idx="19">
                  <c:v>196.45058786145538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15-4CF5-9B8E-05E639F12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4992952"/>
        <c:axId val="814994552"/>
      </c:scatterChart>
      <c:valAx>
        <c:axId val="814992952"/>
        <c:scaling>
          <c:orientation val="minMax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表示球速（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  <a:endParaRPr lang="en-US" altLang="ja-JP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4552"/>
        <c:crosses val="autoZero"/>
        <c:crossBetween val="midCat"/>
      </c:valAx>
      <c:valAx>
        <c:axId val="8149945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ストレート換算球速　（</a:t>
                </a:r>
                <a:r>
                  <a:rPr lang="en-US" altLang="ja-JP"/>
                  <a:t>km/h</a:t>
                </a:r>
                <a:r>
                  <a:rPr lang="ja-JP" altLang="en-US"/>
                  <a:t>）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149929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139700</xdr:rowOff>
    </xdr:from>
    <xdr:to>
      <xdr:col>8</xdr:col>
      <xdr:colOff>243800</xdr:colOff>
      <xdr:row>24</xdr:row>
      <xdr:rowOff>53300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95F12636-9E92-4500-B90E-C43549497A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285750</xdr:colOff>
      <xdr:row>0</xdr:row>
      <xdr:rowOff>133350</xdr:rowOff>
    </xdr:from>
    <xdr:to>
      <xdr:col>16</xdr:col>
      <xdr:colOff>402550</xdr:colOff>
      <xdr:row>24</xdr:row>
      <xdr:rowOff>46950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37C1A0D8-5B8F-41C7-8429-E2F5CB6DF6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127000</xdr:colOff>
      <xdr:row>24</xdr:row>
      <xdr:rowOff>101600</xdr:rowOff>
    </xdr:from>
    <xdr:to>
      <xdr:col>8</xdr:col>
      <xdr:colOff>243800</xdr:colOff>
      <xdr:row>48</xdr:row>
      <xdr:rowOff>15200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31F99745-134F-4E80-B326-99820F5BE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342900</xdr:colOff>
      <xdr:row>24</xdr:row>
      <xdr:rowOff>101600</xdr:rowOff>
    </xdr:from>
    <xdr:to>
      <xdr:col>16</xdr:col>
      <xdr:colOff>459700</xdr:colOff>
      <xdr:row>48</xdr:row>
      <xdr:rowOff>15200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F565FBC0-5E47-4B11-8EF9-D2EEBB723C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215900</xdr:colOff>
      <xdr:row>1</xdr:row>
      <xdr:rowOff>38100</xdr:rowOff>
    </xdr:from>
    <xdr:to>
      <xdr:col>8</xdr:col>
      <xdr:colOff>332700</xdr:colOff>
      <xdr:row>24</xdr:row>
      <xdr:rowOff>180300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70BBA80-E277-4FA6-B8C1-BDF0809F8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463550</xdr:colOff>
      <xdr:row>0</xdr:row>
      <xdr:rowOff>209550</xdr:rowOff>
    </xdr:from>
    <xdr:to>
      <xdr:col>16</xdr:col>
      <xdr:colOff>580350</xdr:colOff>
      <xdr:row>24</xdr:row>
      <xdr:rowOff>123150</xdr:rowOff>
    </xdr:to>
    <xdr:graphicFrame macro="">
      <xdr:nvGraphicFramePr>
        <xdr:cNvPr id="3" name="グラフ 2">
          <a:extLst>
            <a:ext uri="{FF2B5EF4-FFF2-40B4-BE49-F238E27FC236}">
              <a16:creationId xmlns:a16="http://schemas.microsoft.com/office/drawing/2014/main" id="{90F35CBC-D2F5-43E5-A555-CD42382A22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522" Type="http://schemas.openxmlformats.org/officeDocument/2006/relationships/hyperlink" Target="result/&#12497;&#12527;&#12503;&#12525;2020%20-%20&#25237;&#29699;&#35299;&#26512;%20-%202020-08-23%2016-04-57-07_ball.txt" TargetMode="External"/><Relationship Id="rId1827" Type="http://schemas.openxmlformats.org/officeDocument/2006/relationships/hyperlink" Target="out/&#12497;&#12527;&#12503;&#12525;2020%20-%20&#25237;&#29699;&#35299;&#26512;%20-%202020-08-24%2013-14-19-08_out.mp4" TargetMode="External"/><Relationship Id="rId21" Type="http://schemas.openxmlformats.org/officeDocument/2006/relationships/hyperlink" Target="out/&#12497;&#12527;&#12503;&#12525;2020%20-%20&#25237;&#29699;&#35299;&#26512;%20-%202020-08-23%2011-11-35-00_out.mp4" TargetMode="External"/><Relationship Id="rId2089" Type="http://schemas.openxmlformats.org/officeDocument/2006/relationships/hyperlink" Target="out/&#12497;&#12527;&#12503;&#12525;2020%20-%20&#25237;&#29699;&#35299;&#26512;%20-%202020-08-27%2018-21-04-03_out.mp4" TargetMode="External"/><Relationship Id="rId170" Type="http://schemas.openxmlformats.org/officeDocument/2006/relationships/hyperlink" Target="result/&#12497;&#12527;&#12503;&#12525;2020%20-%20&#25237;&#29699;&#35299;&#26512;%20-%202020-08-23%2014-06-56-04_ball.txt" TargetMode="External"/><Relationship Id="rId2296" Type="http://schemas.openxmlformats.org/officeDocument/2006/relationships/hyperlink" Target="result/&#12497;&#12527;&#12503;&#12525;2020%20-%20&#25237;&#29699;&#35299;&#26512;%20-%202020-08-29%2009-39-15-06_ball.txt" TargetMode="External"/><Relationship Id="rId268" Type="http://schemas.openxmlformats.org/officeDocument/2006/relationships/hyperlink" Target="result/&#12497;&#12527;&#12503;&#12525;2020%20-%20&#25237;&#29699;&#35299;&#26512;%20-%202020-08-23%2014-24-49-03_ball.txt" TargetMode="External"/><Relationship Id="rId475" Type="http://schemas.openxmlformats.org/officeDocument/2006/relationships/hyperlink" Target="out/&#12497;&#12527;&#12503;&#12525;2020%20-%20&#25237;&#29699;&#35299;&#26512;%20-%202020-08-23%2016-09-58-08_out.mp4" TargetMode="External"/><Relationship Id="rId682" Type="http://schemas.openxmlformats.org/officeDocument/2006/relationships/hyperlink" Target="result/&#12497;&#12527;&#12503;&#12525;2020%20-%20&#25237;&#29699;&#35299;&#26512;%20-%202020-08-24%2011-24-36-02_ball.txt" TargetMode="External"/><Relationship Id="rId2156" Type="http://schemas.openxmlformats.org/officeDocument/2006/relationships/hyperlink" Target="result/&#12497;&#12527;&#12503;&#12525;2020%20-%20&#25237;&#29699;&#35299;&#26512;%20-%202020-08-27%2018-26-47-06_ball.txt" TargetMode="External"/><Relationship Id="rId2363" Type="http://schemas.openxmlformats.org/officeDocument/2006/relationships/hyperlink" Target="out/&#12497;&#12527;&#12503;&#12525;2020%20-%20&#25237;&#29699;&#35299;&#26512;%20-%202020-08-29%2009-46-05-01_out.mp4" TargetMode="External"/><Relationship Id="rId2570" Type="http://schemas.openxmlformats.org/officeDocument/2006/relationships/hyperlink" Target="result/&#12497;&#12527;&#12503;&#12525;2020%20-%20&#25237;&#29699;&#35299;&#26512;%20-%202020-08-29%2015-51-26-03_ball.txt" TargetMode="External"/><Relationship Id="rId128" Type="http://schemas.openxmlformats.org/officeDocument/2006/relationships/hyperlink" Target="result/&#12497;&#12527;&#12503;&#12525;2020%20-%20&#25237;&#29699;&#35299;&#26512;%20-%202020-08-23%2014-04-47-03_ball.txt" TargetMode="External"/><Relationship Id="rId335" Type="http://schemas.openxmlformats.org/officeDocument/2006/relationships/hyperlink" Target="out/&#12497;&#12527;&#12503;&#12525;2020%20-%20&#25237;&#29699;&#35299;&#26512;%20-%202020-08-23%2015-48-07-07_out.mp4" TargetMode="External"/><Relationship Id="rId542" Type="http://schemas.openxmlformats.org/officeDocument/2006/relationships/hyperlink" Target="result/&#12497;&#12527;&#12503;&#12525;2020%20-%20&#25237;&#29699;&#35299;&#26512;%20-%202020-08-23%2016-25-48-01_ball.txt" TargetMode="External"/><Relationship Id="rId987" Type="http://schemas.openxmlformats.org/officeDocument/2006/relationships/hyperlink" Target="out/&#12497;&#12527;&#12503;&#12525;2020%20-%20&#25237;&#29699;&#35299;&#26512;%20-%202020-08-24%2012-33-48-00_out.mp4" TargetMode="External"/><Relationship Id="rId1172" Type="http://schemas.openxmlformats.org/officeDocument/2006/relationships/hyperlink" Target="result/&#12497;&#12527;&#12503;&#12525;2020%20-%20&#25237;&#29699;&#35299;&#26512;%20-%202020-08-24%2012-49-17-03_ball.txt" TargetMode="External"/><Relationship Id="rId2016" Type="http://schemas.openxmlformats.org/officeDocument/2006/relationships/hyperlink" Target="result/&#12497;&#12527;&#12503;&#12525;2020%20-%20&#25237;&#29699;&#35299;&#26512;%20-%202020-08-27%2018-14-40-06_ball.txt" TargetMode="External"/><Relationship Id="rId2223" Type="http://schemas.openxmlformats.org/officeDocument/2006/relationships/hyperlink" Target="out/&#12497;&#12527;&#12503;&#12525;2020%20-%20&#25237;&#29699;&#35299;&#26512;%20-%202020-08-28%2022-36-12-00_out.mp4" TargetMode="External"/><Relationship Id="rId2430" Type="http://schemas.openxmlformats.org/officeDocument/2006/relationships/hyperlink" Target="result/&#12497;&#12527;&#12503;&#12525;2020%20-%20&#25237;&#29699;&#35299;&#26512;%20-%202020-08-29%2015-42-43-04_ball.txt" TargetMode="External"/><Relationship Id="rId2668" Type="http://schemas.openxmlformats.org/officeDocument/2006/relationships/hyperlink" Target="result/&#12497;&#12527;&#12503;&#12525;2020%20-%20&#25237;&#29699;&#35299;&#26512;%20-%202020-08-29%2015-57-36-02_ball.txt" TargetMode="External"/><Relationship Id="rId402" Type="http://schemas.openxmlformats.org/officeDocument/2006/relationships/hyperlink" Target="result/&#12497;&#12527;&#12503;&#12525;2020%20-%20&#25237;&#29699;&#35299;&#26512;%20-%202020-08-23%2016-03-31-01_ball.txt" TargetMode="External"/><Relationship Id="rId847" Type="http://schemas.openxmlformats.org/officeDocument/2006/relationships/hyperlink" Target="out/&#12497;&#12527;&#12503;&#12525;2020%20-%20&#25237;&#29699;&#35299;&#26512;%20-%202020-08-24%2012-10-03-04_out.mp4" TargetMode="External"/><Relationship Id="rId1032" Type="http://schemas.openxmlformats.org/officeDocument/2006/relationships/hyperlink" Target="result/&#12497;&#12527;&#12503;&#12525;2020%20-%20&#25237;&#29699;&#35299;&#26512;%20-%202020-08-24%2012-38-24-01_ball.txt" TargetMode="External"/><Relationship Id="rId1477" Type="http://schemas.openxmlformats.org/officeDocument/2006/relationships/hyperlink" Target="out/&#12497;&#12527;&#12503;&#12525;2020%20-%20&#25237;&#29699;&#35299;&#26512;%20-%202020-08-23%2015-53-39-05_out.mp4" TargetMode="External"/><Relationship Id="rId1684" Type="http://schemas.openxmlformats.org/officeDocument/2006/relationships/hyperlink" Target="result/&#12497;&#12527;&#12503;&#12525;2020%20-%20&#25237;&#29699;&#35299;&#26512;%20-%202020-08-24%2012-22-44-06_ball.txt" TargetMode="External"/><Relationship Id="rId1891" Type="http://schemas.openxmlformats.org/officeDocument/2006/relationships/hyperlink" Target="out/&#12497;&#12527;&#12503;&#12525;2020%20-%20&#25237;&#29699;&#35299;&#26512;%20-%202020-08-26%2021-15-29-01_out.mp4" TargetMode="External"/><Relationship Id="rId2528" Type="http://schemas.openxmlformats.org/officeDocument/2006/relationships/hyperlink" Target="result/&#12497;&#12527;&#12503;&#12525;2020%20-%20&#25237;&#29699;&#35299;&#26512;%20-%202020-08-29%2015-49-13-02_ball.txt" TargetMode="External"/><Relationship Id="rId2735" Type="http://schemas.openxmlformats.org/officeDocument/2006/relationships/hyperlink" Target="out/&#12497;&#12527;&#12503;&#12525;2020%20-%20&#25237;&#29699;&#35299;&#26512;%20-%202020-08-29%2016-01-23-06_out.mp4" TargetMode="External"/><Relationship Id="rId707" Type="http://schemas.openxmlformats.org/officeDocument/2006/relationships/hyperlink" Target="out/&#12497;&#12527;&#12503;&#12525;2020%20-%20&#25237;&#29699;&#35299;&#26512;%20-%202020-08-24%2011-25-48-05_out.mp4" TargetMode="External"/><Relationship Id="rId914" Type="http://schemas.openxmlformats.org/officeDocument/2006/relationships/hyperlink" Target="result/&#12497;&#12527;&#12503;&#12525;2020%20-%20&#25237;&#29699;&#35299;&#26512;%20-%202020-08-24%2012-22-44-03_ball.txt" TargetMode="External"/><Relationship Id="rId1337" Type="http://schemas.openxmlformats.org/officeDocument/2006/relationships/hyperlink" Target="out/&#12497;&#12527;&#12503;&#12525;2020%20-%20&#25237;&#29699;&#35299;&#26512;%20-%202020-08-24%2013-09-18-10_out.mp4" TargetMode="External"/><Relationship Id="rId1544" Type="http://schemas.openxmlformats.org/officeDocument/2006/relationships/hyperlink" Target="result/&#12497;&#12527;&#12503;&#12525;2020%20-%20&#25237;&#29699;&#35299;&#26512;%20-%202020-08-23%2016-07-35-08_ball.txt" TargetMode="External"/><Relationship Id="rId1751" Type="http://schemas.openxmlformats.org/officeDocument/2006/relationships/hyperlink" Target="out/&#12497;&#12527;&#12503;&#12525;2020%20-%20&#25237;&#29699;&#35299;&#26512;%20-%202020-08-24%2012-44-26-02_out.mp4" TargetMode="External"/><Relationship Id="rId1989" Type="http://schemas.openxmlformats.org/officeDocument/2006/relationships/hyperlink" Target="out/&#12497;&#12527;&#12503;&#12525;2020%20-%20&#25237;&#29699;&#35299;&#26512;%20-%202020-08-26%2021-35-18-03_out.mp4" TargetMode="External"/><Relationship Id="rId2802" Type="http://schemas.openxmlformats.org/officeDocument/2006/relationships/hyperlink" Target="result/&#25237;&#29699;&#35299;&#26512;%20-%20&#12497;&#12527;&#12503;&#12525;2020%20-%202020-09-08%2023-39-02-09_ball.txt" TargetMode="External"/><Relationship Id="rId43" Type="http://schemas.openxmlformats.org/officeDocument/2006/relationships/hyperlink" Target="out/&#12497;&#12527;&#12503;&#12525;2020%20-%20&#25237;&#29699;&#35299;&#26512;%20-%202020-08-23%2011-12-45-01_out.mp4" TargetMode="External"/><Relationship Id="rId1404" Type="http://schemas.openxmlformats.org/officeDocument/2006/relationships/hyperlink" Target="result/&#12497;&#12527;&#12503;&#12525;2020%20-%20&#25237;&#29699;&#35299;&#26512;%20-%202020-08-23%2014-18-29-07_ball.txt" TargetMode="External"/><Relationship Id="rId1611" Type="http://schemas.openxmlformats.org/officeDocument/2006/relationships/hyperlink" Target="out/&#12497;&#12527;&#12503;&#12525;2020%20-%20&#25237;&#29699;&#35299;&#26512;%20-%202020-08-24%2011-22-14-00_out.mp4" TargetMode="External"/><Relationship Id="rId1849" Type="http://schemas.openxmlformats.org/officeDocument/2006/relationships/hyperlink" Target="out/&#12497;&#12527;&#12503;&#12525;2020%20-%20&#25237;&#29699;&#35299;&#26512;%20-%202020-08-24%2013-17-56-00_out.mp4" TargetMode="External"/><Relationship Id="rId192" Type="http://schemas.openxmlformats.org/officeDocument/2006/relationships/hyperlink" Target="result/&#12497;&#12527;&#12503;&#12525;2020%20-%20&#25237;&#29699;&#35299;&#26512;%20-%202020-08-23%2014-08-02-05_ball.txt" TargetMode="External"/><Relationship Id="rId1709" Type="http://schemas.openxmlformats.org/officeDocument/2006/relationships/hyperlink" Target="out/&#12497;&#12527;&#12503;&#12525;2020%20-%20&#25237;&#29699;&#35299;&#26512;%20-%202020-08-24%2012-28-05-06_out.mp4" TargetMode="External"/><Relationship Id="rId1916" Type="http://schemas.openxmlformats.org/officeDocument/2006/relationships/hyperlink" Target="result/&#12497;&#12527;&#12503;&#12525;2020%20-%20&#25237;&#29699;&#35299;&#26512;%20-%202020-08-26%2021-17-48-03_ball.txt" TargetMode="External"/><Relationship Id="rId497" Type="http://schemas.openxmlformats.org/officeDocument/2006/relationships/hyperlink" Target="out/&#12497;&#12527;&#12503;&#12525;2020%20-%20&#25237;&#29699;&#35299;&#26512;%20-%202020-08-23%2016-12-41-09_out.mp4" TargetMode="External"/><Relationship Id="rId2080" Type="http://schemas.openxmlformats.org/officeDocument/2006/relationships/hyperlink" Target="result/&#12497;&#12527;&#12503;&#12525;2020%20-%20&#25237;&#29699;&#35299;&#26512;%20-%202020-08-27%2018-19-19-08_ball.txt" TargetMode="External"/><Relationship Id="rId2178" Type="http://schemas.openxmlformats.org/officeDocument/2006/relationships/hyperlink" Target="result/&#12497;&#12527;&#12503;&#12525;2020%20-%20&#25237;&#29699;&#35299;&#26512;%20-%202020-08-28%2022-31-31-07_ball.txt" TargetMode="External"/><Relationship Id="rId2385" Type="http://schemas.openxmlformats.org/officeDocument/2006/relationships/hyperlink" Target="out/&#12497;&#12527;&#12503;&#12525;2020%20-%20&#25237;&#29699;&#35299;&#26512;%20-%202020-08-29%2009-48-04-02_out.mp4" TargetMode="External"/><Relationship Id="rId357" Type="http://schemas.openxmlformats.org/officeDocument/2006/relationships/hyperlink" Target="out/&#12497;&#12527;&#12503;&#12525;2020%20-%20&#25237;&#29699;&#35299;&#26512;%20-%202020-08-23%2015-49-19-08_out.mp4" TargetMode="External"/><Relationship Id="rId1194" Type="http://schemas.openxmlformats.org/officeDocument/2006/relationships/hyperlink" Target="result/&#12497;&#12527;&#12503;&#12525;2020%20-%20&#25237;&#29699;&#35299;&#26512;%20-%202020-08-24%2012-52-05-07_ball.txt" TargetMode="External"/><Relationship Id="rId2038" Type="http://schemas.openxmlformats.org/officeDocument/2006/relationships/hyperlink" Target="result/&#12497;&#12527;&#12503;&#12525;2020%20-%20&#25237;&#29699;&#35299;&#26512;%20-%202020-08-27%2018-16-14-07_ball.txt" TargetMode="External"/><Relationship Id="rId2592" Type="http://schemas.openxmlformats.org/officeDocument/2006/relationships/hyperlink" Target="result/&#12497;&#12527;&#12503;&#12525;2020%20-%20&#25237;&#29699;&#35299;&#26512;%20-%202020-08-29%2015-52-32-04_ball.txt" TargetMode="External"/><Relationship Id="rId217" Type="http://schemas.openxmlformats.org/officeDocument/2006/relationships/hyperlink" Target="out/&#12497;&#12527;&#12503;&#12525;2020%20-%20&#25237;&#29699;&#35299;&#26512;%20-%202020-08-23%2014-19-33-08_out.mp4" TargetMode="External"/><Relationship Id="rId564" Type="http://schemas.openxmlformats.org/officeDocument/2006/relationships/hyperlink" Target="result/&#12497;&#12527;&#12503;&#12525;2020%20-%20&#25237;&#29699;&#35299;&#26512;%20-%202020-08-23%2016-26-58-02_ball.txt" TargetMode="External"/><Relationship Id="rId771" Type="http://schemas.openxmlformats.org/officeDocument/2006/relationships/hyperlink" Target="out/&#12497;&#12527;&#12503;&#12525;2020%20-%20&#25237;&#29699;&#35299;&#26512;%20-%202020-08-24%2012-03-33-08_out.mp4" TargetMode="External"/><Relationship Id="rId869" Type="http://schemas.openxmlformats.org/officeDocument/2006/relationships/hyperlink" Target="out/&#12497;&#12527;&#12503;&#12525;2020%20-%20&#25237;&#29699;&#35299;&#26512;%20-%202020-08-24%2012-12-56-01_out.mp4" TargetMode="External"/><Relationship Id="rId1499" Type="http://schemas.openxmlformats.org/officeDocument/2006/relationships/hyperlink" Target="out/&#12497;&#12527;&#12503;&#12525;2020%20-%20&#25237;&#29699;&#35299;&#26512;%20-%202020-08-23%2015-56-09-06_out.mp4" TargetMode="External"/><Relationship Id="rId2245" Type="http://schemas.openxmlformats.org/officeDocument/2006/relationships/hyperlink" Target="out/&#12497;&#12527;&#12503;&#12525;2020%20-%20&#25237;&#29699;&#35299;&#26512;%20-%202020-08-28%2022-37-55-01_out.mp4" TargetMode="External"/><Relationship Id="rId2452" Type="http://schemas.openxmlformats.org/officeDocument/2006/relationships/hyperlink" Target="result/&#12497;&#12527;&#12503;&#12525;2020%20-%20&#25237;&#29699;&#35299;&#26512;%20-%202020-08-29%2015-44-12-05_ball.txt" TargetMode="External"/><Relationship Id="rId424" Type="http://schemas.openxmlformats.org/officeDocument/2006/relationships/hyperlink" Target="result/&#12497;&#12527;&#12503;&#12525;2020%20-%20&#25237;&#29699;&#35299;&#26512;%20-%202020-08-23%2016-06-08-02_ball.txt" TargetMode="External"/><Relationship Id="rId631" Type="http://schemas.openxmlformats.org/officeDocument/2006/relationships/hyperlink" Target="out/&#12497;&#12527;&#12503;&#12525;2020%20-%20&#25237;&#29699;&#35299;&#26512;%20-%202020-08-23%2016-32-07-06_out.mp4" TargetMode="External"/><Relationship Id="rId729" Type="http://schemas.openxmlformats.org/officeDocument/2006/relationships/hyperlink" Target="out/&#12497;&#12527;&#12503;&#12525;2020%20-%20&#25237;&#29699;&#35299;&#26512;%20-%202020-08-24%2012-01-04-06_out.mp4" TargetMode="External"/><Relationship Id="rId1054" Type="http://schemas.openxmlformats.org/officeDocument/2006/relationships/hyperlink" Target="result/&#12497;&#12527;&#12503;&#12525;2020%20-%20&#25237;&#29699;&#35299;&#26512;%20-%202020-08-24%2012-39-57-02_ball.txt" TargetMode="External"/><Relationship Id="rId1261" Type="http://schemas.openxmlformats.org/officeDocument/2006/relationships/hyperlink" Target="out/&#12497;&#12527;&#12503;&#12525;2020%20-%20&#25237;&#29699;&#35299;&#26512;%20-%202020-08-24%2013-02-04-02_out.mp4" TargetMode="External"/><Relationship Id="rId1359" Type="http://schemas.openxmlformats.org/officeDocument/2006/relationships/hyperlink" Target="out/&#12497;&#12527;&#12503;&#12525;2020%20-%20&#25237;&#29699;&#35299;&#26512;%20-%202020-08-23%2011-08-57-05_out.mp4" TargetMode="External"/><Relationship Id="rId2105" Type="http://schemas.openxmlformats.org/officeDocument/2006/relationships/hyperlink" Target="out/&#12497;&#12527;&#12503;&#12525;2020%20-%20&#25237;&#29699;&#35299;&#26512;%20-%202020-08-27%2018-22-42-01_out.mp4" TargetMode="External"/><Relationship Id="rId2312" Type="http://schemas.openxmlformats.org/officeDocument/2006/relationships/hyperlink" Target="result/&#12497;&#12527;&#12503;&#12525;2020%20-%20&#25237;&#29699;&#35299;&#26512;%20-%202020-08-29%2009-41-06-04_ball.txt" TargetMode="External"/><Relationship Id="rId2757" Type="http://schemas.openxmlformats.org/officeDocument/2006/relationships/hyperlink" Target="out/&#12497;&#12527;&#12503;&#12525;2020%20-%20&#25237;&#29699;&#35299;&#26512;%20-%202020-08-29%2016-06-51-07_out.mp4" TargetMode="External"/><Relationship Id="rId936" Type="http://schemas.openxmlformats.org/officeDocument/2006/relationships/hyperlink" Target="result/&#12497;&#12527;&#12503;&#12525;2020%20-%20&#25237;&#29699;&#35299;&#26512;%20-%202020-08-24%2012-25-33-03_ball.txt" TargetMode="External"/><Relationship Id="rId1121" Type="http://schemas.openxmlformats.org/officeDocument/2006/relationships/hyperlink" Target="out/&#12497;&#12527;&#12503;&#12525;2020%20-%20&#25237;&#29699;&#35299;&#26512;%20-%202020-08-24%2012-46-03-03_out.mp4" TargetMode="External"/><Relationship Id="rId1219" Type="http://schemas.openxmlformats.org/officeDocument/2006/relationships/hyperlink" Target="out/&#12497;&#12527;&#12503;&#12525;2020%20-%20&#25237;&#29699;&#35299;&#26512;%20-%202020-08-24%2012-55-39-00_out.mp4" TargetMode="External"/><Relationship Id="rId1566" Type="http://schemas.openxmlformats.org/officeDocument/2006/relationships/hyperlink" Target="result/&#12497;&#12527;&#12503;&#12525;2020%20-%20&#25237;&#29699;&#35299;&#26512;%20-%202020-08-23%2016-11-33-09_ball.txt" TargetMode="External"/><Relationship Id="rId1773" Type="http://schemas.openxmlformats.org/officeDocument/2006/relationships/hyperlink" Target="out/&#12497;&#12527;&#12503;&#12525;2020%20-%20&#25237;&#29699;&#35299;&#26512;%20-%202020-08-24%2012-50-30-05_out.mp4" TargetMode="External"/><Relationship Id="rId1980" Type="http://schemas.openxmlformats.org/officeDocument/2006/relationships/hyperlink" Target="result/&#12497;&#12527;&#12503;&#12525;2020%20-%20&#25237;&#29699;&#35299;&#26512;%20-%202020-08-26%2021-30-58-08_ball.txt" TargetMode="External"/><Relationship Id="rId2617" Type="http://schemas.openxmlformats.org/officeDocument/2006/relationships/hyperlink" Target="out/&#12497;&#12527;&#12503;&#12525;2020%20-%20&#25237;&#29699;&#35299;&#26512;%20-%202020-08-29%2015-53-40-07_out.mp4" TargetMode="External"/><Relationship Id="rId65" Type="http://schemas.openxmlformats.org/officeDocument/2006/relationships/hyperlink" Target="out/&#12497;&#12527;&#12503;&#12525;2020%20-%20&#25237;&#29699;&#35299;&#26512;%20-%202020-08-23%2011-13-59-02_out.mp4" TargetMode="External"/><Relationship Id="rId1426" Type="http://schemas.openxmlformats.org/officeDocument/2006/relationships/hyperlink" Target="result/&#12497;&#12527;&#12503;&#12525;2020%20-%20&#25237;&#29699;&#35299;&#26512;%20-%202020-08-23%2014-22-38-08_ball.txt" TargetMode="External"/><Relationship Id="rId1633" Type="http://schemas.openxmlformats.org/officeDocument/2006/relationships/hyperlink" Target="out/&#12497;&#12527;&#12503;&#12525;2020%20-%20&#25237;&#29699;&#35299;&#26512;%20-%202020-08-24%2012-00-01-01_out.mp4" TargetMode="External"/><Relationship Id="rId1840" Type="http://schemas.openxmlformats.org/officeDocument/2006/relationships/hyperlink" Target="result/&#12497;&#12527;&#12503;&#12525;2020%20-%20&#25237;&#29699;&#35299;&#26512;%20-%202020-08-24%2013-16-19-04_ball.txt" TargetMode="External"/><Relationship Id="rId1700" Type="http://schemas.openxmlformats.org/officeDocument/2006/relationships/hyperlink" Target="result/&#12497;&#12527;&#12503;&#12525;2020%20-%20&#25237;&#29699;&#35299;&#26512;%20-%202020-08-24%2012-28-05-01_ball.txt" TargetMode="External"/><Relationship Id="rId1938" Type="http://schemas.openxmlformats.org/officeDocument/2006/relationships/hyperlink" Target="result/&#12497;&#12527;&#12503;&#12525;2020%20-%20&#25237;&#29699;&#35299;&#26512;%20-%202020-08-26%2021-19-02-07_ball.txt" TargetMode="External"/><Relationship Id="rId281" Type="http://schemas.openxmlformats.org/officeDocument/2006/relationships/hyperlink" Target="out/&#12497;&#12527;&#12503;&#12525;2020%20-%20&#25237;&#29699;&#35299;&#26512;%20-%202020-08-23%2014-25-58-00_out.mp4" TargetMode="External"/><Relationship Id="rId141" Type="http://schemas.openxmlformats.org/officeDocument/2006/relationships/hyperlink" Target="out/&#12497;&#12527;&#12503;&#12525;2020%20-%20&#25237;&#29699;&#35299;&#26512;%20-%202020-08-23%2014-05-50-00_out.mp4" TargetMode="External"/><Relationship Id="rId379" Type="http://schemas.openxmlformats.org/officeDocument/2006/relationships/hyperlink" Target="out/&#12497;&#12527;&#12503;&#12525;2020%20-%20&#25237;&#29699;&#35299;&#26512;%20-%202020-08-23%2015-52-13-09_out.mp4" TargetMode="External"/><Relationship Id="rId586" Type="http://schemas.openxmlformats.org/officeDocument/2006/relationships/hyperlink" Target="result/&#12497;&#12527;&#12503;&#12525;2020%20-%20&#25237;&#29699;&#35299;&#26512;%20-%202020-08-23%2016-28-07-03_ball.txt" TargetMode="External"/><Relationship Id="rId793" Type="http://schemas.openxmlformats.org/officeDocument/2006/relationships/hyperlink" Target="out/&#12497;&#12527;&#12503;&#12525;2020%20-%20&#25237;&#29699;&#35299;&#26512;%20-%202020-08-24%2012-06-16-09_out.mp4" TargetMode="External"/><Relationship Id="rId2267" Type="http://schemas.openxmlformats.org/officeDocument/2006/relationships/hyperlink" Target="out/&#12497;&#12527;&#12503;&#12525;2020%20-%20&#25237;&#29699;&#35299;&#26512;%20-%202020-08-29%2009-37-40-02_out.mp4" TargetMode="External"/><Relationship Id="rId2474" Type="http://schemas.openxmlformats.org/officeDocument/2006/relationships/hyperlink" Target="result/&#12497;&#12527;&#12503;&#12525;2020%20-%20&#25237;&#29699;&#35299;&#26512;%20-%202020-08-29%2015-45-22-05_ball.txt" TargetMode="External"/><Relationship Id="rId2681" Type="http://schemas.openxmlformats.org/officeDocument/2006/relationships/hyperlink" Target="out/&#12497;&#12527;&#12503;&#12525;2020%20-%20&#25237;&#29699;&#35299;&#26512;%20-%202020-08-29%2015-57-36-09_out.mp4" TargetMode="External"/><Relationship Id="rId7" Type="http://schemas.openxmlformats.org/officeDocument/2006/relationships/hyperlink" Target="out/&#12497;&#12527;&#12503;&#12525;2020%20-%20&#25237;&#29699;&#35299;&#26512;%20-%202020-08-23%2011-10-26-03_out.mp4" TargetMode="External"/><Relationship Id="rId239" Type="http://schemas.openxmlformats.org/officeDocument/2006/relationships/hyperlink" Target="out/&#12497;&#12527;&#12503;&#12525;2020%20-%20&#25237;&#29699;&#35299;&#26512;%20-%202020-08-23%2014-21-04-09_out.mp4" TargetMode="External"/><Relationship Id="rId446" Type="http://schemas.openxmlformats.org/officeDocument/2006/relationships/hyperlink" Target="result/&#12497;&#12527;&#12503;&#12525;2020%20-%20&#25237;&#29699;&#35299;&#26512;%20-%202020-08-23%2016-08-46-03_ball.txt" TargetMode="External"/><Relationship Id="rId653" Type="http://schemas.openxmlformats.org/officeDocument/2006/relationships/hyperlink" Target="out/&#12497;&#12527;&#12503;&#12525;2020%20-%20&#25237;&#29699;&#35299;&#26512;%20-%202020-08-24%2011-22-14-08_out.mp4" TargetMode="External"/><Relationship Id="rId1076" Type="http://schemas.openxmlformats.org/officeDocument/2006/relationships/hyperlink" Target="result/&#12497;&#12527;&#12503;&#12525;2020%20-%20&#25237;&#29699;&#35299;&#26512;%20-%202020-08-24%2012-41-25-03_ball.txt" TargetMode="External"/><Relationship Id="rId1283" Type="http://schemas.openxmlformats.org/officeDocument/2006/relationships/hyperlink" Target="out/&#12497;&#12527;&#12503;&#12525;2020%20-%20&#25237;&#29699;&#35299;&#26512;%20-%202020-08-24%2013-03-51-03_out.mp4" TargetMode="External"/><Relationship Id="rId1490" Type="http://schemas.openxmlformats.org/officeDocument/2006/relationships/hyperlink" Target="result/&#12497;&#12527;&#12503;&#12525;2020%20-%20&#25237;&#29699;&#35299;&#26512;%20-%202020-08-23%2015-56-09-01_ball.txt" TargetMode="External"/><Relationship Id="rId2127" Type="http://schemas.openxmlformats.org/officeDocument/2006/relationships/hyperlink" Target="out/&#12497;&#12527;&#12503;&#12525;2020%20-%20&#25237;&#29699;&#35299;&#26512;%20-%202020-08-27%2018-24-30-02_out.mp4" TargetMode="External"/><Relationship Id="rId2334" Type="http://schemas.openxmlformats.org/officeDocument/2006/relationships/hyperlink" Target="result/&#12497;&#12527;&#12503;&#12525;2020%20-%20&#25237;&#29699;&#35299;&#26512;%20-%202020-08-29%2009-42-48-05_ball.txt" TargetMode="External"/><Relationship Id="rId2779" Type="http://schemas.openxmlformats.org/officeDocument/2006/relationships/hyperlink" Target="out/&#25237;&#29699;&#35299;&#26512;%20-%20&#12497;&#12527;&#12503;&#12525;2020%20-%202020-09-08%2023-37-52-08_out.mp4" TargetMode="External"/><Relationship Id="rId306" Type="http://schemas.openxmlformats.org/officeDocument/2006/relationships/hyperlink" Target="result/&#12497;&#12527;&#12503;&#12525;2020%20-%20&#25237;&#29699;&#35299;&#26512;%20-%202020-08-23%2014-27-07-02_ball.txt" TargetMode="External"/><Relationship Id="rId860" Type="http://schemas.openxmlformats.org/officeDocument/2006/relationships/hyperlink" Target="result/&#12497;&#12527;&#12503;&#12525;2020%20-%20&#25237;&#29699;&#35299;&#26512;%20-%202020-08-24%2012-11-18-00_ball.txt" TargetMode="External"/><Relationship Id="rId958" Type="http://schemas.openxmlformats.org/officeDocument/2006/relationships/hyperlink" Target="result/&#12497;&#12527;&#12503;&#12525;2020%20-%20&#25237;&#29699;&#35299;&#26512;%20-%202020-08-24%2012-26-53-04_ball.txt" TargetMode="External"/><Relationship Id="rId1143" Type="http://schemas.openxmlformats.org/officeDocument/2006/relationships/hyperlink" Target="out/&#12497;&#12527;&#12503;&#12525;2020%20-%20&#25237;&#29699;&#35299;&#26512;%20-%202020-08-24%2012-46-03-18_out.mp4" TargetMode="External"/><Relationship Id="rId1588" Type="http://schemas.openxmlformats.org/officeDocument/2006/relationships/hyperlink" Target="result/&#12497;&#12527;&#12503;&#12525;2020%20-%20&#25237;&#29699;&#35299;&#26512;%20-%202020-08-23%2016-28-07-09_ball.txt" TargetMode="External"/><Relationship Id="rId1795" Type="http://schemas.openxmlformats.org/officeDocument/2006/relationships/hyperlink" Target="out/&#12497;&#12527;&#12503;&#12525;2020%20-%20&#25237;&#29699;&#35299;&#26512;%20-%202020-08-24%2012-58-52-05_out.mp4" TargetMode="External"/><Relationship Id="rId2541" Type="http://schemas.openxmlformats.org/officeDocument/2006/relationships/hyperlink" Target="out/&#12497;&#12527;&#12503;&#12525;2020%20-%20&#25237;&#29699;&#35299;&#26512;%20-%202020-08-29%2015-49-13-09_out.mp4" TargetMode="External"/><Relationship Id="rId2639" Type="http://schemas.openxmlformats.org/officeDocument/2006/relationships/hyperlink" Target="out/&#12497;&#12527;&#12503;&#12525;2020%20-%20&#25237;&#29699;&#35299;&#26512;%20-%202020-08-29%2015-55-24-08_out.mp4" TargetMode="External"/><Relationship Id="rId87" Type="http://schemas.openxmlformats.org/officeDocument/2006/relationships/hyperlink" Target="out/&#12497;&#12527;&#12503;&#12525;2020%20-%20&#25237;&#29699;&#35299;&#26512;%20-%202020-08-23%2011-15-09-03_out.mp4" TargetMode="External"/><Relationship Id="rId513" Type="http://schemas.openxmlformats.org/officeDocument/2006/relationships/hyperlink" Target="out/&#12497;&#12527;&#12503;&#12525;2020%20-%20&#25237;&#29699;&#35299;&#26512;%20-%202020-08-23%2016-13-55-07_out.mp4" TargetMode="External"/><Relationship Id="rId720" Type="http://schemas.openxmlformats.org/officeDocument/2006/relationships/hyperlink" Target="result/&#12497;&#12527;&#12503;&#12525;2020%20-%20&#25237;&#29699;&#35299;&#26512;%20-%202020-08-24%2012-01-04-01_ball.txt" TargetMode="External"/><Relationship Id="rId818" Type="http://schemas.openxmlformats.org/officeDocument/2006/relationships/hyperlink" Target="result/&#12497;&#12527;&#12503;&#12525;2020%20-%20&#25237;&#29699;&#35299;&#26512;%20-%202020-08-24%2012-08-41-01_ball.txt" TargetMode="External"/><Relationship Id="rId1350" Type="http://schemas.openxmlformats.org/officeDocument/2006/relationships/hyperlink" Target="result/&#12497;&#12527;&#12503;&#12525;2020%20-%20&#25237;&#29699;&#35299;&#26512;%20-%202020-08-23%2011-08-57-00_ball.txt" TargetMode="External"/><Relationship Id="rId1448" Type="http://schemas.openxmlformats.org/officeDocument/2006/relationships/hyperlink" Target="result/&#12497;&#12527;&#12503;&#12525;2020%20-%20&#25237;&#29699;&#35299;&#26512;%20-%202020-08-23%2015-51-08-00_ball.txt" TargetMode="External"/><Relationship Id="rId1655" Type="http://schemas.openxmlformats.org/officeDocument/2006/relationships/hyperlink" Target="out/&#12497;&#12527;&#12503;&#12525;2020%20-%20&#25237;&#29699;&#35299;&#26512;%20-%202020-08-24%2012-06-16-03_out.mp4" TargetMode="External"/><Relationship Id="rId2401" Type="http://schemas.openxmlformats.org/officeDocument/2006/relationships/hyperlink" Target="out/&#12497;&#12527;&#12503;&#12525;2020%20-%20&#25237;&#29699;&#35299;&#26512;%20-%202020-08-29%2009-49-52-00_out.mp4" TargetMode="External"/><Relationship Id="rId2706" Type="http://schemas.openxmlformats.org/officeDocument/2006/relationships/hyperlink" Target="result/&#12497;&#12527;&#12503;&#12525;2020%20-%20&#25237;&#29699;&#35299;&#26512;%20-%202020-08-29%2016-00-15-01_ball.txt" TargetMode="External"/><Relationship Id="rId1003" Type="http://schemas.openxmlformats.org/officeDocument/2006/relationships/hyperlink" Target="out/&#12497;&#12527;&#12503;&#12525;2020%20-%20&#25237;&#29699;&#35299;&#26512;%20-%202020-08-24%2012-33-48-08_out.mp4" TargetMode="External"/><Relationship Id="rId1210" Type="http://schemas.openxmlformats.org/officeDocument/2006/relationships/hyperlink" Target="result/&#12497;&#12527;&#12503;&#12525;2020%20-%20&#25237;&#29699;&#35299;&#26512;%20-%202020-08-24%2012-53-43-05_ball.txt" TargetMode="External"/><Relationship Id="rId1308" Type="http://schemas.openxmlformats.org/officeDocument/2006/relationships/hyperlink" Target="result/&#12497;&#12527;&#12503;&#12525;2020%20-%20&#25237;&#29699;&#35299;&#26512;%20-%202020-08-24%2013-07-27-04_ball.txt" TargetMode="External"/><Relationship Id="rId1862" Type="http://schemas.openxmlformats.org/officeDocument/2006/relationships/hyperlink" Target="result/&#12497;&#12527;&#12503;&#12525;2020%20-%20&#25237;&#29699;&#35299;&#26512;%20-%202020-08-24%2013-17-56-06_ball.txt" TargetMode="External"/><Relationship Id="rId1515" Type="http://schemas.openxmlformats.org/officeDocument/2006/relationships/hyperlink" Target="out/&#12497;&#12527;&#12503;&#12525;2020%20-%20&#25237;&#29699;&#35299;&#26512;%20-%202020-08-23%2016-04-57-04_out.mp4" TargetMode="External"/><Relationship Id="rId1722" Type="http://schemas.openxmlformats.org/officeDocument/2006/relationships/hyperlink" Target="result/&#12497;&#12527;&#12503;&#12525;2020%20-%20&#25237;&#29699;&#35299;&#26512;%20-%202020-08-24%2012-35-33-08_ball.txt" TargetMode="External"/><Relationship Id="rId14" Type="http://schemas.openxmlformats.org/officeDocument/2006/relationships/hyperlink" Target="result/&#12497;&#12527;&#12503;&#12525;2020%20-%20&#25237;&#29699;&#35299;&#26512;%20-%202020-08-23%2011-10-26-06_ball.txt" TargetMode="External"/><Relationship Id="rId2191" Type="http://schemas.openxmlformats.org/officeDocument/2006/relationships/hyperlink" Target="out/&#12497;&#12527;&#12503;&#12525;2020%20-%20&#25237;&#29699;&#35299;&#26512;%20-%202020-08-28%2022-33-04-04_out.mp4" TargetMode="External"/><Relationship Id="rId163" Type="http://schemas.openxmlformats.org/officeDocument/2006/relationships/hyperlink" Target="out/&#12497;&#12527;&#12503;&#12525;2020%20-%20&#25237;&#29699;&#35299;&#26512;%20-%202020-08-23%2014-06-56-01_out.mp4" TargetMode="External"/><Relationship Id="rId370" Type="http://schemas.openxmlformats.org/officeDocument/2006/relationships/hyperlink" Target="result/&#12497;&#12527;&#12503;&#12525;2020%20-%20&#25237;&#29699;&#35299;&#26512;%20-%202020-08-23%2015-52-13-04_ball.txt" TargetMode="External"/><Relationship Id="rId2051" Type="http://schemas.openxmlformats.org/officeDocument/2006/relationships/hyperlink" Target="out/&#12497;&#12527;&#12503;&#12525;2020%20-%20&#25237;&#29699;&#35299;&#26512;%20-%202020-08-27%2018-17-46-04_out.mp4" TargetMode="External"/><Relationship Id="rId2289" Type="http://schemas.openxmlformats.org/officeDocument/2006/relationships/hyperlink" Target="out/&#12497;&#12527;&#12503;&#12525;2020%20-%20&#25237;&#29699;&#35299;&#26512;%20-%202020-08-29%2009-39-15-03_out.mp4" TargetMode="External"/><Relationship Id="rId2496" Type="http://schemas.openxmlformats.org/officeDocument/2006/relationships/hyperlink" Target="result/&#12497;&#12527;&#12503;&#12525;2020%20-%20&#25237;&#29699;&#35299;&#26512;%20-%202020-08-29%2015-46-34-06_ball.txt" TargetMode="External"/><Relationship Id="rId230" Type="http://schemas.openxmlformats.org/officeDocument/2006/relationships/hyperlink" Target="result/&#12497;&#12527;&#12503;&#12525;2020%20-%20&#25237;&#29699;&#35299;&#26512;%20-%202020-08-23%2014-21-04-04_ball.txt" TargetMode="External"/><Relationship Id="rId468" Type="http://schemas.openxmlformats.org/officeDocument/2006/relationships/hyperlink" Target="result/&#12497;&#12527;&#12503;&#12525;2020%20-%20&#25237;&#29699;&#35299;&#26512;%20-%202020-08-23%2016-09-58-04_ball.txt" TargetMode="External"/><Relationship Id="rId675" Type="http://schemas.openxmlformats.org/officeDocument/2006/relationships/hyperlink" Target="out/&#12497;&#12527;&#12503;&#12525;2020%20-%20&#25237;&#29699;&#35299;&#26512;%20-%202020-08-24%2011-23-23-09_out.mp4" TargetMode="External"/><Relationship Id="rId882" Type="http://schemas.openxmlformats.org/officeDocument/2006/relationships/hyperlink" Target="result/&#12497;&#12527;&#12503;&#12525;2020%20-%20&#25237;&#29699;&#35299;&#26512;%20-%202020-08-24%2012-12-56-07_ball.txt" TargetMode="External"/><Relationship Id="rId1098" Type="http://schemas.openxmlformats.org/officeDocument/2006/relationships/hyperlink" Target="result/&#12497;&#12527;&#12503;&#12525;2020%20-%20&#25237;&#29699;&#35299;&#26512;%20-%202020-08-24%2012-42-52-04_ball.txt" TargetMode="External"/><Relationship Id="rId2149" Type="http://schemas.openxmlformats.org/officeDocument/2006/relationships/hyperlink" Target="out/&#12497;&#12527;&#12503;&#12525;2020%20-%20&#25237;&#29699;&#35299;&#26512;%20-%202020-08-27%2018-26-47-03_out.mp4" TargetMode="External"/><Relationship Id="rId2356" Type="http://schemas.openxmlformats.org/officeDocument/2006/relationships/hyperlink" Target="result/&#12497;&#12527;&#12503;&#12525;2020%20-%20&#25237;&#29699;&#35299;&#26512;%20-%202020-08-29%2009-44-23-07_ball.txt" TargetMode="External"/><Relationship Id="rId2563" Type="http://schemas.openxmlformats.org/officeDocument/2006/relationships/hyperlink" Target="out/&#12497;&#12527;&#12503;&#12525;2020%20-%20&#25237;&#29699;&#35299;&#26512;%20-%202020-08-29%2015-51-26-00_out.mp4" TargetMode="External"/><Relationship Id="rId2770" Type="http://schemas.openxmlformats.org/officeDocument/2006/relationships/hyperlink" Target="result/&#25237;&#29699;&#35299;&#26512;%20-%20&#12497;&#12527;&#12503;&#12525;2020%20-%202020-09-08%2023-37-52-03_ball.txt" TargetMode="External"/><Relationship Id="rId328" Type="http://schemas.openxmlformats.org/officeDocument/2006/relationships/hyperlink" Target="result/&#12497;&#12527;&#12503;&#12525;2020%20-%20&#25237;&#29699;&#35299;&#26512;%20-%202020-08-23%2015-48-07-03_ball.txt" TargetMode="External"/><Relationship Id="rId535" Type="http://schemas.openxmlformats.org/officeDocument/2006/relationships/hyperlink" Target="out/&#12497;&#12527;&#12503;&#12525;2020%20-%20&#25237;&#29699;&#35299;&#26512;%20-%202020-08-23%2016-15-07-08_out.mp4" TargetMode="External"/><Relationship Id="rId742" Type="http://schemas.openxmlformats.org/officeDocument/2006/relationships/hyperlink" Target="result/&#12497;&#12527;&#12503;&#12525;2020%20-%20&#25237;&#29699;&#35299;&#26512;%20-%202020-08-24%2012-02-12-03_ball.txt" TargetMode="External"/><Relationship Id="rId1165" Type="http://schemas.openxmlformats.org/officeDocument/2006/relationships/hyperlink" Target="out/&#12497;&#12527;&#12503;&#12525;2020%20-%20&#25237;&#29699;&#35299;&#26512;%20-%202020-08-24%2012-49-17-00_out.mp4" TargetMode="External"/><Relationship Id="rId1372" Type="http://schemas.openxmlformats.org/officeDocument/2006/relationships/hyperlink" Target="result/&#12497;&#12527;&#12503;&#12525;2020%20-%20&#25237;&#29699;&#35299;&#26512;%20-%202020-08-23%2014-03-42-01_ball.txt" TargetMode="External"/><Relationship Id="rId2009" Type="http://schemas.openxmlformats.org/officeDocument/2006/relationships/hyperlink" Target="out/&#12497;&#12527;&#12503;&#12525;2020%20-%20&#25237;&#29699;&#35299;&#26512;%20-%202020-08-27%2018-14-40-03_out.mp4" TargetMode="External"/><Relationship Id="rId2216" Type="http://schemas.openxmlformats.org/officeDocument/2006/relationships/hyperlink" Target="result/&#12497;&#12527;&#12503;&#12525;2020%20-%20&#25237;&#29699;&#35299;&#26512;%20-%202020-08-28%2022-34-32-06_ball.txt" TargetMode="External"/><Relationship Id="rId2423" Type="http://schemas.openxmlformats.org/officeDocument/2006/relationships/hyperlink" Target="out/&#12497;&#12527;&#12503;&#12525;2020%20-%20&#25237;&#29699;&#35299;&#26512;%20-%202020-08-29%2015-42-43-01_out.mp4" TargetMode="External"/><Relationship Id="rId2630" Type="http://schemas.openxmlformats.org/officeDocument/2006/relationships/hyperlink" Target="result/&#12497;&#12527;&#12503;&#12525;2020%20-%20&#25237;&#29699;&#35299;&#26512;%20-%202020-08-29%2015-55-24-03_ball.txt" TargetMode="External"/><Relationship Id="rId602" Type="http://schemas.openxmlformats.org/officeDocument/2006/relationships/hyperlink" Target="result/&#12497;&#12527;&#12503;&#12525;2020%20-%20&#25237;&#29699;&#35299;&#26512;%20-%202020-08-23%2016-30-55-01_ball.txt" TargetMode="External"/><Relationship Id="rId1025" Type="http://schemas.openxmlformats.org/officeDocument/2006/relationships/hyperlink" Target="out/&#12497;&#12527;&#12503;&#12525;2020%20-%20&#25237;&#29699;&#35299;&#26512;%20-%202020-08-24%2012-36-56-08_out.mp4" TargetMode="External"/><Relationship Id="rId1232" Type="http://schemas.openxmlformats.org/officeDocument/2006/relationships/hyperlink" Target="result/&#12497;&#12527;&#12503;&#12525;2020%20-%20&#25237;&#29699;&#35299;&#26512;%20-%202020-08-24%2012-58-52-06_ball.txt" TargetMode="External"/><Relationship Id="rId1677" Type="http://schemas.openxmlformats.org/officeDocument/2006/relationships/hyperlink" Target="out/&#12497;&#12527;&#12503;&#12525;2020%20-%20&#25237;&#29699;&#35299;&#26512;%20-%202020-08-24%2012-11-18-09_out.mp4" TargetMode="External"/><Relationship Id="rId1884" Type="http://schemas.openxmlformats.org/officeDocument/2006/relationships/hyperlink" Target="result/&#12497;&#12527;&#12503;&#12525;2020%20-%20&#25237;&#29699;&#35299;&#26512;%20-%202020-08-24%2013-20-06-07_ball.txt" TargetMode="External"/><Relationship Id="rId2728" Type="http://schemas.openxmlformats.org/officeDocument/2006/relationships/hyperlink" Target="result/&#12497;&#12527;&#12503;&#12525;2020%20-%20&#25237;&#29699;&#35299;&#26512;%20-%202020-08-29%2016-01-23-02_ball.txt" TargetMode="External"/><Relationship Id="rId907" Type="http://schemas.openxmlformats.org/officeDocument/2006/relationships/hyperlink" Target="out/&#12497;&#12527;&#12503;&#12525;2020%20-%20&#25237;&#29699;&#35299;&#26512;%20-%202020-08-24%2012-22-44-00_out.mp4" TargetMode="External"/><Relationship Id="rId1537" Type="http://schemas.openxmlformats.org/officeDocument/2006/relationships/hyperlink" Target="out/&#12497;&#12527;&#12503;&#12525;2020%20-%20&#25237;&#29699;&#35299;&#26512;%20-%202020-08-23%2016-07-35-05_out.mp4" TargetMode="External"/><Relationship Id="rId1744" Type="http://schemas.openxmlformats.org/officeDocument/2006/relationships/hyperlink" Target="result/&#12497;&#12527;&#12503;&#12525;2020%20-%20&#25237;&#29699;&#35299;&#26512;%20-%202020-08-24%2012-42-52-08_ball.txt" TargetMode="External"/><Relationship Id="rId1951" Type="http://schemas.openxmlformats.org/officeDocument/2006/relationships/hyperlink" Target="out/&#12497;&#12527;&#12503;&#12525;2020%20-%20&#25237;&#29699;&#35299;&#26512;%20-%202020-08-26%2021-20-35-04_out.mp4" TargetMode="External"/><Relationship Id="rId36" Type="http://schemas.openxmlformats.org/officeDocument/2006/relationships/hyperlink" Target="result/&#12497;&#12527;&#12503;&#12525;2020%20-%20&#25237;&#29699;&#35299;&#26512;%20-%202020-08-23%2011-11-35-07_ball.txt" TargetMode="External"/><Relationship Id="rId1604" Type="http://schemas.openxmlformats.org/officeDocument/2006/relationships/hyperlink" Target="result/&#12497;&#12527;&#12503;&#12525;2020%20-%20&#25237;&#29699;&#35299;&#26512;%20-%202020-08-23%2016-29-37-07_ball.txt" TargetMode="External"/><Relationship Id="rId185" Type="http://schemas.openxmlformats.org/officeDocument/2006/relationships/hyperlink" Target="out/&#12497;&#12527;&#12503;&#12525;2020%20-%20&#25237;&#29699;&#35299;&#26512;%20-%202020-08-23%2014-08-02-02_out.mp4" TargetMode="External"/><Relationship Id="rId1811" Type="http://schemas.openxmlformats.org/officeDocument/2006/relationships/hyperlink" Target="out/&#12497;&#12527;&#12503;&#12525;2020%20-%20&#25237;&#29699;&#35299;&#26512;%20-%202020-08-24%2013-05-36-04_out.mp4" TargetMode="External"/><Relationship Id="rId1909" Type="http://schemas.openxmlformats.org/officeDocument/2006/relationships/hyperlink" Target="out/&#12497;&#12527;&#12503;&#12525;2020%20-%20&#25237;&#29699;&#35299;&#26512;%20-%202020-08-26%2021-17-48-00_out.mp4" TargetMode="External"/><Relationship Id="rId392" Type="http://schemas.openxmlformats.org/officeDocument/2006/relationships/hyperlink" Target="result/&#12497;&#12527;&#12503;&#12525;2020%20-%20&#25237;&#29699;&#35299;&#26512;%20-%202020-08-23%2015-54-48-05_ball.txt" TargetMode="External"/><Relationship Id="rId697" Type="http://schemas.openxmlformats.org/officeDocument/2006/relationships/hyperlink" Target="out/&#12497;&#12527;&#12503;&#12525;2020%20-%20&#25237;&#29699;&#35299;&#26512;%20-%202020-08-24%2011-25-48-00_out.mp4" TargetMode="External"/><Relationship Id="rId2073" Type="http://schemas.openxmlformats.org/officeDocument/2006/relationships/hyperlink" Target="out/&#12497;&#12527;&#12503;&#12525;2020%20-%20&#25237;&#29699;&#35299;&#26512;%20-%202020-08-27%2018-19-19-05_out.mp4" TargetMode="External"/><Relationship Id="rId2280" Type="http://schemas.openxmlformats.org/officeDocument/2006/relationships/hyperlink" Target="result/&#12497;&#12527;&#12503;&#12525;2020%20-%20&#25237;&#29699;&#35299;&#26512;%20-%202020-08-29%2009-37-40-08_ball.txt" TargetMode="External"/><Relationship Id="rId2378" Type="http://schemas.openxmlformats.org/officeDocument/2006/relationships/hyperlink" Target="result/&#12497;&#12527;&#12503;&#12525;2020%20-%20&#25237;&#29699;&#35299;&#26512;%20-%202020-08-29%2009-46-05-08_ball.txt" TargetMode="External"/><Relationship Id="rId252" Type="http://schemas.openxmlformats.org/officeDocument/2006/relationships/hyperlink" Target="result/&#12497;&#12527;&#12503;&#12525;2020%20-%20&#25237;&#29699;&#35299;&#26512;%20-%202020-08-23%2014-23-42-05_ball.txt" TargetMode="External"/><Relationship Id="rId1187" Type="http://schemas.openxmlformats.org/officeDocument/2006/relationships/hyperlink" Target="out/&#12497;&#12527;&#12503;&#12525;2020%20-%20&#25237;&#29699;&#35299;&#26512;%20-%202020-08-24%2012-52-05-04_out.mp4" TargetMode="External"/><Relationship Id="rId2140" Type="http://schemas.openxmlformats.org/officeDocument/2006/relationships/hyperlink" Target="result/&#12497;&#12527;&#12503;&#12525;2020%20-%20&#25237;&#29699;&#35299;&#26512;%20-%202020-08-27%2018-24-30-08_ball.txt" TargetMode="External"/><Relationship Id="rId2585" Type="http://schemas.openxmlformats.org/officeDocument/2006/relationships/hyperlink" Target="out/&#12497;&#12527;&#12503;&#12525;2020%20-%20&#25237;&#29699;&#35299;&#26512;%20-%202020-08-29%2015-52-32-01_out.mp4" TargetMode="External"/><Relationship Id="rId2792" Type="http://schemas.openxmlformats.org/officeDocument/2006/relationships/hyperlink" Target="result/&#25237;&#29699;&#35299;&#26512;%20-%20&#12497;&#12527;&#12503;&#12525;2020%20-%202020-09-08%2023-39-02-04_ball.txt" TargetMode="External"/><Relationship Id="rId112" Type="http://schemas.openxmlformats.org/officeDocument/2006/relationships/hyperlink" Target="result/&#12497;&#12527;&#12503;&#12525;2020%20-%20&#25237;&#29699;&#35299;&#26512;%20-%202020-08-23%2011-16-20-05_ball.txt" TargetMode="External"/><Relationship Id="rId557" Type="http://schemas.openxmlformats.org/officeDocument/2006/relationships/hyperlink" Target="out/&#12497;&#12527;&#12503;&#12525;2020%20-%20&#25237;&#29699;&#35299;&#26512;%20-%202020-08-23%2016-25-48-09_out.mp4" TargetMode="External"/><Relationship Id="rId764" Type="http://schemas.openxmlformats.org/officeDocument/2006/relationships/hyperlink" Target="result/&#12497;&#12527;&#12503;&#12525;2020%20-%20&#25237;&#29699;&#35299;&#26512;%20-%202020-08-24%2012-03-33-04_ball.txt" TargetMode="External"/><Relationship Id="rId971" Type="http://schemas.openxmlformats.org/officeDocument/2006/relationships/hyperlink" Target="out/&#12497;&#12527;&#12503;&#12525;2020%20-%20&#25237;&#29699;&#35299;&#26512;%20-%202020-08-24%2012-32-08-02_out.mp4" TargetMode="External"/><Relationship Id="rId1394" Type="http://schemas.openxmlformats.org/officeDocument/2006/relationships/hyperlink" Target="result/&#12497;&#12527;&#12503;&#12525;2020%20-%20&#25237;&#29699;&#35299;&#26512;%20-%202020-08-23%2014-18-29-02_ball.txt" TargetMode="External"/><Relationship Id="rId1699" Type="http://schemas.openxmlformats.org/officeDocument/2006/relationships/hyperlink" Target="out/&#12497;&#12527;&#12503;&#12525;2020%20-%20&#25237;&#29699;&#35299;&#26512;%20-%202020-08-24%2012-28-05-01_out.mp4" TargetMode="External"/><Relationship Id="rId2000" Type="http://schemas.openxmlformats.org/officeDocument/2006/relationships/hyperlink" Target="result/&#12497;&#12527;&#12503;&#12525;2020%20-%20&#25237;&#29699;&#35299;&#26512;%20-%202020-08-26%2021-35-18-08_ball.txt" TargetMode="External"/><Relationship Id="rId2238" Type="http://schemas.openxmlformats.org/officeDocument/2006/relationships/hyperlink" Target="result/&#12497;&#12527;&#12503;&#12525;2020%20-%20&#25237;&#29699;&#35299;&#26512;%20-%202020-08-28%2022-36-12-07_ball.txt" TargetMode="External"/><Relationship Id="rId2445" Type="http://schemas.openxmlformats.org/officeDocument/2006/relationships/hyperlink" Target="out/&#12497;&#12527;&#12503;&#12525;2020%20-%20&#25237;&#29699;&#35299;&#26512;%20-%202020-08-29%2015-44-12-02_out.mp4" TargetMode="External"/><Relationship Id="rId2652" Type="http://schemas.openxmlformats.org/officeDocument/2006/relationships/hyperlink" Target="result/&#12497;&#12527;&#12503;&#12525;2020%20-%20&#25237;&#29699;&#35299;&#26512;%20-%202020-08-29%2015-56-35-04_ball.txt" TargetMode="External"/><Relationship Id="rId417" Type="http://schemas.openxmlformats.org/officeDocument/2006/relationships/hyperlink" Target="out/&#12497;&#12527;&#12503;&#12525;2020%20-%20&#25237;&#29699;&#35299;&#26512;%20-%202020-08-23%2016-03-31-09_out.mp4" TargetMode="External"/><Relationship Id="rId624" Type="http://schemas.openxmlformats.org/officeDocument/2006/relationships/hyperlink" Target="result/&#12497;&#12527;&#12503;&#12525;2020%20-%20&#25237;&#29699;&#35299;&#26512;%20-%202020-08-23%2016-32-07-02_ball.txt" TargetMode="External"/><Relationship Id="rId831" Type="http://schemas.openxmlformats.org/officeDocument/2006/relationships/hyperlink" Target="out/&#12497;&#12527;&#12503;&#12525;2020%20-%20&#25237;&#29699;&#35299;&#26512;%20-%202020-08-24%2012-08-41-08_out.mp4" TargetMode="External"/><Relationship Id="rId1047" Type="http://schemas.openxmlformats.org/officeDocument/2006/relationships/hyperlink" Target="out/&#12497;&#12527;&#12503;&#12525;2020%20-%20&#25237;&#29699;&#35299;&#26512;%20-%202020-08-24%2012-38-24-09_out.mp4" TargetMode="External"/><Relationship Id="rId1254" Type="http://schemas.openxmlformats.org/officeDocument/2006/relationships/hyperlink" Target="result/&#12497;&#12527;&#12503;&#12525;2020%20-%20&#25237;&#29699;&#35299;&#26512;%20-%202020-08-24%2013-00-20-07_ball.txt" TargetMode="External"/><Relationship Id="rId1461" Type="http://schemas.openxmlformats.org/officeDocument/2006/relationships/hyperlink" Target="out/&#12497;&#12527;&#12503;&#12525;2020%20-%20&#25237;&#29699;&#35299;&#26512;%20-%202020-08-23%2015-51-08-07_out.mp4" TargetMode="External"/><Relationship Id="rId2305" Type="http://schemas.openxmlformats.org/officeDocument/2006/relationships/hyperlink" Target="out/&#12497;&#12527;&#12503;&#12525;2020%20-%20&#25237;&#29699;&#35299;&#26512;%20-%202020-08-29%2009-41-06-01_out.mp4" TargetMode="External"/><Relationship Id="rId2512" Type="http://schemas.openxmlformats.org/officeDocument/2006/relationships/hyperlink" Target="result/&#12497;&#12527;&#12503;&#12525;2020%20-%20&#25237;&#29699;&#35299;&#26512;%20-%202020-08-29%2015-48-09-04_ball.txt" TargetMode="External"/><Relationship Id="rId929" Type="http://schemas.openxmlformats.org/officeDocument/2006/relationships/hyperlink" Target="out/&#12497;&#12527;&#12503;&#12525;2020%20-%20&#25237;&#29699;&#35299;&#26512;%20-%202020-08-24%2012-25-33-00_out.mp4" TargetMode="External"/><Relationship Id="rId1114" Type="http://schemas.openxmlformats.org/officeDocument/2006/relationships/hyperlink" Target="result/&#12497;&#12527;&#12503;&#12525;2020%20-%20&#25237;&#29699;&#35299;&#26512;%20-%202020-08-24%2012-44-26-17_ball.txt" TargetMode="External"/><Relationship Id="rId1321" Type="http://schemas.openxmlformats.org/officeDocument/2006/relationships/hyperlink" Target="out/&#12497;&#12527;&#12503;&#12525;2020%20-%20&#25237;&#29699;&#35299;&#26512;%20-%202020-08-24%2013-09-18-02_out.mp4" TargetMode="External"/><Relationship Id="rId1559" Type="http://schemas.openxmlformats.org/officeDocument/2006/relationships/hyperlink" Target="out/&#12497;&#12527;&#12503;&#12525;2020%20-%20&#25237;&#29699;&#35299;&#26512;%20-%202020-08-23%2016-11-33-06_out.mp4" TargetMode="External"/><Relationship Id="rId1766" Type="http://schemas.openxmlformats.org/officeDocument/2006/relationships/hyperlink" Target="result/&#12497;&#12527;&#12503;&#12525;2020%20-%20&#25237;&#29699;&#35299;&#26512;%20-%202020-08-24%2012-50-30-01_ball.txt" TargetMode="External"/><Relationship Id="rId1973" Type="http://schemas.openxmlformats.org/officeDocument/2006/relationships/hyperlink" Target="out/&#12497;&#12527;&#12503;&#12525;2020%20-%20&#25237;&#29699;&#35299;&#26512;%20-%202020-08-26%2021-30-58-05_out.mp4" TargetMode="External"/><Relationship Id="rId58" Type="http://schemas.openxmlformats.org/officeDocument/2006/relationships/hyperlink" Target="result/&#12497;&#12527;&#12503;&#12525;2020%20-%20&#25237;&#29699;&#35299;&#26512;%20-%202020-08-23%2011-12-45-08_ball.txt" TargetMode="External"/><Relationship Id="rId1419" Type="http://schemas.openxmlformats.org/officeDocument/2006/relationships/hyperlink" Target="out/&#12497;&#12527;&#12503;&#12525;2020%20-%20&#25237;&#29699;&#35299;&#26512;%20-%202020-08-23%2014-22-38-05_out.mp4" TargetMode="External"/><Relationship Id="rId1626" Type="http://schemas.openxmlformats.org/officeDocument/2006/relationships/hyperlink" Target="result/&#12497;&#12527;&#12503;&#12525;2020%20-%20&#25237;&#29699;&#35299;&#26512;%20-%202020-08-24%2011-22-14-07_ball.txt" TargetMode="External"/><Relationship Id="rId1833" Type="http://schemas.openxmlformats.org/officeDocument/2006/relationships/hyperlink" Target="out/&#12497;&#12527;&#12503;&#12525;2020%20-%20&#25237;&#29699;&#35299;&#26512;%20-%202020-08-24%2013-16-19-01_out.mp4" TargetMode="External"/><Relationship Id="rId1900" Type="http://schemas.openxmlformats.org/officeDocument/2006/relationships/hyperlink" Target="result/&#12497;&#12527;&#12503;&#12525;2020%20-%20&#25237;&#29699;&#35299;&#26512;%20-%202020-08-26%2021-15-29-05_ball.txt" TargetMode="External"/><Relationship Id="rId2095" Type="http://schemas.openxmlformats.org/officeDocument/2006/relationships/hyperlink" Target="out/&#12497;&#12527;&#12503;&#12525;2020%20-%20&#25237;&#29699;&#35299;&#26512;%20-%202020-08-27%2018-21-04-06_out.mp4" TargetMode="External"/><Relationship Id="rId274" Type="http://schemas.openxmlformats.org/officeDocument/2006/relationships/hyperlink" Target="result/&#12497;&#12527;&#12503;&#12525;2020%20-%20&#25237;&#29699;&#35299;&#26512;%20-%202020-08-23%2014-24-49-06_ball.txt" TargetMode="External"/><Relationship Id="rId481" Type="http://schemas.openxmlformats.org/officeDocument/2006/relationships/hyperlink" Target="out/&#12497;&#12527;&#12503;&#12525;2020%20-%20&#25237;&#29699;&#35299;&#26512;%20-%202020-08-23%2016-12-41-01_out.mp4" TargetMode="External"/><Relationship Id="rId2162" Type="http://schemas.openxmlformats.org/officeDocument/2006/relationships/hyperlink" Target="result/&#12497;&#12527;&#12503;&#12525;2020%20-%20&#25237;&#29699;&#35299;&#26512;%20-%202020-08-27%2018-26-47-09_ball.txt" TargetMode="External"/><Relationship Id="rId134" Type="http://schemas.openxmlformats.org/officeDocument/2006/relationships/hyperlink" Target="result/&#12497;&#12527;&#12503;&#12525;2020%20-%20&#25237;&#29699;&#35299;&#26512;%20-%202020-08-23%2014-04-47-06_ball.txt" TargetMode="External"/><Relationship Id="rId579" Type="http://schemas.openxmlformats.org/officeDocument/2006/relationships/hyperlink" Target="out/&#12497;&#12527;&#12503;&#12525;2020%20-%20&#25237;&#29699;&#35299;&#26512;%20-%202020-08-23%2016-28-07-00_out.mp4" TargetMode="External"/><Relationship Id="rId786" Type="http://schemas.openxmlformats.org/officeDocument/2006/relationships/hyperlink" Target="result/&#12497;&#12527;&#12503;&#12525;2020%20-%20&#25237;&#29699;&#35299;&#26512;%20-%202020-08-24%2012-04-51-05_ball.txt" TargetMode="External"/><Relationship Id="rId993" Type="http://schemas.openxmlformats.org/officeDocument/2006/relationships/hyperlink" Target="out/&#12497;&#12527;&#12503;&#12525;2020%20-%20&#25237;&#29699;&#35299;&#26512;%20-%202020-08-24%2012-33-48-03_out.mp4" TargetMode="External"/><Relationship Id="rId2467" Type="http://schemas.openxmlformats.org/officeDocument/2006/relationships/hyperlink" Target="out/&#12497;&#12527;&#12503;&#12525;2020%20-%20&#25237;&#29699;&#35299;&#26512;%20-%202020-08-29%2015-45-22-02_out.mp4" TargetMode="External"/><Relationship Id="rId2674" Type="http://schemas.openxmlformats.org/officeDocument/2006/relationships/hyperlink" Target="result/&#12497;&#12527;&#12503;&#12525;2020%20-%20&#25237;&#29699;&#35299;&#26512;%20-%202020-08-29%2015-57-36-05_ball.txt" TargetMode="External"/><Relationship Id="rId341" Type="http://schemas.openxmlformats.org/officeDocument/2006/relationships/hyperlink" Target="out/&#12497;&#12527;&#12503;&#12525;2020%20-%20&#25237;&#29699;&#35299;&#26512;%20-%202020-08-23%2015-49-19-00_out.mp4" TargetMode="External"/><Relationship Id="rId439" Type="http://schemas.openxmlformats.org/officeDocument/2006/relationships/hyperlink" Target="out/&#12497;&#12527;&#12503;&#12525;2020%20-%20&#25237;&#29699;&#35299;&#26512;%20-%202020-08-23%2016-08-46-00_out.mp4" TargetMode="External"/><Relationship Id="rId646" Type="http://schemas.openxmlformats.org/officeDocument/2006/relationships/hyperlink" Target="result/&#12497;&#12527;&#12503;&#12525;2020%20-%20&#25237;&#29699;&#35299;&#26512;%20-%202020-08-23%2016-33-27-03_ball.txt" TargetMode="External"/><Relationship Id="rId1069" Type="http://schemas.openxmlformats.org/officeDocument/2006/relationships/hyperlink" Target="out/&#12497;&#12527;&#12503;&#12525;2020%20-%20&#25237;&#29699;&#35299;&#26512;%20-%202020-08-24%2012-41-25-00_out.mp4" TargetMode="External"/><Relationship Id="rId1276" Type="http://schemas.openxmlformats.org/officeDocument/2006/relationships/hyperlink" Target="result/&#12497;&#12527;&#12503;&#12525;2020%20-%20&#25237;&#29699;&#35299;&#26512;%20-%202020-08-24%2013-02-04-09_ball.txt" TargetMode="External"/><Relationship Id="rId1483" Type="http://schemas.openxmlformats.org/officeDocument/2006/relationships/hyperlink" Target="out/&#12497;&#12527;&#12503;&#12525;2020%20-%20&#25237;&#29699;&#35299;&#26512;%20-%202020-08-23%2015-53-39-08_out.mp4" TargetMode="External"/><Relationship Id="rId2022" Type="http://schemas.openxmlformats.org/officeDocument/2006/relationships/hyperlink" Target="result/&#12497;&#12527;&#12503;&#12525;2020%20-%20&#25237;&#29699;&#35299;&#26512;%20-%202020-08-27%2018-14-40-09_ball.txt" TargetMode="External"/><Relationship Id="rId2327" Type="http://schemas.openxmlformats.org/officeDocument/2006/relationships/hyperlink" Target="out/&#12497;&#12527;&#12503;&#12525;2020%20-%20&#25237;&#29699;&#35299;&#26512;%20-%202020-08-29%2009-42-48-02_out.mp4" TargetMode="External"/><Relationship Id="rId201" Type="http://schemas.openxmlformats.org/officeDocument/2006/relationships/hyperlink" Target="out/&#12497;&#12527;&#12503;&#12525;2020%20-%20&#25237;&#29699;&#35299;&#26512;%20-%202020-08-23%2014-19-33-00_out.mp4" TargetMode="External"/><Relationship Id="rId506" Type="http://schemas.openxmlformats.org/officeDocument/2006/relationships/hyperlink" Target="result/&#12497;&#12527;&#12503;&#12525;2020%20-%20&#25237;&#29699;&#35299;&#26512;%20-%202020-08-23%2016-13-55-03_ball.txt" TargetMode="External"/><Relationship Id="rId853" Type="http://schemas.openxmlformats.org/officeDocument/2006/relationships/hyperlink" Target="out/&#12497;&#12527;&#12503;&#12525;2020%20-%20&#25237;&#29699;&#35299;&#26512;%20-%202020-08-24%2012-10-03-07_out.mp4" TargetMode="External"/><Relationship Id="rId1136" Type="http://schemas.openxmlformats.org/officeDocument/2006/relationships/hyperlink" Target="result/&#12497;&#12527;&#12503;&#12525;2020%20-%20&#25237;&#29699;&#35299;&#26512;%20-%202020-08-24%2012-46-03-10_ball.txt" TargetMode="External"/><Relationship Id="rId1690" Type="http://schemas.openxmlformats.org/officeDocument/2006/relationships/hyperlink" Target="result/&#12497;&#12527;&#12503;&#12525;2020%20-%20&#25237;&#29699;&#35299;&#26512;%20-%202020-08-24%2012-22-44-09_ball.txt" TargetMode="External"/><Relationship Id="rId1788" Type="http://schemas.openxmlformats.org/officeDocument/2006/relationships/hyperlink" Target="result/&#12497;&#12527;&#12503;&#12525;2020%20-%20&#25237;&#29699;&#35299;&#26512;%20-%202020-08-24%2012-58-52-01_ball.txt" TargetMode="External"/><Relationship Id="rId1995" Type="http://schemas.openxmlformats.org/officeDocument/2006/relationships/hyperlink" Target="out/&#12497;&#12527;&#12503;&#12525;2020%20-%20&#25237;&#29699;&#35299;&#26512;%20-%202020-08-26%2021-35-18-06_out.mp4" TargetMode="External"/><Relationship Id="rId2534" Type="http://schemas.openxmlformats.org/officeDocument/2006/relationships/hyperlink" Target="result/&#12497;&#12527;&#12503;&#12525;2020%20-%20&#25237;&#29699;&#35299;&#26512;%20-%202020-08-29%2015-49-13-05_ball.txt" TargetMode="External"/><Relationship Id="rId2741" Type="http://schemas.openxmlformats.org/officeDocument/2006/relationships/hyperlink" Target="out/&#12497;&#12527;&#12503;&#12525;2020%20-%20&#25237;&#29699;&#35299;&#26512;%20-%202020-08-29%2016-01-23-09_out.mp4" TargetMode="External"/><Relationship Id="rId713" Type="http://schemas.openxmlformats.org/officeDocument/2006/relationships/hyperlink" Target="out/&#12497;&#12527;&#12503;&#12525;2020%20-%20&#25237;&#29699;&#35299;&#26512;%20-%202020-08-24%2012-00-01-06_out.mp4" TargetMode="External"/><Relationship Id="rId920" Type="http://schemas.openxmlformats.org/officeDocument/2006/relationships/hyperlink" Target="result/&#12497;&#12527;&#12503;&#12525;2020%20-%20&#25237;&#29699;&#35299;&#26512;%20-%202020-08-24%2012-24-03-05_ball.txt" TargetMode="External"/><Relationship Id="rId1343" Type="http://schemas.openxmlformats.org/officeDocument/2006/relationships/hyperlink" Target="out/&#12497;&#12527;&#12503;&#12525;2020%20-%20&#25237;&#29699;&#35299;&#26512;%20-%202020-08-24%2013-14-19-00_out.mp4" TargetMode="External"/><Relationship Id="rId1550" Type="http://schemas.openxmlformats.org/officeDocument/2006/relationships/hyperlink" Target="result/&#12497;&#12527;&#12503;&#12525;2020%20-%20&#25237;&#29699;&#35299;&#26512;%20-%202020-08-23%2016-11-33-01_ball.txt" TargetMode="External"/><Relationship Id="rId1648" Type="http://schemas.openxmlformats.org/officeDocument/2006/relationships/hyperlink" Target="result/&#12497;&#12527;&#12503;&#12525;2020%20-%20&#25237;&#29699;&#35299;&#26512;%20-%202020-08-24%2012-04-51-09_ball.txt" TargetMode="External"/><Relationship Id="rId2601" Type="http://schemas.openxmlformats.org/officeDocument/2006/relationships/hyperlink" Target="out/&#12497;&#12527;&#12503;&#12525;2020%20-%20&#25237;&#29699;&#35299;&#26512;%20-%202020-08-29%2015-52-32-09_out.mp4" TargetMode="External"/><Relationship Id="rId1203" Type="http://schemas.openxmlformats.org/officeDocument/2006/relationships/hyperlink" Target="out/&#12497;&#12527;&#12503;&#12525;2020%20-%20&#25237;&#29699;&#35299;&#26512;%20-%202020-08-24%2012-53-43-02_out.mp4" TargetMode="External"/><Relationship Id="rId1410" Type="http://schemas.openxmlformats.org/officeDocument/2006/relationships/hyperlink" Target="result/&#12497;&#12527;&#12503;&#12525;2020%20-%20&#25237;&#29699;&#35299;&#26512;%20-%202020-08-23%2014-22-38-00_ball.txt" TargetMode="External"/><Relationship Id="rId1508" Type="http://schemas.openxmlformats.org/officeDocument/2006/relationships/hyperlink" Target="result/&#12497;&#12527;&#12503;&#12525;2020%20-%20&#25237;&#29699;&#35299;&#26512;%20-%202020-08-23%2016-04-57-00_ball.txt" TargetMode="External"/><Relationship Id="rId1855" Type="http://schemas.openxmlformats.org/officeDocument/2006/relationships/hyperlink" Target="out/&#12497;&#12527;&#12503;&#12525;2020%20-%20&#25237;&#29699;&#35299;&#26512;%20-%202020-08-24%2013-17-56-03_out.mp4" TargetMode="External"/><Relationship Id="rId1715" Type="http://schemas.openxmlformats.org/officeDocument/2006/relationships/hyperlink" Target="out/&#12497;&#12527;&#12503;&#12525;2020%20-%20&#25237;&#29699;&#35299;&#26512;%20-%202020-08-24%2012-28-05-09_out.mp4" TargetMode="External"/><Relationship Id="rId1922" Type="http://schemas.openxmlformats.org/officeDocument/2006/relationships/hyperlink" Target="result/&#12497;&#12527;&#12503;&#12525;2020%20-%20&#25237;&#29699;&#35299;&#26512;%20-%202020-08-26%2021-17-48-06_ball.txt" TargetMode="External"/><Relationship Id="rId296" Type="http://schemas.openxmlformats.org/officeDocument/2006/relationships/hyperlink" Target="result/&#12497;&#12527;&#12503;&#12525;2020%20-%20&#25237;&#29699;&#35299;&#26512;%20-%202020-08-23%2014-25-58-07_ball.txt" TargetMode="External"/><Relationship Id="rId2184" Type="http://schemas.openxmlformats.org/officeDocument/2006/relationships/hyperlink" Target="result/&#12497;&#12527;&#12503;&#12525;2020%20-%20&#25237;&#29699;&#35299;&#26512;%20-%202020-08-28%2022-33-04-00_ball.txt" TargetMode="External"/><Relationship Id="rId2391" Type="http://schemas.openxmlformats.org/officeDocument/2006/relationships/hyperlink" Target="out/&#12497;&#12527;&#12503;&#12525;2020%20-%20&#25237;&#29699;&#35299;&#26512;%20-%202020-08-29%2009-48-04-05_out.mp4" TargetMode="External"/><Relationship Id="rId156" Type="http://schemas.openxmlformats.org/officeDocument/2006/relationships/hyperlink" Target="result/&#12497;&#12527;&#12503;&#12525;2020%20-%20&#25237;&#29699;&#35299;&#26512;%20-%202020-08-23%2014-05-50-07_ball.txt" TargetMode="External"/><Relationship Id="rId363" Type="http://schemas.openxmlformats.org/officeDocument/2006/relationships/hyperlink" Target="out/&#12497;&#12527;&#12503;&#12525;2020%20-%20&#25237;&#29699;&#35299;&#26512;%20-%202020-08-23%2015-52-13-01_out.mp4" TargetMode="External"/><Relationship Id="rId570" Type="http://schemas.openxmlformats.org/officeDocument/2006/relationships/hyperlink" Target="result/&#12497;&#12527;&#12503;&#12525;2020%20-%20&#25237;&#29699;&#35299;&#26512;%20-%202020-08-23%2016-26-58-05_ball.txt" TargetMode="External"/><Relationship Id="rId2044" Type="http://schemas.openxmlformats.org/officeDocument/2006/relationships/hyperlink" Target="result/&#12497;&#12527;&#12503;&#12525;2020%20-%20&#25237;&#29699;&#35299;&#26512;%20-%202020-08-27%2018-17-46-00_ball.txt" TargetMode="External"/><Relationship Id="rId2251" Type="http://schemas.openxmlformats.org/officeDocument/2006/relationships/hyperlink" Target="out/&#12497;&#12527;&#12503;&#12525;2020%20-%20&#25237;&#29699;&#35299;&#26512;%20-%202020-08-28%2022-37-55-04_out.mp4" TargetMode="External"/><Relationship Id="rId2489" Type="http://schemas.openxmlformats.org/officeDocument/2006/relationships/hyperlink" Target="out/&#12497;&#12527;&#12503;&#12525;2020%20-%20&#25237;&#29699;&#35299;&#26512;%20-%202020-08-29%2015-46-34-03_out.mp4" TargetMode="External"/><Relationship Id="rId2696" Type="http://schemas.openxmlformats.org/officeDocument/2006/relationships/hyperlink" Target="result/&#12497;&#12527;&#12503;&#12525;2020%20-%20&#25237;&#29699;&#35299;&#26512;%20-%202020-08-29%2015-58-43-06_ball.txt" TargetMode="External"/><Relationship Id="rId223" Type="http://schemas.openxmlformats.org/officeDocument/2006/relationships/hyperlink" Target="out/&#12497;&#12527;&#12503;&#12525;2020%20-%20&#25237;&#29699;&#35299;&#26512;%20-%202020-08-23%2014-21-04-01_out.mp4" TargetMode="External"/><Relationship Id="rId430" Type="http://schemas.openxmlformats.org/officeDocument/2006/relationships/hyperlink" Target="result/&#12497;&#12527;&#12503;&#12525;2020%20-%20&#25237;&#29699;&#35299;&#26512;%20-%202020-08-23%2016-06-08-05_ball.txt" TargetMode="External"/><Relationship Id="rId668" Type="http://schemas.openxmlformats.org/officeDocument/2006/relationships/hyperlink" Target="result/&#12497;&#12527;&#12503;&#12525;2020%20-%20&#25237;&#29699;&#35299;&#26512;%20-%202020-08-24%2011-23-23-05_ball.txt" TargetMode="External"/><Relationship Id="rId875" Type="http://schemas.openxmlformats.org/officeDocument/2006/relationships/hyperlink" Target="out/&#12497;&#12527;&#12503;&#12525;2020%20-%20&#25237;&#29699;&#35299;&#26512;%20-%202020-08-24%2012-12-56-04_out.mp4" TargetMode="External"/><Relationship Id="rId1060" Type="http://schemas.openxmlformats.org/officeDocument/2006/relationships/hyperlink" Target="result/&#12497;&#12527;&#12503;&#12525;2020%20-%20&#25237;&#29699;&#35299;&#26512;%20-%202020-08-24%2012-39-57-05_ball.txt" TargetMode="External"/><Relationship Id="rId1298" Type="http://schemas.openxmlformats.org/officeDocument/2006/relationships/hyperlink" Target="result/&#12497;&#12527;&#12503;&#12525;2020%20-%20&#25237;&#29699;&#35299;&#26512;%20-%202020-08-24%2013-05-36-10_ball.txt" TargetMode="External"/><Relationship Id="rId2111" Type="http://schemas.openxmlformats.org/officeDocument/2006/relationships/hyperlink" Target="out/&#12497;&#12527;&#12503;&#12525;2020%20-%20&#25237;&#29699;&#35299;&#26512;%20-%202020-08-27%2018-22-42-04_out.mp4" TargetMode="External"/><Relationship Id="rId2349" Type="http://schemas.openxmlformats.org/officeDocument/2006/relationships/hyperlink" Target="out/&#12497;&#12527;&#12503;&#12525;2020%20-%20&#25237;&#29699;&#35299;&#26512;%20-%202020-08-29%2009-44-23-04_out.mp4" TargetMode="External"/><Relationship Id="rId2556" Type="http://schemas.openxmlformats.org/officeDocument/2006/relationships/hyperlink" Target="result/&#12497;&#12527;&#12503;&#12525;2020%20-%20&#25237;&#29699;&#35299;&#26512;%20-%202020-08-29%2015-50-19-06_ball.txt" TargetMode="External"/><Relationship Id="rId2763" Type="http://schemas.openxmlformats.org/officeDocument/2006/relationships/hyperlink" Target="out/&#25237;&#29699;&#35299;&#26512;%20-%20&#12497;&#12527;&#12503;&#12525;2020%20-%202020-09-08%2023-37-52-00_out.mp4" TargetMode="External"/><Relationship Id="rId528" Type="http://schemas.openxmlformats.org/officeDocument/2006/relationships/hyperlink" Target="result/&#12497;&#12527;&#12503;&#12525;2020%20-%20&#25237;&#29699;&#35299;&#26512;%20-%202020-08-23%2016-15-07-04_ball.txt" TargetMode="External"/><Relationship Id="rId735" Type="http://schemas.openxmlformats.org/officeDocument/2006/relationships/hyperlink" Target="out/&#12497;&#12527;&#12503;&#12525;2020%20-%20&#25237;&#29699;&#35299;&#26512;%20-%202020-08-24%2012-02-12-00_out.mp4" TargetMode="External"/><Relationship Id="rId942" Type="http://schemas.openxmlformats.org/officeDocument/2006/relationships/hyperlink" Target="result/&#12497;&#12527;&#12503;&#12525;2020%20-%20&#25237;&#29699;&#35299;&#26512;%20-%202020-08-24%2012-25-33-06_ball.txt" TargetMode="External"/><Relationship Id="rId1158" Type="http://schemas.openxmlformats.org/officeDocument/2006/relationships/hyperlink" Target="result/&#12497;&#12527;&#12503;&#12525;2020%20-%20&#25237;&#29699;&#35299;&#26512;%20-%202020-08-24%2012-47-45-06_ball.txt" TargetMode="External"/><Relationship Id="rId1365" Type="http://schemas.openxmlformats.org/officeDocument/2006/relationships/hyperlink" Target="out/&#12497;&#12527;&#12503;&#12525;2020%20-%20&#25237;&#29699;&#35299;&#26512;%20-%202020-08-23%2011-08-57-08_out.mp4" TargetMode="External"/><Relationship Id="rId1572" Type="http://schemas.openxmlformats.org/officeDocument/2006/relationships/hyperlink" Target="result/&#12497;&#12527;&#12503;&#12525;2020%20-%20&#25237;&#29699;&#35299;&#26512;%20-%202020-08-23%2016-24-41-02_ball.txt" TargetMode="External"/><Relationship Id="rId2209" Type="http://schemas.openxmlformats.org/officeDocument/2006/relationships/hyperlink" Target="out/&#12497;&#12527;&#12503;&#12525;2020%20-%20&#25237;&#29699;&#35299;&#26512;%20-%202020-08-28%2022-34-32-03_out.mp4" TargetMode="External"/><Relationship Id="rId2416" Type="http://schemas.openxmlformats.org/officeDocument/2006/relationships/hyperlink" Target="result/&#12497;&#12527;&#12503;&#12525;2020%20-%20&#25237;&#29699;&#35299;&#26512;%20-%202020-08-29%2009-49-52-07_ball.txt" TargetMode="External"/><Relationship Id="rId2623" Type="http://schemas.openxmlformats.org/officeDocument/2006/relationships/hyperlink" Target="out/&#12497;&#12527;&#12503;&#12525;2020%20-%20&#25237;&#29699;&#35299;&#26512;%20-%202020-08-29%2015-55-24-00_out.mp4" TargetMode="External"/><Relationship Id="rId1018" Type="http://schemas.openxmlformats.org/officeDocument/2006/relationships/hyperlink" Target="result/&#12497;&#12527;&#12503;&#12525;2020%20-%20&#25237;&#29699;&#35299;&#26512;%20-%202020-08-24%2012-35-33-05_ball.txt" TargetMode="External"/><Relationship Id="rId1225" Type="http://schemas.openxmlformats.org/officeDocument/2006/relationships/hyperlink" Target="out/&#12497;&#12527;&#12503;&#12525;2020%20-%20&#25237;&#29699;&#35299;&#26512;%20-%202020-08-24%2012-55-39-03_out.mp4" TargetMode="External"/><Relationship Id="rId1432" Type="http://schemas.openxmlformats.org/officeDocument/2006/relationships/hyperlink" Target="result/&#12497;&#12527;&#12503;&#12525;2020%20-%20&#25237;&#29699;&#35299;&#26512;%20-%202020-08-23%2015-47-01-02_ball.txt" TargetMode="External"/><Relationship Id="rId1877" Type="http://schemas.openxmlformats.org/officeDocument/2006/relationships/hyperlink" Target="out/&#12497;&#12527;&#12503;&#12525;2020%20-%20&#25237;&#29699;&#35299;&#26512;%20-%202020-08-24%2013-20-06-04_out.mp4" TargetMode="External"/><Relationship Id="rId71" Type="http://schemas.openxmlformats.org/officeDocument/2006/relationships/hyperlink" Target="out/&#12497;&#12527;&#12503;&#12525;2020%20-%20&#25237;&#29699;&#35299;&#26512;%20-%202020-08-23%2011-13-59-05_out.mp4" TargetMode="External"/><Relationship Id="rId802" Type="http://schemas.openxmlformats.org/officeDocument/2006/relationships/hyperlink" Target="result/&#12497;&#12527;&#12503;&#12525;2020%20-%20&#25237;&#29699;&#35299;&#26512;%20-%202020-08-24%2012-07-26-03_ball.txt" TargetMode="External"/><Relationship Id="rId1737" Type="http://schemas.openxmlformats.org/officeDocument/2006/relationships/hyperlink" Target="out/&#12497;&#12527;&#12503;&#12525;2020%20-%20&#25237;&#29699;&#35299;&#26512;%20-%202020-08-24%2012-42-52-05_out.mp4" TargetMode="External"/><Relationship Id="rId1944" Type="http://schemas.openxmlformats.org/officeDocument/2006/relationships/hyperlink" Target="result/&#12497;&#12527;&#12503;&#12525;2020%20-%20&#25237;&#29699;&#35299;&#26512;%20-%202020-08-26%2021-20-35-00_ball.txt" TargetMode="External"/><Relationship Id="rId29" Type="http://schemas.openxmlformats.org/officeDocument/2006/relationships/hyperlink" Target="out/&#12497;&#12527;&#12503;&#12525;2020%20-%20&#25237;&#29699;&#35299;&#26512;%20-%202020-08-23%2011-11-35-04_out.mp4" TargetMode="External"/><Relationship Id="rId178" Type="http://schemas.openxmlformats.org/officeDocument/2006/relationships/hyperlink" Target="result/&#12497;&#12527;&#12503;&#12525;2020%20-%20&#25237;&#29699;&#35299;&#26512;%20-%202020-08-23%2014-06-56-08_ball.txt" TargetMode="External"/><Relationship Id="rId1804" Type="http://schemas.openxmlformats.org/officeDocument/2006/relationships/hyperlink" Target="result/&#12497;&#12527;&#12503;&#12525;2020%20-%20&#25237;&#29699;&#35299;&#26512;%20-%202020-08-24%2013-05-36-00_ball.txt" TargetMode="External"/><Relationship Id="rId385" Type="http://schemas.openxmlformats.org/officeDocument/2006/relationships/hyperlink" Target="out/&#12497;&#12527;&#12503;&#12525;2020%20-%20&#25237;&#29699;&#35299;&#26512;%20-%202020-08-23%2015-54-48-02_out.mp4" TargetMode="External"/><Relationship Id="rId592" Type="http://schemas.openxmlformats.org/officeDocument/2006/relationships/hyperlink" Target="result/&#12497;&#12527;&#12503;&#12525;2020%20-%20&#25237;&#29699;&#35299;&#26512;%20-%202020-08-23%2016-28-07-06_ball.txt" TargetMode="External"/><Relationship Id="rId2066" Type="http://schemas.openxmlformats.org/officeDocument/2006/relationships/hyperlink" Target="result/&#12497;&#12527;&#12503;&#12525;2020%20-%20&#25237;&#29699;&#35299;&#26512;%20-%202020-08-27%2018-19-19-01_ball.txt" TargetMode="External"/><Relationship Id="rId2273" Type="http://schemas.openxmlformats.org/officeDocument/2006/relationships/hyperlink" Target="out/&#12497;&#12527;&#12503;&#12525;2020%20-%20&#25237;&#29699;&#35299;&#26512;%20-%202020-08-29%2009-37-40-05_out.mp4" TargetMode="External"/><Relationship Id="rId2480" Type="http://schemas.openxmlformats.org/officeDocument/2006/relationships/hyperlink" Target="result/&#12497;&#12527;&#12503;&#12525;2020%20-%20&#25237;&#29699;&#35299;&#26512;%20-%202020-08-29%2015-45-22-08_ball.txt" TargetMode="External"/><Relationship Id="rId245" Type="http://schemas.openxmlformats.org/officeDocument/2006/relationships/hyperlink" Target="out/&#12497;&#12527;&#12503;&#12525;2020%20-%20&#25237;&#29699;&#35299;&#26512;%20-%202020-08-23%2014-23-42-02_out.mp4" TargetMode="External"/><Relationship Id="rId452" Type="http://schemas.openxmlformats.org/officeDocument/2006/relationships/hyperlink" Target="result/&#12497;&#12527;&#12503;&#12525;2020%20-%20&#25237;&#29699;&#35299;&#26512;%20-%202020-08-23%2016-08-46-06_ball.txt" TargetMode="External"/><Relationship Id="rId897" Type="http://schemas.openxmlformats.org/officeDocument/2006/relationships/hyperlink" Target="out/&#12497;&#12527;&#12503;&#12525;2020%20-%20&#25237;&#29699;&#35299;&#26512;%20-%202020-08-24%2012-21-33-05_out.mp4" TargetMode="External"/><Relationship Id="rId1082" Type="http://schemas.openxmlformats.org/officeDocument/2006/relationships/hyperlink" Target="result/&#12497;&#12527;&#12503;&#12525;2020%20-%20&#25237;&#29699;&#35299;&#26512;%20-%202020-08-24%2012-41-25-06_ball.txt" TargetMode="External"/><Relationship Id="rId2133" Type="http://schemas.openxmlformats.org/officeDocument/2006/relationships/hyperlink" Target="out/&#12497;&#12527;&#12503;&#12525;2020%20-%20&#25237;&#29699;&#35299;&#26512;%20-%202020-08-27%2018-24-30-05_out.mp4" TargetMode="External"/><Relationship Id="rId2340" Type="http://schemas.openxmlformats.org/officeDocument/2006/relationships/hyperlink" Target="result/&#12497;&#12527;&#12503;&#12525;2020%20-%20&#25237;&#29699;&#35299;&#26512;%20-%202020-08-29%2009-42-48-08_ball.txt" TargetMode="External"/><Relationship Id="rId2578" Type="http://schemas.openxmlformats.org/officeDocument/2006/relationships/hyperlink" Target="result/&#12497;&#12527;&#12503;&#12525;2020%20-%20&#25237;&#29699;&#35299;&#26512;%20-%202020-08-29%2015-51-26-07_ball.txt" TargetMode="External"/><Relationship Id="rId2785" Type="http://schemas.openxmlformats.org/officeDocument/2006/relationships/hyperlink" Target="out/&#25237;&#29699;&#35299;&#26512;%20-%20&#12497;&#12527;&#12503;&#12525;2020%20-%202020-09-08%2023-39-02-01_out.mp4" TargetMode="External"/><Relationship Id="rId105" Type="http://schemas.openxmlformats.org/officeDocument/2006/relationships/hyperlink" Target="out/&#12497;&#12527;&#12503;&#12525;2020%20-%20&#25237;&#29699;&#35299;&#26512;%20-%202020-08-23%2011-16-20-02_out.mp4" TargetMode="External"/><Relationship Id="rId312" Type="http://schemas.openxmlformats.org/officeDocument/2006/relationships/hyperlink" Target="result/&#12497;&#12527;&#12503;&#12525;2020%20-%20&#25237;&#29699;&#35299;&#26512;%20-%202020-08-23%2014-27-07-05_ball.txt" TargetMode="External"/><Relationship Id="rId757" Type="http://schemas.openxmlformats.org/officeDocument/2006/relationships/hyperlink" Target="out/&#12497;&#12527;&#12503;&#12525;2020%20-%20&#25237;&#29699;&#35299;&#26512;%20-%202020-08-24%2012-03-33-01_out.mp4" TargetMode="External"/><Relationship Id="rId964" Type="http://schemas.openxmlformats.org/officeDocument/2006/relationships/hyperlink" Target="result/&#12497;&#12527;&#12503;&#12525;2020%20-%20&#25237;&#29699;&#35299;&#26512;%20-%202020-08-24%2012-26-53-07_ball.txt" TargetMode="External"/><Relationship Id="rId1387" Type="http://schemas.openxmlformats.org/officeDocument/2006/relationships/hyperlink" Target="out/&#12497;&#12527;&#12503;&#12525;2020%20-%20&#25237;&#29699;&#35299;&#26512;%20-%202020-08-23%2014-03-42-09_out.mp4" TargetMode="External"/><Relationship Id="rId1594" Type="http://schemas.openxmlformats.org/officeDocument/2006/relationships/hyperlink" Target="result/&#12497;&#12527;&#12503;&#12525;2020%20-%20&#25237;&#29699;&#35299;&#26512;%20-%202020-08-23%2016-29-37-02_ball.txt" TargetMode="External"/><Relationship Id="rId2200" Type="http://schemas.openxmlformats.org/officeDocument/2006/relationships/hyperlink" Target="result/&#12497;&#12527;&#12503;&#12525;2020%20-%20&#25237;&#29699;&#35299;&#26512;%20-%202020-08-28%2022-33-04-08_ball.txt" TargetMode="External"/><Relationship Id="rId2438" Type="http://schemas.openxmlformats.org/officeDocument/2006/relationships/hyperlink" Target="result/&#12497;&#12527;&#12503;&#12525;2020%20-%20&#25237;&#29699;&#35299;&#26512;%20-%202020-08-29%2015-42-43-08_ball.txt" TargetMode="External"/><Relationship Id="rId2645" Type="http://schemas.openxmlformats.org/officeDocument/2006/relationships/hyperlink" Target="out/&#12497;&#12527;&#12503;&#12525;2020%20-%20&#25237;&#29699;&#35299;&#26512;%20-%202020-08-29%2015-56-35-01_out.mp4" TargetMode="External"/><Relationship Id="rId93" Type="http://schemas.openxmlformats.org/officeDocument/2006/relationships/hyperlink" Target="out/&#12497;&#12527;&#12503;&#12525;2020%20-%20&#25237;&#29699;&#35299;&#26512;%20-%202020-08-23%2011-15-09-06_out.mp4" TargetMode="External"/><Relationship Id="rId617" Type="http://schemas.openxmlformats.org/officeDocument/2006/relationships/hyperlink" Target="out/&#12497;&#12527;&#12503;&#12525;2020%20-%20&#25237;&#29699;&#35299;&#26512;%20-%202020-08-23%2016-30-55-09_out.mp4" TargetMode="External"/><Relationship Id="rId824" Type="http://schemas.openxmlformats.org/officeDocument/2006/relationships/hyperlink" Target="result/&#12497;&#12527;&#12503;&#12525;2020%20-%20&#25237;&#29699;&#35299;&#26512;%20-%202020-08-24%2012-08-41-04_ball.txt" TargetMode="External"/><Relationship Id="rId1247" Type="http://schemas.openxmlformats.org/officeDocument/2006/relationships/hyperlink" Target="out/&#12497;&#12527;&#12503;&#12525;2020%20-%20&#25237;&#29699;&#35299;&#26512;%20-%202020-08-24%2013-00-20-04_out.mp4" TargetMode="External"/><Relationship Id="rId1454" Type="http://schemas.openxmlformats.org/officeDocument/2006/relationships/hyperlink" Target="result/&#12497;&#12527;&#12503;&#12525;2020%20-%20&#25237;&#29699;&#35299;&#26512;%20-%202020-08-23%2015-51-08-03_ball.txt" TargetMode="External"/><Relationship Id="rId1661" Type="http://schemas.openxmlformats.org/officeDocument/2006/relationships/hyperlink" Target="out/&#12497;&#12527;&#12503;&#12525;2020%20-%20&#25237;&#29699;&#35299;&#26512;%20-%202020-08-24%2012-06-16-06_out.mp4" TargetMode="External"/><Relationship Id="rId1899" Type="http://schemas.openxmlformats.org/officeDocument/2006/relationships/hyperlink" Target="out/&#12497;&#12527;&#12503;&#12525;2020%20-%20&#25237;&#29699;&#35299;&#26512;%20-%202020-08-26%2021-15-29-05_out.mp4" TargetMode="External"/><Relationship Id="rId2505" Type="http://schemas.openxmlformats.org/officeDocument/2006/relationships/hyperlink" Target="out/&#12497;&#12527;&#12503;&#12525;2020%20-%20&#25237;&#29699;&#35299;&#26512;%20-%202020-08-29%2015-48-09-01_out.mp4" TargetMode="External"/><Relationship Id="rId2712" Type="http://schemas.openxmlformats.org/officeDocument/2006/relationships/hyperlink" Target="result/&#12497;&#12527;&#12503;&#12525;2020%20-%20&#25237;&#29699;&#35299;&#26512;%20-%202020-08-29%2016-00-15-04_ball.txt" TargetMode="External"/><Relationship Id="rId1107" Type="http://schemas.openxmlformats.org/officeDocument/2006/relationships/hyperlink" Target="out/&#12497;&#12527;&#12503;&#12525;2020%20-%20&#25237;&#29699;&#35299;&#26512;%20-%202020-08-24%2012-44-26-09_out.mp4" TargetMode="External"/><Relationship Id="rId1314" Type="http://schemas.openxmlformats.org/officeDocument/2006/relationships/hyperlink" Target="result/&#12497;&#12527;&#12503;&#12525;2020%20-%20&#25237;&#29699;&#35299;&#26512;%20-%202020-08-24%2013-07-27-07_ball.txt" TargetMode="External"/><Relationship Id="rId1521" Type="http://schemas.openxmlformats.org/officeDocument/2006/relationships/hyperlink" Target="out/&#12497;&#12527;&#12503;&#12525;2020%20-%20&#25237;&#29699;&#35299;&#26512;%20-%202020-08-23%2016-04-57-07_out.mp4" TargetMode="External"/><Relationship Id="rId1759" Type="http://schemas.openxmlformats.org/officeDocument/2006/relationships/hyperlink" Target="out/&#12497;&#12527;&#12503;&#12525;2020%20-%20&#25237;&#29699;&#35299;&#26512;%20-%202020-08-24%2012-49-17-05_out.mp4" TargetMode="External"/><Relationship Id="rId1966" Type="http://schemas.openxmlformats.org/officeDocument/2006/relationships/hyperlink" Target="result/&#12497;&#12527;&#12503;&#12525;2020%20-%20&#25237;&#29699;&#35299;&#26512;%20-%202020-08-26%2021-30-58-01_ball.txt" TargetMode="External"/><Relationship Id="rId1619" Type="http://schemas.openxmlformats.org/officeDocument/2006/relationships/hyperlink" Target="out/&#12497;&#12527;&#12503;&#12525;2020%20-%20&#25237;&#29699;&#35299;&#26512;%20-%202020-08-24%2011-22-14-04_out.mp4" TargetMode="External"/><Relationship Id="rId1826" Type="http://schemas.openxmlformats.org/officeDocument/2006/relationships/hyperlink" Target="result/&#12497;&#12527;&#12503;&#12525;2020%20-%20&#25237;&#29699;&#35299;&#26512;%20-%202020-08-24%2013-14-19-07_ball.txt" TargetMode="External"/><Relationship Id="rId20" Type="http://schemas.openxmlformats.org/officeDocument/2006/relationships/hyperlink" Target="result/&#12497;&#12527;&#12503;&#12525;2020%20-%20&#25237;&#29699;&#35299;&#26512;%20-%202020-08-23%2011-10-26-09_ball.txt" TargetMode="External"/><Relationship Id="rId2088" Type="http://schemas.openxmlformats.org/officeDocument/2006/relationships/hyperlink" Target="result/&#12497;&#12527;&#12503;&#12525;2020%20-%20&#25237;&#29699;&#35299;&#26512;%20-%202020-08-27%2018-21-04-02_ball.txt" TargetMode="External"/><Relationship Id="rId2295" Type="http://schemas.openxmlformats.org/officeDocument/2006/relationships/hyperlink" Target="out/&#12497;&#12527;&#12503;&#12525;2020%20-%20&#25237;&#29699;&#35299;&#26512;%20-%202020-08-29%2009-39-15-06_out.mp4" TargetMode="External"/><Relationship Id="rId267" Type="http://schemas.openxmlformats.org/officeDocument/2006/relationships/hyperlink" Target="out/&#12497;&#12527;&#12503;&#12525;2020%20-%20&#25237;&#29699;&#35299;&#26512;%20-%202020-08-23%2014-24-49-03_out.mp4" TargetMode="External"/><Relationship Id="rId474" Type="http://schemas.openxmlformats.org/officeDocument/2006/relationships/hyperlink" Target="result/&#12497;&#12527;&#12503;&#12525;2020%20-%20&#25237;&#29699;&#35299;&#26512;%20-%202020-08-23%2016-09-58-07_ball.txt" TargetMode="External"/><Relationship Id="rId2155" Type="http://schemas.openxmlformats.org/officeDocument/2006/relationships/hyperlink" Target="out/&#12497;&#12527;&#12503;&#12525;2020%20-%20&#25237;&#29699;&#35299;&#26512;%20-%202020-08-27%2018-26-47-06_out.mp4" TargetMode="External"/><Relationship Id="rId127" Type="http://schemas.openxmlformats.org/officeDocument/2006/relationships/hyperlink" Target="out/&#12497;&#12527;&#12503;&#12525;2020%20-%20&#25237;&#29699;&#35299;&#26512;%20-%202020-08-23%2014-04-47-03_out.mp4" TargetMode="External"/><Relationship Id="rId681" Type="http://schemas.openxmlformats.org/officeDocument/2006/relationships/hyperlink" Target="out/&#12497;&#12527;&#12503;&#12525;2020%20-%20&#25237;&#29699;&#35299;&#26512;%20-%202020-08-24%2011-24-36-02_out.mp4" TargetMode="External"/><Relationship Id="rId779" Type="http://schemas.openxmlformats.org/officeDocument/2006/relationships/hyperlink" Target="out/&#12497;&#12527;&#12503;&#12525;2020%20-%20&#25237;&#29699;&#35299;&#26512;%20-%202020-08-24%2012-04-51-02_out.mp4" TargetMode="External"/><Relationship Id="rId986" Type="http://schemas.openxmlformats.org/officeDocument/2006/relationships/hyperlink" Target="result/&#12497;&#12527;&#12503;&#12525;2020%20-%20&#25237;&#29699;&#35299;&#26512;%20-%202020-08-24%2012-32-08-09_ball.txt" TargetMode="External"/><Relationship Id="rId2362" Type="http://schemas.openxmlformats.org/officeDocument/2006/relationships/hyperlink" Target="result/&#12497;&#12527;&#12503;&#12525;2020%20-%20&#25237;&#29699;&#35299;&#26512;%20-%202020-08-29%2009-46-05-00_ball.txt" TargetMode="External"/><Relationship Id="rId2667" Type="http://schemas.openxmlformats.org/officeDocument/2006/relationships/hyperlink" Target="out/&#12497;&#12527;&#12503;&#12525;2020%20-%20&#25237;&#29699;&#35299;&#26512;%20-%202020-08-29%2015-57-36-02_out.mp4" TargetMode="External"/><Relationship Id="rId334" Type="http://schemas.openxmlformats.org/officeDocument/2006/relationships/hyperlink" Target="result/&#12497;&#12527;&#12503;&#12525;2020%20-%20&#25237;&#29699;&#35299;&#26512;%20-%202020-08-23%2015-48-07-06_ball.txt" TargetMode="External"/><Relationship Id="rId541" Type="http://schemas.openxmlformats.org/officeDocument/2006/relationships/hyperlink" Target="out/&#12497;&#12527;&#12503;&#12525;2020%20-%20&#25237;&#29699;&#35299;&#26512;%20-%202020-08-23%2016-25-48-01_out.mp4" TargetMode="External"/><Relationship Id="rId639" Type="http://schemas.openxmlformats.org/officeDocument/2006/relationships/hyperlink" Target="out/&#12497;&#12527;&#12503;&#12525;2020%20-%20&#25237;&#29699;&#35299;&#26512;%20-%202020-08-23%2016-33-27-00_out.mp4" TargetMode="External"/><Relationship Id="rId1171" Type="http://schemas.openxmlformats.org/officeDocument/2006/relationships/hyperlink" Target="out/&#12497;&#12527;&#12503;&#12525;2020%20-%20&#25237;&#29699;&#35299;&#26512;%20-%202020-08-24%2012-49-17-03_out.mp4" TargetMode="External"/><Relationship Id="rId1269" Type="http://schemas.openxmlformats.org/officeDocument/2006/relationships/hyperlink" Target="out/&#12497;&#12527;&#12503;&#12525;2020%20-%20&#25237;&#29699;&#35299;&#26512;%20-%202020-08-24%2013-02-04-06_out.mp4" TargetMode="External"/><Relationship Id="rId1476" Type="http://schemas.openxmlformats.org/officeDocument/2006/relationships/hyperlink" Target="result/&#12497;&#12527;&#12503;&#12525;2020%20-%20&#25237;&#29699;&#35299;&#26512;%20-%202020-08-23%2015-53-39-04_ball.txt" TargetMode="External"/><Relationship Id="rId2015" Type="http://schemas.openxmlformats.org/officeDocument/2006/relationships/hyperlink" Target="out/&#12497;&#12527;&#12503;&#12525;2020%20-%20&#25237;&#29699;&#35299;&#26512;%20-%202020-08-27%2018-14-40-06_out.mp4" TargetMode="External"/><Relationship Id="rId2222" Type="http://schemas.openxmlformats.org/officeDocument/2006/relationships/hyperlink" Target="result/&#12497;&#12527;&#12503;&#12525;2020%20-%20&#25237;&#29699;&#35299;&#26512;%20-%202020-08-28%2022-34-32-09_ball.txt" TargetMode="External"/><Relationship Id="rId401" Type="http://schemas.openxmlformats.org/officeDocument/2006/relationships/hyperlink" Target="out/&#12497;&#12527;&#12503;&#12525;2020%20-%20&#25237;&#29699;&#35299;&#26512;%20-%202020-08-23%2016-03-31-01_out.mp4" TargetMode="External"/><Relationship Id="rId846" Type="http://schemas.openxmlformats.org/officeDocument/2006/relationships/hyperlink" Target="result/&#12497;&#12527;&#12503;&#12525;2020%20-%20&#25237;&#29699;&#35299;&#26512;%20-%202020-08-24%2012-10-03-03_ball.txt" TargetMode="External"/><Relationship Id="rId1031" Type="http://schemas.openxmlformats.org/officeDocument/2006/relationships/hyperlink" Target="out/&#12497;&#12527;&#12503;&#12525;2020%20-%20&#25237;&#29699;&#35299;&#26512;%20-%202020-08-24%2012-38-24-01_out.mp4" TargetMode="External"/><Relationship Id="rId1129" Type="http://schemas.openxmlformats.org/officeDocument/2006/relationships/hyperlink" Target="out/&#12497;&#12527;&#12503;&#12525;2020%20-%20&#25237;&#29699;&#35299;&#26512;%20-%202020-08-24%2012-46-03-07_out.mp4" TargetMode="External"/><Relationship Id="rId1683" Type="http://schemas.openxmlformats.org/officeDocument/2006/relationships/hyperlink" Target="out/&#12497;&#12527;&#12503;&#12525;2020%20-%20&#25237;&#29699;&#35299;&#26512;%20-%202020-08-24%2012-22-44-06_out.mp4" TargetMode="External"/><Relationship Id="rId1890" Type="http://schemas.openxmlformats.org/officeDocument/2006/relationships/hyperlink" Target="result/&#12497;&#12527;&#12503;&#12525;2020%20-%20&#25237;&#29699;&#35299;&#26512;%20-%202020-08-26%2021-15-29-00_ball.txt" TargetMode="External"/><Relationship Id="rId1988" Type="http://schemas.openxmlformats.org/officeDocument/2006/relationships/hyperlink" Target="result/&#12497;&#12527;&#12503;&#12525;2020%20-%20&#25237;&#29699;&#35299;&#26512;%20-%202020-08-26%2021-35-18-02_ball.txt" TargetMode="External"/><Relationship Id="rId2527" Type="http://schemas.openxmlformats.org/officeDocument/2006/relationships/hyperlink" Target="out/&#12497;&#12527;&#12503;&#12525;2020%20-%20&#25237;&#29699;&#35299;&#26512;%20-%202020-08-29%2015-49-13-02_out.mp4" TargetMode="External"/><Relationship Id="rId2734" Type="http://schemas.openxmlformats.org/officeDocument/2006/relationships/hyperlink" Target="result/&#12497;&#12527;&#12503;&#12525;2020%20-%20&#25237;&#29699;&#35299;&#26512;%20-%202020-08-29%2016-01-23-05_ball.txt" TargetMode="External"/><Relationship Id="rId706" Type="http://schemas.openxmlformats.org/officeDocument/2006/relationships/hyperlink" Target="result/&#12497;&#12527;&#12503;&#12525;2020%20-%20&#25237;&#29699;&#35299;&#26512;%20-%202020-08-24%2011-25-48-04_ball.txt" TargetMode="External"/><Relationship Id="rId913" Type="http://schemas.openxmlformats.org/officeDocument/2006/relationships/hyperlink" Target="out/&#12497;&#12527;&#12503;&#12525;2020%20-%20&#25237;&#29699;&#35299;&#26512;%20-%202020-08-24%2012-22-44-03_out.mp4" TargetMode="External"/><Relationship Id="rId1336" Type="http://schemas.openxmlformats.org/officeDocument/2006/relationships/hyperlink" Target="result/&#12497;&#12527;&#12503;&#12525;2020%20-%20&#25237;&#29699;&#35299;&#26512;%20-%202020-08-24%2013-09-18-09_ball.txt" TargetMode="External"/><Relationship Id="rId1543" Type="http://schemas.openxmlformats.org/officeDocument/2006/relationships/hyperlink" Target="out/&#12497;&#12527;&#12503;&#12525;2020%20-%20&#25237;&#29699;&#35299;&#26512;%20-%202020-08-23%2016-07-35-08_out.mp4" TargetMode="External"/><Relationship Id="rId1750" Type="http://schemas.openxmlformats.org/officeDocument/2006/relationships/hyperlink" Target="result/&#12497;&#12527;&#12503;&#12525;2020%20-%20&#25237;&#29699;&#35299;&#26512;%20-%202020-08-24%2012-44-26-01_ball.txt" TargetMode="External"/><Relationship Id="rId2801" Type="http://schemas.openxmlformats.org/officeDocument/2006/relationships/hyperlink" Target="out/&#25237;&#29699;&#35299;&#26512;%20-%20&#12497;&#12527;&#12503;&#12525;2020%20-%202020-09-08%2023-39-02-09_out.mp4" TargetMode="External"/><Relationship Id="rId42" Type="http://schemas.openxmlformats.org/officeDocument/2006/relationships/hyperlink" Target="result/&#12497;&#12527;&#12503;&#12525;2020%20-%20&#25237;&#29699;&#35299;&#26512;%20-%202020-08-23%2011-12-45-00_ball.txt" TargetMode="External"/><Relationship Id="rId1403" Type="http://schemas.openxmlformats.org/officeDocument/2006/relationships/hyperlink" Target="out/&#12497;&#12527;&#12503;&#12525;2020%20-%20&#25237;&#29699;&#35299;&#26512;%20-%202020-08-23%2014-18-29-07_out.mp4" TargetMode="External"/><Relationship Id="rId1610" Type="http://schemas.openxmlformats.org/officeDocument/2006/relationships/hyperlink" Target="result/&#12497;&#12527;&#12503;&#12525;2020%20-%20&#25237;&#29699;&#35299;&#26512;%20-%202020-08-23%2016-33-27-08_ball.txt" TargetMode="External"/><Relationship Id="rId1848" Type="http://schemas.openxmlformats.org/officeDocument/2006/relationships/hyperlink" Target="result/&#12497;&#12527;&#12503;&#12525;2020%20-%20&#25237;&#29699;&#35299;&#26512;%20-%202020-08-24%2013-16-19-08_ball.txt" TargetMode="External"/><Relationship Id="rId191" Type="http://schemas.openxmlformats.org/officeDocument/2006/relationships/hyperlink" Target="out/&#12497;&#12527;&#12503;&#12525;2020%20-%20&#25237;&#29699;&#35299;&#26512;%20-%202020-08-23%2014-08-02-05_out.mp4" TargetMode="External"/><Relationship Id="rId1708" Type="http://schemas.openxmlformats.org/officeDocument/2006/relationships/hyperlink" Target="result/&#12497;&#12527;&#12503;&#12525;2020%20-%20&#25237;&#29699;&#35299;&#26512;%20-%202020-08-24%2012-28-05-05_ball.txt" TargetMode="External"/><Relationship Id="rId1915" Type="http://schemas.openxmlformats.org/officeDocument/2006/relationships/hyperlink" Target="out/&#12497;&#12527;&#12503;&#12525;2020%20-%20&#25237;&#29699;&#35299;&#26512;%20-%202020-08-26%2021-17-48-03_out.mp4" TargetMode="External"/><Relationship Id="rId289" Type="http://schemas.openxmlformats.org/officeDocument/2006/relationships/hyperlink" Target="out/&#12497;&#12527;&#12503;&#12525;2020%20-%20&#25237;&#29699;&#35299;&#26512;%20-%202020-08-23%2014-25-58-04_out.mp4" TargetMode="External"/><Relationship Id="rId496" Type="http://schemas.openxmlformats.org/officeDocument/2006/relationships/hyperlink" Target="result/&#12497;&#12527;&#12503;&#12525;2020%20-%20&#25237;&#29699;&#35299;&#26512;%20-%202020-08-23%2016-12-41-08_ball.txt" TargetMode="External"/><Relationship Id="rId2177" Type="http://schemas.openxmlformats.org/officeDocument/2006/relationships/hyperlink" Target="out/&#12497;&#12527;&#12503;&#12525;2020%20-%20&#25237;&#29699;&#35299;&#26512;%20-%202020-08-28%2022-31-31-07_out.mp4" TargetMode="External"/><Relationship Id="rId2384" Type="http://schemas.openxmlformats.org/officeDocument/2006/relationships/hyperlink" Target="result/&#12497;&#12527;&#12503;&#12525;2020%20-%20&#25237;&#29699;&#35299;&#26512;%20-%202020-08-29%2009-48-04-01_ball.txt" TargetMode="External"/><Relationship Id="rId2591" Type="http://schemas.openxmlformats.org/officeDocument/2006/relationships/hyperlink" Target="out/&#12497;&#12527;&#12503;&#12525;2020%20-%20&#25237;&#29699;&#35299;&#26512;%20-%202020-08-29%2015-52-32-04_out.mp4" TargetMode="External"/><Relationship Id="rId149" Type="http://schemas.openxmlformats.org/officeDocument/2006/relationships/hyperlink" Target="out/&#12497;&#12527;&#12503;&#12525;2020%20-%20&#25237;&#29699;&#35299;&#26512;%20-%202020-08-23%2014-05-50-04_out.mp4" TargetMode="External"/><Relationship Id="rId356" Type="http://schemas.openxmlformats.org/officeDocument/2006/relationships/hyperlink" Target="result/&#12497;&#12527;&#12503;&#12525;2020%20-%20&#25237;&#29699;&#35299;&#26512;%20-%202020-08-23%2015-49-19-07_ball.txt" TargetMode="External"/><Relationship Id="rId563" Type="http://schemas.openxmlformats.org/officeDocument/2006/relationships/hyperlink" Target="out/&#12497;&#12527;&#12503;&#12525;2020%20-%20&#25237;&#29699;&#35299;&#26512;%20-%202020-08-23%2016-26-58-02_out.mp4" TargetMode="External"/><Relationship Id="rId770" Type="http://schemas.openxmlformats.org/officeDocument/2006/relationships/hyperlink" Target="result/&#12497;&#12527;&#12503;&#12525;2020%20-%20&#25237;&#29699;&#35299;&#26512;%20-%202020-08-24%2012-03-33-07_ball.txt" TargetMode="External"/><Relationship Id="rId1193" Type="http://schemas.openxmlformats.org/officeDocument/2006/relationships/hyperlink" Target="out/&#12497;&#12527;&#12503;&#12525;2020%20-%20&#25237;&#29699;&#35299;&#26512;%20-%202020-08-24%2012-52-05-07_out.mp4" TargetMode="External"/><Relationship Id="rId2037" Type="http://schemas.openxmlformats.org/officeDocument/2006/relationships/hyperlink" Target="out/&#12497;&#12527;&#12503;&#12525;2020%20-%20&#25237;&#29699;&#35299;&#26512;%20-%202020-08-27%2018-16-14-07_out.mp4" TargetMode="External"/><Relationship Id="rId2244" Type="http://schemas.openxmlformats.org/officeDocument/2006/relationships/hyperlink" Target="result/&#12497;&#12527;&#12503;&#12525;2020%20-%20&#25237;&#29699;&#35299;&#26512;%20-%202020-08-28%2022-37-55-00_ball.txt" TargetMode="External"/><Relationship Id="rId2451" Type="http://schemas.openxmlformats.org/officeDocument/2006/relationships/hyperlink" Target="out/&#12497;&#12527;&#12503;&#12525;2020%20-%20&#25237;&#29699;&#35299;&#26512;%20-%202020-08-29%2015-44-12-05_out.mp4" TargetMode="External"/><Relationship Id="rId2689" Type="http://schemas.openxmlformats.org/officeDocument/2006/relationships/hyperlink" Target="out/&#12497;&#12527;&#12503;&#12525;2020%20-%20&#25237;&#29699;&#35299;&#26512;%20-%202020-08-29%2015-58-43-03_out.mp4" TargetMode="External"/><Relationship Id="rId216" Type="http://schemas.openxmlformats.org/officeDocument/2006/relationships/hyperlink" Target="result/&#12497;&#12527;&#12503;&#12525;2020%20-%20&#25237;&#29699;&#35299;&#26512;%20-%202020-08-23%2014-19-33-07_ball.txt" TargetMode="External"/><Relationship Id="rId423" Type="http://schemas.openxmlformats.org/officeDocument/2006/relationships/hyperlink" Target="out/&#12497;&#12527;&#12503;&#12525;2020%20-%20&#25237;&#29699;&#35299;&#26512;%20-%202020-08-23%2016-06-08-02_out.mp4" TargetMode="External"/><Relationship Id="rId868" Type="http://schemas.openxmlformats.org/officeDocument/2006/relationships/hyperlink" Target="result/&#12497;&#12527;&#12503;&#12525;2020%20-%20&#25237;&#29699;&#35299;&#26512;%20-%202020-08-24%2012-12-56-00_ball.txt" TargetMode="External"/><Relationship Id="rId1053" Type="http://schemas.openxmlformats.org/officeDocument/2006/relationships/hyperlink" Target="out/&#12497;&#12527;&#12503;&#12525;2020%20-%20&#25237;&#29699;&#35299;&#26512;%20-%202020-08-24%2012-39-57-02_out.mp4" TargetMode="External"/><Relationship Id="rId1260" Type="http://schemas.openxmlformats.org/officeDocument/2006/relationships/hyperlink" Target="result/&#12497;&#12527;&#12503;&#12525;2020%20-%20&#25237;&#29699;&#35299;&#26512;%20-%202020-08-24%2013-02-04-01_ball.txt" TargetMode="External"/><Relationship Id="rId1498" Type="http://schemas.openxmlformats.org/officeDocument/2006/relationships/hyperlink" Target="result/&#12497;&#12527;&#12503;&#12525;2020%20-%20&#25237;&#29699;&#35299;&#26512;%20-%202020-08-23%2015-56-09-05_ball.txt" TargetMode="External"/><Relationship Id="rId2104" Type="http://schemas.openxmlformats.org/officeDocument/2006/relationships/hyperlink" Target="result/&#12497;&#12527;&#12503;&#12525;2020%20-%20&#25237;&#29699;&#35299;&#26512;%20-%202020-08-27%2018-22-42-00_ball.txt" TargetMode="External"/><Relationship Id="rId2549" Type="http://schemas.openxmlformats.org/officeDocument/2006/relationships/hyperlink" Target="out/&#12497;&#12527;&#12503;&#12525;2020%20-%20&#25237;&#29699;&#35299;&#26512;%20-%202020-08-29%2015-50-19-03_out.mp4" TargetMode="External"/><Relationship Id="rId2756" Type="http://schemas.openxmlformats.org/officeDocument/2006/relationships/hyperlink" Target="result/&#12497;&#12527;&#12503;&#12525;2020%20-%20&#25237;&#29699;&#35299;&#26512;%20-%202020-08-29%2016-06-51-06_ball.txt" TargetMode="External"/><Relationship Id="rId630" Type="http://schemas.openxmlformats.org/officeDocument/2006/relationships/hyperlink" Target="result/&#12497;&#12527;&#12503;&#12525;2020%20-%20&#25237;&#29699;&#35299;&#26512;%20-%202020-08-23%2016-32-07-05_ball.txt" TargetMode="External"/><Relationship Id="rId728" Type="http://schemas.openxmlformats.org/officeDocument/2006/relationships/hyperlink" Target="result/&#12497;&#12527;&#12503;&#12525;2020%20-%20&#25237;&#29699;&#35299;&#26512;%20-%202020-08-24%2012-01-04-05_ball.txt" TargetMode="External"/><Relationship Id="rId935" Type="http://schemas.openxmlformats.org/officeDocument/2006/relationships/hyperlink" Target="out/&#12497;&#12527;&#12503;&#12525;2020%20-%20&#25237;&#29699;&#35299;&#26512;%20-%202020-08-24%2012-25-33-03_out.mp4" TargetMode="External"/><Relationship Id="rId1358" Type="http://schemas.openxmlformats.org/officeDocument/2006/relationships/hyperlink" Target="result/&#12497;&#12527;&#12503;&#12525;2020%20-%20&#25237;&#29699;&#35299;&#26512;%20-%202020-08-23%2011-08-57-04_ball.txt" TargetMode="External"/><Relationship Id="rId1565" Type="http://schemas.openxmlformats.org/officeDocument/2006/relationships/hyperlink" Target="out/&#12497;&#12527;&#12503;&#12525;2020%20-%20&#25237;&#29699;&#35299;&#26512;%20-%202020-08-23%2016-11-33-09_out.mp4" TargetMode="External"/><Relationship Id="rId1772" Type="http://schemas.openxmlformats.org/officeDocument/2006/relationships/hyperlink" Target="result/&#12497;&#12527;&#12503;&#12525;2020%20-%20&#25237;&#29699;&#35299;&#26512;%20-%202020-08-24%2012-50-30-04_ball.txt" TargetMode="External"/><Relationship Id="rId2311" Type="http://schemas.openxmlformats.org/officeDocument/2006/relationships/hyperlink" Target="out/&#12497;&#12527;&#12503;&#12525;2020%20-%20&#25237;&#29699;&#35299;&#26512;%20-%202020-08-29%2009-41-06-04_out.mp4" TargetMode="External"/><Relationship Id="rId2409" Type="http://schemas.openxmlformats.org/officeDocument/2006/relationships/hyperlink" Target="out/&#12497;&#12527;&#12503;&#12525;2020%20-%20&#25237;&#29699;&#35299;&#26512;%20-%202020-08-29%2009-49-52-04_out.mp4" TargetMode="External"/><Relationship Id="rId2616" Type="http://schemas.openxmlformats.org/officeDocument/2006/relationships/hyperlink" Target="result/&#12497;&#12527;&#12503;&#12525;2020%20-%20&#25237;&#29699;&#35299;&#26512;%20-%202020-08-29%2015-53-40-06_ball.txt" TargetMode="External"/><Relationship Id="rId64" Type="http://schemas.openxmlformats.org/officeDocument/2006/relationships/hyperlink" Target="result/&#12497;&#12527;&#12503;&#12525;2020%20-%20&#25237;&#29699;&#35299;&#26512;%20-%202020-08-23%2011-13-59-01_ball.txt" TargetMode="External"/><Relationship Id="rId1120" Type="http://schemas.openxmlformats.org/officeDocument/2006/relationships/hyperlink" Target="result/&#12497;&#12527;&#12503;&#12525;2020%20-%20&#25237;&#29699;&#35299;&#26512;%20-%202020-08-24%2012-46-03-02_ball.txt" TargetMode="External"/><Relationship Id="rId1218" Type="http://schemas.openxmlformats.org/officeDocument/2006/relationships/hyperlink" Target="result/&#12497;&#12527;&#12503;&#12525;2020%20-%20&#25237;&#29699;&#35299;&#26512;%20-%202020-08-24%2012-53-43-09_ball.txt" TargetMode="External"/><Relationship Id="rId1425" Type="http://schemas.openxmlformats.org/officeDocument/2006/relationships/hyperlink" Target="out/&#12497;&#12527;&#12503;&#12525;2020%20-%20&#25237;&#29699;&#35299;&#26512;%20-%202020-08-23%2014-22-38-08_out.mp4" TargetMode="External"/><Relationship Id="rId1632" Type="http://schemas.openxmlformats.org/officeDocument/2006/relationships/hyperlink" Target="result/&#12497;&#12527;&#12503;&#12525;2020%20-%20&#25237;&#29699;&#35299;&#26512;%20-%202020-08-24%2012-00-01-00_ball.txt" TargetMode="External"/><Relationship Id="rId1937" Type="http://schemas.openxmlformats.org/officeDocument/2006/relationships/hyperlink" Target="out/&#12497;&#12527;&#12503;&#12525;2020%20-%20&#25237;&#29699;&#35299;&#26512;%20-%202020-08-26%2021-19-02-07_out.mp4" TargetMode="External"/><Relationship Id="rId2199" Type="http://schemas.openxmlformats.org/officeDocument/2006/relationships/hyperlink" Target="out/&#12497;&#12527;&#12503;&#12525;2020%20-%20&#25237;&#29699;&#35299;&#26512;%20-%202020-08-28%2022-33-04-08_out.mp4" TargetMode="External"/><Relationship Id="rId280" Type="http://schemas.openxmlformats.org/officeDocument/2006/relationships/hyperlink" Target="result/&#12497;&#12527;&#12503;&#12525;2020%20-%20&#25237;&#29699;&#35299;&#26512;%20-%202020-08-23%2014-24-49-09_ball.txt" TargetMode="External"/><Relationship Id="rId140" Type="http://schemas.openxmlformats.org/officeDocument/2006/relationships/hyperlink" Target="result/&#12497;&#12527;&#12503;&#12525;2020%20-%20&#25237;&#29699;&#35299;&#26512;%20-%202020-08-23%2014-04-47-09_ball.txt" TargetMode="External"/><Relationship Id="rId378" Type="http://schemas.openxmlformats.org/officeDocument/2006/relationships/hyperlink" Target="result/&#12497;&#12527;&#12503;&#12525;2020%20-%20&#25237;&#29699;&#35299;&#26512;%20-%202020-08-23%2015-52-13-08_ball.txt" TargetMode="External"/><Relationship Id="rId585" Type="http://schemas.openxmlformats.org/officeDocument/2006/relationships/hyperlink" Target="out/&#12497;&#12527;&#12503;&#12525;2020%20-%20&#25237;&#29699;&#35299;&#26512;%20-%202020-08-23%2016-28-07-03_out.mp4" TargetMode="External"/><Relationship Id="rId792" Type="http://schemas.openxmlformats.org/officeDocument/2006/relationships/hyperlink" Target="result/&#12497;&#12527;&#12503;&#12525;2020%20-%20&#25237;&#29699;&#35299;&#26512;%20-%202020-08-24%2012-06-16-08_ball.txt" TargetMode="External"/><Relationship Id="rId2059" Type="http://schemas.openxmlformats.org/officeDocument/2006/relationships/hyperlink" Target="out/&#12497;&#12527;&#12503;&#12525;2020%20-%20&#25237;&#29699;&#35299;&#26512;%20-%202020-08-27%2018-17-46-08_out.mp4" TargetMode="External"/><Relationship Id="rId2266" Type="http://schemas.openxmlformats.org/officeDocument/2006/relationships/hyperlink" Target="result/&#12497;&#12527;&#12503;&#12525;2020%20-%20&#25237;&#29699;&#35299;&#26512;%20-%202020-08-29%2009-37-40-01_ball.txt" TargetMode="External"/><Relationship Id="rId2473" Type="http://schemas.openxmlformats.org/officeDocument/2006/relationships/hyperlink" Target="out/&#12497;&#12527;&#12503;&#12525;2020%20-%20&#25237;&#29699;&#35299;&#26512;%20-%202020-08-29%2015-45-22-05_out.mp4" TargetMode="External"/><Relationship Id="rId2680" Type="http://schemas.openxmlformats.org/officeDocument/2006/relationships/hyperlink" Target="result/&#12497;&#12527;&#12503;&#12525;2020%20-%20&#25237;&#29699;&#35299;&#26512;%20-%202020-08-29%2015-57-36-08_ball.txt" TargetMode="External"/><Relationship Id="rId6" Type="http://schemas.openxmlformats.org/officeDocument/2006/relationships/hyperlink" Target="result/&#12497;&#12527;&#12503;&#12525;2020%20-%20&#25237;&#29699;&#35299;&#26512;%20-%202020-08-23%2011-10-26-02_ball.txt" TargetMode="External"/><Relationship Id="rId238" Type="http://schemas.openxmlformats.org/officeDocument/2006/relationships/hyperlink" Target="result/&#12497;&#12527;&#12503;&#12525;2020%20-%20&#25237;&#29699;&#35299;&#26512;%20-%202020-08-23%2014-21-04-08_ball.txt" TargetMode="External"/><Relationship Id="rId445" Type="http://schemas.openxmlformats.org/officeDocument/2006/relationships/hyperlink" Target="out/&#12497;&#12527;&#12503;&#12525;2020%20-%20&#25237;&#29699;&#35299;&#26512;%20-%202020-08-23%2016-08-46-03_out.mp4" TargetMode="External"/><Relationship Id="rId652" Type="http://schemas.openxmlformats.org/officeDocument/2006/relationships/hyperlink" Target="result/&#12497;&#12527;&#12503;&#12525;2020%20-%20&#25237;&#29699;&#35299;&#26512;%20-%202020-08-23%2016-33-27-06_ball.txt" TargetMode="External"/><Relationship Id="rId1075" Type="http://schemas.openxmlformats.org/officeDocument/2006/relationships/hyperlink" Target="out/&#12497;&#12527;&#12503;&#12525;2020%20-%20&#25237;&#29699;&#35299;&#26512;%20-%202020-08-24%2012-41-25-03_out.mp4" TargetMode="External"/><Relationship Id="rId1282" Type="http://schemas.openxmlformats.org/officeDocument/2006/relationships/hyperlink" Target="result/&#12497;&#12527;&#12503;&#12525;2020%20-%20&#25237;&#29699;&#35299;&#26512;%20-%202020-08-24%2013-03-51-02_ball.txt" TargetMode="External"/><Relationship Id="rId2126" Type="http://schemas.openxmlformats.org/officeDocument/2006/relationships/hyperlink" Target="result/&#12497;&#12527;&#12503;&#12525;2020%20-%20&#25237;&#29699;&#35299;&#26512;%20-%202020-08-27%2018-24-30-01_ball.txt" TargetMode="External"/><Relationship Id="rId2333" Type="http://schemas.openxmlformats.org/officeDocument/2006/relationships/hyperlink" Target="out/&#12497;&#12527;&#12503;&#12525;2020%20-%20&#25237;&#29699;&#35299;&#26512;%20-%202020-08-29%2009-42-48-05_out.mp4" TargetMode="External"/><Relationship Id="rId2540" Type="http://schemas.openxmlformats.org/officeDocument/2006/relationships/hyperlink" Target="result/&#12497;&#12527;&#12503;&#12525;2020%20-%20&#25237;&#29699;&#35299;&#26512;%20-%202020-08-29%2015-49-13-08_ball.txt" TargetMode="External"/><Relationship Id="rId2778" Type="http://schemas.openxmlformats.org/officeDocument/2006/relationships/hyperlink" Target="result/&#25237;&#29699;&#35299;&#26512;%20-%20&#12497;&#12527;&#12503;&#12525;2020%20-%202020-09-08%2023-37-52-07_ball.txt" TargetMode="External"/><Relationship Id="rId305" Type="http://schemas.openxmlformats.org/officeDocument/2006/relationships/hyperlink" Target="out/&#12497;&#12527;&#12503;&#12525;2020%20-%20&#25237;&#29699;&#35299;&#26512;%20-%202020-08-23%2014-27-07-02_out.mp4" TargetMode="External"/><Relationship Id="rId512" Type="http://schemas.openxmlformats.org/officeDocument/2006/relationships/hyperlink" Target="result/&#12497;&#12527;&#12503;&#12525;2020%20-%20&#25237;&#29699;&#35299;&#26512;%20-%202020-08-23%2016-13-55-06_ball.txt" TargetMode="External"/><Relationship Id="rId957" Type="http://schemas.openxmlformats.org/officeDocument/2006/relationships/hyperlink" Target="out/&#12497;&#12527;&#12503;&#12525;2020%20-%20&#25237;&#29699;&#35299;&#26512;%20-%202020-08-24%2012-26-53-04_out.mp4" TargetMode="External"/><Relationship Id="rId1142" Type="http://schemas.openxmlformats.org/officeDocument/2006/relationships/hyperlink" Target="result/&#12497;&#12527;&#12503;&#12525;2020%20-%20&#25237;&#29699;&#35299;&#26512;%20-%202020-08-24%2012-46-03-16_ball.txt" TargetMode="External"/><Relationship Id="rId1587" Type="http://schemas.openxmlformats.org/officeDocument/2006/relationships/hyperlink" Target="out/&#12497;&#12527;&#12503;&#12525;2020%20-%20&#25237;&#29699;&#35299;&#26512;%20-%202020-08-23%2016-28-07-09_out.mp4" TargetMode="External"/><Relationship Id="rId1794" Type="http://schemas.openxmlformats.org/officeDocument/2006/relationships/hyperlink" Target="result/&#12497;&#12527;&#12503;&#12525;2020%20-%20&#25237;&#29699;&#35299;&#26512;%20-%202020-08-24%2012-58-52-04_ball.txt" TargetMode="External"/><Relationship Id="rId2400" Type="http://schemas.openxmlformats.org/officeDocument/2006/relationships/hyperlink" Target="result/&#12497;&#12527;&#12503;&#12525;2020%20-%20&#25237;&#29699;&#35299;&#26512;%20-%202020-08-29%2009-48-04-09_ball.txt" TargetMode="External"/><Relationship Id="rId2638" Type="http://schemas.openxmlformats.org/officeDocument/2006/relationships/hyperlink" Target="result/&#12497;&#12527;&#12503;&#12525;2020%20-%20&#25237;&#29699;&#35299;&#26512;%20-%202020-08-29%2015-55-24-07_ball.txt" TargetMode="External"/><Relationship Id="rId86" Type="http://schemas.openxmlformats.org/officeDocument/2006/relationships/hyperlink" Target="result/&#12497;&#12527;&#12503;&#12525;2020%20-%20&#25237;&#29699;&#35299;&#26512;%20-%202020-08-23%2011-15-09-02_ball.txt" TargetMode="External"/><Relationship Id="rId817" Type="http://schemas.openxmlformats.org/officeDocument/2006/relationships/hyperlink" Target="out/&#12497;&#12527;&#12503;&#12525;2020%20-%20&#25237;&#29699;&#35299;&#26512;%20-%202020-08-24%2012-08-41-01_out.mp4" TargetMode="External"/><Relationship Id="rId1002" Type="http://schemas.openxmlformats.org/officeDocument/2006/relationships/hyperlink" Target="result/&#12497;&#12527;&#12503;&#12525;2020%20-%20&#25237;&#29699;&#35299;&#26512;%20-%202020-08-24%2012-33-48-07_ball.txt" TargetMode="External"/><Relationship Id="rId1447" Type="http://schemas.openxmlformats.org/officeDocument/2006/relationships/hyperlink" Target="out/&#12497;&#12527;&#12503;&#12525;2020%20-%20&#25237;&#29699;&#35299;&#26512;%20-%202020-08-23%2015-51-08-00_out.mp4" TargetMode="External"/><Relationship Id="rId1654" Type="http://schemas.openxmlformats.org/officeDocument/2006/relationships/hyperlink" Target="result/&#12497;&#12527;&#12503;&#12525;2020%20-%20&#25237;&#29699;&#35299;&#26512;%20-%202020-08-24%2012-06-16-02_ball.txt" TargetMode="External"/><Relationship Id="rId1861" Type="http://schemas.openxmlformats.org/officeDocument/2006/relationships/hyperlink" Target="out/&#12497;&#12527;&#12503;&#12525;2020%20-%20&#25237;&#29699;&#35299;&#26512;%20-%202020-08-24%2013-17-56-06_out.mp4" TargetMode="External"/><Relationship Id="rId2705" Type="http://schemas.openxmlformats.org/officeDocument/2006/relationships/hyperlink" Target="out/&#12497;&#12527;&#12503;&#12525;2020%20-%20&#25237;&#29699;&#35299;&#26512;%20-%202020-08-29%2016-00-15-01_out.mp4" TargetMode="External"/><Relationship Id="rId1307" Type="http://schemas.openxmlformats.org/officeDocument/2006/relationships/hyperlink" Target="out/&#12497;&#12527;&#12503;&#12525;2020%20-%20&#25237;&#29699;&#35299;&#26512;%20-%202020-08-24%2013-07-27-04_out.mp4" TargetMode="External"/><Relationship Id="rId1514" Type="http://schemas.openxmlformats.org/officeDocument/2006/relationships/hyperlink" Target="result/&#12497;&#12527;&#12503;&#12525;2020%20-%20&#25237;&#29699;&#35299;&#26512;%20-%202020-08-23%2016-04-57-03_ball.txt" TargetMode="External"/><Relationship Id="rId1721" Type="http://schemas.openxmlformats.org/officeDocument/2006/relationships/hyperlink" Target="out/&#12497;&#12527;&#12503;&#12525;2020%20-%20&#25237;&#29699;&#35299;&#26512;%20-%202020-08-24%2012-35-33-08_out.mp4" TargetMode="External"/><Relationship Id="rId1959" Type="http://schemas.openxmlformats.org/officeDocument/2006/relationships/hyperlink" Target="out/&#12497;&#12527;&#12503;&#12525;2020%20-%20&#25237;&#29699;&#35299;&#26512;%20-%202020-08-26%2021-20-35-08_out.mp4" TargetMode="External"/><Relationship Id="rId13" Type="http://schemas.openxmlformats.org/officeDocument/2006/relationships/hyperlink" Target="out/&#12497;&#12527;&#12503;&#12525;2020%20-%20&#25237;&#29699;&#35299;&#26512;%20-%202020-08-23%2011-10-26-06_out.mp4" TargetMode="External"/><Relationship Id="rId1819" Type="http://schemas.openxmlformats.org/officeDocument/2006/relationships/hyperlink" Target="out/&#12497;&#12527;&#12503;&#12525;2020%20-%20&#25237;&#29699;&#35299;&#26512;%20-%202020-08-24%2013-14-19-04_out.mp4" TargetMode="External"/><Relationship Id="rId2190" Type="http://schemas.openxmlformats.org/officeDocument/2006/relationships/hyperlink" Target="result/&#12497;&#12527;&#12503;&#12525;2020%20-%20&#25237;&#29699;&#35299;&#26512;%20-%202020-08-28%2022-33-04-03_ball.txt" TargetMode="External"/><Relationship Id="rId2288" Type="http://schemas.openxmlformats.org/officeDocument/2006/relationships/hyperlink" Target="result/&#12497;&#12527;&#12503;&#12525;2020%20-%20&#25237;&#29699;&#35299;&#26512;%20-%202020-08-29%2009-39-15-02_ball.txt" TargetMode="External"/><Relationship Id="rId2495" Type="http://schemas.openxmlformats.org/officeDocument/2006/relationships/hyperlink" Target="out/&#12497;&#12527;&#12503;&#12525;2020%20-%20&#25237;&#29699;&#35299;&#26512;%20-%202020-08-29%2015-46-34-06_out.mp4" TargetMode="External"/><Relationship Id="rId162" Type="http://schemas.openxmlformats.org/officeDocument/2006/relationships/hyperlink" Target="result/&#12497;&#12527;&#12503;&#12525;2020%20-%20&#25237;&#29699;&#35299;&#26512;%20-%202020-08-23%2014-06-56-00_ball.txt" TargetMode="External"/><Relationship Id="rId467" Type="http://schemas.openxmlformats.org/officeDocument/2006/relationships/hyperlink" Target="out/&#12497;&#12527;&#12503;&#12525;2020%20-%20&#25237;&#29699;&#35299;&#26512;%20-%202020-08-23%2016-09-58-04_out.mp4" TargetMode="External"/><Relationship Id="rId1097" Type="http://schemas.openxmlformats.org/officeDocument/2006/relationships/hyperlink" Target="out/&#12497;&#12527;&#12503;&#12525;2020%20-%20&#25237;&#29699;&#35299;&#26512;%20-%202020-08-24%2012-42-52-04_out.mp4" TargetMode="External"/><Relationship Id="rId2050" Type="http://schemas.openxmlformats.org/officeDocument/2006/relationships/hyperlink" Target="result/&#12497;&#12527;&#12503;&#12525;2020%20-%20&#25237;&#29699;&#35299;&#26512;%20-%202020-08-27%2018-17-46-03_ball.txt" TargetMode="External"/><Relationship Id="rId2148" Type="http://schemas.openxmlformats.org/officeDocument/2006/relationships/hyperlink" Target="result/&#12497;&#12527;&#12503;&#12525;2020%20-%20&#25237;&#29699;&#35299;&#26512;%20-%202020-08-27%2018-26-47-02_ball.txt" TargetMode="External"/><Relationship Id="rId674" Type="http://schemas.openxmlformats.org/officeDocument/2006/relationships/hyperlink" Target="result/&#12497;&#12527;&#12503;&#12525;2020%20-%20&#25237;&#29699;&#35299;&#26512;%20-%202020-08-24%2011-23-23-08_ball.txt" TargetMode="External"/><Relationship Id="rId881" Type="http://schemas.openxmlformats.org/officeDocument/2006/relationships/hyperlink" Target="out/&#12497;&#12527;&#12503;&#12525;2020%20-%20&#25237;&#29699;&#35299;&#26512;%20-%202020-08-24%2012-12-56-07_out.mp4" TargetMode="External"/><Relationship Id="rId979" Type="http://schemas.openxmlformats.org/officeDocument/2006/relationships/hyperlink" Target="out/&#12497;&#12527;&#12503;&#12525;2020%20-%20&#25237;&#29699;&#35299;&#26512;%20-%202020-08-24%2012-32-08-06_out.mp4" TargetMode="External"/><Relationship Id="rId2355" Type="http://schemas.openxmlformats.org/officeDocument/2006/relationships/hyperlink" Target="out/&#12497;&#12527;&#12503;&#12525;2020%20-%20&#25237;&#29699;&#35299;&#26512;%20-%202020-08-29%2009-44-23-07_out.mp4" TargetMode="External"/><Relationship Id="rId2562" Type="http://schemas.openxmlformats.org/officeDocument/2006/relationships/hyperlink" Target="result/&#12497;&#12527;&#12503;&#12525;2020%20-%20&#25237;&#29699;&#35299;&#26512;%20-%202020-08-29%2015-50-19-09_ball.txt" TargetMode="External"/><Relationship Id="rId327" Type="http://schemas.openxmlformats.org/officeDocument/2006/relationships/hyperlink" Target="out/&#12497;&#12527;&#12503;&#12525;2020%20-%20&#25237;&#29699;&#35299;&#26512;%20-%202020-08-23%2015-48-07-03_out.mp4" TargetMode="External"/><Relationship Id="rId534" Type="http://schemas.openxmlformats.org/officeDocument/2006/relationships/hyperlink" Target="result/&#12497;&#12527;&#12503;&#12525;2020%20-%20&#25237;&#29699;&#35299;&#26512;%20-%202020-08-23%2016-15-07-07_ball.txt" TargetMode="External"/><Relationship Id="rId741" Type="http://schemas.openxmlformats.org/officeDocument/2006/relationships/hyperlink" Target="out/&#12497;&#12527;&#12503;&#12525;2020%20-%20&#25237;&#29699;&#35299;&#26512;%20-%202020-08-24%2012-02-12-03_out.mp4" TargetMode="External"/><Relationship Id="rId839" Type="http://schemas.openxmlformats.org/officeDocument/2006/relationships/hyperlink" Target="out/&#12497;&#12527;&#12503;&#12525;2020%20-%20&#25237;&#29699;&#35299;&#26512;%20-%202020-08-24%2012-10-03-00_out.mp4" TargetMode="External"/><Relationship Id="rId1164" Type="http://schemas.openxmlformats.org/officeDocument/2006/relationships/hyperlink" Target="result/&#12497;&#12527;&#12503;&#12525;2020%20-%20&#25237;&#29699;&#35299;&#26512;%20-%202020-08-24%2012-47-45-09_ball.txt" TargetMode="External"/><Relationship Id="rId1371" Type="http://schemas.openxmlformats.org/officeDocument/2006/relationships/hyperlink" Target="out/&#12497;&#12527;&#12503;&#12525;2020%20-%20&#25237;&#29699;&#35299;&#26512;%20-%202020-08-23%2014-03-42-01_out.mp4" TargetMode="External"/><Relationship Id="rId1469" Type="http://schemas.openxmlformats.org/officeDocument/2006/relationships/hyperlink" Target="out/&#12497;&#12527;&#12503;&#12525;2020%20-%20&#25237;&#29699;&#35299;&#26512;%20-%202020-08-23%2015-53-39-01_out.mp4" TargetMode="External"/><Relationship Id="rId2008" Type="http://schemas.openxmlformats.org/officeDocument/2006/relationships/hyperlink" Target="result/&#12497;&#12527;&#12503;&#12525;2020%20-%20&#25237;&#29699;&#35299;&#26512;%20-%202020-08-27%2018-14-40-02_ball.txt" TargetMode="External"/><Relationship Id="rId2215" Type="http://schemas.openxmlformats.org/officeDocument/2006/relationships/hyperlink" Target="out/&#12497;&#12527;&#12503;&#12525;2020%20-%20&#25237;&#29699;&#35299;&#26512;%20-%202020-08-28%2022-34-32-06_out.mp4" TargetMode="External"/><Relationship Id="rId2422" Type="http://schemas.openxmlformats.org/officeDocument/2006/relationships/hyperlink" Target="result/&#12497;&#12527;&#12503;&#12525;2020%20-%20&#25237;&#29699;&#35299;&#26512;%20-%202020-08-29%2015-42-43-00_ball.txt" TargetMode="External"/><Relationship Id="rId601" Type="http://schemas.openxmlformats.org/officeDocument/2006/relationships/hyperlink" Target="out/&#12497;&#12527;&#12503;&#12525;2020%20-%20&#25237;&#29699;&#35299;&#26512;%20-%202020-08-23%2016-30-55-01_out.mp4" TargetMode="External"/><Relationship Id="rId1024" Type="http://schemas.openxmlformats.org/officeDocument/2006/relationships/hyperlink" Target="result/&#12497;&#12527;&#12503;&#12525;2020%20-%20&#25237;&#29699;&#35299;&#26512;%20-%202020-08-24%2012-36-56-07_ball.txt" TargetMode="External"/><Relationship Id="rId1231" Type="http://schemas.openxmlformats.org/officeDocument/2006/relationships/hyperlink" Target="out/&#12497;&#12527;&#12503;&#12525;2020%20-%20&#25237;&#29699;&#35299;&#26512;%20-%202020-08-24%2012-58-52-06_out.mp4" TargetMode="External"/><Relationship Id="rId1676" Type="http://schemas.openxmlformats.org/officeDocument/2006/relationships/hyperlink" Target="result/&#12497;&#12527;&#12503;&#12525;2020%20-%20&#25237;&#29699;&#35299;&#26512;%20-%202020-08-24%2012-11-18-08_ball.txt" TargetMode="External"/><Relationship Id="rId1883" Type="http://schemas.openxmlformats.org/officeDocument/2006/relationships/hyperlink" Target="out/&#12497;&#12527;&#12503;&#12525;2020%20-%20&#25237;&#29699;&#35299;&#26512;%20-%202020-08-24%2013-20-06-07_out.mp4" TargetMode="External"/><Relationship Id="rId2727" Type="http://schemas.openxmlformats.org/officeDocument/2006/relationships/hyperlink" Target="out/&#12497;&#12527;&#12503;&#12525;2020%20-%20&#25237;&#29699;&#35299;&#26512;%20-%202020-08-29%2016-01-23-02_out.mp4" TargetMode="External"/><Relationship Id="rId906" Type="http://schemas.openxmlformats.org/officeDocument/2006/relationships/hyperlink" Target="result/&#12497;&#12527;&#12503;&#12525;2020%20-%20&#25237;&#29699;&#35299;&#26512;%20-%202020-08-24%2012-21-33-09_ball.txt" TargetMode="External"/><Relationship Id="rId1329" Type="http://schemas.openxmlformats.org/officeDocument/2006/relationships/hyperlink" Target="out/&#12497;&#12527;&#12503;&#12525;2020%20-%20&#25237;&#29699;&#35299;&#26512;%20-%202020-08-24%2013-09-18-06_out.mp4" TargetMode="External"/><Relationship Id="rId1536" Type="http://schemas.openxmlformats.org/officeDocument/2006/relationships/hyperlink" Target="result/&#12497;&#12527;&#12503;&#12525;2020%20-%20&#25237;&#29699;&#35299;&#26512;%20-%202020-08-23%2016-07-35-04_ball.txt" TargetMode="External"/><Relationship Id="rId1743" Type="http://schemas.openxmlformats.org/officeDocument/2006/relationships/hyperlink" Target="out/&#12497;&#12527;&#12503;&#12525;2020%20-%20&#25237;&#29699;&#35299;&#26512;%20-%202020-08-24%2012-42-52-08_out.mp4" TargetMode="External"/><Relationship Id="rId1950" Type="http://schemas.openxmlformats.org/officeDocument/2006/relationships/hyperlink" Target="result/&#12497;&#12527;&#12503;&#12525;2020%20-%20&#25237;&#29699;&#35299;&#26512;%20-%202020-08-26%2021-20-35-03_ball.txt" TargetMode="External"/><Relationship Id="rId35" Type="http://schemas.openxmlformats.org/officeDocument/2006/relationships/hyperlink" Target="out/&#12497;&#12527;&#12503;&#12525;2020%20-%20&#25237;&#29699;&#35299;&#26512;%20-%202020-08-23%2011-11-35-07_out.mp4" TargetMode="External"/><Relationship Id="rId1603" Type="http://schemas.openxmlformats.org/officeDocument/2006/relationships/hyperlink" Target="out/&#12497;&#12527;&#12503;&#12525;2020%20-%20&#25237;&#29699;&#35299;&#26512;%20-%202020-08-23%2016-29-37-07_out.mp4" TargetMode="External"/><Relationship Id="rId1810" Type="http://schemas.openxmlformats.org/officeDocument/2006/relationships/hyperlink" Target="result/&#12497;&#12527;&#12503;&#12525;2020%20-%20&#25237;&#29699;&#35299;&#26512;%20-%202020-08-24%2013-05-36-03_ball.txt" TargetMode="External"/><Relationship Id="rId184" Type="http://schemas.openxmlformats.org/officeDocument/2006/relationships/hyperlink" Target="result/&#12497;&#12527;&#12503;&#12525;2020%20-%20&#25237;&#29699;&#35299;&#26512;%20-%202020-08-23%2014-08-02-01_ball.txt" TargetMode="External"/><Relationship Id="rId391" Type="http://schemas.openxmlformats.org/officeDocument/2006/relationships/hyperlink" Target="out/&#12497;&#12527;&#12503;&#12525;2020%20-%20&#25237;&#29699;&#35299;&#26512;%20-%202020-08-23%2015-54-48-05_out.mp4" TargetMode="External"/><Relationship Id="rId1908" Type="http://schemas.openxmlformats.org/officeDocument/2006/relationships/hyperlink" Target="result/&#12497;&#12527;&#12503;&#12525;2020%20-%20&#25237;&#29699;&#35299;&#26512;%20-%202020-08-26%2021-15-29-09_ball.txt" TargetMode="External"/><Relationship Id="rId2072" Type="http://schemas.openxmlformats.org/officeDocument/2006/relationships/hyperlink" Target="result/&#12497;&#12527;&#12503;&#12525;2020%20-%20&#25237;&#29699;&#35299;&#26512;%20-%202020-08-27%2018-19-19-04_ball.txt" TargetMode="External"/><Relationship Id="rId251" Type="http://schemas.openxmlformats.org/officeDocument/2006/relationships/hyperlink" Target="out/&#12497;&#12527;&#12503;&#12525;2020%20-%20&#25237;&#29699;&#35299;&#26512;%20-%202020-08-23%2014-23-42-05_out.mp4" TargetMode="External"/><Relationship Id="rId489" Type="http://schemas.openxmlformats.org/officeDocument/2006/relationships/hyperlink" Target="out/&#12497;&#12527;&#12503;&#12525;2020%20-%20&#25237;&#29699;&#35299;&#26512;%20-%202020-08-23%2016-12-41-05_out.mp4" TargetMode="External"/><Relationship Id="rId696" Type="http://schemas.openxmlformats.org/officeDocument/2006/relationships/hyperlink" Target="result/&#12497;&#12527;&#12503;&#12525;2020%20-%20&#25237;&#29699;&#35299;&#26512;%20-%202020-08-24%2011-24-36-09_ball.txt" TargetMode="External"/><Relationship Id="rId2377" Type="http://schemas.openxmlformats.org/officeDocument/2006/relationships/hyperlink" Target="out/&#12497;&#12527;&#12503;&#12525;2020%20-%20&#25237;&#29699;&#35299;&#26512;%20-%202020-08-29%2009-46-05-08_out.mp4" TargetMode="External"/><Relationship Id="rId2584" Type="http://schemas.openxmlformats.org/officeDocument/2006/relationships/hyperlink" Target="result/&#12497;&#12527;&#12503;&#12525;2020%20-%20&#25237;&#29699;&#35299;&#26512;%20-%202020-08-29%2015-52-32-00_ball.txt" TargetMode="External"/><Relationship Id="rId2791" Type="http://schemas.openxmlformats.org/officeDocument/2006/relationships/hyperlink" Target="out/&#25237;&#29699;&#35299;&#26512;%20-%20&#12497;&#12527;&#12503;&#12525;2020%20-%202020-09-08%2023-39-02-04_out.mp4" TargetMode="External"/><Relationship Id="rId349" Type="http://schemas.openxmlformats.org/officeDocument/2006/relationships/hyperlink" Target="out/&#12497;&#12527;&#12503;&#12525;2020%20-%20&#25237;&#29699;&#35299;&#26512;%20-%202020-08-23%2015-49-19-04_out.mp4" TargetMode="External"/><Relationship Id="rId556" Type="http://schemas.openxmlformats.org/officeDocument/2006/relationships/hyperlink" Target="result/&#12497;&#12527;&#12503;&#12525;2020%20-%20&#25237;&#29699;&#35299;&#26512;%20-%202020-08-23%2016-25-48-08_ball.txt" TargetMode="External"/><Relationship Id="rId763" Type="http://schemas.openxmlformats.org/officeDocument/2006/relationships/hyperlink" Target="out/&#12497;&#12527;&#12503;&#12525;2020%20-%20&#25237;&#29699;&#35299;&#26512;%20-%202020-08-24%2012-03-33-04_out.mp4" TargetMode="External"/><Relationship Id="rId1186" Type="http://schemas.openxmlformats.org/officeDocument/2006/relationships/hyperlink" Target="result/&#12497;&#12527;&#12503;&#12525;2020%20-%20&#25237;&#29699;&#35299;&#26512;%20-%202020-08-24%2012-52-05-03_ball.txt" TargetMode="External"/><Relationship Id="rId1393" Type="http://schemas.openxmlformats.org/officeDocument/2006/relationships/hyperlink" Target="out/&#12497;&#12527;&#12503;&#12525;2020%20-%20&#25237;&#29699;&#35299;&#26512;%20-%202020-08-23%2014-18-29-02_out.mp4" TargetMode="External"/><Relationship Id="rId2237" Type="http://schemas.openxmlformats.org/officeDocument/2006/relationships/hyperlink" Target="out/&#12497;&#12527;&#12503;&#12525;2020%20-%20&#25237;&#29699;&#35299;&#26512;%20-%202020-08-28%2022-36-12-07_out.mp4" TargetMode="External"/><Relationship Id="rId2444" Type="http://schemas.openxmlformats.org/officeDocument/2006/relationships/hyperlink" Target="result/&#12497;&#12527;&#12503;&#12525;2020%20-%20&#25237;&#29699;&#35299;&#26512;%20-%202020-08-29%2015-44-12-01_ball.txt" TargetMode="External"/><Relationship Id="rId111" Type="http://schemas.openxmlformats.org/officeDocument/2006/relationships/hyperlink" Target="out/&#12497;&#12527;&#12503;&#12525;2020%20-%20&#25237;&#29699;&#35299;&#26512;%20-%202020-08-23%2011-16-20-05_out.mp4" TargetMode="External"/><Relationship Id="rId209" Type="http://schemas.openxmlformats.org/officeDocument/2006/relationships/hyperlink" Target="out/&#12497;&#12527;&#12503;&#12525;2020%20-%20&#25237;&#29699;&#35299;&#26512;%20-%202020-08-23%2014-19-33-04_out.mp4" TargetMode="External"/><Relationship Id="rId416" Type="http://schemas.openxmlformats.org/officeDocument/2006/relationships/hyperlink" Target="result/&#12497;&#12527;&#12503;&#12525;2020%20-%20&#25237;&#29699;&#35299;&#26512;%20-%202020-08-23%2016-03-31-08_ball.txt" TargetMode="External"/><Relationship Id="rId970" Type="http://schemas.openxmlformats.org/officeDocument/2006/relationships/hyperlink" Target="result/&#12497;&#12527;&#12503;&#12525;2020%20-%20&#25237;&#29699;&#35299;&#26512;%20-%202020-08-24%2012-32-08-01_ball.txt" TargetMode="External"/><Relationship Id="rId1046" Type="http://schemas.openxmlformats.org/officeDocument/2006/relationships/hyperlink" Target="result/&#12497;&#12527;&#12503;&#12525;2020%20-%20&#25237;&#29699;&#35299;&#26512;%20-%202020-08-24%2012-38-24-08_ball.txt" TargetMode="External"/><Relationship Id="rId1253" Type="http://schemas.openxmlformats.org/officeDocument/2006/relationships/hyperlink" Target="out/&#12497;&#12527;&#12503;&#12525;2020%20-%20&#25237;&#29699;&#35299;&#26512;%20-%202020-08-24%2013-00-20-07_out.mp4" TargetMode="External"/><Relationship Id="rId1698" Type="http://schemas.openxmlformats.org/officeDocument/2006/relationships/hyperlink" Target="result/&#12497;&#12527;&#12503;&#12525;2020%20-%20&#25237;&#29699;&#35299;&#26512;%20-%202020-08-24%2012-24-03-03_ball.txt" TargetMode="External"/><Relationship Id="rId2651" Type="http://schemas.openxmlformats.org/officeDocument/2006/relationships/hyperlink" Target="out/&#12497;&#12527;&#12503;&#12525;2020%20-%20&#25237;&#29699;&#35299;&#26512;%20-%202020-08-29%2015-56-35-04_out.mp4" TargetMode="External"/><Relationship Id="rId2749" Type="http://schemas.openxmlformats.org/officeDocument/2006/relationships/hyperlink" Target="out/&#12497;&#12527;&#12503;&#12525;2020%20-%20&#25237;&#29699;&#35299;&#26512;%20-%202020-08-29%2016-06-51-03_out.mp4" TargetMode="External"/><Relationship Id="rId623" Type="http://schemas.openxmlformats.org/officeDocument/2006/relationships/hyperlink" Target="out/&#12497;&#12527;&#12503;&#12525;2020%20-%20&#25237;&#29699;&#35299;&#26512;%20-%202020-08-23%2016-32-07-02_out.mp4" TargetMode="External"/><Relationship Id="rId830" Type="http://schemas.openxmlformats.org/officeDocument/2006/relationships/hyperlink" Target="result/&#12497;&#12527;&#12503;&#12525;2020%20-%20&#25237;&#29699;&#35299;&#26512;%20-%202020-08-24%2012-08-41-07_ball.txt" TargetMode="External"/><Relationship Id="rId928" Type="http://schemas.openxmlformats.org/officeDocument/2006/relationships/hyperlink" Target="result/&#12497;&#12527;&#12503;&#12525;2020%20-%20&#25237;&#29699;&#35299;&#26512;%20-%202020-08-24%2012-24-03-09_ball.txt" TargetMode="External"/><Relationship Id="rId1460" Type="http://schemas.openxmlformats.org/officeDocument/2006/relationships/hyperlink" Target="result/&#12497;&#12527;&#12503;&#12525;2020%20-%20&#25237;&#29699;&#35299;&#26512;%20-%202020-08-23%2015-51-08-06_ball.txt" TargetMode="External"/><Relationship Id="rId1558" Type="http://schemas.openxmlformats.org/officeDocument/2006/relationships/hyperlink" Target="result/&#12497;&#12527;&#12503;&#12525;2020%20-%20&#25237;&#29699;&#35299;&#26512;%20-%202020-08-23%2016-11-33-05_ball.txt" TargetMode="External"/><Relationship Id="rId1765" Type="http://schemas.openxmlformats.org/officeDocument/2006/relationships/hyperlink" Target="out/&#12497;&#12527;&#12503;&#12525;2020%20-%20&#25237;&#29699;&#35299;&#26512;%20-%202020-08-24%2012-50-30-01_out.mp4" TargetMode="External"/><Relationship Id="rId2304" Type="http://schemas.openxmlformats.org/officeDocument/2006/relationships/hyperlink" Target="result/&#12497;&#12527;&#12503;&#12525;2020%20-%20&#25237;&#29699;&#35299;&#26512;%20-%202020-08-29%2009-41-06-00_ball.txt" TargetMode="External"/><Relationship Id="rId2511" Type="http://schemas.openxmlformats.org/officeDocument/2006/relationships/hyperlink" Target="out/&#12497;&#12527;&#12503;&#12525;2020%20-%20&#25237;&#29699;&#35299;&#26512;%20-%202020-08-29%2015-48-09-04_out.mp4" TargetMode="External"/><Relationship Id="rId2609" Type="http://schemas.openxmlformats.org/officeDocument/2006/relationships/hyperlink" Target="out/&#12497;&#12527;&#12503;&#12525;2020%20-%20&#25237;&#29699;&#35299;&#26512;%20-%202020-08-29%2015-53-40-03_out.mp4" TargetMode="External"/><Relationship Id="rId57" Type="http://schemas.openxmlformats.org/officeDocument/2006/relationships/hyperlink" Target="out/&#12497;&#12527;&#12503;&#12525;2020%20-%20&#25237;&#29699;&#35299;&#26512;%20-%202020-08-23%2011-12-45-08_out.mp4" TargetMode="External"/><Relationship Id="rId1113" Type="http://schemas.openxmlformats.org/officeDocument/2006/relationships/hyperlink" Target="out/&#12497;&#12527;&#12503;&#12525;2020%20-%20&#25237;&#29699;&#35299;&#26512;%20-%202020-08-24%2012-44-26-17_out.mp4" TargetMode="External"/><Relationship Id="rId1320" Type="http://schemas.openxmlformats.org/officeDocument/2006/relationships/hyperlink" Target="result/&#12497;&#12527;&#12503;&#12525;2020%20-%20&#25237;&#29699;&#35299;&#26512;%20-%202020-08-24%2013-09-18-01_ball.txt" TargetMode="External"/><Relationship Id="rId1418" Type="http://schemas.openxmlformats.org/officeDocument/2006/relationships/hyperlink" Target="result/&#12497;&#12527;&#12503;&#12525;2020%20-%20&#25237;&#29699;&#35299;&#26512;%20-%202020-08-23%2014-22-38-04_ball.txt" TargetMode="External"/><Relationship Id="rId1972" Type="http://schemas.openxmlformats.org/officeDocument/2006/relationships/hyperlink" Target="result/&#12497;&#12527;&#12503;&#12525;2020%20-%20&#25237;&#29699;&#35299;&#26512;%20-%202020-08-26%2021-30-58-04_ball.txt" TargetMode="External"/><Relationship Id="rId1625" Type="http://schemas.openxmlformats.org/officeDocument/2006/relationships/hyperlink" Target="out/&#12497;&#12527;&#12503;&#12525;2020%20-%20&#25237;&#29699;&#35299;&#26512;%20-%202020-08-24%2011-22-14-07_out.mp4" TargetMode="External"/><Relationship Id="rId1832" Type="http://schemas.openxmlformats.org/officeDocument/2006/relationships/hyperlink" Target="result/&#12497;&#12527;&#12503;&#12525;2020%20-%20&#25237;&#29699;&#35299;&#26512;%20-%202020-08-24%2013-16-19-00_ball.txt" TargetMode="External"/><Relationship Id="rId2094" Type="http://schemas.openxmlformats.org/officeDocument/2006/relationships/hyperlink" Target="result/&#12497;&#12527;&#12503;&#12525;2020%20-%20&#25237;&#29699;&#35299;&#26512;%20-%202020-08-27%2018-21-04-05_ball.txt" TargetMode="External"/><Relationship Id="rId273" Type="http://schemas.openxmlformats.org/officeDocument/2006/relationships/hyperlink" Target="out/&#12497;&#12527;&#12503;&#12525;2020%20-%20&#25237;&#29699;&#35299;&#26512;%20-%202020-08-23%2014-24-49-06_out.mp4" TargetMode="External"/><Relationship Id="rId480" Type="http://schemas.openxmlformats.org/officeDocument/2006/relationships/hyperlink" Target="result/&#12497;&#12527;&#12503;&#12525;2020%20-%20&#25237;&#29699;&#35299;&#26512;%20-%202020-08-23%2016-12-41-00_ball.txt" TargetMode="External"/><Relationship Id="rId2161" Type="http://schemas.openxmlformats.org/officeDocument/2006/relationships/hyperlink" Target="out/&#12497;&#12527;&#12503;&#12525;2020%20-%20&#25237;&#29699;&#35299;&#26512;%20-%202020-08-27%2018-26-47-09_out.mp4" TargetMode="External"/><Relationship Id="rId2399" Type="http://schemas.openxmlformats.org/officeDocument/2006/relationships/hyperlink" Target="out/&#12497;&#12527;&#12503;&#12525;2020%20-%20&#25237;&#29699;&#35299;&#26512;%20-%202020-08-29%2009-48-04-09_out.mp4" TargetMode="External"/><Relationship Id="rId133" Type="http://schemas.openxmlformats.org/officeDocument/2006/relationships/hyperlink" Target="out/&#12497;&#12527;&#12503;&#12525;2020%20-%20&#25237;&#29699;&#35299;&#26512;%20-%202020-08-23%2014-04-47-06_out.mp4" TargetMode="External"/><Relationship Id="rId340" Type="http://schemas.openxmlformats.org/officeDocument/2006/relationships/hyperlink" Target="result/&#12497;&#12527;&#12503;&#12525;2020%20-%20&#25237;&#29699;&#35299;&#26512;%20-%202020-08-23%2015-48-07-09_ball.txt" TargetMode="External"/><Relationship Id="rId578" Type="http://schemas.openxmlformats.org/officeDocument/2006/relationships/hyperlink" Target="result/&#12497;&#12527;&#12503;&#12525;2020%20-%20&#25237;&#29699;&#35299;&#26512;%20-%202020-08-23%2016-26-58-09_ball.txt" TargetMode="External"/><Relationship Id="rId785" Type="http://schemas.openxmlformats.org/officeDocument/2006/relationships/hyperlink" Target="out/&#12497;&#12527;&#12503;&#12525;2020%20-%20&#25237;&#29699;&#35299;&#26512;%20-%202020-08-24%2012-04-51-05_out.mp4" TargetMode="External"/><Relationship Id="rId992" Type="http://schemas.openxmlformats.org/officeDocument/2006/relationships/hyperlink" Target="result/&#12497;&#12527;&#12503;&#12525;2020%20-%20&#25237;&#29699;&#35299;&#26512;%20-%202020-08-24%2012-33-48-02_ball.txt" TargetMode="External"/><Relationship Id="rId2021" Type="http://schemas.openxmlformats.org/officeDocument/2006/relationships/hyperlink" Target="out/&#12497;&#12527;&#12503;&#12525;2020%20-%20&#25237;&#29699;&#35299;&#26512;%20-%202020-08-27%2018-14-40-09_out.mp4" TargetMode="External"/><Relationship Id="rId2259" Type="http://schemas.openxmlformats.org/officeDocument/2006/relationships/hyperlink" Target="out/&#12497;&#12527;&#12503;&#12525;2020%20-%20&#25237;&#29699;&#35299;&#26512;%20-%202020-08-28%2022-37-55-08_out.mp4" TargetMode="External"/><Relationship Id="rId2466" Type="http://schemas.openxmlformats.org/officeDocument/2006/relationships/hyperlink" Target="result/&#12497;&#12527;&#12503;&#12525;2020%20-%20&#25237;&#29699;&#35299;&#26512;%20-%202020-08-29%2015-45-22-01_ball.txt" TargetMode="External"/><Relationship Id="rId2673" Type="http://schemas.openxmlformats.org/officeDocument/2006/relationships/hyperlink" Target="out/&#12497;&#12527;&#12503;&#12525;2020%20-%20&#25237;&#29699;&#35299;&#26512;%20-%202020-08-29%2015-57-36-05_out.mp4" TargetMode="External"/><Relationship Id="rId200" Type="http://schemas.openxmlformats.org/officeDocument/2006/relationships/hyperlink" Target="result/&#12497;&#12527;&#12503;&#12525;2020%20-%20&#25237;&#29699;&#35299;&#26512;%20-%202020-08-23%2014-08-02-09_ball.txt" TargetMode="External"/><Relationship Id="rId438" Type="http://schemas.openxmlformats.org/officeDocument/2006/relationships/hyperlink" Target="result/&#12497;&#12527;&#12503;&#12525;2020%20-%20&#25237;&#29699;&#35299;&#26512;%20-%202020-08-23%2016-06-08-09_ball.txt" TargetMode="External"/><Relationship Id="rId645" Type="http://schemas.openxmlformats.org/officeDocument/2006/relationships/hyperlink" Target="out/&#12497;&#12527;&#12503;&#12525;2020%20-%20&#25237;&#29699;&#35299;&#26512;%20-%202020-08-23%2016-33-27-03_out.mp4" TargetMode="External"/><Relationship Id="rId852" Type="http://schemas.openxmlformats.org/officeDocument/2006/relationships/hyperlink" Target="result/&#12497;&#12527;&#12503;&#12525;2020%20-%20&#25237;&#29699;&#35299;&#26512;%20-%202020-08-24%2012-10-03-06_ball.txt" TargetMode="External"/><Relationship Id="rId1068" Type="http://schemas.openxmlformats.org/officeDocument/2006/relationships/hyperlink" Target="result/&#12497;&#12527;&#12503;&#12525;2020%20-%20&#25237;&#29699;&#35299;&#26512;%20-%202020-08-24%2012-39-57-09_ball.txt" TargetMode="External"/><Relationship Id="rId1275" Type="http://schemas.openxmlformats.org/officeDocument/2006/relationships/hyperlink" Target="out/&#12497;&#12527;&#12503;&#12525;2020%20-%20&#25237;&#29699;&#35299;&#26512;%20-%202020-08-24%2013-02-04-09_out.mp4" TargetMode="External"/><Relationship Id="rId1482" Type="http://schemas.openxmlformats.org/officeDocument/2006/relationships/hyperlink" Target="result/&#12497;&#12527;&#12503;&#12525;2020%20-%20&#25237;&#29699;&#35299;&#26512;%20-%202020-08-23%2015-53-39-07_ball.txt" TargetMode="External"/><Relationship Id="rId2119" Type="http://schemas.openxmlformats.org/officeDocument/2006/relationships/hyperlink" Target="out/&#12497;&#12527;&#12503;&#12525;2020%20-%20&#25237;&#29699;&#35299;&#26512;%20-%202020-08-27%2018-22-42-08_out.mp4" TargetMode="External"/><Relationship Id="rId2326" Type="http://schemas.openxmlformats.org/officeDocument/2006/relationships/hyperlink" Target="result/&#12497;&#12527;&#12503;&#12525;2020%20-%20&#25237;&#29699;&#35299;&#26512;%20-%202020-08-29%2009-42-48-01_ball.txt" TargetMode="External"/><Relationship Id="rId2533" Type="http://schemas.openxmlformats.org/officeDocument/2006/relationships/hyperlink" Target="out/&#12497;&#12527;&#12503;&#12525;2020%20-%20&#25237;&#29699;&#35299;&#26512;%20-%202020-08-29%2015-49-13-05_out.mp4" TargetMode="External"/><Relationship Id="rId2740" Type="http://schemas.openxmlformats.org/officeDocument/2006/relationships/hyperlink" Target="result/&#12497;&#12527;&#12503;&#12525;2020%20-%20&#25237;&#29699;&#35299;&#26512;%20-%202020-08-29%2016-01-23-08_ball.txt" TargetMode="External"/><Relationship Id="rId505" Type="http://schemas.openxmlformats.org/officeDocument/2006/relationships/hyperlink" Target="out/&#12497;&#12527;&#12503;&#12525;2020%20-%20&#25237;&#29699;&#35299;&#26512;%20-%202020-08-23%2016-13-55-03_out.mp4" TargetMode="External"/><Relationship Id="rId712" Type="http://schemas.openxmlformats.org/officeDocument/2006/relationships/hyperlink" Target="result/&#12497;&#12527;&#12503;&#12525;2020%20-%20&#25237;&#29699;&#35299;&#26512;%20-%202020-08-24%2011-25-48-07_ball.txt" TargetMode="External"/><Relationship Id="rId1135" Type="http://schemas.openxmlformats.org/officeDocument/2006/relationships/hyperlink" Target="out/&#12497;&#12527;&#12503;&#12525;2020%20-%20&#25237;&#29699;&#35299;&#26512;%20-%202020-08-24%2012-46-03-10_out.mp4" TargetMode="External"/><Relationship Id="rId1342" Type="http://schemas.openxmlformats.org/officeDocument/2006/relationships/hyperlink" Target="result/&#12497;&#12527;&#12503;&#12525;2020%20-%20&#25237;&#29699;&#35299;&#26512;%20-%202020-08-24%2013-09-18-12_ball.txt" TargetMode="External"/><Relationship Id="rId1787" Type="http://schemas.openxmlformats.org/officeDocument/2006/relationships/hyperlink" Target="out/&#12497;&#12527;&#12503;&#12525;2020%20-%20&#25237;&#29699;&#35299;&#26512;%20-%202020-08-24%2012-58-52-01_out.mp4" TargetMode="External"/><Relationship Id="rId1994" Type="http://schemas.openxmlformats.org/officeDocument/2006/relationships/hyperlink" Target="result/&#12497;&#12527;&#12503;&#12525;2020%20-%20&#25237;&#29699;&#35299;&#26512;%20-%202020-08-26%2021-35-18-05_ball.txt" TargetMode="External"/><Relationship Id="rId79" Type="http://schemas.openxmlformats.org/officeDocument/2006/relationships/hyperlink" Target="out/&#12497;&#12527;&#12503;&#12525;2020%20-%20&#25237;&#29699;&#35299;&#26512;%20-%202020-08-23%2011-13-59-09_out.mp4" TargetMode="External"/><Relationship Id="rId1202" Type="http://schemas.openxmlformats.org/officeDocument/2006/relationships/hyperlink" Target="result/&#12497;&#12527;&#12503;&#12525;2020%20-%20&#25237;&#29699;&#35299;&#26512;%20-%202020-08-24%2012-53-43-01_ball.txt" TargetMode="External"/><Relationship Id="rId1647" Type="http://schemas.openxmlformats.org/officeDocument/2006/relationships/hyperlink" Target="out/&#12497;&#12527;&#12503;&#12525;2020%20-%20&#25237;&#29699;&#35299;&#26512;%20-%202020-08-24%2012-04-51-09_out.mp4" TargetMode="External"/><Relationship Id="rId1854" Type="http://schemas.openxmlformats.org/officeDocument/2006/relationships/hyperlink" Target="result/&#12497;&#12527;&#12503;&#12525;2020%20-%20&#25237;&#29699;&#35299;&#26512;%20-%202020-08-24%2013-17-56-02_ball.txt" TargetMode="External"/><Relationship Id="rId2600" Type="http://schemas.openxmlformats.org/officeDocument/2006/relationships/hyperlink" Target="result/&#12497;&#12527;&#12503;&#12525;2020%20-%20&#25237;&#29699;&#35299;&#26512;%20-%202020-08-29%2015-52-32-08_ball.txt" TargetMode="External"/><Relationship Id="rId1507" Type="http://schemas.openxmlformats.org/officeDocument/2006/relationships/hyperlink" Target="out/&#12497;&#12527;&#12503;&#12525;2020%20-%20&#25237;&#29699;&#35299;&#26512;%20-%202020-08-23%2016-04-57-00_out.mp4" TargetMode="External"/><Relationship Id="rId1714" Type="http://schemas.openxmlformats.org/officeDocument/2006/relationships/hyperlink" Target="result/&#12497;&#12527;&#12503;&#12525;2020%20-%20&#25237;&#29699;&#35299;&#26512;%20-%202020-08-24%2012-28-05-08_ball.txt" TargetMode="External"/><Relationship Id="rId295" Type="http://schemas.openxmlformats.org/officeDocument/2006/relationships/hyperlink" Target="out/&#12497;&#12527;&#12503;&#12525;2020%20-%20&#25237;&#29699;&#35299;&#26512;%20-%202020-08-23%2014-25-58-07_out.mp4" TargetMode="External"/><Relationship Id="rId1921" Type="http://schemas.openxmlformats.org/officeDocument/2006/relationships/hyperlink" Target="out/&#12497;&#12527;&#12503;&#12525;2020%20-%20&#25237;&#29699;&#35299;&#26512;%20-%202020-08-26%2021-17-48-06_out.mp4" TargetMode="External"/><Relationship Id="rId2183" Type="http://schemas.openxmlformats.org/officeDocument/2006/relationships/hyperlink" Target="out/&#12497;&#12527;&#12503;&#12525;2020%20-%20&#25237;&#29699;&#35299;&#26512;%20-%202020-08-28%2022-33-04-00_out.mp4" TargetMode="External"/><Relationship Id="rId2390" Type="http://schemas.openxmlformats.org/officeDocument/2006/relationships/hyperlink" Target="result/&#12497;&#12527;&#12503;&#12525;2020%20-%20&#25237;&#29699;&#35299;&#26512;%20-%202020-08-29%2009-48-04-04_ball.txt" TargetMode="External"/><Relationship Id="rId2488" Type="http://schemas.openxmlformats.org/officeDocument/2006/relationships/hyperlink" Target="result/&#12497;&#12527;&#12503;&#12525;2020%20-%20&#25237;&#29699;&#35299;&#26512;%20-%202020-08-29%2015-46-34-02_ball.txt" TargetMode="External"/><Relationship Id="rId155" Type="http://schemas.openxmlformats.org/officeDocument/2006/relationships/hyperlink" Target="out/&#12497;&#12527;&#12503;&#12525;2020%20-%20&#25237;&#29699;&#35299;&#26512;%20-%202020-08-23%2014-05-50-07_out.mp4" TargetMode="External"/><Relationship Id="rId362" Type="http://schemas.openxmlformats.org/officeDocument/2006/relationships/hyperlink" Target="result/&#12497;&#12527;&#12503;&#12525;2020%20-%20&#25237;&#29699;&#35299;&#26512;%20-%202020-08-23%2015-52-13-00_ball.txt" TargetMode="External"/><Relationship Id="rId1297" Type="http://schemas.openxmlformats.org/officeDocument/2006/relationships/hyperlink" Target="out/&#12497;&#12527;&#12503;&#12525;2020%20-%20&#25237;&#29699;&#35299;&#26512;%20-%202020-08-24%2013-05-36-10_out.mp4" TargetMode="External"/><Relationship Id="rId2043" Type="http://schemas.openxmlformats.org/officeDocument/2006/relationships/hyperlink" Target="out/&#12497;&#12527;&#12503;&#12525;2020%20-%20&#25237;&#29699;&#35299;&#26512;%20-%202020-08-27%2018-17-46-00_out.mp4" TargetMode="External"/><Relationship Id="rId2250" Type="http://schemas.openxmlformats.org/officeDocument/2006/relationships/hyperlink" Target="result/&#12497;&#12527;&#12503;&#12525;2020%20-%20&#25237;&#29699;&#35299;&#26512;%20-%202020-08-28%2022-37-55-03_ball.txt" TargetMode="External"/><Relationship Id="rId2695" Type="http://schemas.openxmlformats.org/officeDocument/2006/relationships/hyperlink" Target="out/&#12497;&#12527;&#12503;&#12525;2020%20-%20&#25237;&#29699;&#35299;&#26512;%20-%202020-08-29%2015-58-43-06_out.mp4" TargetMode="External"/><Relationship Id="rId222" Type="http://schemas.openxmlformats.org/officeDocument/2006/relationships/hyperlink" Target="result/&#12497;&#12527;&#12503;&#12525;2020%20-%20&#25237;&#29699;&#35299;&#26512;%20-%202020-08-23%2014-21-04-00_ball.txt" TargetMode="External"/><Relationship Id="rId667" Type="http://schemas.openxmlformats.org/officeDocument/2006/relationships/hyperlink" Target="out/&#12497;&#12527;&#12503;&#12525;2020%20-%20&#25237;&#29699;&#35299;&#26512;%20-%202020-08-24%2011-23-23-05_out.mp4" TargetMode="External"/><Relationship Id="rId874" Type="http://schemas.openxmlformats.org/officeDocument/2006/relationships/hyperlink" Target="result/&#12497;&#12527;&#12503;&#12525;2020%20-%20&#25237;&#29699;&#35299;&#26512;%20-%202020-08-24%2012-12-56-03_ball.txt" TargetMode="External"/><Relationship Id="rId2110" Type="http://schemas.openxmlformats.org/officeDocument/2006/relationships/hyperlink" Target="result/&#12497;&#12527;&#12503;&#12525;2020%20-%20&#25237;&#29699;&#35299;&#26512;%20-%202020-08-27%2018-22-42-03_ball.txt" TargetMode="External"/><Relationship Id="rId2348" Type="http://schemas.openxmlformats.org/officeDocument/2006/relationships/hyperlink" Target="result/&#12497;&#12527;&#12503;&#12525;2020%20-%20&#25237;&#29699;&#35299;&#26512;%20-%202020-08-29%2009-44-23-03_ball.txt" TargetMode="External"/><Relationship Id="rId2555" Type="http://schemas.openxmlformats.org/officeDocument/2006/relationships/hyperlink" Target="out/&#12497;&#12527;&#12503;&#12525;2020%20-%20&#25237;&#29699;&#35299;&#26512;%20-%202020-08-29%2015-50-19-06_out.mp4" TargetMode="External"/><Relationship Id="rId2762" Type="http://schemas.openxmlformats.org/officeDocument/2006/relationships/hyperlink" Target="result/&#12497;&#12527;&#12503;&#12525;2020%20-%20&#25237;&#29699;&#35299;&#26512;%20-%202020-08-29%2016-06-51-09_ball.txt" TargetMode="External"/><Relationship Id="rId527" Type="http://schemas.openxmlformats.org/officeDocument/2006/relationships/hyperlink" Target="out/&#12497;&#12527;&#12503;&#12525;2020%20-%20&#25237;&#29699;&#35299;&#26512;%20-%202020-08-23%2016-15-07-04_out.mp4" TargetMode="External"/><Relationship Id="rId734" Type="http://schemas.openxmlformats.org/officeDocument/2006/relationships/hyperlink" Target="result/&#12497;&#12527;&#12503;&#12525;2020%20-%20&#25237;&#29699;&#35299;&#26512;%20-%202020-08-24%2012-01-04-08_ball.txt" TargetMode="External"/><Relationship Id="rId941" Type="http://schemas.openxmlformats.org/officeDocument/2006/relationships/hyperlink" Target="out/&#12497;&#12527;&#12503;&#12525;2020%20-%20&#25237;&#29699;&#35299;&#26512;%20-%202020-08-24%2012-25-33-06_out.mp4" TargetMode="External"/><Relationship Id="rId1157" Type="http://schemas.openxmlformats.org/officeDocument/2006/relationships/hyperlink" Target="out/&#12497;&#12527;&#12503;&#12525;2020%20-%20&#25237;&#29699;&#35299;&#26512;%20-%202020-08-24%2012-47-45-06_out.mp4" TargetMode="External"/><Relationship Id="rId1364" Type="http://schemas.openxmlformats.org/officeDocument/2006/relationships/hyperlink" Target="result/&#12497;&#12527;&#12503;&#12525;2020%20-%20&#25237;&#29699;&#35299;&#26512;%20-%202020-08-23%2011-08-57-07_ball.txt" TargetMode="External"/><Relationship Id="rId1571" Type="http://schemas.openxmlformats.org/officeDocument/2006/relationships/hyperlink" Target="out/&#12497;&#12527;&#12503;&#12525;2020%20-%20&#25237;&#29699;&#35299;&#26512;%20-%202020-08-23%2016-24-41-02_out.mp4" TargetMode="External"/><Relationship Id="rId2208" Type="http://schemas.openxmlformats.org/officeDocument/2006/relationships/hyperlink" Target="result/&#12497;&#12527;&#12503;&#12525;2020%20-%20&#25237;&#29699;&#35299;&#26512;%20-%202020-08-28%2022-34-32-02_ball.txt" TargetMode="External"/><Relationship Id="rId2415" Type="http://schemas.openxmlformats.org/officeDocument/2006/relationships/hyperlink" Target="out/&#12497;&#12527;&#12503;&#12525;2020%20-%20&#25237;&#29699;&#35299;&#26512;%20-%202020-08-29%2009-49-52-07_out.mp4" TargetMode="External"/><Relationship Id="rId2622" Type="http://schemas.openxmlformats.org/officeDocument/2006/relationships/hyperlink" Target="result/&#12497;&#12527;&#12503;&#12525;2020%20-%20&#25237;&#29699;&#35299;&#26512;%20-%202020-08-29%2015-53-40-09_ball.txt" TargetMode="External"/><Relationship Id="rId70" Type="http://schemas.openxmlformats.org/officeDocument/2006/relationships/hyperlink" Target="result/&#12497;&#12527;&#12503;&#12525;2020%20-%20&#25237;&#29699;&#35299;&#26512;%20-%202020-08-23%2011-13-59-04_ball.txt" TargetMode="External"/><Relationship Id="rId801" Type="http://schemas.openxmlformats.org/officeDocument/2006/relationships/hyperlink" Target="out/&#12497;&#12527;&#12503;&#12525;2020%20-%20&#25237;&#29699;&#35299;&#26512;%20-%202020-08-24%2012-07-26-03_out.mp4" TargetMode="External"/><Relationship Id="rId1017" Type="http://schemas.openxmlformats.org/officeDocument/2006/relationships/hyperlink" Target="out/&#12497;&#12527;&#12503;&#12525;2020%20-%20&#25237;&#29699;&#35299;&#26512;%20-%202020-08-24%2012-35-33-05_out.mp4" TargetMode="External"/><Relationship Id="rId1224" Type="http://schemas.openxmlformats.org/officeDocument/2006/relationships/hyperlink" Target="result/&#12497;&#12527;&#12503;&#12525;2020%20-%20&#25237;&#29699;&#35299;&#26512;%20-%202020-08-24%2012-55-39-02_ball.txt" TargetMode="External"/><Relationship Id="rId1431" Type="http://schemas.openxmlformats.org/officeDocument/2006/relationships/hyperlink" Target="out/&#12497;&#12527;&#12503;&#12525;2020%20-%20&#25237;&#29699;&#35299;&#26512;%20-%202020-08-23%2015-47-01-02_out.mp4" TargetMode="External"/><Relationship Id="rId1669" Type="http://schemas.openxmlformats.org/officeDocument/2006/relationships/hyperlink" Target="out/&#12497;&#12527;&#12503;&#12525;2020%20-%20&#25237;&#29699;&#35299;&#26512;%20-%202020-08-24%2012-11-18-05_out.mp4" TargetMode="External"/><Relationship Id="rId1876" Type="http://schemas.openxmlformats.org/officeDocument/2006/relationships/hyperlink" Target="result/&#12497;&#12527;&#12503;&#12525;2020%20-%20&#25237;&#29699;&#35299;&#26512;%20-%202020-08-24%2013-20-06-03_ball.txt" TargetMode="External"/><Relationship Id="rId1529" Type="http://schemas.openxmlformats.org/officeDocument/2006/relationships/hyperlink" Target="out/&#12497;&#12527;&#12503;&#12525;2020%20-%20&#25237;&#29699;&#35299;&#26512;%20-%202020-08-23%2016-07-35-01_out.mp4" TargetMode="External"/><Relationship Id="rId1736" Type="http://schemas.openxmlformats.org/officeDocument/2006/relationships/hyperlink" Target="result/&#12497;&#12527;&#12503;&#12525;2020%20-%20&#25237;&#29699;&#35299;&#26512;%20-%202020-08-24%2012-36-56-05_ball.txt" TargetMode="External"/><Relationship Id="rId1943" Type="http://schemas.openxmlformats.org/officeDocument/2006/relationships/hyperlink" Target="out/&#12497;&#12527;&#12503;&#12525;2020%20-%20&#25237;&#29699;&#35299;&#26512;%20-%202020-08-26%2021-20-35-00_out.mp4" TargetMode="External"/><Relationship Id="rId28" Type="http://schemas.openxmlformats.org/officeDocument/2006/relationships/hyperlink" Target="result/&#12497;&#12527;&#12503;&#12525;2020%20-%20&#25237;&#29699;&#35299;&#26512;%20-%202020-08-23%2011-11-35-03_ball.txt" TargetMode="External"/><Relationship Id="rId1803" Type="http://schemas.openxmlformats.org/officeDocument/2006/relationships/hyperlink" Target="out/&#12497;&#12527;&#12503;&#12525;2020%20-%20&#25237;&#29699;&#35299;&#26512;%20-%202020-08-24%2013-05-36-00_out.mp4" TargetMode="External"/><Relationship Id="rId177" Type="http://schemas.openxmlformats.org/officeDocument/2006/relationships/hyperlink" Target="out/&#12497;&#12527;&#12503;&#12525;2020%20-%20&#25237;&#29699;&#35299;&#26512;%20-%202020-08-23%2014-06-56-08_out.mp4" TargetMode="External"/><Relationship Id="rId384" Type="http://schemas.openxmlformats.org/officeDocument/2006/relationships/hyperlink" Target="result/&#12497;&#12527;&#12503;&#12525;2020%20-%20&#25237;&#29699;&#35299;&#26512;%20-%202020-08-23%2015-54-48-01_ball.txt" TargetMode="External"/><Relationship Id="rId591" Type="http://schemas.openxmlformats.org/officeDocument/2006/relationships/hyperlink" Target="out/&#12497;&#12527;&#12503;&#12525;2020%20-%20&#25237;&#29699;&#35299;&#26512;%20-%202020-08-23%2016-28-07-06_out.mp4" TargetMode="External"/><Relationship Id="rId2065" Type="http://schemas.openxmlformats.org/officeDocument/2006/relationships/hyperlink" Target="out/&#12497;&#12527;&#12503;&#12525;2020%20-%20&#25237;&#29699;&#35299;&#26512;%20-%202020-08-27%2018-19-19-01_out.mp4" TargetMode="External"/><Relationship Id="rId2272" Type="http://schemas.openxmlformats.org/officeDocument/2006/relationships/hyperlink" Target="result/&#12497;&#12527;&#12503;&#12525;2020%20-%20&#25237;&#29699;&#35299;&#26512;%20-%202020-08-29%2009-37-40-04_ball.txt" TargetMode="External"/><Relationship Id="rId244" Type="http://schemas.openxmlformats.org/officeDocument/2006/relationships/hyperlink" Target="result/&#12497;&#12527;&#12503;&#12525;2020%20-%20&#25237;&#29699;&#35299;&#26512;%20-%202020-08-23%2014-23-42-01_ball.txt" TargetMode="External"/><Relationship Id="rId689" Type="http://schemas.openxmlformats.org/officeDocument/2006/relationships/hyperlink" Target="out/&#12497;&#12527;&#12503;&#12525;2020%20-%20&#25237;&#29699;&#35299;&#26512;%20-%202020-08-24%2011-24-36-06_out.mp4" TargetMode="External"/><Relationship Id="rId896" Type="http://schemas.openxmlformats.org/officeDocument/2006/relationships/hyperlink" Target="result/&#12497;&#12527;&#12503;&#12525;2020%20-%20&#25237;&#29699;&#35299;&#26512;%20-%202020-08-24%2012-21-33-04_ball.txt" TargetMode="External"/><Relationship Id="rId1081" Type="http://schemas.openxmlformats.org/officeDocument/2006/relationships/hyperlink" Target="out/&#12497;&#12527;&#12503;&#12525;2020%20-%20&#25237;&#29699;&#35299;&#26512;%20-%202020-08-24%2012-41-25-06_out.mp4" TargetMode="External"/><Relationship Id="rId2577" Type="http://schemas.openxmlformats.org/officeDocument/2006/relationships/hyperlink" Target="out/&#12497;&#12527;&#12503;&#12525;2020%20-%20&#25237;&#29699;&#35299;&#26512;%20-%202020-08-29%2015-51-26-07_out.mp4" TargetMode="External"/><Relationship Id="rId2784" Type="http://schemas.openxmlformats.org/officeDocument/2006/relationships/hyperlink" Target="result/&#25237;&#29699;&#35299;&#26512;%20-%20&#12497;&#12527;&#12503;&#12525;2020%20-%202020-09-08%2023-39-02-00_ball.txt" TargetMode="External"/><Relationship Id="rId451" Type="http://schemas.openxmlformats.org/officeDocument/2006/relationships/hyperlink" Target="out/&#12497;&#12527;&#12503;&#12525;2020%20-%20&#25237;&#29699;&#35299;&#26512;%20-%202020-08-23%2016-08-46-06_out.mp4" TargetMode="External"/><Relationship Id="rId549" Type="http://schemas.openxmlformats.org/officeDocument/2006/relationships/hyperlink" Target="out/&#12497;&#12527;&#12503;&#12525;2020%20-%20&#25237;&#29699;&#35299;&#26512;%20-%202020-08-23%2016-25-48-05_out.mp4" TargetMode="External"/><Relationship Id="rId756" Type="http://schemas.openxmlformats.org/officeDocument/2006/relationships/hyperlink" Target="result/&#12497;&#12527;&#12503;&#12525;2020%20-%20&#25237;&#29699;&#35299;&#26512;%20-%202020-08-24%2012-03-33-00_ball.txt" TargetMode="External"/><Relationship Id="rId1179" Type="http://schemas.openxmlformats.org/officeDocument/2006/relationships/hyperlink" Target="out/&#12497;&#12527;&#12503;&#12525;2020%20-%20&#25237;&#29699;&#35299;&#26512;%20-%202020-08-24%2012-52-05-00_out.mp4" TargetMode="External"/><Relationship Id="rId1386" Type="http://schemas.openxmlformats.org/officeDocument/2006/relationships/hyperlink" Target="result/&#12497;&#12527;&#12503;&#12525;2020%20-%20&#25237;&#29699;&#35299;&#26512;%20-%202020-08-23%2014-03-42-08_ball.txt" TargetMode="External"/><Relationship Id="rId1593" Type="http://schemas.openxmlformats.org/officeDocument/2006/relationships/hyperlink" Target="out/&#12497;&#12527;&#12503;&#12525;2020%20-%20&#25237;&#29699;&#35299;&#26512;%20-%202020-08-23%2016-29-37-02_out.mp4" TargetMode="External"/><Relationship Id="rId2132" Type="http://schemas.openxmlformats.org/officeDocument/2006/relationships/hyperlink" Target="result/&#12497;&#12527;&#12503;&#12525;2020%20-%20&#25237;&#29699;&#35299;&#26512;%20-%202020-08-27%2018-24-30-04_ball.txt" TargetMode="External"/><Relationship Id="rId2437" Type="http://schemas.openxmlformats.org/officeDocument/2006/relationships/hyperlink" Target="out/&#12497;&#12527;&#12503;&#12525;2020%20-%20&#25237;&#29699;&#35299;&#26512;%20-%202020-08-29%2015-42-43-08_out.mp4" TargetMode="External"/><Relationship Id="rId104" Type="http://schemas.openxmlformats.org/officeDocument/2006/relationships/hyperlink" Target="result/&#12497;&#12527;&#12503;&#12525;2020%20-%20&#25237;&#29699;&#35299;&#26512;%20-%202020-08-23%2011-16-20-01_ball.txt" TargetMode="External"/><Relationship Id="rId311" Type="http://schemas.openxmlformats.org/officeDocument/2006/relationships/hyperlink" Target="out/&#12497;&#12527;&#12503;&#12525;2020%20-%20&#25237;&#29699;&#35299;&#26512;%20-%202020-08-23%2014-27-07-05_out.mp4" TargetMode="External"/><Relationship Id="rId409" Type="http://schemas.openxmlformats.org/officeDocument/2006/relationships/hyperlink" Target="out/&#12497;&#12527;&#12503;&#12525;2020%20-%20&#25237;&#29699;&#35299;&#26512;%20-%202020-08-23%2016-03-31-05_out.mp4" TargetMode="External"/><Relationship Id="rId963" Type="http://schemas.openxmlformats.org/officeDocument/2006/relationships/hyperlink" Target="out/&#12497;&#12527;&#12503;&#12525;2020%20-%20&#25237;&#29699;&#35299;&#26512;%20-%202020-08-24%2012-26-53-07_out.mp4" TargetMode="External"/><Relationship Id="rId1039" Type="http://schemas.openxmlformats.org/officeDocument/2006/relationships/hyperlink" Target="out/&#12497;&#12527;&#12503;&#12525;2020%20-%20&#25237;&#29699;&#35299;&#26512;%20-%202020-08-24%2012-38-24-05_out.mp4" TargetMode="External"/><Relationship Id="rId1246" Type="http://schemas.openxmlformats.org/officeDocument/2006/relationships/hyperlink" Target="result/&#12497;&#12527;&#12503;&#12525;2020%20-%20&#25237;&#29699;&#35299;&#26512;%20-%202020-08-24%2013-00-20-03_ball.txt" TargetMode="External"/><Relationship Id="rId1898" Type="http://schemas.openxmlformats.org/officeDocument/2006/relationships/hyperlink" Target="result/&#12497;&#12527;&#12503;&#12525;2020%20-%20&#25237;&#29699;&#35299;&#26512;%20-%202020-08-26%2021-15-29-04_ball.txt" TargetMode="External"/><Relationship Id="rId2644" Type="http://schemas.openxmlformats.org/officeDocument/2006/relationships/hyperlink" Target="result/&#12497;&#12527;&#12503;&#12525;2020%20-%20&#25237;&#29699;&#35299;&#26512;%20-%202020-08-29%2015-56-35-00_ball.txt" TargetMode="External"/><Relationship Id="rId92" Type="http://schemas.openxmlformats.org/officeDocument/2006/relationships/hyperlink" Target="result/&#12497;&#12527;&#12503;&#12525;2020%20-%20&#25237;&#29699;&#35299;&#26512;%20-%202020-08-23%2011-15-09-05_ball.txt" TargetMode="External"/><Relationship Id="rId616" Type="http://schemas.openxmlformats.org/officeDocument/2006/relationships/hyperlink" Target="result/&#12497;&#12527;&#12503;&#12525;2020%20-%20&#25237;&#29699;&#35299;&#26512;%20-%202020-08-23%2016-30-55-08_ball.txt" TargetMode="External"/><Relationship Id="rId823" Type="http://schemas.openxmlformats.org/officeDocument/2006/relationships/hyperlink" Target="out/&#12497;&#12527;&#12503;&#12525;2020%20-%20&#25237;&#29699;&#35299;&#26512;%20-%202020-08-24%2012-08-41-04_out.mp4" TargetMode="External"/><Relationship Id="rId1453" Type="http://schemas.openxmlformats.org/officeDocument/2006/relationships/hyperlink" Target="out/&#12497;&#12527;&#12503;&#12525;2020%20-%20&#25237;&#29699;&#35299;&#26512;%20-%202020-08-23%2015-51-08-03_out.mp4" TargetMode="External"/><Relationship Id="rId1660" Type="http://schemas.openxmlformats.org/officeDocument/2006/relationships/hyperlink" Target="result/&#12497;&#12527;&#12503;&#12525;2020%20-%20&#25237;&#29699;&#35299;&#26512;%20-%202020-08-24%2012-06-16-05_ball.txt" TargetMode="External"/><Relationship Id="rId1758" Type="http://schemas.openxmlformats.org/officeDocument/2006/relationships/hyperlink" Target="result/&#12497;&#12527;&#12503;&#12525;2020%20-%20&#25237;&#29699;&#35299;&#26512;%20-%202020-08-24%2012-49-17-04_ball.txt" TargetMode="External"/><Relationship Id="rId2504" Type="http://schemas.openxmlformats.org/officeDocument/2006/relationships/hyperlink" Target="result/&#12497;&#12527;&#12503;&#12525;2020%20-%20&#25237;&#29699;&#35299;&#26512;%20-%202020-08-29%2015-48-09-00_ball.txt" TargetMode="External"/><Relationship Id="rId2711" Type="http://schemas.openxmlformats.org/officeDocument/2006/relationships/hyperlink" Target="out/&#12497;&#12527;&#12503;&#12525;2020%20-%20&#25237;&#29699;&#35299;&#26512;%20-%202020-08-29%2016-00-15-04_out.mp4" TargetMode="External"/><Relationship Id="rId1106" Type="http://schemas.openxmlformats.org/officeDocument/2006/relationships/hyperlink" Target="result/&#12497;&#12527;&#12503;&#12525;2020%20-%20&#25237;&#29699;&#35299;&#26512;%20-%202020-08-24%2012-44-26-08_ball.txt" TargetMode="External"/><Relationship Id="rId1313" Type="http://schemas.openxmlformats.org/officeDocument/2006/relationships/hyperlink" Target="out/&#12497;&#12527;&#12503;&#12525;2020%20-%20&#25237;&#29699;&#35299;&#26512;%20-%202020-08-24%2013-07-27-07_out.mp4" TargetMode="External"/><Relationship Id="rId1520" Type="http://schemas.openxmlformats.org/officeDocument/2006/relationships/hyperlink" Target="result/&#12497;&#12527;&#12503;&#12525;2020%20-%20&#25237;&#29699;&#35299;&#26512;%20-%202020-08-23%2016-04-57-06_ball.txt" TargetMode="External"/><Relationship Id="rId1965" Type="http://schemas.openxmlformats.org/officeDocument/2006/relationships/hyperlink" Target="out/&#12497;&#12527;&#12503;&#12525;2020%20-%20&#25237;&#29699;&#35299;&#26512;%20-%202020-08-26%2021-30-58-01_out.mp4" TargetMode="External"/><Relationship Id="rId1618" Type="http://schemas.openxmlformats.org/officeDocument/2006/relationships/hyperlink" Target="result/&#12497;&#12527;&#12503;&#12525;2020%20-%20&#25237;&#29699;&#35299;&#26512;%20-%202020-08-24%2011-22-14-03_ball.txt" TargetMode="External"/><Relationship Id="rId1825" Type="http://schemas.openxmlformats.org/officeDocument/2006/relationships/hyperlink" Target="out/&#12497;&#12527;&#12503;&#12525;2020%20-%20&#25237;&#29699;&#35299;&#26512;%20-%202020-08-24%2013-14-19-07_out.mp4" TargetMode="External"/><Relationship Id="rId199" Type="http://schemas.openxmlformats.org/officeDocument/2006/relationships/hyperlink" Target="out/&#12497;&#12527;&#12503;&#12525;2020%20-%20&#25237;&#29699;&#35299;&#26512;%20-%202020-08-23%2014-08-02-09_out.mp4" TargetMode="External"/><Relationship Id="rId2087" Type="http://schemas.openxmlformats.org/officeDocument/2006/relationships/hyperlink" Target="out/&#12497;&#12527;&#12503;&#12525;2020%20-%20&#25237;&#29699;&#35299;&#26512;%20-%202020-08-27%2018-21-04-02_out.mp4" TargetMode="External"/><Relationship Id="rId2294" Type="http://schemas.openxmlformats.org/officeDocument/2006/relationships/hyperlink" Target="result/&#12497;&#12527;&#12503;&#12525;2020%20-%20&#25237;&#29699;&#35299;&#26512;%20-%202020-08-29%2009-39-15-05_ball.txt" TargetMode="External"/><Relationship Id="rId266" Type="http://schemas.openxmlformats.org/officeDocument/2006/relationships/hyperlink" Target="result/&#12497;&#12527;&#12503;&#12525;2020%20-%20&#25237;&#29699;&#35299;&#26512;%20-%202020-08-23%2014-24-49-02_ball.txt" TargetMode="External"/><Relationship Id="rId473" Type="http://schemas.openxmlformats.org/officeDocument/2006/relationships/hyperlink" Target="out/&#12497;&#12527;&#12503;&#12525;2020%20-%20&#25237;&#29699;&#35299;&#26512;%20-%202020-08-23%2016-09-58-07_out.mp4" TargetMode="External"/><Relationship Id="rId680" Type="http://schemas.openxmlformats.org/officeDocument/2006/relationships/hyperlink" Target="result/&#12497;&#12527;&#12503;&#12525;2020%20-%20&#25237;&#29699;&#35299;&#26512;%20-%202020-08-24%2011-24-36-01_ball.txt" TargetMode="External"/><Relationship Id="rId2154" Type="http://schemas.openxmlformats.org/officeDocument/2006/relationships/hyperlink" Target="result/&#12497;&#12527;&#12503;&#12525;2020%20-%20&#25237;&#29699;&#35299;&#26512;%20-%202020-08-27%2018-26-47-05_ball.txt" TargetMode="External"/><Relationship Id="rId2361" Type="http://schemas.openxmlformats.org/officeDocument/2006/relationships/hyperlink" Target="out/&#12497;&#12527;&#12503;&#12525;2020%20-%20&#25237;&#29699;&#35299;&#26512;%20-%202020-08-29%2009-46-05-00_out.mp4" TargetMode="External"/><Relationship Id="rId2599" Type="http://schemas.openxmlformats.org/officeDocument/2006/relationships/hyperlink" Target="out/&#12497;&#12527;&#12503;&#12525;2020%20-%20&#25237;&#29699;&#35299;&#26512;%20-%202020-08-29%2015-52-32-08_out.mp4" TargetMode="External"/><Relationship Id="rId126" Type="http://schemas.openxmlformats.org/officeDocument/2006/relationships/hyperlink" Target="result/&#12497;&#12527;&#12503;&#12525;2020%20-%20&#25237;&#29699;&#35299;&#26512;%20-%202020-08-23%2014-04-47-02_ball.txt" TargetMode="External"/><Relationship Id="rId333" Type="http://schemas.openxmlformats.org/officeDocument/2006/relationships/hyperlink" Target="out/&#12497;&#12527;&#12503;&#12525;2020%20-%20&#25237;&#29699;&#35299;&#26512;%20-%202020-08-23%2015-48-07-06_out.mp4" TargetMode="External"/><Relationship Id="rId540" Type="http://schemas.openxmlformats.org/officeDocument/2006/relationships/hyperlink" Target="result/&#12497;&#12527;&#12503;&#12525;2020%20-%20&#25237;&#29699;&#35299;&#26512;%20-%202020-08-23%2016-25-48-00_ball.txt" TargetMode="External"/><Relationship Id="rId778" Type="http://schemas.openxmlformats.org/officeDocument/2006/relationships/hyperlink" Target="result/&#12497;&#12527;&#12503;&#12525;2020%20-%20&#25237;&#29699;&#35299;&#26512;%20-%202020-08-24%2012-04-51-01_ball.txt" TargetMode="External"/><Relationship Id="rId985" Type="http://schemas.openxmlformats.org/officeDocument/2006/relationships/hyperlink" Target="out/&#12497;&#12527;&#12503;&#12525;2020%20-%20&#25237;&#29699;&#35299;&#26512;%20-%202020-08-24%2012-32-08-09_out.mp4" TargetMode="External"/><Relationship Id="rId1170" Type="http://schemas.openxmlformats.org/officeDocument/2006/relationships/hyperlink" Target="result/&#12497;&#12527;&#12503;&#12525;2020%20-%20&#25237;&#29699;&#35299;&#26512;%20-%202020-08-24%2012-49-17-02_ball.txt" TargetMode="External"/><Relationship Id="rId2014" Type="http://schemas.openxmlformats.org/officeDocument/2006/relationships/hyperlink" Target="result/&#12497;&#12527;&#12503;&#12525;2020%20-%20&#25237;&#29699;&#35299;&#26512;%20-%202020-08-27%2018-14-40-05_ball.txt" TargetMode="External"/><Relationship Id="rId2221" Type="http://schemas.openxmlformats.org/officeDocument/2006/relationships/hyperlink" Target="out/&#12497;&#12527;&#12503;&#12525;2020%20-%20&#25237;&#29699;&#35299;&#26512;%20-%202020-08-28%2022-34-32-09_out.mp4" TargetMode="External"/><Relationship Id="rId2459" Type="http://schemas.openxmlformats.org/officeDocument/2006/relationships/hyperlink" Target="out/&#12497;&#12527;&#12503;&#12525;2020%20-%20&#25237;&#29699;&#35299;&#26512;%20-%202020-08-29%2015-44-12-09_out.mp4" TargetMode="External"/><Relationship Id="rId2666" Type="http://schemas.openxmlformats.org/officeDocument/2006/relationships/hyperlink" Target="result/&#12497;&#12527;&#12503;&#12525;2020%20-%20&#25237;&#29699;&#35299;&#26512;%20-%202020-08-29%2015-57-36-01_ball.txt" TargetMode="External"/><Relationship Id="rId638" Type="http://schemas.openxmlformats.org/officeDocument/2006/relationships/hyperlink" Target="result/&#12497;&#12527;&#12503;&#12525;2020%20-%20&#25237;&#29699;&#35299;&#26512;%20-%202020-08-23%2016-32-07-09_ball.txt" TargetMode="External"/><Relationship Id="rId845" Type="http://schemas.openxmlformats.org/officeDocument/2006/relationships/hyperlink" Target="out/&#12497;&#12527;&#12503;&#12525;2020%20-%20&#25237;&#29699;&#35299;&#26512;%20-%202020-08-24%2012-10-03-03_out.mp4" TargetMode="External"/><Relationship Id="rId1030" Type="http://schemas.openxmlformats.org/officeDocument/2006/relationships/hyperlink" Target="result/&#12497;&#12527;&#12503;&#12525;2020%20-%20&#25237;&#29699;&#35299;&#26512;%20-%202020-08-24%2012-38-24-00_ball.txt" TargetMode="External"/><Relationship Id="rId1268" Type="http://schemas.openxmlformats.org/officeDocument/2006/relationships/hyperlink" Target="result/&#12497;&#12527;&#12503;&#12525;2020%20-%20&#25237;&#29699;&#35299;&#26512;%20-%202020-08-24%2013-02-04-05_ball.txt" TargetMode="External"/><Relationship Id="rId1475" Type="http://schemas.openxmlformats.org/officeDocument/2006/relationships/hyperlink" Target="out/&#12497;&#12527;&#12503;&#12525;2020%20-%20&#25237;&#29699;&#35299;&#26512;%20-%202020-08-23%2015-53-39-04_out.mp4" TargetMode="External"/><Relationship Id="rId1682" Type="http://schemas.openxmlformats.org/officeDocument/2006/relationships/hyperlink" Target="result/&#12497;&#12527;&#12503;&#12525;2020%20-%20&#25237;&#29699;&#35299;&#26512;%20-%202020-08-24%2012-22-44-05_ball.txt" TargetMode="External"/><Relationship Id="rId2319" Type="http://schemas.openxmlformats.org/officeDocument/2006/relationships/hyperlink" Target="out/&#12497;&#12527;&#12503;&#12525;2020%20-%20&#25237;&#29699;&#35299;&#26512;%20-%202020-08-29%2009-41-06-08_out.mp4" TargetMode="External"/><Relationship Id="rId2526" Type="http://schemas.openxmlformats.org/officeDocument/2006/relationships/hyperlink" Target="result/&#12497;&#12527;&#12503;&#12525;2020%20-%20&#25237;&#29699;&#35299;&#26512;%20-%202020-08-29%2015-49-13-01_ball.txt" TargetMode="External"/><Relationship Id="rId2733" Type="http://schemas.openxmlformats.org/officeDocument/2006/relationships/hyperlink" Target="out/&#12497;&#12527;&#12503;&#12525;2020%20-%20&#25237;&#29699;&#35299;&#26512;%20-%202020-08-29%2016-01-23-05_out.mp4" TargetMode="External"/><Relationship Id="rId400" Type="http://schemas.openxmlformats.org/officeDocument/2006/relationships/hyperlink" Target="result/&#12497;&#12527;&#12503;&#12525;2020%20-%20&#25237;&#29699;&#35299;&#26512;%20-%202020-08-23%2016-03-31-00_ball.txt" TargetMode="External"/><Relationship Id="rId705" Type="http://schemas.openxmlformats.org/officeDocument/2006/relationships/hyperlink" Target="out/&#12497;&#12527;&#12503;&#12525;2020%20-%20&#25237;&#29699;&#35299;&#26512;%20-%202020-08-24%2011-25-48-04_out.mp4" TargetMode="External"/><Relationship Id="rId1128" Type="http://schemas.openxmlformats.org/officeDocument/2006/relationships/hyperlink" Target="result/&#12497;&#12527;&#12503;&#12525;2020%20-%20&#25237;&#29699;&#35299;&#26512;%20-%202020-08-24%2012-46-03-06_ball.txt" TargetMode="External"/><Relationship Id="rId1335" Type="http://schemas.openxmlformats.org/officeDocument/2006/relationships/hyperlink" Target="out/&#12497;&#12527;&#12503;&#12525;2020%20-%20&#25237;&#29699;&#35299;&#26512;%20-%202020-08-24%2013-09-18-09_out.mp4" TargetMode="External"/><Relationship Id="rId1542" Type="http://schemas.openxmlformats.org/officeDocument/2006/relationships/hyperlink" Target="result/&#12497;&#12527;&#12503;&#12525;2020%20-%20&#25237;&#29699;&#35299;&#26512;%20-%202020-08-23%2016-07-35-07_ball.txt" TargetMode="External"/><Relationship Id="rId1987" Type="http://schemas.openxmlformats.org/officeDocument/2006/relationships/hyperlink" Target="out/&#12497;&#12527;&#12503;&#12525;2020%20-%20&#25237;&#29699;&#35299;&#26512;%20-%202020-08-26%2021-35-18-02_out.mp4" TargetMode="External"/><Relationship Id="rId912" Type="http://schemas.openxmlformats.org/officeDocument/2006/relationships/hyperlink" Target="result/&#12497;&#12527;&#12503;&#12525;2020%20-%20&#25237;&#29699;&#35299;&#26512;%20-%202020-08-24%2012-22-44-02_ball.txt" TargetMode="External"/><Relationship Id="rId1847" Type="http://schemas.openxmlformats.org/officeDocument/2006/relationships/hyperlink" Target="out/&#12497;&#12527;&#12503;&#12525;2020%20-%20&#25237;&#29699;&#35299;&#26512;%20-%202020-08-24%2013-16-19-08_out.mp4" TargetMode="External"/><Relationship Id="rId2800" Type="http://schemas.openxmlformats.org/officeDocument/2006/relationships/hyperlink" Target="result/&#25237;&#29699;&#35299;&#26512;%20-%20&#12497;&#12527;&#12503;&#12525;2020%20-%202020-09-08%2023-39-02-08_ball.txt" TargetMode="External"/><Relationship Id="rId41" Type="http://schemas.openxmlformats.org/officeDocument/2006/relationships/hyperlink" Target="out/&#12497;&#12527;&#12503;&#12525;2020%20-%20&#25237;&#29699;&#35299;&#26512;%20-%202020-08-23%2011-12-45-00_out.mp4" TargetMode="External"/><Relationship Id="rId1402" Type="http://schemas.openxmlformats.org/officeDocument/2006/relationships/hyperlink" Target="result/&#12497;&#12527;&#12503;&#12525;2020%20-%20&#25237;&#29699;&#35299;&#26512;%20-%202020-08-23%2014-18-29-06_ball.txt" TargetMode="External"/><Relationship Id="rId1707" Type="http://schemas.openxmlformats.org/officeDocument/2006/relationships/hyperlink" Target="out/&#12497;&#12527;&#12503;&#12525;2020%20-%20&#25237;&#29699;&#35299;&#26512;%20-%202020-08-24%2012-28-05-05_out.mp4" TargetMode="External"/><Relationship Id="rId190" Type="http://schemas.openxmlformats.org/officeDocument/2006/relationships/hyperlink" Target="result/&#12497;&#12527;&#12503;&#12525;2020%20-%20&#25237;&#29699;&#35299;&#26512;%20-%202020-08-23%2014-08-02-04_ball.txt" TargetMode="External"/><Relationship Id="rId288" Type="http://schemas.openxmlformats.org/officeDocument/2006/relationships/hyperlink" Target="result/&#12497;&#12527;&#12503;&#12525;2020%20-%20&#25237;&#29699;&#35299;&#26512;%20-%202020-08-23%2014-25-58-03_ball.txt" TargetMode="External"/><Relationship Id="rId1914" Type="http://schemas.openxmlformats.org/officeDocument/2006/relationships/hyperlink" Target="result/&#12497;&#12527;&#12503;&#12525;2020%20-%20&#25237;&#29699;&#35299;&#26512;%20-%202020-08-26%2021-17-48-02_ball.txt" TargetMode="External"/><Relationship Id="rId495" Type="http://schemas.openxmlformats.org/officeDocument/2006/relationships/hyperlink" Target="out/&#12497;&#12527;&#12503;&#12525;2020%20-%20&#25237;&#29699;&#35299;&#26512;%20-%202020-08-23%2016-12-41-08_out.mp4" TargetMode="External"/><Relationship Id="rId2176" Type="http://schemas.openxmlformats.org/officeDocument/2006/relationships/hyperlink" Target="result/&#12497;&#12527;&#12503;&#12525;2020%20-%20&#25237;&#29699;&#35299;&#26512;%20-%202020-08-28%2022-31-31-06_ball.txt" TargetMode="External"/><Relationship Id="rId2383" Type="http://schemas.openxmlformats.org/officeDocument/2006/relationships/hyperlink" Target="out/&#12497;&#12527;&#12503;&#12525;2020%20-%20&#25237;&#29699;&#35299;&#26512;%20-%202020-08-29%2009-48-04-01_out.mp4" TargetMode="External"/><Relationship Id="rId2590" Type="http://schemas.openxmlformats.org/officeDocument/2006/relationships/hyperlink" Target="result/&#12497;&#12527;&#12503;&#12525;2020%20-%20&#25237;&#29699;&#35299;&#26512;%20-%202020-08-29%2015-52-32-03_ball.txt" TargetMode="External"/><Relationship Id="rId148" Type="http://schemas.openxmlformats.org/officeDocument/2006/relationships/hyperlink" Target="result/&#12497;&#12527;&#12503;&#12525;2020%20-%20&#25237;&#29699;&#35299;&#26512;%20-%202020-08-23%2014-05-50-03_ball.txt" TargetMode="External"/><Relationship Id="rId355" Type="http://schemas.openxmlformats.org/officeDocument/2006/relationships/hyperlink" Target="out/&#12497;&#12527;&#12503;&#12525;2020%20-%20&#25237;&#29699;&#35299;&#26512;%20-%202020-08-23%2015-49-19-07_out.mp4" TargetMode="External"/><Relationship Id="rId562" Type="http://schemas.openxmlformats.org/officeDocument/2006/relationships/hyperlink" Target="result/&#12497;&#12527;&#12503;&#12525;2020%20-%20&#25237;&#29699;&#35299;&#26512;%20-%202020-08-23%2016-26-58-01_ball.txt" TargetMode="External"/><Relationship Id="rId1192" Type="http://schemas.openxmlformats.org/officeDocument/2006/relationships/hyperlink" Target="result/&#12497;&#12527;&#12503;&#12525;2020%20-%20&#25237;&#29699;&#35299;&#26512;%20-%202020-08-24%2012-52-05-06_ball.txt" TargetMode="External"/><Relationship Id="rId2036" Type="http://schemas.openxmlformats.org/officeDocument/2006/relationships/hyperlink" Target="result/&#12497;&#12527;&#12503;&#12525;2020%20-%20&#25237;&#29699;&#35299;&#26512;%20-%202020-08-27%2018-16-14-06_ball.txt" TargetMode="External"/><Relationship Id="rId2243" Type="http://schemas.openxmlformats.org/officeDocument/2006/relationships/hyperlink" Target="out/&#12497;&#12527;&#12503;&#12525;2020%20-%20&#25237;&#29699;&#35299;&#26512;%20-%202020-08-28%2022-37-55-00_out.mp4" TargetMode="External"/><Relationship Id="rId2450" Type="http://schemas.openxmlformats.org/officeDocument/2006/relationships/hyperlink" Target="result/&#12497;&#12527;&#12503;&#12525;2020%20-%20&#25237;&#29699;&#35299;&#26512;%20-%202020-08-29%2015-44-12-04_ball.txt" TargetMode="External"/><Relationship Id="rId2688" Type="http://schemas.openxmlformats.org/officeDocument/2006/relationships/hyperlink" Target="result/&#12497;&#12527;&#12503;&#12525;2020%20-%20&#25237;&#29699;&#35299;&#26512;%20-%202020-08-29%2015-58-43-02_ball.txt" TargetMode="External"/><Relationship Id="rId215" Type="http://schemas.openxmlformats.org/officeDocument/2006/relationships/hyperlink" Target="out/&#12497;&#12527;&#12503;&#12525;2020%20-%20&#25237;&#29699;&#35299;&#26512;%20-%202020-08-23%2014-19-33-07_out.mp4" TargetMode="External"/><Relationship Id="rId422" Type="http://schemas.openxmlformats.org/officeDocument/2006/relationships/hyperlink" Target="result/&#12497;&#12527;&#12503;&#12525;2020%20-%20&#25237;&#29699;&#35299;&#26512;%20-%202020-08-23%2016-06-08-01_ball.txt" TargetMode="External"/><Relationship Id="rId867" Type="http://schemas.openxmlformats.org/officeDocument/2006/relationships/hyperlink" Target="out/&#12497;&#12527;&#12503;&#12525;2020%20-%20&#25237;&#29699;&#35299;&#26512;%20-%202020-08-24%2012-12-56-00_out.mp4" TargetMode="External"/><Relationship Id="rId1052" Type="http://schemas.openxmlformats.org/officeDocument/2006/relationships/hyperlink" Target="result/&#12497;&#12527;&#12503;&#12525;2020%20-%20&#25237;&#29699;&#35299;&#26512;%20-%202020-08-24%2012-39-57-01_ball.txt" TargetMode="External"/><Relationship Id="rId1497" Type="http://schemas.openxmlformats.org/officeDocument/2006/relationships/hyperlink" Target="out/&#12497;&#12527;&#12503;&#12525;2020%20-%20&#25237;&#29699;&#35299;&#26512;%20-%202020-08-23%2015-56-09-05_out.mp4" TargetMode="External"/><Relationship Id="rId2103" Type="http://schemas.openxmlformats.org/officeDocument/2006/relationships/hyperlink" Target="out/&#12497;&#12527;&#12503;&#12525;2020%20-%20&#25237;&#29699;&#35299;&#26512;%20-%202020-08-27%2018-22-42-00_out.mp4" TargetMode="External"/><Relationship Id="rId2310" Type="http://schemas.openxmlformats.org/officeDocument/2006/relationships/hyperlink" Target="result/&#12497;&#12527;&#12503;&#12525;2020%20-%20&#25237;&#29699;&#35299;&#26512;%20-%202020-08-29%2009-41-06-03_ball.txt" TargetMode="External"/><Relationship Id="rId2548" Type="http://schemas.openxmlformats.org/officeDocument/2006/relationships/hyperlink" Target="result/&#12497;&#12527;&#12503;&#12525;2020%20-%20&#25237;&#29699;&#35299;&#26512;%20-%202020-08-29%2015-50-19-02_ball.txt" TargetMode="External"/><Relationship Id="rId2755" Type="http://schemas.openxmlformats.org/officeDocument/2006/relationships/hyperlink" Target="out/&#12497;&#12527;&#12503;&#12525;2020%20-%20&#25237;&#29699;&#35299;&#26512;%20-%202020-08-29%2016-06-51-06_out.mp4" TargetMode="External"/><Relationship Id="rId727" Type="http://schemas.openxmlformats.org/officeDocument/2006/relationships/hyperlink" Target="out/&#12497;&#12527;&#12503;&#12525;2020%20-%20&#25237;&#29699;&#35299;&#26512;%20-%202020-08-24%2012-01-04-05_out.mp4" TargetMode="External"/><Relationship Id="rId934" Type="http://schemas.openxmlformats.org/officeDocument/2006/relationships/hyperlink" Target="result/&#12497;&#12527;&#12503;&#12525;2020%20-%20&#25237;&#29699;&#35299;&#26512;%20-%202020-08-24%2012-25-33-02_ball.txt" TargetMode="External"/><Relationship Id="rId1357" Type="http://schemas.openxmlformats.org/officeDocument/2006/relationships/hyperlink" Target="out/&#12497;&#12527;&#12503;&#12525;2020%20-%20&#25237;&#29699;&#35299;&#26512;%20-%202020-08-23%2011-08-57-04_out.mp4" TargetMode="External"/><Relationship Id="rId1564" Type="http://schemas.openxmlformats.org/officeDocument/2006/relationships/hyperlink" Target="result/&#12497;&#12527;&#12503;&#12525;2020%20-%20&#25237;&#29699;&#35299;&#26512;%20-%202020-08-23%2016-11-33-08_ball.txt" TargetMode="External"/><Relationship Id="rId1771" Type="http://schemas.openxmlformats.org/officeDocument/2006/relationships/hyperlink" Target="out/&#12497;&#12527;&#12503;&#12525;2020%20-%20&#25237;&#29699;&#35299;&#26512;%20-%202020-08-24%2012-50-30-04_out.mp4" TargetMode="External"/><Relationship Id="rId2408" Type="http://schemas.openxmlformats.org/officeDocument/2006/relationships/hyperlink" Target="result/&#12497;&#12527;&#12503;&#12525;2020%20-%20&#25237;&#29699;&#35299;&#26512;%20-%202020-08-29%2009-49-52-03_ball.txt" TargetMode="External"/><Relationship Id="rId2615" Type="http://schemas.openxmlformats.org/officeDocument/2006/relationships/hyperlink" Target="out/&#12497;&#12527;&#12503;&#12525;2020%20-%20&#25237;&#29699;&#35299;&#26512;%20-%202020-08-29%2015-53-40-06_out.mp4" TargetMode="External"/><Relationship Id="rId63" Type="http://schemas.openxmlformats.org/officeDocument/2006/relationships/hyperlink" Target="out/&#12497;&#12527;&#12503;&#12525;2020%20-%20&#25237;&#29699;&#35299;&#26512;%20-%202020-08-23%2011-13-59-01_out.mp4" TargetMode="External"/><Relationship Id="rId1217" Type="http://schemas.openxmlformats.org/officeDocument/2006/relationships/hyperlink" Target="out/&#12497;&#12527;&#12503;&#12525;2020%20-%20&#25237;&#29699;&#35299;&#26512;%20-%202020-08-24%2012-53-43-09_out.mp4" TargetMode="External"/><Relationship Id="rId1424" Type="http://schemas.openxmlformats.org/officeDocument/2006/relationships/hyperlink" Target="result/&#12497;&#12527;&#12503;&#12525;2020%20-%20&#25237;&#29699;&#35299;&#26512;%20-%202020-08-23%2014-22-38-07_ball.txt" TargetMode="External"/><Relationship Id="rId1631" Type="http://schemas.openxmlformats.org/officeDocument/2006/relationships/hyperlink" Target="out/&#12497;&#12527;&#12503;&#12525;2020%20-%20&#25237;&#29699;&#35299;&#26512;%20-%202020-08-24%2012-00-01-00_out.mp4" TargetMode="External"/><Relationship Id="rId1869" Type="http://schemas.openxmlformats.org/officeDocument/2006/relationships/hyperlink" Target="out/&#12497;&#12527;&#12503;&#12525;2020%20-%20&#25237;&#29699;&#35299;&#26512;%20-%202020-08-24%2013-20-06-00_out.mp4" TargetMode="External"/><Relationship Id="rId1729" Type="http://schemas.openxmlformats.org/officeDocument/2006/relationships/hyperlink" Target="out/&#12497;&#12527;&#12503;&#12525;2020%20-%20&#25237;&#29699;&#35299;&#26512;%20-%202020-08-24%2012-36-56-02_out.mp4" TargetMode="External"/><Relationship Id="rId1936" Type="http://schemas.openxmlformats.org/officeDocument/2006/relationships/hyperlink" Target="result/&#12497;&#12527;&#12503;&#12525;2020%20-%20&#25237;&#29699;&#35299;&#26512;%20-%202020-08-26%2021-19-02-06_ball.txt" TargetMode="External"/><Relationship Id="rId2198" Type="http://schemas.openxmlformats.org/officeDocument/2006/relationships/hyperlink" Target="result/&#12497;&#12527;&#12503;&#12525;2020%20-%20&#25237;&#29699;&#35299;&#26512;%20-%202020-08-28%2022-33-04-07_ball.txt" TargetMode="External"/><Relationship Id="rId377" Type="http://schemas.openxmlformats.org/officeDocument/2006/relationships/hyperlink" Target="out/&#12497;&#12527;&#12503;&#12525;2020%20-%20&#25237;&#29699;&#35299;&#26512;%20-%202020-08-23%2015-52-13-08_out.mp4" TargetMode="External"/><Relationship Id="rId584" Type="http://schemas.openxmlformats.org/officeDocument/2006/relationships/hyperlink" Target="result/&#12497;&#12527;&#12503;&#12525;2020%20-%20&#25237;&#29699;&#35299;&#26512;%20-%202020-08-23%2016-28-07-02_ball.txt" TargetMode="External"/><Relationship Id="rId2058" Type="http://schemas.openxmlformats.org/officeDocument/2006/relationships/hyperlink" Target="result/&#12497;&#12527;&#12503;&#12525;2020%20-%20&#25237;&#29699;&#35299;&#26512;%20-%202020-08-27%2018-17-46-07_ball.txt" TargetMode="External"/><Relationship Id="rId2265" Type="http://schemas.openxmlformats.org/officeDocument/2006/relationships/hyperlink" Target="out/&#12497;&#12527;&#12503;&#12525;2020%20-%20&#25237;&#29699;&#35299;&#26512;%20-%202020-08-29%2009-37-40-01_out.mp4" TargetMode="External"/><Relationship Id="rId5" Type="http://schemas.openxmlformats.org/officeDocument/2006/relationships/hyperlink" Target="out/&#12497;&#12527;&#12503;&#12525;2020%20-%20&#25237;&#29699;&#35299;&#26512;%20-%202020-08-23%2011-10-26-02_out.mp4" TargetMode="External"/><Relationship Id="rId237" Type="http://schemas.openxmlformats.org/officeDocument/2006/relationships/hyperlink" Target="out/&#12497;&#12527;&#12503;&#12525;2020%20-%20&#25237;&#29699;&#35299;&#26512;%20-%202020-08-23%2014-21-04-08_out.mp4" TargetMode="External"/><Relationship Id="rId791" Type="http://schemas.openxmlformats.org/officeDocument/2006/relationships/hyperlink" Target="out/&#12497;&#12527;&#12503;&#12525;2020%20-%20&#25237;&#29699;&#35299;&#26512;%20-%202020-08-24%2012-06-16-08_out.mp4" TargetMode="External"/><Relationship Id="rId889" Type="http://schemas.openxmlformats.org/officeDocument/2006/relationships/hyperlink" Target="out/&#12497;&#12527;&#12503;&#12525;2020%20-%20&#25237;&#29699;&#35299;&#26512;%20-%202020-08-24%2012-21-33-01_out.mp4" TargetMode="External"/><Relationship Id="rId1074" Type="http://schemas.openxmlformats.org/officeDocument/2006/relationships/hyperlink" Target="result/&#12497;&#12527;&#12503;&#12525;2020%20-%20&#25237;&#29699;&#35299;&#26512;%20-%202020-08-24%2012-41-25-02_ball.txt" TargetMode="External"/><Relationship Id="rId2472" Type="http://schemas.openxmlformats.org/officeDocument/2006/relationships/hyperlink" Target="result/&#12497;&#12527;&#12503;&#12525;2020%20-%20&#25237;&#29699;&#35299;&#26512;%20-%202020-08-29%2015-45-22-04_ball.txt" TargetMode="External"/><Relationship Id="rId2777" Type="http://schemas.openxmlformats.org/officeDocument/2006/relationships/hyperlink" Target="out/&#25237;&#29699;&#35299;&#26512;%20-%20&#12497;&#12527;&#12503;&#12525;2020%20-%202020-09-08%2023-37-52-07_out.mp4" TargetMode="External"/><Relationship Id="rId444" Type="http://schemas.openxmlformats.org/officeDocument/2006/relationships/hyperlink" Target="result/&#12497;&#12527;&#12503;&#12525;2020%20-%20&#25237;&#29699;&#35299;&#26512;%20-%202020-08-23%2016-08-46-02_ball.txt" TargetMode="External"/><Relationship Id="rId651" Type="http://schemas.openxmlformats.org/officeDocument/2006/relationships/hyperlink" Target="out/&#12497;&#12527;&#12503;&#12525;2020%20-%20&#25237;&#29699;&#35299;&#26512;%20-%202020-08-23%2016-33-27-06_out.mp4" TargetMode="External"/><Relationship Id="rId749" Type="http://schemas.openxmlformats.org/officeDocument/2006/relationships/hyperlink" Target="out/&#12497;&#12527;&#12503;&#12525;2020%20-%20&#25237;&#29699;&#35299;&#26512;%20-%202020-08-24%2012-02-12-07_out.mp4" TargetMode="External"/><Relationship Id="rId1281" Type="http://schemas.openxmlformats.org/officeDocument/2006/relationships/hyperlink" Target="out/&#12497;&#12527;&#12503;&#12525;2020%20-%20&#25237;&#29699;&#35299;&#26512;%20-%202020-08-24%2013-03-51-02_out.mp4" TargetMode="External"/><Relationship Id="rId1379" Type="http://schemas.openxmlformats.org/officeDocument/2006/relationships/hyperlink" Target="out/&#12497;&#12527;&#12503;&#12525;2020%20-%20&#25237;&#29699;&#35299;&#26512;%20-%202020-08-23%2014-03-42-05_out.mp4" TargetMode="External"/><Relationship Id="rId1586" Type="http://schemas.openxmlformats.org/officeDocument/2006/relationships/hyperlink" Target="result/&#12497;&#12527;&#12503;&#12525;2020%20-%20&#25237;&#29699;&#35299;&#26512;%20-%202020-08-23%2016-24-41-09_ball.txt" TargetMode="External"/><Relationship Id="rId2125" Type="http://schemas.openxmlformats.org/officeDocument/2006/relationships/hyperlink" Target="out/&#12497;&#12527;&#12503;&#12525;2020%20-%20&#25237;&#29699;&#35299;&#26512;%20-%202020-08-27%2018-24-30-01_out.mp4" TargetMode="External"/><Relationship Id="rId2332" Type="http://schemas.openxmlformats.org/officeDocument/2006/relationships/hyperlink" Target="result/&#12497;&#12527;&#12503;&#12525;2020%20-%20&#25237;&#29699;&#35299;&#26512;%20-%202020-08-29%2009-42-48-04_ball.txt" TargetMode="External"/><Relationship Id="rId304" Type="http://schemas.openxmlformats.org/officeDocument/2006/relationships/hyperlink" Target="result/&#12497;&#12527;&#12503;&#12525;2020%20-%20&#25237;&#29699;&#35299;&#26512;%20-%202020-08-23%2014-27-07-01_ball.txt" TargetMode="External"/><Relationship Id="rId511" Type="http://schemas.openxmlformats.org/officeDocument/2006/relationships/hyperlink" Target="out/&#12497;&#12527;&#12503;&#12525;2020%20-%20&#25237;&#29699;&#35299;&#26512;%20-%202020-08-23%2016-13-55-06_out.mp4" TargetMode="External"/><Relationship Id="rId609" Type="http://schemas.openxmlformats.org/officeDocument/2006/relationships/hyperlink" Target="out/&#12497;&#12527;&#12503;&#12525;2020%20-%20&#25237;&#29699;&#35299;&#26512;%20-%202020-08-23%2016-30-55-05_out.mp4" TargetMode="External"/><Relationship Id="rId956" Type="http://schemas.openxmlformats.org/officeDocument/2006/relationships/hyperlink" Target="result/&#12497;&#12527;&#12503;&#12525;2020%20-%20&#25237;&#29699;&#35299;&#26512;%20-%202020-08-24%2012-26-53-03_ball.txt" TargetMode="External"/><Relationship Id="rId1141" Type="http://schemas.openxmlformats.org/officeDocument/2006/relationships/hyperlink" Target="out/&#12497;&#12527;&#12503;&#12525;2020%20-%20&#25237;&#29699;&#35299;&#26512;%20-%202020-08-24%2012-46-03-16_out.mp4" TargetMode="External"/><Relationship Id="rId1239" Type="http://schemas.openxmlformats.org/officeDocument/2006/relationships/hyperlink" Target="out/&#12497;&#12527;&#12503;&#12525;2020%20-%20&#25237;&#29699;&#35299;&#26512;%20-%202020-08-24%2013-00-20-00_out.mp4" TargetMode="External"/><Relationship Id="rId1793" Type="http://schemas.openxmlformats.org/officeDocument/2006/relationships/hyperlink" Target="out/&#12497;&#12527;&#12503;&#12525;2020%20-%20&#25237;&#29699;&#35299;&#26512;%20-%202020-08-24%2012-58-52-04_out.mp4" TargetMode="External"/><Relationship Id="rId2637" Type="http://schemas.openxmlformats.org/officeDocument/2006/relationships/hyperlink" Target="out/&#12497;&#12527;&#12503;&#12525;2020%20-%20&#25237;&#29699;&#35299;&#26512;%20-%202020-08-29%2015-55-24-07_out.mp4" TargetMode="External"/><Relationship Id="rId85" Type="http://schemas.openxmlformats.org/officeDocument/2006/relationships/hyperlink" Target="out/&#12497;&#12527;&#12503;&#12525;2020%20-%20&#25237;&#29699;&#35299;&#26512;%20-%202020-08-23%2011-15-09-02_out.mp4" TargetMode="External"/><Relationship Id="rId816" Type="http://schemas.openxmlformats.org/officeDocument/2006/relationships/hyperlink" Target="result/&#12497;&#12527;&#12503;&#12525;2020%20-%20&#25237;&#29699;&#35299;&#26512;%20-%202020-08-24%2012-08-41-00_ball.txt" TargetMode="External"/><Relationship Id="rId1001" Type="http://schemas.openxmlformats.org/officeDocument/2006/relationships/hyperlink" Target="out/&#12497;&#12527;&#12503;&#12525;2020%20-%20&#25237;&#29699;&#35299;&#26512;%20-%202020-08-24%2012-33-48-07_out.mp4" TargetMode="External"/><Relationship Id="rId1446" Type="http://schemas.openxmlformats.org/officeDocument/2006/relationships/hyperlink" Target="result/&#12497;&#12527;&#12503;&#12525;2020%20-%20&#25237;&#29699;&#35299;&#26512;%20-%202020-08-23%2015-47-01-09_ball.txt" TargetMode="External"/><Relationship Id="rId1653" Type="http://schemas.openxmlformats.org/officeDocument/2006/relationships/hyperlink" Target="out/&#12497;&#12527;&#12503;&#12525;2020%20-%20&#25237;&#29699;&#35299;&#26512;%20-%202020-08-24%2012-06-16-02_out.mp4" TargetMode="External"/><Relationship Id="rId1860" Type="http://schemas.openxmlformats.org/officeDocument/2006/relationships/hyperlink" Target="result/&#12497;&#12527;&#12503;&#12525;2020%20-%20&#25237;&#29699;&#35299;&#26512;%20-%202020-08-24%2013-17-56-05_ball.txt" TargetMode="External"/><Relationship Id="rId2704" Type="http://schemas.openxmlformats.org/officeDocument/2006/relationships/hyperlink" Target="result/&#12497;&#12527;&#12503;&#12525;2020%20-%20&#25237;&#29699;&#35299;&#26512;%20-%202020-08-29%2016-00-15-00_ball.txt" TargetMode="External"/><Relationship Id="rId1306" Type="http://schemas.openxmlformats.org/officeDocument/2006/relationships/hyperlink" Target="result/&#12497;&#12527;&#12503;&#12525;2020%20-%20&#25237;&#29699;&#35299;&#26512;%20-%202020-08-24%2013-07-27-03_ball.txt" TargetMode="External"/><Relationship Id="rId1513" Type="http://schemas.openxmlformats.org/officeDocument/2006/relationships/hyperlink" Target="out/&#12497;&#12527;&#12503;&#12525;2020%20-%20&#25237;&#29699;&#35299;&#26512;%20-%202020-08-23%2016-04-57-03_out.mp4" TargetMode="External"/><Relationship Id="rId1720" Type="http://schemas.openxmlformats.org/officeDocument/2006/relationships/hyperlink" Target="result/&#12497;&#12527;&#12503;&#12525;2020%20-%20&#25237;&#29699;&#35299;&#26512;%20-%202020-08-24%2012-35-33-07_ball.txt" TargetMode="External"/><Relationship Id="rId1958" Type="http://schemas.openxmlformats.org/officeDocument/2006/relationships/hyperlink" Target="result/&#12497;&#12527;&#12503;&#12525;2020%20-%20&#25237;&#29699;&#35299;&#26512;%20-%202020-08-26%2021-20-35-07_ball.txt" TargetMode="External"/><Relationship Id="rId12" Type="http://schemas.openxmlformats.org/officeDocument/2006/relationships/hyperlink" Target="result/&#12497;&#12527;&#12503;&#12525;2020%20-%20&#25237;&#29699;&#35299;&#26512;%20-%202020-08-23%2011-10-26-05_ball.txt" TargetMode="External"/><Relationship Id="rId1818" Type="http://schemas.openxmlformats.org/officeDocument/2006/relationships/hyperlink" Target="result/&#12497;&#12527;&#12503;&#12525;2020%20-%20&#25237;&#29699;&#35299;&#26512;%20-%202020-08-24%2013-14-19-03_ball.txt" TargetMode="External"/><Relationship Id="rId161" Type="http://schemas.openxmlformats.org/officeDocument/2006/relationships/hyperlink" Target="out/&#12497;&#12527;&#12503;&#12525;2020%20-%20&#25237;&#29699;&#35299;&#26512;%20-%202020-08-23%2014-06-56-00_out.mp4" TargetMode="External"/><Relationship Id="rId399" Type="http://schemas.openxmlformats.org/officeDocument/2006/relationships/hyperlink" Target="out/&#12497;&#12527;&#12503;&#12525;2020%20-%20&#25237;&#29699;&#35299;&#26512;%20-%202020-08-23%2016-03-31-00_out.mp4" TargetMode="External"/><Relationship Id="rId2287" Type="http://schemas.openxmlformats.org/officeDocument/2006/relationships/hyperlink" Target="out/&#12497;&#12527;&#12503;&#12525;2020%20-%20&#25237;&#29699;&#35299;&#26512;%20-%202020-08-29%2009-39-15-02_out.mp4" TargetMode="External"/><Relationship Id="rId2494" Type="http://schemas.openxmlformats.org/officeDocument/2006/relationships/hyperlink" Target="result/&#12497;&#12527;&#12503;&#12525;2020%20-%20&#25237;&#29699;&#35299;&#26512;%20-%202020-08-29%2015-46-34-05_ball.txt" TargetMode="External"/><Relationship Id="rId259" Type="http://schemas.openxmlformats.org/officeDocument/2006/relationships/hyperlink" Target="out/&#12497;&#12527;&#12503;&#12525;2020%20-%20&#25237;&#29699;&#35299;&#26512;%20-%202020-08-23%2014-23-42-09_out.mp4" TargetMode="External"/><Relationship Id="rId466" Type="http://schemas.openxmlformats.org/officeDocument/2006/relationships/hyperlink" Target="result/&#12497;&#12527;&#12503;&#12525;2020%20-%20&#25237;&#29699;&#35299;&#26512;%20-%202020-08-23%2016-09-58-03_ball.txt" TargetMode="External"/><Relationship Id="rId673" Type="http://schemas.openxmlformats.org/officeDocument/2006/relationships/hyperlink" Target="out/&#12497;&#12527;&#12503;&#12525;2020%20-%20&#25237;&#29699;&#35299;&#26512;%20-%202020-08-24%2011-23-23-08_out.mp4" TargetMode="External"/><Relationship Id="rId880" Type="http://schemas.openxmlformats.org/officeDocument/2006/relationships/hyperlink" Target="result/&#12497;&#12527;&#12503;&#12525;2020%20-%20&#25237;&#29699;&#35299;&#26512;%20-%202020-08-24%2012-12-56-06_ball.txt" TargetMode="External"/><Relationship Id="rId1096" Type="http://schemas.openxmlformats.org/officeDocument/2006/relationships/hyperlink" Target="result/&#12497;&#12527;&#12503;&#12525;2020%20-%20&#25237;&#29699;&#35299;&#26512;%20-%202020-08-24%2012-42-52-03_ball.txt" TargetMode="External"/><Relationship Id="rId2147" Type="http://schemas.openxmlformats.org/officeDocument/2006/relationships/hyperlink" Target="out/&#12497;&#12527;&#12503;&#12525;2020%20-%20&#25237;&#29699;&#35299;&#26512;%20-%202020-08-27%2018-26-47-02_out.mp4" TargetMode="External"/><Relationship Id="rId2354" Type="http://schemas.openxmlformats.org/officeDocument/2006/relationships/hyperlink" Target="result/&#12497;&#12527;&#12503;&#12525;2020%20-%20&#25237;&#29699;&#35299;&#26512;%20-%202020-08-29%2009-44-23-06_ball.txt" TargetMode="External"/><Relationship Id="rId2561" Type="http://schemas.openxmlformats.org/officeDocument/2006/relationships/hyperlink" Target="out/&#12497;&#12527;&#12503;&#12525;2020%20-%20&#25237;&#29699;&#35299;&#26512;%20-%202020-08-29%2015-50-19-09_out.mp4" TargetMode="External"/><Relationship Id="rId2799" Type="http://schemas.openxmlformats.org/officeDocument/2006/relationships/hyperlink" Target="out/&#25237;&#29699;&#35299;&#26512;%20-%20&#12497;&#12527;&#12503;&#12525;2020%20-%202020-09-08%2023-39-02-08_out.mp4" TargetMode="External"/><Relationship Id="rId119" Type="http://schemas.openxmlformats.org/officeDocument/2006/relationships/hyperlink" Target="out/&#12497;&#12527;&#12503;&#12525;2020%20-%20&#25237;&#29699;&#35299;&#26512;%20-%202020-08-23%2011-16-20-09_out.mp4" TargetMode="External"/><Relationship Id="rId326" Type="http://schemas.openxmlformats.org/officeDocument/2006/relationships/hyperlink" Target="result/&#12497;&#12527;&#12503;&#12525;2020%20-%20&#25237;&#29699;&#35299;&#26512;%20-%202020-08-23%2015-48-07-02_ball.txt" TargetMode="External"/><Relationship Id="rId533" Type="http://schemas.openxmlformats.org/officeDocument/2006/relationships/hyperlink" Target="out/&#12497;&#12527;&#12503;&#12525;2020%20-%20&#25237;&#29699;&#35299;&#26512;%20-%202020-08-23%2016-15-07-07_out.mp4" TargetMode="External"/><Relationship Id="rId978" Type="http://schemas.openxmlformats.org/officeDocument/2006/relationships/hyperlink" Target="result/&#12497;&#12527;&#12503;&#12525;2020%20-%20&#25237;&#29699;&#35299;&#26512;%20-%202020-08-24%2012-32-08-05_ball.txt" TargetMode="External"/><Relationship Id="rId1163" Type="http://schemas.openxmlformats.org/officeDocument/2006/relationships/hyperlink" Target="out/&#12497;&#12527;&#12503;&#12525;2020%20-%20&#25237;&#29699;&#35299;&#26512;%20-%202020-08-24%2012-47-45-09_out.mp4" TargetMode="External"/><Relationship Id="rId1370" Type="http://schemas.openxmlformats.org/officeDocument/2006/relationships/hyperlink" Target="result/&#12497;&#12527;&#12503;&#12525;2020%20-%20&#25237;&#29699;&#35299;&#26512;%20-%202020-08-23%2014-03-42-00_ball.txt" TargetMode="External"/><Relationship Id="rId2007" Type="http://schemas.openxmlformats.org/officeDocument/2006/relationships/hyperlink" Target="out/&#12497;&#12527;&#12503;&#12525;2020%20-%20&#25237;&#29699;&#35299;&#26512;%20-%202020-08-27%2018-14-40-02_out.mp4" TargetMode="External"/><Relationship Id="rId2214" Type="http://schemas.openxmlformats.org/officeDocument/2006/relationships/hyperlink" Target="result/&#12497;&#12527;&#12503;&#12525;2020%20-%20&#25237;&#29699;&#35299;&#26512;%20-%202020-08-28%2022-34-32-05_ball.txt" TargetMode="External"/><Relationship Id="rId2659" Type="http://schemas.openxmlformats.org/officeDocument/2006/relationships/hyperlink" Target="out/&#12497;&#12527;&#12503;&#12525;2020%20-%20&#25237;&#29699;&#35299;&#26512;%20-%202020-08-29%2015-56-35-08_out.mp4" TargetMode="External"/><Relationship Id="rId740" Type="http://schemas.openxmlformats.org/officeDocument/2006/relationships/hyperlink" Target="result/&#12497;&#12527;&#12503;&#12525;2020%20-%20&#25237;&#29699;&#35299;&#26512;%20-%202020-08-24%2012-02-12-02_ball.txt" TargetMode="External"/><Relationship Id="rId838" Type="http://schemas.openxmlformats.org/officeDocument/2006/relationships/hyperlink" Target="result/&#12497;&#12527;&#12503;&#12525;2020%20-%20&#25237;&#29699;&#35299;&#26512;%20-%202020-08-24%2012-08-41-13_ball.txt" TargetMode="External"/><Relationship Id="rId1023" Type="http://schemas.openxmlformats.org/officeDocument/2006/relationships/hyperlink" Target="out/&#12497;&#12527;&#12503;&#12525;2020%20-%20&#25237;&#29699;&#35299;&#26512;%20-%202020-08-24%2012-36-56-07_out.mp4" TargetMode="External"/><Relationship Id="rId1468" Type="http://schemas.openxmlformats.org/officeDocument/2006/relationships/hyperlink" Target="result/&#12497;&#12527;&#12503;&#12525;2020%20-%20&#25237;&#29699;&#35299;&#26512;%20-%202020-08-23%2015-53-39-00_ball.txt" TargetMode="External"/><Relationship Id="rId1675" Type="http://schemas.openxmlformats.org/officeDocument/2006/relationships/hyperlink" Target="out/&#12497;&#12527;&#12503;&#12525;2020%20-%20&#25237;&#29699;&#35299;&#26512;%20-%202020-08-24%2012-11-18-08_out.mp4" TargetMode="External"/><Relationship Id="rId1882" Type="http://schemas.openxmlformats.org/officeDocument/2006/relationships/hyperlink" Target="result/&#12497;&#12527;&#12503;&#12525;2020%20-%20&#25237;&#29699;&#35299;&#26512;%20-%202020-08-24%2013-20-06-06_ball.txt" TargetMode="External"/><Relationship Id="rId2421" Type="http://schemas.openxmlformats.org/officeDocument/2006/relationships/hyperlink" Target="out/&#12497;&#12527;&#12503;&#12525;2020%20-%20&#25237;&#29699;&#35299;&#26512;%20-%202020-08-29%2015-42-43-00_out.mp4" TargetMode="External"/><Relationship Id="rId2519" Type="http://schemas.openxmlformats.org/officeDocument/2006/relationships/hyperlink" Target="out/&#12497;&#12527;&#12503;&#12525;2020%20-%20&#25237;&#29699;&#35299;&#26512;%20-%202020-08-29%2015-48-09-08_out.mp4" TargetMode="External"/><Relationship Id="rId2726" Type="http://schemas.openxmlformats.org/officeDocument/2006/relationships/hyperlink" Target="result/&#12497;&#12527;&#12503;&#12525;2020%20-%20&#25237;&#29699;&#35299;&#26512;%20-%202020-08-29%2016-01-23-01_ball.txt" TargetMode="External"/><Relationship Id="rId600" Type="http://schemas.openxmlformats.org/officeDocument/2006/relationships/hyperlink" Target="result/&#12497;&#12527;&#12503;&#12525;2020%20-%20&#25237;&#29699;&#35299;&#26512;%20-%202020-08-23%2016-30-55-00_ball.txt" TargetMode="External"/><Relationship Id="rId1230" Type="http://schemas.openxmlformats.org/officeDocument/2006/relationships/hyperlink" Target="result/&#12497;&#12527;&#12503;&#12525;2020%20-%20&#25237;&#29699;&#35299;&#26512;%20-%202020-08-24%2012-55-39-05_ball.txt" TargetMode="External"/><Relationship Id="rId1328" Type="http://schemas.openxmlformats.org/officeDocument/2006/relationships/hyperlink" Target="result/&#12497;&#12527;&#12503;&#12525;2020%20-%20&#25237;&#29699;&#35299;&#26512;%20-%202020-08-24%2013-09-18-05_ball.txt" TargetMode="External"/><Relationship Id="rId1535" Type="http://schemas.openxmlformats.org/officeDocument/2006/relationships/hyperlink" Target="out/&#12497;&#12527;&#12503;&#12525;2020%20-%20&#25237;&#29699;&#35299;&#26512;%20-%202020-08-23%2016-07-35-04_out.mp4" TargetMode="External"/><Relationship Id="rId905" Type="http://schemas.openxmlformats.org/officeDocument/2006/relationships/hyperlink" Target="out/&#12497;&#12527;&#12503;&#12525;2020%20-%20&#25237;&#29699;&#35299;&#26512;%20-%202020-08-24%2012-21-33-09_out.mp4" TargetMode="External"/><Relationship Id="rId1742" Type="http://schemas.openxmlformats.org/officeDocument/2006/relationships/hyperlink" Target="result/&#12497;&#12527;&#12503;&#12525;2020%20-%20&#25237;&#29699;&#35299;&#26512;%20-%202020-08-24%2012-42-52-07_ball.txt" TargetMode="External"/><Relationship Id="rId34" Type="http://schemas.openxmlformats.org/officeDocument/2006/relationships/hyperlink" Target="result/&#12497;&#12527;&#12503;&#12525;2020%20-%20&#25237;&#29699;&#35299;&#26512;%20-%202020-08-23%2011-11-35-06_ball.txt" TargetMode="External"/><Relationship Id="rId1602" Type="http://schemas.openxmlformats.org/officeDocument/2006/relationships/hyperlink" Target="result/&#12497;&#12527;&#12503;&#12525;2020%20-%20&#25237;&#29699;&#35299;&#26512;%20-%202020-08-23%2016-29-37-06_ball.txt" TargetMode="External"/><Relationship Id="rId183" Type="http://schemas.openxmlformats.org/officeDocument/2006/relationships/hyperlink" Target="out/&#12497;&#12527;&#12503;&#12525;2020%20-%20&#25237;&#29699;&#35299;&#26512;%20-%202020-08-23%2014-08-02-01_out.mp4" TargetMode="External"/><Relationship Id="rId390" Type="http://schemas.openxmlformats.org/officeDocument/2006/relationships/hyperlink" Target="result/&#12497;&#12527;&#12503;&#12525;2020%20-%20&#25237;&#29699;&#35299;&#26512;%20-%202020-08-23%2015-54-48-04_ball.txt" TargetMode="External"/><Relationship Id="rId1907" Type="http://schemas.openxmlformats.org/officeDocument/2006/relationships/hyperlink" Target="out/&#12497;&#12527;&#12503;&#12525;2020%20-%20&#25237;&#29699;&#35299;&#26512;%20-%202020-08-26%2021-15-29-09_out.mp4" TargetMode="External"/><Relationship Id="rId2071" Type="http://schemas.openxmlformats.org/officeDocument/2006/relationships/hyperlink" Target="out/&#12497;&#12527;&#12503;&#12525;2020%20-%20&#25237;&#29699;&#35299;&#26512;%20-%202020-08-27%2018-19-19-04_out.mp4" TargetMode="External"/><Relationship Id="rId250" Type="http://schemas.openxmlformats.org/officeDocument/2006/relationships/hyperlink" Target="result/&#12497;&#12527;&#12503;&#12525;2020%20-%20&#25237;&#29699;&#35299;&#26512;%20-%202020-08-23%2014-23-42-04_ball.txt" TargetMode="External"/><Relationship Id="rId488" Type="http://schemas.openxmlformats.org/officeDocument/2006/relationships/hyperlink" Target="result/&#12497;&#12527;&#12503;&#12525;2020%20-%20&#25237;&#29699;&#35299;&#26512;%20-%202020-08-23%2016-12-41-04_ball.txt" TargetMode="External"/><Relationship Id="rId695" Type="http://schemas.openxmlformats.org/officeDocument/2006/relationships/hyperlink" Target="out/&#12497;&#12527;&#12503;&#12525;2020%20-%20&#25237;&#29699;&#35299;&#26512;%20-%202020-08-24%2011-24-36-09_out.mp4" TargetMode="External"/><Relationship Id="rId2169" Type="http://schemas.openxmlformats.org/officeDocument/2006/relationships/hyperlink" Target="out/&#12497;&#12527;&#12503;&#12525;2020%20-%20&#25237;&#29699;&#35299;&#26512;%20-%202020-08-28%2022-31-31-03_out.mp4" TargetMode="External"/><Relationship Id="rId2376" Type="http://schemas.openxmlformats.org/officeDocument/2006/relationships/hyperlink" Target="result/&#12497;&#12527;&#12503;&#12525;2020%20-%20&#25237;&#29699;&#35299;&#26512;%20-%202020-08-29%2009-46-05-07_ball.txt" TargetMode="External"/><Relationship Id="rId2583" Type="http://schemas.openxmlformats.org/officeDocument/2006/relationships/hyperlink" Target="out/&#12497;&#12527;&#12503;&#12525;2020%20-%20&#25237;&#29699;&#35299;&#26512;%20-%202020-08-29%2015-52-32-00_out.mp4" TargetMode="External"/><Relationship Id="rId2790" Type="http://schemas.openxmlformats.org/officeDocument/2006/relationships/hyperlink" Target="result/&#25237;&#29699;&#35299;&#26512;%20-%20&#12497;&#12527;&#12503;&#12525;2020%20-%202020-09-08%2023-39-02-03_ball.txt" TargetMode="External"/><Relationship Id="rId110" Type="http://schemas.openxmlformats.org/officeDocument/2006/relationships/hyperlink" Target="result/&#12497;&#12527;&#12503;&#12525;2020%20-%20&#25237;&#29699;&#35299;&#26512;%20-%202020-08-23%2011-16-20-04_ball.txt" TargetMode="External"/><Relationship Id="rId348" Type="http://schemas.openxmlformats.org/officeDocument/2006/relationships/hyperlink" Target="result/&#12497;&#12527;&#12503;&#12525;2020%20-%20&#25237;&#29699;&#35299;&#26512;%20-%202020-08-23%2015-49-19-03_ball.txt" TargetMode="External"/><Relationship Id="rId555" Type="http://schemas.openxmlformats.org/officeDocument/2006/relationships/hyperlink" Target="out/&#12497;&#12527;&#12503;&#12525;2020%20-%20&#25237;&#29699;&#35299;&#26512;%20-%202020-08-23%2016-25-48-08_out.mp4" TargetMode="External"/><Relationship Id="rId762" Type="http://schemas.openxmlformats.org/officeDocument/2006/relationships/hyperlink" Target="result/&#12497;&#12527;&#12503;&#12525;2020%20-%20&#25237;&#29699;&#35299;&#26512;%20-%202020-08-24%2012-03-33-03_ball.txt" TargetMode="External"/><Relationship Id="rId1185" Type="http://schemas.openxmlformats.org/officeDocument/2006/relationships/hyperlink" Target="out/&#12497;&#12527;&#12503;&#12525;2020%20-%20&#25237;&#29699;&#35299;&#26512;%20-%202020-08-24%2012-52-05-03_out.mp4" TargetMode="External"/><Relationship Id="rId1392" Type="http://schemas.openxmlformats.org/officeDocument/2006/relationships/hyperlink" Target="result/&#12497;&#12527;&#12503;&#12525;2020%20-%20&#25237;&#29699;&#35299;&#26512;%20-%202020-08-23%2014-18-29-01_ball.txt" TargetMode="External"/><Relationship Id="rId2029" Type="http://schemas.openxmlformats.org/officeDocument/2006/relationships/hyperlink" Target="out/&#12497;&#12527;&#12503;&#12525;2020%20-%20&#25237;&#29699;&#35299;&#26512;%20-%202020-08-27%2018-16-14-03_out.mp4" TargetMode="External"/><Relationship Id="rId2236" Type="http://schemas.openxmlformats.org/officeDocument/2006/relationships/hyperlink" Target="result/&#12497;&#12527;&#12503;&#12525;2020%20-%20&#25237;&#29699;&#35299;&#26512;%20-%202020-08-28%2022-36-12-06_ball.txt" TargetMode="External"/><Relationship Id="rId2443" Type="http://schemas.openxmlformats.org/officeDocument/2006/relationships/hyperlink" Target="out/&#12497;&#12527;&#12503;&#12525;2020%20-%20&#25237;&#29699;&#35299;&#26512;%20-%202020-08-29%2015-44-12-01_out.mp4" TargetMode="External"/><Relationship Id="rId2650" Type="http://schemas.openxmlformats.org/officeDocument/2006/relationships/hyperlink" Target="result/&#12497;&#12527;&#12503;&#12525;2020%20-%20&#25237;&#29699;&#35299;&#26512;%20-%202020-08-29%2015-56-35-03_ball.txt" TargetMode="External"/><Relationship Id="rId208" Type="http://schemas.openxmlformats.org/officeDocument/2006/relationships/hyperlink" Target="result/&#12497;&#12527;&#12503;&#12525;2020%20-%20&#25237;&#29699;&#35299;&#26512;%20-%202020-08-23%2014-19-33-03_ball.txt" TargetMode="External"/><Relationship Id="rId415" Type="http://schemas.openxmlformats.org/officeDocument/2006/relationships/hyperlink" Target="out/&#12497;&#12527;&#12503;&#12525;2020%20-%20&#25237;&#29699;&#35299;&#26512;%20-%202020-08-23%2016-03-31-08_out.mp4" TargetMode="External"/><Relationship Id="rId622" Type="http://schemas.openxmlformats.org/officeDocument/2006/relationships/hyperlink" Target="result/&#12497;&#12527;&#12503;&#12525;2020%20-%20&#25237;&#29699;&#35299;&#26512;%20-%202020-08-23%2016-32-07-01_ball.txt" TargetMode="External"/><Relationship Id="rId1045" Type="http://schemas.openxmlformats.org/officeDocument/2006/relationships/hyperlink" Target="out/&#12497;&#12527;&#12503;&#12525;2020%20-%20&#25237;&#29699;&#35299;&#26512;%20-%202020-08-24%2012-38-24-08_out.mp4" TargetMode="External"/><Relationship Id="rId1252" Type="http://schemas.openxmlformats.org/officeDocument/2006/relationships/hyperlink" Target="result/&#12497;&#12527;&#12503;&#12525;2020%20-%20&#25237;&#29699;&#35299;&#26512;%20-%202020-08-24%2013-00-20-06_ball.txt" TargetMode="External"/><Relationship Id="rId1697" Type="http://schemas.openxmlformats.org/officeDocument/2006/relationships/hyperlink" Target="out/&#12497;&#12527;&#12503;&#12525;2020%20-%20&#25237;&#29699;&#35299;&#26512;%20-%202020-08-24%2012-24-03-03_out.mp4" TargetMode="External"/><Relationship Id="rId2303" Type="http://schemas.openxmlformats.org/officeDocument/2006/relationships/hyperlink" Target="out/&#12497;&#12527;&#12503;&#12525;2020%20-%20&#25237;&#29699;&#35299;&#26512;%20-%202020-08-29%2009-41-06-00_out.mp4" TargetMode="External"/><Relationship Id="rId2510" Type="http://schemas.openxmlformats.org/officeDocument/2006/relationships/hyperlink" Target="result/&#12497;&#12527;&#12503;&#12525;2020%20-%20&#25237;&#29699;&#35299;&#26512;%20-%202020-08-29%2015-48-09-03_ball.txt" TargetMode="External"/><Relationship Id="rId2748" Type="http://schemas.openxmlformats.org/officeDocument/2006/relationships/hyperlink" Target="result/&#12497;&#12527;&#12503;&#12525;2020%20-%20&#25237;&#29699;&#35299;&#26512;%20-%202020-08-29%2016-06-51-02_ball.txt" TargetMode="External"/><Relationship Id="rId927" Type="http://schemas.openxmlformats.org/officeDocument/2006/relationships/hyperlink" Target="out/&#12497;&#12527;&#12503;&#12525;2020%20-%20&#25237;&#29699;&#35299;&#26512;%20-%202020-08-24%2012-24-03-09_out.mp4" TargetMode="External"/><Relationship Id="rId1112" Type="http://schemas.openxmlformats.org/officeDocument/2006/relationships/hyperlink" Target="result/&#12497;&#12527;&#12503;&#12525;2020%20-%20&#25237;&#29699;&#35299;&#26512;%20-%202020-08-24%2012-44-26-11_ball.txt" TargetMode="External"/><Relationship Id="rId1557" Type="http://schemas.openxmlformats.org/officeDocument/2006/relationships/hyperlink" Target="out/&#12497;&#12527;&#12503;&#12525;2020%20-%20&#25237;&#29699;&#35299;&#26512;%20-%202020-08-23%2016-11-33-05_out.mp4" TargetMode="External"/><Relationship Id="rId1764" Type="http://schemas.openxmlformats.org/officeDocument/2006/relationships/hyperlink" Target="result/&#12497;&#12527;&#12503;&#12525;2020%20-%20&#25237;&#29699;&#35299;&#26512;%20-%202020-08-24%2012-50-30-00_ball.txt" TargetMode="External"/><Relationship Id="rId1971" Type="http://schemas.openxmlformats.org/officeDocument/2006/relationships/hyperlink" Target="out/&#12497;&#12527;&#12503;&#12525;2020%20-%20&#25237;&#29699;&#35299;&#26512;%20-%202020-08-26%2021-30-58-04_out.mp4" TargetMode="External"/><Relationship Id="rId2608" Type="http://schemas.openxmlformats.org/officeDocument/2006/relationships/hyperlink" Target="result/&#12497;&#12527;&#12503;&#12525;2020%20-%20&#25237;&#29699;&#35299;&#26512;%20-%202020-08-29%2015-53-40-02_ball.txt" TargetMode="External"/><Relationship Id="rId56" Type="http://schemas.openxmlformats.org/officeDocument/2006/relationships/hyperlink" Target="result/&#12497;&#12527;&#12503;&#12525;2020%20-%20&#25237;&#29699;&#35299;&#26512;%20-%202020-08-23%2011-12-45-07_ball.txt" TargetMode="External"/><Relationship Id="rId1417" Type="http://schemas.openxmlformats.org/officeDocument/2006/relationships/hyperlink" Target="out/&#12497;&#12527;&#12503;&#12525;2020%20-%20&#25237;&#29699;&#35299;&#26512;%20-%202020-08-23%2014-22-38-04_out.mp4" TargetMode="External"/><Relationship Id="rId1624" Type="http://schemas.openxmlformats.org/officeDocument/2006/relationships/hyperlink" Target="result/&#12497;&#12527;&#12503;&#12525;2020%20-%20&#25237;&#29699;&#35299;&#26512;%20-%202020-08-24%2011-22-14-06_ball.txt" TargetMode="External"/><Relationship Id="rId1831" Type="http://schemas.openxmlformats.org/officeDocument/2006/relationships/hyperlink" Target="out/&#12497;&#12527;&#12503;&#12525;2020%20-%20&#25237;&#29699;&#35299;&#26512;%20-%202020-08-24%2013-16-19-00_out.mp4" TargetMode="External"/><Relationship Id="rId1929" Type="http://schemas.openxmlformats.org/officeDocument/2006/relationships/hyperlink" Target="out/&#12497;&#12527;&#12503;&#12525;2020%20-%20&#25237;&#29699;&#35299;&#26512;%20-%202020-08-26%2021-19-02-03_out.mp4" TargetMode="External"/><Relationship Id="rId2093" Type="http://schemas.openxmlformats.org/officeDocument/2006/relationships/hyperlink" Target="out/&#12497;&#12527;&#12503;&#12525;2020%20-%20&#25237;&#29699;&#35299;&#26512;%20-%202020-08-27%2018-21-04-05_out.mp4" TargetMode="External"/><Relationship Id="rId2398" Type="http://schemas.openxmlformats.org/officeDocument/2006/relationships/hyperlink" Target="result/&#12497;&#12527;&#12503;&#12525;2020%20-%20&#25237;&#29699;&#35299;&#26512;%20-%202020-08-29%2009-48-04-08_ball.txt" TargetMode="External"/><Relationship Id="rId272" Type="http://schemas.openxmlformats.org/officeDocument/2006/relationships/hyperlink" Target="result/&#12497;&#12527;&#12503;&#12525;2020%20-%20&#25237;&#29699;&#35299;&#26512;%20-%202020-08-23%2014-24-49-05_ball.txt" TargetMode="External"/><Relationship Id="rId577" Type="http://schemas.openxmlformats.org/officeDocument/2006/relationships/hyperlink" Target="out/&#12497;&#12527;&#12503;&#12525;2020%20-%20&#25237;&#29699;&#35299;&#26512;%20-%202020-08-23%2016-26-58-09_out.mp4" TargetMode="External"/><Relationship Id="rId2160" Type="http://schemas.openxmlformats.org/officeDocument/2006/relationships/hyperlink" Target="result/&#12497;&#12527;&#12503;&#12525;2020%20-%20&#25237;&#29699;&#35299;&#26512;%20-%202020-08-27%2018-26-47-08_ball.txt" TargetMode="External"/><Relationship Id="rId2258" Type="http://schemas.openxmlformats.org/officeDocument/2006/relationships/hyperlink" Target="result/&#12497;&#12527;&#12503;&#12525;2020%20-%20&#25237;&#29699;&#35299;&#26512;%20-%202020-08-28%2022-37-55-07_ball.txt" TargetMode="External"/><Relationship Id="rId132" Type="http://schemas.openxmlformats.org/officeDocument/2006/relationships/hyperlink" Target="result/&#12497;&#12527;&#12503;&#12525;2020%20-%20&#25237;&#29699;&#35299;&#26512;%20-%202020-08-23%2014-04-47-05_ball.txt" TargetMode="External"/><Relationship Id="rId784" Type="http://schemas.openxmlformats.org/officeDocument/2006/relationships/hyperlink" Target="result/&#12497;&#12527;&#12503;&#12525;2020%20-%20&#25237;&#29699;&#35299;&#26512;%20-%202020-08-24%2012-04-51-04_ball.txt" TargetMode="External"/><Relationship Id="rId991" Type="http://schemas.openxmlformats.org/officeDocument/2006/relationships/hyperlink" Target="out/&#12497;&#12527;&#12503;&#12525;2020%20-%20&#25237;&#29699;&#35299;&#26512;%20-%202020-08-24%2012-33-48-02_out.mp4" TargetMode="External"/><Relationship Id="rId1067" Type="http://schemas.openxmlformats.org/officeDocument/2006/relationships/hyperlink" Target="out/&#12497;&#12527;&#12503;&#12525;2020%20-%20&#25237;&#29699;&#35299;&#26512;%20-%202020-08-24%2012-39-57-09_out.mp4" TargetMode="External"/><Relationship Id="rId2020" Type="http://schemas.openxmlformats.org/officeDocument/2006/relationships/hyperlink" Target="result/&#12497;&#12527;&#12503;&#12525;2020%20-%20&#25237;&#29699;&#35299;&#26512;%20-%202020-08-27%2018-14-40-08_ball.txt" TargetMode="External"/><Relationship Id="rId2465" Type="http://schemas.openxmlformats.org/officeDocument/2006/relationships/hyperlink" Target="out/&#12497;&#12527;&#12503;&#12525;2020%20-%20&#25237;&#29699;&#35299;&#26512;%20-%202020-08-29%2015-45-22-01_out.mp4" TargetMode="External"/><Relationship Id="rId2672" Type="http://schemas.openxmlformats.org/officeDocument/2006/relationships/hyperlink" Target="result/&#12497;&#12527;&#12503;&#12525;2020%20-%20&#25237;&#29699;&#35299;&#26512;%20-%202020-08-29%2015-57-36-04_ball.txt" TargetMode="External"/><Relationship Id="rId437" Type="http://schemas.openxmlformats.org/officeDocument/2006/relationships/hyperlink" Target="out/&#12497;&#12527;&#12503;&#12525;2020%20-%20&#25237;&#29699;&#35299;&#26512;%20-%202020-08-23%2016-06-08-09_out.mp4" TargetMode="External"/><Relationship Id="rId644" Type="http://schemas.openxmlformats.org/officeDocument/2006/relationships/hyperlink" Target="result/&#12497;&#12527;&#12503;&#12525;2020%20-%20&#25237;&#29699;&#35299;&#26512;%20-%202020-08-23%2016-33-27-02_ball.txt" TargetMode="External"/><Relationship Id="rId851" Type="http://schemas.openxmlformats.org/officeDocument/2006/relationships/hyperlink" Target="out/&#12497;&#12527;&#12503;&#12525;2020%20-%20&#25237;&#29699;&#35299;&#26512;%20-%202020-08-24%2012-10-03-06_out.mp4" TargetMode="External"/><Relationship Id="rId1274" Type="http://schemas.openxmlformats.org/officeDocument/2006/relationships/hyperlink" Target="result/&#12497;&#12527;&#12503;&#12525;2020%20-%20&#25237;&#29699;&#35299;&#26512;%20-%202020-08-24%2013-02-04-08_ball.txt" TargetMode="External"/><Relationship Id="rId1481" Type="http://schemas.openxmlformats.org/officeDocument/2006/relationships/hyperlink" Target="out/&#12497;&#12527;&#12503;&#12525;2020%20-%20&#25237;&#29699;&#35299;&#26512;%20-%202020-08-23%2015-53-39-07_out.mp4" TargetMode="External"/><Relationship Id="rId1579" Type="http://schemas.openxmlformats.org/officeDocument/2006/relationships/hyperlink" Target="out/&#12497;&#12527;&#12503;&#12525;2020%20-%20&#25237;&#29699;&#35299;&#26512;%20-%202020-08-23%2016-24-41-06_out.mp4" TargetMode="External"/><Relationship Id="rId2118" Type="http://schemas.openxmlformats.org/officeDocument/2006/relationships/hyperlink" Target="result/&#12497;&#12527;&#12503;&#12525;2020%20-%20&#25237;&#29699;&#35299;&#26512;%20-%202020-08-27%2018-22-42-07_ball.txt" TargetMode="External"/><Relationship Id="rId2325" Type="http://schemas.openxmlformats.org/officeDocument/2006/relationships/hyperlink" Target="out/&#12497;&#12527;&#12503;&#12525;2020%20-%20&#25237;&#29699;&#35299;&#26512;%20-%202020-08-29%2009-42-48-01_out.mp4" TargetMode="External"/><Relationship Id="rId2532" Type="http://schemas.openxmlformats.org/officeDocument/2006/relationships/hyperlink" Target="result/&#12497;&#12527;&#12503;&#12525;2020%20-%20&#25237;&#29699;&#35299;&#26512;%20-%202020-08-29%2015-49-13-04_ball.txt" TargetMode="External"/><Relationship Id="rId504" Type="http://schemas.openxmlformats.org/officeDocument/2006/relationships/hyperlink" Target="result/&#12497;&#12527;&#12503;&#12525;2020%20-%20&#25237;&#29699;&#35299;&#26512;%20-%202020-08-23%2016-13-55-02_ball.txt" TargetMode="External"/><Relationship Id="rId711" Type="http://schemas.openxmlformats.org/officeDocument/2006/relationships/hyperlink" Target="out/&#12497;&#12527;&#12503;&#12525;2020%20-%20&#25237;&#29699;&#35299;&#26512;%20-%202020-08-24%2011-25-48-07_out.mp4" TargetMode="External"/><Relationship Id="rId949" Type="http://schemas.openxmlformats.org/officeDocument/2006/relationships/hyperlink" Target="out/&#12497;&#12527;&#12503;&#12525;2020%20-%20&#25237;&#29699;&#35299;&#26512;%20-%202020-08-24%2012-26-53-00_out.mp4" TargetMode="External"/><Relationship Id="rId1134" Type="http://schemas.openxmlformats.org/officeDocument/2006/relationships/hyperlink" Target="result/&#12497;&#12527;&#12503;&#12525;2020%20-%20&#25237;&#29699;&#35299;&#26512;%20-%202020-08-24%2012-46-03-09_ball.txt" TargetMode="External"/><Relationship Id="rId1341" Type="http://schemas.openxmlformats.org/officeDocument/2006/relationships/hyperlink" Target="out/&#12497;&#12527;&#12503;&#12525;2020%20-%20&#25237;&#29699;&#35299;&#26512;%20-%202020-08-24%2013-09-18-12_out.mp4" TargetMode="External"/><Relationship Id="rId1786" Type="http://schemas.openxmlformats.org/officeDocument/2006/relationships/hyperlink" Target="result/&#12497;&#12527;&#12503;&#12525;2020%20-%20&#25237;&#29699;&#35299;&#26512;%20-%202020-08-24%2012-58-52-00_ball.txt" TargetMode="External"/><Relationship Id="rId1993" Type="http://schemas.openxmlformats.org/officeDocument/2006/relationships/hyperlink" Target="out/&#12497;&#12527;&#12503;&#12525;2020%20-%20&#25237;&#29699;&#35299;&#26512;%20-%202020-08-26%2021-35-18-05_out.mp4" TargetMode="External"/><Relationship Id="rId78" Type="http://schemas.openxmlformats.org/officeDocument/2006/relationships/hyperlink" Target="result/&#12497;&#12527;&#12503;&#12525;2020%20-%20&#25237;&#29699;&#35299;&#26512;%20-%202020-08-23%2011-13-59-08_ball.txt" TargetMode="External"/><Relationship Id="rId809" Type="http://schemas.openxmlformats.org/officeDocument/2006/relationships/hyperlink" Target="out/&#12497;&#12527;&#12503;&#12525;2020%20-%20&#25237;&#29699;&#35299;&#26512;%20-%202020-08-24%2012-07-26-07_out.mp4" TargetMode="External"/><Relationship Id="rId1201" Type="http://schemas.openxmlformats.org/officeDocument/2006/relationships/hyperlink" Target="out/&#12497;&#12527;&#12503;&#12525;2020%20-%20&#25237;&#29699;&#35299;&#26512;%20-%202020-08-24%2012-53-43-01_out.mp4" TargetMode="External"/><Relationship Id="rId1439" Type="http://schemas.openxmlformats.org/officeDocument/2006/relationships/hyperlink" Target="out/&#12497;&#12527;&#12503;&#12525;2020%20-%20&#25237;&#29699;&#35299;&#26512;%20-%202020-08-23%2015-47-01-06_out.mp4" TargetMode="External"/><Relationship Id="rId1646" Type="http://schemas.openxmlformats.org/officeDocument/2006/relationships/hyperlink" Target="result/&#12497;&#12527;&#12503;&#12525;2020%20-%20&#25237;&#29699;&#35299;&#26512;%20-%202020-08-24%2012-04-51-08_ball.txt" TargetMode="External"/><Relationship Id="rId1853" Type="http://schemas.openxmlformats.org/officeDocument/2006/relationships/hyperlink" Target="out/&#12497;&#12527;&#12503;&#12525;2020%20-%20&#25237;&#29699;&#35299;&#26512;%20-%202020-08-24%2013-17-56-02_out.mp4" TargetMode="External"/><Relationship Id="rId1506" Type="http://schemas.openxmlformats.org/officeDocument/2006/relationships/hyperlink" Target="result/&#12497;&#12527;&#12503;&#12525;2020%20-%20&#25237;&#29699;&#35299;&#26512;%20-%202020-08-23%2015-56-09-09_ball.txt" TargetMode="External"/><Relationship Id="rId1713" Type="http://schemas.openxmlformats.org/officeDocument/2006/relationships/hyperlink" Target="out/&#12497;&#12527;&#12503;&#12525;2020%20-%20&#25237;&#29699;&#35299;&#26512;%20-%202020-08-24%2012-28-05-08_out.mp4" TargetMode="External"/><Relationship Id="rId1920" Type="http://schemas.openxmlformats.org/officeDocument/2006/relationships/hyperlink" Target="result/&#12497;&#12527;&#12503;&#12525;2020%20-%20&#25237;&#29699;&#35299;&#26512;%20-%202020-08-26%2021-17-48-05_ball.txt" TargetMode="External"/><Relationship Id="rId294" Type="http://schemas.openxmlformats.org/officeDocument/2006/relationships/hyperlink" Target="result/&#12497;&#12527;&#12503;&#12525;2020%20-%20&#25237;&#29699;&#35299;&#26512;%20-%202020-08-23%2014-25-58-06_ball.txt" TargetMode="External"/><Relationship Id="rId2182" Type="http://schemas.openxmlformats.org/officeDocument/2006/relationships/hyperlink" Target="result/&#12497;&#12527;&#12503;&#12525;2020%20-%20&#25237;&#29699;&#35299;&#26512;%20-%202020-08-28%2022-31-31-09_ball.txt" TargetMode="External"/><Relationship Id="rId154" Type="http://schemas.openxmlformats.org/officeDocument/2006/relationships/hyperlink" Target="result/&#12497;&#12527;&#12503;&#12525;2020%20-%20&#25237;&#29699;&#35299;&#26512;%20-%202020-08-23%2014-05-50-06_ball.txt" TargetMode="External"/><Relationship Id="rId361" Type="http://schemas.openxmlformats.org/officeDocument/2006/relationships/hyperlink" Target="out/&#12497;&#12527;&#12503;&#12525;2020%20-%20&#25237;&#29699;&#35299;&#26512;%20-%202020-08-23%2015-52-13-00_out.mp4" TargetMode="External"/><Relationship Id="rId599" Type="http://schemas.openxmlformats.org/officeDocument/2006/relationships/hyperlink" Target="out/&#12497;&#12527;&#12503;&#12525;2020%20-%20&#25237;&#29699;&#35299;&#26512;%20-%202020-08-23%2016-30-55-00_out.mp4" TargetMode="External"/><Relationship Id="rId2042" Type="http://schemas.openxmlformats.org/officeDocument/2006/relationships/hyperlink" Target="result/&#12497;&#12527;&#12503;&#12525;2020%20-%20&#25237;&#29699;&#35299;&#26512;%20-%202020-08-27%2018-16-14-09_ball.txt" TargetMode="External"/><Relationship Id="rId2487" Type="http://schemas.openxmlformats.org/officeDocument/2006/relationships/hyperlink" Target="out/&#12497;&#12527;&#12503;&#12525;2020%20-%20&#25237;&#29699;&#35299;&#26512;%20-%202020-08-29%2015-46-34-02_out.mp4" TargetMode="External"/><Relationship Id="rId2694" Type="http://schemas.openxmlformats.org/officeDocument/2006/relationships/hyperlink" Target="result/&#12497;&#12527;&#12503;&#12525;2020%20-%20&#25237;&#29699;&#35299;&#26512;%20-%202020-08-29%2015-58-43-05_ball.txt" TargetMode="External"/><Relationship Id="rId459" Type="http://schemas.openxmlformats.org/officeDocument/2006/relationships/hyperlink" Target="out/&#12497;&#12527;&#12503;&#12525;2020%20-%20&#25237;&#29699;&#35299;&#26512;%20-%202020-08-23%2016-09-58-00_out.mp4" TargetMode="External"/><Relationship Id="rId666" Type="http://schemas.openxmlformats.org/officeDocument/2006/relationships/hyperlink" Target="result/&#12497;&#12527;&#12503;&#12525;2020%20-%20&#25237;&#29699;&#35299;&#26512;%20-%202020-08-24%2011-23-23-04_ball.txt" TargetMode="External"/><Relationship Id="rId873" Type="http://schemas.openxmlformats.org/officeDocument/2006/relationships/hyperlink" Target="out/&#12497;&#12527;&#12503;&#12525;2020%20-%20&#25237;&#29699;&#35299;&#26512;%20-%202020-08-24%2012-12-56-03_out.mp4" TargetMode="External"/><Relationship Id="rId1089" Type="http://schemas.openxmlformats.org/officeDocument/2006/relationships/hyperlink" Target="out/&#12497;&#12527;&#12503;&#12525;2020%20-%20&#25237;&#29699;&#35299;&#26512;%20-%202020-08-24%2012-42-52-00_out.mp4" TargetMode="External"/><Relationship Id="rId1296" Type="http://schemas.openxmlformats.org/officeDocument/2006/relationships/hyperlink" Target="result/&#12497;&#12527;&#12503;&#12525;2020%20-%20&#25237;&#29699;&#35299;&#26512;%20-%202020-08-24%2013-05-36-09_ball.txt" TargetMode="External"/><Relationship Id="rId2347" Type="http://schemas.openxmlformats.org/officeDocument/2006/relationships/hyperlink" Target="out/&#12497;&#12527;&#12503;&#12525;2020%20-%20&#25237;&#29699;&#35299;&#26512;%20-%202020-08-29%2009-44-23-03_out.mp4" TargetMode="External"/><Relationship Id="rId2554" Type="http://schemas.openxmlformats.org/officeDocument/2006/relationships/hyperlink" Target="result/&#12497;&#12527;&#12503;&#12525;2020%20-%20&#25237;&#29699;&#35299;&#26512;%20-%202020-08-29%2015-50-19-05_ball.txt" TargetMode="External"/><Relationship Id="rId221" Type="http://schemas.openxmlformats.org/officeDocument/2006/relationships/hyperlink" Target="out/&#12497;&#12527;&#12503;&#12525;2020%20-%20&#25237;&#29699;&#35299;&#26512;%20-%202020-08-23%2014-21-04-00_out.mp4" TargetMode="External"/><Relationship Id="rId319" Type="http://schemas.openxmlformats.org/officeDocument/2006/relationships/hyperlink" Target="out/&#12497;&#12527;&#12503;&#12525;2020%20-%20&#25237;&#29699;&#35299;&#26512;%20-%202020-08-23%2014-27-07-09_out.mp4" TargetMode="External"/><Relationship Id="rId526" Type="http://schemas.openxmlformats.org/officeDocument/2006/relationships/hyperlink" Target="result/&#12497;&#12527;&#12503;&#12525;2020%20-%20&#25237;&#29699;&#35299;&#26512;%20-%202020-08-23%2016-15-07-03_ball.txt" TargetMode="External"/><Relationship Id="rId1156" Type="http://schemas.openxmlformats.org/officeDocument/2006/relationships/hyperlink" Target="result/&#12497;&#12527;&#12503;&#12525;2020%20-%20&#25237;&#29699;&#35299;&#26512;%20-%202020-08-24%2012-47-45-05_ball.txt" TargetMode="External"/><Relationship Id="rId1363" Type="http://schemas.openxmlformats.org/officeDocument/2006/relationships/hyperlink" Target="out/&#12497;&#12527;&#12503;&#12525;2020%20-%20&#25237;&#29699;&#35299;&#26512;%20-%202020-08-23%2011-08-57-07_out.mp4" TargetMode="External"/><Relationship Id="rId2207" Type="http://schemas.openxmlformats.org/officeDocument/2006/relationships/hyperlink" Target="out/&#12497;&#12527;&#12503;&#12525;2020%20-%20&#25237;&#29699;&#35299;&#26512;%20-%202020-08-28%2022-34-32-02_out.mp4" TargetMode="External"/><Relationship Id="rId2761" Type="http://schemas.openxmlformats.org/officeDocument/2006/relationships/hyperlink" Target="out/&#12497;&#12527;&#12503;&#12525;2020%20-%20&#25237;&#29699;&#35299;&#26512;%20-%202020-08-29%2016-06-51-09_out.mp4" TargetMode="External"/><Relationship Id="rId733" Type="http://schemas.openxmlformats.org/officeDocument/2006/relationships/hyperlink" Target="out/&#12497;&#12527;&#12503;&#12525;2020%20-%20&#25237;&#29699;&#35299;&#26512;%20-%202020-08-24%2012-01-04-08_out.mp4" TargetMode="External"/><Relationship Id="rId940" Type="http://schemas.openxmlformats.org/officeDocument/2006/relationships/hyperlink" Target="result/&#12497;&#12527;&#12503;&#12525;2020%20-%20&#25237;&#29699;&#35299;&#26512;%20-%202020-08-24%2012-25-33-05_ball.txt" TargetMode="External"/><Relationship Id="rId1016" Type="http://schemas.openxmlformats.org/officeDocument/2006/relationships/hyperlink" Target="result/&#12497;&#12527;&#12503;&#12525;2020%20-%20&#25237;&#29699;&#35299;&#26512;%20-%202020-08-24%2012-35-33-04_ball.txt" TargetMode="External"/><Relationship Id="rId1570" Type="http://schemas.openxmlformats.org/officeDocument/2006/relationships/hyperlink" Target="result/&#12497;&#12527;&#12503;&#12525;2020%20-%20&#25237;&#29699;&#35299;&#26512;%20-%202020-08-23%2016-24-41-01_ball.txt" TargetMode="External"/><Relationship Id="rId1668" Type="http://schemas.openxmlformats.org/officeDocument/2006/relationships/hyperlink" Target="result/&#12497;&#12527;&#12503;&#12525;2020%20-%20&#25237;&#29699;&#35299;&#26512;%20-%202020-08-24%2012-11-18-04_ball.txt" TargetMode="External"/><Relationship Id="rId1875" Type="http://schemas.openxmlformats.org/officeDocument/2006/relationships/hyperlink" Target="out/&#12497;&#12527;&#12503;&#12525;2020%20-%20&#25237;&#29699;&#35299;&#26512;%20-%202020-08-24%2013-20-06-03_out.mp4" TargetMode="External"/><Relationship Id="rId2414" Type="http://schemas.openxmlformats.org/officeDocument/2006/relationships/hyperlink" Target="result/&#12497;&#12527;&#12503;&#12525;2020%20-%20&#25237;&#29699;&#35299;&#26512;%20-%202020-08-29%2009-49-52-06_ball.txt" TargetMode="External"/><Relationship Id="rId2621" Type="http://schemas.openxmlformats.org/officeDocument/2006/relationships/hyperlink" Target="out/&#12497;&#12527;&#12503;&#12525;2020%20-%20&#25237;&#29699;&#35299;&#26512;%20-%202020-08-29%2015-53-40-09_out.mp4" TargetMode="External"/><Relationship Id="rId2719" Type="http://schemas.openxmlformats.org/officeDocument/2006/relationships/hyperlink" Target="out/&#12497;&#12527;&#12503;&#12525;2020%20-%20&#25237;&#29699;&#35299;&#26512;%20-%202020-08-29%2016-00-15-08_out.mp4" TargetMode="External"/><Relationship Id="rId800" Type="http://schemas.openxmlformats.org/officeDocument/2006/relationships/hyperlink" Target="result/&#12497;&#12527;&#12503;&#12525;2020%20-%20&#25237;&#29699;&#35299;&#26512;%20-%202020-08-24%2012-07-26-02_ball.txt" TargetMode="External"/><Relationship Id="rId1223" Type="http://schemas.openxmlformats.org/officeDocument/2006/relationships/hyperlink" Target="out/&#12497;&#12527;&#12503;&#12525;2020%20-%20&#25237;&#29699;&#35299;&#26512;%20-%202020-08-24%2012-55-39-02_out.mp4" TargetMode="External"/><Relationship Id="rId1430" Type="http://schemas.openxmlformats.org/officeDocument/2006/relationships/hyperlink" Target="result/&#12497;&#12527;&#12503;&#12525;2020%20-%20&#25237;&#29699;&#35299;&#26512;%20-%202020-08-23%2015-47-01-01_ball.txt" TargetMode="External"/><Relationship Id="rId1528" Type="http://schemas.openxmlformats.org/officeDocument/2006/relationships/hyperlink" Target="result/&#12497;&#12527;&#12503;&#12525;2020%20-%20&#25237;&#29699;&#35299;&#26512;%20-%202020-08-23%2016-07-35-00_ball.txt" TargetMode="External"/><Relationship Id="rId1735" Type="http://schemas.openxmlformats.org/officeDocument/2006/relationships/hyperlink" Target="out/&#12497;&#12527;&#12503;&#12525;2020%20-%20&#25237;&#29699;&#35299;&#26512;%20-%202020-08-24%2012-36-56-05_out.mp4" TargetMode="External"/><Relationship Id="rId1942" Type="http://schemas.openxmlformats.org/officeDocument/2006/relationships/hyperlink" Target="result/&#12497;&#12527;&#12503;&#12525;2020%20-%20&#25237;&#29699;&#35299;&#26512;%20-%202020-08-26%2021-19-02-09_ball.txt" TargetMode="External"/><Relationship Id="rId27" Type="http://schemas.openxmlformats.org/officeDocument/2006/relationships/hyperlink" Target="out/&#12497;&#12527;&#12503;&#12525;2020%20-%20&#25237;&#29699;&#35299;&#26512;%20-%202020-08-23%2011-11-35-03_out.mp4" TargetMode="External"/><Relationship Id="rId1802" Type="http://schemas.openxmlformats.org/officeDocument/2006/relationships/hyperlink" Target="result/&#12497;&#12527;&#12503;&#12525;2020%20-%20&#25237;&#29699;&#35299;&#26512;%20-%202020-08-24%2013-03-51-09_ball.txt" TargetMode="External"/><Relationship Id="rId176" Type="http://schemas.openxmlformats.org/officeDocument/2006/relationships/hyperlink" Target="result/&#12497;&#12527;&#12503;&#12525;2020%20-%20&#25237;&#29699;&#35299;&#26512;%20-%202020-08-23%2014-06-56-07_ball.txt" TargetMode="External"/><Relationship Id="rId383" Type="http://schemas.openxmlformats.org/officeDocument/2006/relationships/hyperlink" Target="out/&#12497;&#12527;&#12503;&#12525;2020%20-%20&#25237;&#29699;&#35299;&#26512;%20-%202020-08-23%2015-54-48-01_out.mp4" TargetMode="External"/><Relationship Id="rId590" Type="http://schemas.openxmlformats.org/officeDocument/2006/relationships/hyperlink" Target="result/&#12497;&#12527;&#12503;&#12525;2020%20-%20&#25237;&#29699;&#35299;&#26512;%20-%202020-08-23%2016-28-07-05_ball.txt" TargetMode="External"/><Relationship Id="rId2064" Type="http://schemas.openxmlformats.org/officeDocument/2006/relationships/hyperlink" Target="result/&#12497;&#12527;&#12503;&#12525;2020%20-%20&#25237;&#29699;&#35299;&#26512;%20-%202020-08-27%2018-19-19-00_ball.txt" TargetMode="External"/><Relationship Id="rId2271" Type="http://schemas.openxmlformats.org/officeDocument/2006/relationships/hyperlink" Target="out/&#12497;&#12527;&#12503;&#12525;2020%20-%20&#25237;&#29699;&#35299;&#26512;%20-%202020-08-29%2009-37-40-04_out.mp4" TargetMode="External"/><Relationship Id="rId243" Type="http://schemas.openxmlformats.org/officeDocument/2006/relationships/hyperlink" Target="out/&#12497;&#12527;&#12503;&#12525;2020%20-%20&#25237;&#29699;&#35299;&#26512;%20-%202020-08-23%2014-23-42-01_out.mp4" TargetMode="External"/><Relationship Id="rId450" Type="http://schemas.openxmlformats.org/officeDocument/2006/relationships/hyperlink" Target="result/&#12497;&#12527;&#12503;&#12525;2020%20-%20&#25237;&#29699;&#35299;&#26512;%20-%202020-08-23%2016-08-46-05_ball.txt" TargetMode="External"/><Relationship Id="rId688" Type="http://schemas.openxmlformats.org/officeDocument/2006/relationships/hyperlink" Target="result/&#12497;&#12527;&#12503;&#12525;2020%20-%20&#25237;&#29699;&#35299;&#26512;%20-%202020-08-24%2011-24-36-05_ball.txt" TargetMode="External"/><Relationship Id="rId895" Type="http://schemas.openxmlformats.org/officeDocument/2006/relationships/hyperlink" Target="out/&#12497;&#12527;&#12503;&#12525;2020%20-%20&#25237;&#29699;&#35299;&#26512;%20-%202020-08-24%2012-21-33-04_out.mp4" TargetMode="External"/><Relationship Id="rId1080" Type="http://schemas.openxmlformats.org/officeDocument/2006/relationships/hyperlink" Target="result/&#12497;&#12527;&#12503;&#12525;2020%20-%20&#25237;&#29699;&#35299;&#26512;%20-%202020-08-24%2012-41-25-05_ball.txt" TargetMode="External"/><Relationship Id="rId2131" Type="http://schemas.openxmlformats.org/officeDocument/2006/relationships/hyperlink" Target="out/&#12497;&#12527;&#12503;&#12525;2020%20-%20&#25237;&#29699;&#35299;&#26512;%20-%202020-08-27%2018-24-30-04_out.mp4" TargetMode="External"/><Relationship Id="rId2369" Type="http://schemas.openxmlformats.org/officeDocument/2006/relationships/hyperlink" Target="out/&#12497;&#12527;&#12503;&#12525;2020%20-%20&#25237;&#29699;&#35299;&#26512;%20-%202020-08-29%2009-46-05-04_out.mp4" TargetMode="External"/><Relationship Id="rId2576" Type="http://schemas.openxmlformats.org/officeDocument/2006/relationships/hyperlink" Target="result/&#12497;&#12527;&#12503;&#12525;2020%20-%20&#25237;&#29699;&#35299;&#26512;%20-%202020-08-29%2015-51-26-06_ball.txt" TargetMode="External"/><Relationship Id="rId2783" Type="http://schemas.openxmlformats.org/officeDocument/2006/relationships/hyperlink" Target="out/&#25237;&#29699;&#35299;&#26512;%20-%20&#12497;&#12527;&#12503;&#12525;2020%20-%202020-09-08%2023-39-02-00_out.mp4" TargetMode="External"/><Relationship Id="rId103" Type="http://schemas.openxmlformats.org/officeDocument/2006/relationships/hyperlink" Target="out/&#12497;&#12527;&#12503;&#12525;2020%20-%20&#25237;&#29699;&#35299;&#26512;%20-%202020-08-23%2011-16-20-01_out.mp4" TargetMode="External"/><Relationship Id="rId310" Type="http://schemas.openxmlformats.org/officeDocument/2006/relationships/hyperlink" Target="result/&#12497;&#12527;&#12503;&#12525;2020%20-%20&#25237;&#29699;&#35299;&#26512;%20-%202020-08-23%2014-27-07-04_ball.txt" TargetMode="External"/><Relationship Id="rId548" Type="http://schemas.openxmlformats.org/officeDocument/2006/relationships/hyperlink" Target="result/&#12497;&#12527;&#12503;&#12525;2020%20-%20&#25237;&#29699;&#35299;&#26512;%20-%202020-08-23%2016-25-48-04_ball.txt" TargetMode="External"/><Relationship Id="rId755" Type="http://schemas.openxmlformats.org/officeDocument/2006/relationships/hyperlink" Target="out/&#12497;&#12527;&#12503;&#12525;2020%20-%20&#25237;&#29699;&#35299;&#26512;%20-%202020-08-24%2012-03-33-00_out.mp4" TargetMode="External"/><Relationship Id="rId962" Type="http://schemas.openxmlformats.org/officeDocument/2006/relationships/hyperlink" Target="result/&#12497;&#12527;&#12503;&#12525;2020%20-%20&#25237;&#29699;&#35299;&#26512;%20-%202020-08-24%2012-26-53-06_ball.txt" TargetMode="External"/><Relationship Id="rId1178" Type="http://schemas.openxmlformats.org/officeDocument/2006/relationships/hyperlink" Target="result/&#12497;&#12527;&#12503;&#12525;2020%20-%20&#25237;&#29699;&#35299;&#26512;%20-%202020-08-24%2012-50-30-09_ball.txt" TargetMode="External"/><Relationship Id="rId1385" Type="http://schemas.openxmlformats.org/officeDocument/2006/relationships/hyperlink" Target="out/&#12497;&#12527;&#12503;&#12525;2020%20-%20&#25237;&#29699;&#35299;&#26512;%20-%202020-08-23%2014-03-42-08_out.mp4" TargetMode="External"/><Relationship Id="rId1592" Type="http://schemas.openxmlformats.org/officeDocument/2006/relationships/hyperlink" Target="result/&#12497;&#12527;&#12503;&#12525;2020%20-%20&#25237;&#29699;&#35299;&#26512;%20-%202020-08-23%2016-29-37-01_ball.txt" TargetMode="External"/><Relationship Id="rId2229" Type="http://schemas.openxmlformats.org/officeDocument/2006/relationships/hyperlink" Target="out/&#12497;&#12527;&#12503;&#12525;2020%20-%20&#25237;&#29699;&#35299;&#26512;%20-%202020-08-28%2022-36-12-03_out.mp4" TargetMode="External"/><Relationship Id="rId2436" Type="http://schemas.openxmlformats.org/officeDocument/2006/relationships/hyperlink" Target="result/&#12497;&#12527;&#12503;&#12525;2020%20-%20&#25237;&#29699;&#35299;&#26512;%20-%202020-08-29%2015-42-43-07_ball.txt" TargetMode="External"/><Relationship Id="rId2643" Type="http://schemas.openxmlformats.org/officeDocument/2006/relationships/hyperlink" Target="out/&#12497;&#12527;&#12503;&#12525;2020%20-%20&#25237;&#29699;&#35299;&#26512;%20-%202020-08-29%2015-56-35-00_out.mp4" TargetMode="External"/><Relationship Id="rId91" Type="http://schemas.openxmlformats.org/officeDocument/2006/relationships/hyperlink" Target="out/&#12497;&#12527;&#12503;&#12525;2020%20-%20&#25237;&#29699;&#35299;&#26512;%20-%202020-08-23%2011-15-09-05_out.mp4" TargetMode="External"/><Relationship Id="rId408" Type="http://schemas.openxmlformats.org/officeDocument/2006/relationships/hyperlink" Target="result/&#12497;&#12527;&#12503;&#12525;2020%20-%20&#25237;&#29699;&#35299;&#26512;%20-%202020-08-23%2016-03-31-04_ball.txt" TargetMode="External"/><Relationship Id="rId615" Type="http://schemas.openxmlformats.org/officeDocument/2006/relationships/hyperlink" Target="out/&#12497;&#12527;&#12503;&#12525;2020%20-%20&#25237;&#29699;&#35299;&#26512;%20-%202020-08-23%2016-30-55-08_out.mp4" TargetMode="External"/><Relationship Id="rId822" Type="http://schemas.openxmlformats.org/officeDocument/2006/relationships/hyperlink" Target="result/&#12497;&#12527;&#12503;&#12525;2020%20-%20&#25237;&#29699;&#35299;&#26512;%20-%202020-08-24%2012-08-41-03_ball.txt" TargetMode="External"/><Relationship Id="rId1038" Type="http://schemas.openxmlformats.org/officeDocument/2006/relationships/hyperlink" Target="result/&#12497;&#12527;&#12503;&#12525;2020%20-%20&#25237;&#29699;&#35299;&#26512;%20-%202020-08-24%2012-38-24-04_ball.txt" TargetMode="External"/><Relationship Id="rId1245" Type="http://schemas.openxmlformats.org/officeDocument/2006/relationships/hyperlink" Target="out/&#12497;&#12527;&#12503;&#12525;2020%20-%20&#25237;&#29699;&#35299;&#26512;%20-%202020-08-24%2013-00-20-03_out.mp4" TargetMode="External"/><Relationship Id="rId1452" Type="http://schemas.openxmlformats.org/officeDocument/2006/relationships/hyperlink" Target="result/&#12497;&#12527;&#12503;&#12525;2020%20-%20&#25237;&#29699;&#35299;&#26512;%20-%202020-08-23%2015-51-08-02_ball.txt" TargetMode="External"/><Relationship Id="rId1897" Type="http://schemas.openxmlformats.org/officeDocument/2006/relationships/hyperlink" Target="out/&#12497;&#12527;&#12503;&#12525;2020%20-%20&#25237;&#29699;&#35299;&#26512;%20-%202020-08-26%2021-15-29-04_out.mp4" TargetMode="External"/><Relationship Id="rId2503" Type="http://schemas.openxmlformats.org/officeDocument/2006/relationships/hyperlink" Target="out/&#12497;&#12527;&#12503;&#12525;2020%20-%20&#25237;&#29699;&#35299;&#26512;%20-%202020-08-29%2015-48-09-00_out.mp4" TargetMode="External"/><Relationship Id="rId1105" Type="http://schemas.openxmlformats.org/officeDocument/2006/relationships/hyperlink" Target="out/&#12497;&#12527;&#12503;&#12525;2020%20-%20&#25237;&#29699;&#35299;&#26512;%20-%202020-08-24%2012-44-26-08_out.mp4" TargetMode="External"/><Relationship Id="rId1312" Type="http://schemas.openxmlformats.org/officeDocument/2006/relationships/hyperlink" Target="result/&#12497;&#12527;&#12503;&#12525;2020%20-%20&#25237;&#29699;&#35299;&#26512;%20-%202020-08-24%2013-07-27-06_ball.txt" TargetMode="External"/><Relationship Id="rId1757" Type="http://schemas.openxmlformats.org/officeDocument/2006/relationships/hyperlink" Target="out/&#12497;&#12527;&#12503;&#12525;2020%20-%20&#25237;&#29699;&#35299;&#26512;%20-%202020-08-24%2012-49-17-04_out.mp4" TargetMode="External"/><Relationship Id="rId1964" Type="http://schemas.openxmlformats.org/officeDocument/2006/relationships/hyperlink" Target="result/&#12497;&#12527;&#12503;&#12525;2020%20-%20&#25237;&#29699;&#35299;&#26512;%20-%202020-08-26%2021-30-58-00_ball.txt" TargetMode="External"/><Relationship Id="rId2710" Type="http://schemas.openxmlformats.org/officeDocument/2006/relationships/hyperlink" Target="result/&#12497;&#12527;&#12503;&#12525;2020%20-%20&#25237;&#29699;&#35299;&#26512;%20-%202020-08-29%2016-00-15-03_ball.txt" TargetMode="External"/><Relationship Id="rId49" Type="http://schemas.openxmlformats.org/officeDocument/2006/relationships/hyperlink" Target="out/&#12497;&#12527;&#12503;&#12525;2020%20-%20&#25237;&#29699;&#35299;&#26512;%20-%202020-08-23%2011-12-45-04_out.mp4" TargetMode="External"/><Relationship Id="rId1617" Type="http://schemas.openxmlformats.org/officeDocument/2006/relationships/hyperlink" Target="out/&#12497;&#12527;&#12503;&#12525;2020%20-%20&#25237;&#29699;&#35299;&#26512;%20-%202020-08-24%2011-22-14-03_out.mp4" TargetMode="External"/><Relationship Id="rId1824" Type="http://schemas.openxmlformats.org/officeDocument/2006/relationships/hyperlink" Target="result/&#12497;&#12527;&#12503;&#12525;2020%20-%20&#25237;&#29699;&#35299;&#26512;%20-%202020-08-24%2013-14-19-06_ball.txt" TargetMode="External"/><Relationship Id="rId198" Type="http://schemas.openxmlformats.org/officeDocument/2006/relationships/hyperlink" Target="result/&#12497;&#12527;&#12503;&#12525;2020%20-%20&#25237;&#29699;&#35299;&#26512;%20-%202020-08-23%2014-08-02-08_ball.txt" TargetMode="External"/><Relationship Id="rId2086" Type="http://schemas.openxmlformats.org/officeDocument/2006/relationships/hyperlink" Target="result/&#12497;&#12527;&#12503;&#12525;2020%20-%20&#25237;&#29699;&#35299;&#26512;%20-%202020-08-27%2018-21-04-01_ball.txt" TargetMode="External"/><Relationship Id="rId2293" Type="http://schemas.openxmlformats.org/officeDocument/2006/relationships/hyperlink" Target="out/&#12497;&#12527;&#12503;&#12525;2020%20-%20&#25237;&#29699;&#35299;&#26512;%20-%202020-08-29%2009-39-15-05_out.mp4" TargetMode="External"/><Relationship Id="rId2598" Type="http://schemas.openxmlformats.org/officeDocument/2006/relationships/hyperlink" Target="result/&#12497;&#12527;&#12503;&#12525;2020%20-%20&#25237;&#29699;&#35299;&#26512;%20-%202020-08-29%2015-52-32-07_ball.txt" TargetMode="External"/><Relationship Id="rId265" Type="http://schemas.openxmlformats.org/officeDocument/2006/relationships/hyperlink" Target="out/&#12497;&#12527;&#12503;&#12525;2020%20-%20&#25237;&#29699;&#35299;&#26512;%20-%202020-08-23%2014-24-49-02_out.mp4" TargetMode="External"/><Relationship Id="rId472" Type="http://schemas.openxmlformats.org/officeDocument/2006/relationships/hyperlink" Target="result/&#12497;&#12527;&#12503;&#12525;2020%20-%20&#25237;&#29699;&#35299;&#26512;%20-%202020-08-23%2016-09-58-06_ball.txt" TargetMode="External"/><Relationship Id="rId2153" Type="http://schemas.openxmlformats.org/officeDocument/2006/relationships/hyperlink" Target="out/&#12497;&#12527;&#12503;&#12525;2020%20-%20&#25237;&#29699;&#35299;&#26512;%20-%202020-08-27%2018-26-47-05_out.mp4" TargetMode="External"/><Relationship Id="rId2360" Type="http://schemas.openxmlformats.org/officeDocument/2006/relationships/hyperlink" Target="result/&#12497;&#12527;&#12503;&#12525;2020%20-%20&#25237;&#29699;&#35299;&#26512;%20-%202020-08-29%2009-44-23-09_ball.txt" TargetMode="External"/><Relationship Id="rId125" Type="http://schemas.openxmlformats.org/officeDocument/2006/relationships/hyperlink" Target="out/&#12497;&#12527;&#12503;&#12525;2020%20-%20&#25237;&#29699;&#35299;&#26512;%20-%202020-08-23%2014-04-47-02_out.mp4" TargetMode="External"/><Relationship Id="rId332" Type="http://schemas.openxmlformats.org/officeDocument/2006/relationships/hyperlink" Target="result/&#12497;&#12527;&#12503;&#12525;2020%20-%20&#25237;&#29699;&#35299;&#26512;%20-%202020-08-23%2015-48-07-05_ball.txt" TargetMode="External"/><Relationship Id="rId777" Type="http://schemas.openxmlformats.org/officeDocument/2006/relationships/hyperlink" Target="out/&#12497;&#12527;&#12503;&#12525;2020%20-%20&#25237;&#29699;&#35299;&#26512;%20-%202020-08-24%2012-04-51-01_out.mp4" TargetMode="External"/><Relationship Id="rId984" Type="http://schemas.openxmlformats.org/officeDocument/2006/relationships/hyperlink" Target="result/&#12497;&#12527;&#12503;&#12525;2020%20-%20&#25237;&#29699;&#35299;&#26512;%20-%202020-08-24%2012-32-08-08_ball.txt" TargetMode="External"/><Relationship Id="rId2013" Type="http://schemas.openxmlformats.org/officeDocument/2006/relationships/hyperlink" Target="out/&#12497;&#12527;&#12503;&#12525;2020%20-%20&#25237;&#29699;&#35299;&#26512;%20-%202020-08-27%2018-14-40-05_out.mp4" TargetMode="External"/><Relationship Id="rId2220" Type="http://schemas.openxmlformats.org/officeDocument/2006/relationships/hyperlink" Target="result/&#12497;&#12527;&#12503;&#12525;2020%20-%20&#25237;&#29699;&#35299;&#26512;%20-%202020-08-28%2022-34-32-08_ball.txt" TargetMode="External"/><Relationship Id="rId2458" Type="http://schemas.openxmlformats.org/officeDocument/2006/relationships/hyperlink" Target="result/&#12497;&#12527;&#12503;&#12525;2020%20-%20&#25237;&#29699;&#35299;&#26512;%20-%202020-08-29%2015-44-12-08_ball.txt" TargetMode="External"/><Relationship Id="rId2665" Type="http://schemas.openxmlformats.org/officeDocument/2006/relationships/hyperlink" Target="out/&#12497;&#12527;&#12503;&#12525;2020%20-%20&#25237;&#29699;&#35299;&#26512;%20-%202020-08-29%2015-57-36-01_out.mp4" TargetMode="External"/><Relationship Id="rId637" Type="http://schemas.openxmlformats.org/officeDocument/2006/relationships/hyperlink" Target="out/&#12497;&#12527;&#12503;&#12525;2020%20-%20&#25237;&#29699;&#35299;&#26512;%20-%202020-08-23%2016-32-07-09_out.mp4" TargetMode="External"/><Relationship Id="rId844" Type="http://schemas.openxmlformats.org/officeDocument/2006/relationships/hyperlink" Target="result/&#12497;&#12527;&#12503;&#12525;2020%20-%20&#25237;&#29699;&#35299;&#26512;%20-%202020-08-24%2012-10-03-02_ball.txt" TargetMode="External"/><Relationship Id="rId1267" Type="http://schemas.openxmlformats.org/officeDocument/2006/relationships/hyperlink" Target="out/&#12497;&#12527;&#12503;&#12525;2020%20-%20&#25237;&#29699;&#35299;&#26512;%20-%202020-08-24%2013-02-04-05_out.mp4" TargetMode="External"/><Relationship Id="rId1474" Type="http://schemas.openxmlformats.org/officeDocument/2006/relationships/hyperlink" Target="result/&#12497;&#12527;&#12503;&#12525;2020%20-%20&#25237;&#29699;&#35299;&#26512;%20-%202020-08-23%2015-53-39-03_ball.txt" TargetMode="External"/><Relationship Id="rId1681" Type="http://schemas.openxmlformats.org/officeDocument/2006/relationships/hyperlink" Target="out/&#12497;&#12527;&#12503;&#12525;2020%20-%20&#25237;&#29699;&#35299;&#26512;%20-%202020-08-24%2012-22-44-05_out.mp4" TargetMode="External"/><Relationship Id="rId2318" Type="http://schemas.openxmlformats.org/officeDocument/2006/relationships/hyperlink" Target="result/&#12497;&#12527;&#12503;&#12525;2020%20-%20&#25237;&#29699;&#35299;&#26512;%20-%202020-08-29%2009-41-06-07_ball.txt" TargetMode="External"/><Relationship Id="rId2525" Type="http://schemas.openxmlformats.org/officeDocument/2006/relationships/hyperlink" Target="out/&#12497;&#12527;&#12503;&#12525;2020%20-%20&#25237;&#29699;&#35299;&#26512;%20-%202020-08-29%2015-49-13-01_out.mp4" TargetMode="External"/><Relationship Id="rId2732" Type="http://schemas.openxmlformats.org/officeDocument/2006/relationships/hyperlink" Target="result/&#12497;&#12527;&#12503;&#12525;2020%20-%20&#25237;&#29699;&#35299;&#26512;%20-%202020-08-29%2016-01-23-04_ball.txt" TargetMode="External"/><Relationship Id="rId704" Type="http://schemas.openxmlformats.org/officeDocument/2006/relationships/hyperlink" Target="result/&#12497;&#12527;&#12503;&#12525;2020%20-%20&#25237;&#29699;&#35299;&#26512;%20-%202020-08-24%2011-25-48-03_ball.txt" TargetMode="External"/><Relationship Id="rId911" Type="http://schemas.openxmlformats.org/officeDocument/2006/relationships/hyperlink" Target="out/&#12497;&#12527;&#12503;&#12525;2020%20-%20&#25237;&#29699;&#35299;&#26512;%20-%202020-08-24%2012-22-44-02_out.mp4" TargetMode="External"/><Relationship Id="rId1127" Type="http://schemas.openxmlformats.org/officeDocument/2006/relationships/hyperlink" Target="out/&#12497;&#12527;&#12503;&#12525;2020%20-%20&#25237;&#29699;&#35299;&#26512;%20-%202020-08-24%2012-46-03-06_out.mp4" TargetMode="External"/><Relationship Id="rId1334" Type="http://schemas.openxmlformats.org/officeDocument/2006/relationships/hyperlink" Target="result/&#12497;&#12527;&#12503;&#12525;2020%20-%20&#25237;&#29699;&#35299;&#26512;%20-%202020-08-24%2013-09-18-08_ball.txt" TargetMode="External"/><Relationship Id="rId1541" Type="http://schemas.openxmlformats.org/officeDocument/2006/relationships/hyperlink" Target="out/&#12497;&#12527;&#12503;&#12525;2020%20-%20&#25237;&#29699;&#35299;&#26512;%20-%202020-08-23%2016-07-35-07_out.mp4" TargetMode="External"/><Relationship Id="rId1779" Type="http://schemas.openxmlformats.org/officeDocument/2006/relationships/hyperlink" Target="out/&#12497;&#12527;&#12503;&#12525;2020%20-%20&#25237;&#29699;&#35299;&#26512;%20-%202020-08-24%2012-55-39-07_out.mp4" TargetMode="External"/><Relationship Id="rId1986" Type="http://schemas.openxmlformats.org/officeDocument/2006/relationships/hyperlink" Target="result/&#12497;&#12527;&#12503;&#12525;2020%20-%20&#25237;&#29699;&#35299;&#26512;%20-%202020-08-26%2021-35-18-01_ball.txt" TargetMode="External"/><Relationship Id="rId40" Type="http://schemas.openxmlformats.org/officeDocument/2006/relationships/hyperlink" Target="result/&#12497;&#12527;&#12503;&#12525;2020%20-%20&#25237;&#29699;&#35299;&#26512;%20-%202020-08-23%2011-11-35-09_ball.txt" TargetMode="External"/><Relationship Id="rId1401" Type="http://schemas.openxmlformats.org/officeDocument/2006/relationships/hyperlink" Target="out/&#12497;&#12527;&#12503;&#12525;2020%20-%20&#25237;&#29699;&#35299;&#26512;%20-%202020-08-23%2014-18-29-06_out.mp4" TargetMode="External"/><Relationship Id="rId1639" Type="http://schemas.openxmlformats.org/officeDocument/2006/relationships/hyperlink" Target="out/&#12497;&#12527;&#12503;&#12525;2020%20-%20&#25237;&#29699;&#35299;&#26512;%20-%202020-08-24%2012-00-01-04_out.mp4" TargetMode="External"/><Relationship Id="rId1846" Type="http://schemas.openxmlformats.org/officeDocument/2006/relationships/hyperlink" Target="result/&#12497;&#12527;&#12503;&#12525;2020%20-%20&#25237;&#29699;&#35299;&#26512;%20-%202020-08-24%2013-16-19-07_ball.txt" TargetMode="External"/><Relationship Id="rId1706" Type="http://schemas.openxmlformats.org/officeDocument/2006/relationships/hyperlink" Target="result/&#12497;&#12527;&#12503;&#12525;2020%20-%20&#25237;&#29699;&#35299;&#26512;%20-%202020-08-24%2012-28-05-04_ball.txt" TargetMode="External"/><Relationship Id="rId1913" Type="http://schemas.openxmlformats.org/officeDocument/2006/relationships/hyperlink" Target="out/&#12497;&#12527;&#12503;&#12525;2020%20-%20&#25237;&#29699;&#35299;&#26512;%20-%202020-08-26%2021-17-48-02_out.mp4" TargetMode="External"/><Relationship Id="rId287" Type="http://schemas.openxmlformats.org/officeDocument/2006/relationships/hyperlink" Target="out/&#12497;&#12527;&#12503;&#12525;2020%20-%20&#25237;&#29699;&#35299;&#26512;%20-%202020-08-23%2014-25-58-03_out.mp4" TargetMode="External"/><Relationship Id="rId494" Type="http://schemas.openxmlformats.org/officeDocument/2006/relationships/hyperlink" Target="result/&#12497;&#12527;&#12503;&#12525;2020%20-%20&#25237;&#29699;&#35299;&#26512;%20-%202020-08-23%2016-12-41-07_ball.txt" TargetMode="External"/><Relationship Id="rId2175" Type="http://schemas.openxmlformats.org/officeDocument/2006/relationships/hyperlink" Target="out/&#12497;&#12527;&#12503;&#12525;2020%20-%20&#25237;&#29699;&#35299;&#26512;%20-%202020-08-28%2022-31-31-06_out.mp4" TargetMode="External"/><Relationship Id="rId2382" Type="http://schemas.openxmlformats.org/officeDocument/2006/relationships/hyperlink" Target="result/&#12497;&#12527;&#12503;&#12525;2020%20-%20&#25237;&#29699;&#35299;&#26512;%20-%202020-08-29%2009-48-04-00_ball.txt" TargetMode="External"/><Relationship Id="rId147" Type="http://schemas.openxmlformats.org/officeDocument/2006/relationships/hyperlink" Target="out/&#12497;&#12527;&#12503;&#12525;2020%20-%20&#25237;&#29699;&#35299;&#26512;%20-%202020-08-23%2014-05-50-03_out.mp4" TargetMode="External"/><Relationship Id="rId354" Type="http://schemas.openxmlformats.org/officeDocument/2006/relationships/hyperlink" Target="result/&#12497;&#12527;&#12503;&#12525;2020%20-%20&#25237;&#29699;&#35299;&#26512;%20-%202020-08-23%2015-49-19-06_ball.txt" TargetMode="External"/><Relationship Id="rId799" Type="http://schemas.openxmlformats.org/officeDocument/2006/relationships/hyperlink" Target="out/&#12497;&#12527;&#12503;&#12525;2020%20-%20&#25237;&#29699;&#35299;&#26512;%20-%202020-08-24%2012-07-26-02_out.mp4" TargetMode="External"/><Relationship Id="rId1191" Type="http://schemas.openxmlformats.org/officeDocument/2006/relationships/hyperlink" Target="out/&#12497;&#12527;&#12503;&#12525;2020%20-%20&#25237;&#29699;&#35299;&#26512;%20-%202020-08-24%2012-52-05-06_out.mp4" TargetMode="External"/><Relationship Id="rId2035" Type="http://schemas.openxmlformats.org/officeDocument/2006/relationships/hyperlink" Target="out/&#12497;&#12527;&#12503;&#12525;2020%20-%20&#25237;&#29699;&#35299;&#26512;%20-%202020-08-27%2018-16-14-06_out.mp4" TargetMode="External"/><Relationship Id="rId2687" Type="http://schemas.openxmlformats.org/officeDocument/2006/relationships/hyperlink" Target="out/&#12497;&#12527;&#12503;&#12525;2020%20-%20&#25237;&#29699;&#35299;&#26512;%20-%202020-08-29%2015-58-43-02_out.mp4" TargetMode="External"/><Relationship Id="rId561" Type="http://schemas.openxmlformats.org/officeDocument/2006/relationships/hyperlink" Target="out/&#12497;&#12527;&#12503;&#12525;2020%20-%20&#25237;&#29699;&#35299;&#26512;%20-%202020-08-23%2016-26-58-01_out.mp4" TargetMode="External"/><Relationship Id="rId659" Type="http://schemas.openxmlformats.org/officeDocument/2006/relationships/hyperlink" Target="out/&#12497;&#12527;&#12503;&#12525;2020%20-%20&#25237;&#29699;&#35299;&#26512;%20-%202020-08-24%2011-23-23-01_out.mp4" TargetMode="External"/><Relationship Id="rId866" Type="http://schemas.openxmlformats.org/officeDocument/2006/relationships/hyperlink" Target="result/&#12497;&#12527;&#12503;&#12525;2020%20-%20&#25237;&#29699;&#35299;&#26512;%20-%202020-08-24%2012-11-18-13_ball.txt" TargetMode="External"/><Relationship Id="rId1289" Type="http://schemas.openxmlformats.org/officeDocument/2006/relationships/hyperlink" Target="out/&#12497;&#12527;&#12503;&#12525;2020%20-%20&#25237;&#29699;&#35299;&#26512;%20-%202020-08-24%2013-03-51-06_out.mp4" TargetMode="External"/><Relationship Id="rId1496" Type="http://schemas.openxmlformats.org/officeDocument/2006/relationships/hyperlink" Target="result/&#12497;&#12527;&#12503;&#12525;2020%20-%20&#25237;&#29699;&#35299;&#26512;%20-%202020-08-23%2015-56-09-04_ball.txt" TargetMode="External"/><Relationship Id="rId2242" Type="http://schemas.openxmlformats.org/officeDocument/2006/relationships/hyperlink" Target="result/&#12497;&#12527;&#12503;&#12525;2020%20-%20&#25237;&#29699;&#35299;&#26512;%20-%202020-08-28%2022-36-12-09_ball.txt" TargetMode="External"/><Relationship Id="rId2547" Type="http://schemas.openxmlformats.org/officeDocument/2006/relationships/hyperlink" Target="out/&#12497;&#12527;&#12503;&#12525;2020%20-%20&#25237;&#29699;&#35299;&#26512;%20-%202020-08-29%2015-50-19-02_out.mp4" TargetMode="External"/><Relationship Id="rId214" Type="http://schemas.openxmlformats.org/officeDocument/2006/relationships/hyperlink" Target="result/&#12497;&#12527;&#12503;&#12525;2020%20-%20&#25237;&#29699;&#35299;&#26512;%20-%202020-08-23%2014-19-33-06_ball.txt" TargetMode="External"/><Relationship Id="rId421" Type="http://schemas.openxmlformats.org/officeDocument/2006/relationships/hyperlink" Target="out/&#12497;&#12527;&#12503;&#12525;2020%20-%20&#25237;&#29699;&#35299;&#26512;%20-%202020-08-23%2016-06-08-01_out.mp4" TargetMode="External"/><Relationship Id="rId519" Type="http://schemas.openxmlformats.org/officeDocument/2006/relationships/hyperlink" Target="out/&#12497;&#12527;&#12503;&#12525;2020%20-%20&#25237;&#29699;&#35299;&#26512;%20-%202020-08-23%2016-15-07-00_out.mp4" TargetMode="External"/><Relationship Id="rId1051" Type="http://schemas.openxmlformats.org/officeDocument/2006/relationships/hyperlink" Target="out/&#12497;&#12527;&#12503;&#12525;2020%20-%20&#25237;&#29699;&#35299;&#26512;%20-%202020-08-24%2012-39-57-01_out.mp4" TargetMode="External"/><Relationship Id="rId1149" Type="http://schemas.openxmlformats.org/officeDocument/2006/relationships/hyperlink" Target="out/&#12497;&#12527;&#12503;&#12525;2020%20-%20&#25237;&#29699;&#35299;&#26512;%20-%202020-08-24%2012-47-45-02_out.mp4" TargetMode="External"/><Relationship Id="rId1356" Type="http://schemas.openxmlformats.org/officeDocument/2006/relationships/hyperlink" Target="result/&#12497;&#12527;&#12503;&#12525;2020%20-%20&#25237;&#29699;&#35299;&#26512;%20-%202020-08-23%2011-08-57-03_ball.txt" TargetMode="External"/><Relationship Id="rId2102" Type="http://schemas.openxmlformats.org/officeDocument/2006/relationships/hyperlink" Target="result/&#12497;&#12527;&#12503;&#12525;2020%20-%20&#25237;&#29699;&#35299;&#26512;%20-%202020-08-27%2018-21-04-09_ball.txt" TargetMode="External"/><Relationship Id="rId2754" Type="http://schemas.openxmlformats.org/officeDocument/2006/relationships/hyperlink" Target="result/&#12497;&#12527;&#12503;&#12525;2020%20-%20&#25237;&#29699;&#35299;&#26512;%20-%202020-08-29%2016-06-51-05_ball.txt" TargetMode="External"/><Relationship Id="rId726" Type="http://schemas.openxmlformats.org/officeDocument/2006/relationships/hyperlink" Target="result/&#12497;&#12527;&#12503;&#12525;2020%20-%20&#25237;&#29699;&#35299;&#26512;%20-%202020-08-24%2012-01-04-04_ball.txt" TargetMode="External"/><Relationship Id="rId933" Type="http://schemas.openxmlformats.org/officeDocument/2006/relationships/hyperlink" Target="out/&#12497;&#12527;&#12503;&#12525;2020%20-%20&#25237;&#29699;&#35299;&#26512;%20-%202020-08-24%2012-25-33-02_out.mp4" TargetMode="External"/><Relationship Id="rId1009" Type="http://schemas.openxmlformats.org/officeDocument/2006/relationships/hyperlink" Target="out/&#12497;&#12527;&#12503;&#12525;2020%20-%20&#25237;&#29699;&#35299;&#26512;%20-%202020-08-24%2012-35-33-01_out.mp4" TargetMode="External"/><Relationship Id="rId1563" Type="http://schemas.openxmlformats.org/officeDocument/2006/relationships/hyperlink" Target="out/&#12497;&#12527;&#12503;&#12525;2020%20-%20&#25237;&#29699;&#35299;&#26512;%20-%202020-08-23%2016-11-33-08_out.mp4" TargetMode="External"/><Relationship Id="rId1770" Type="http://schemas.openxmlformats.org/officeDocument/2006/relationships/hyperlink" Target="result/&#12497;&#12527;&#12503;&#12525;2020%20-%20&#25237;&#29699;&#35299;&#26512;%20-%202020-08-24%2012-50-30-03_ball.txt" TargetMode="External"/><Relationship Id="rId1868" Type="http://schemas.openxmlformats.org/officeDocument/2006/relationships/hyperlink" Target="result/&#12497;&#12527;&#12503;&#12525;2020%20-%20&#25237;&#29699;&#35299;&#26512;%20-%202020-08-24%2013-17-56-09_ball.txt" TargetMode="External"/><Relationship Id="rId2407" Type="http://schemas.openxmlformats.org/officeDocument/2006/relationships/hyperlink" Target="out/&#12497;&#12527;&#12503;&#12525;2020%20-%20&#25237;&#29699;&#35299;&#26512;%20-%202020-08-29%2009-49-52-03_out.mp4" TargetMode="External"/><Relationship Id="rId2614" Type="http://schemas.openxmlformats.org/officeDocument/2006/relationships/hyperlink" Target="result/&#12497;&#12527;&#12503;&#12525;2020%20-%20&#25237;&#29699;&#35299;&#26512;%20-%202020-08-29%2015-53-40-05_ball.txt" TargetMode="External"/><Relationship Id="rId62" Type="http://schemas.openxmlformats.org/officeDocument/2006/relationships/hyperlink" Target="result/&#12497;&#12527;&#12503;&#12525;2020%20-%20&#25237;&#29699;&#35299;&#26512;%20-%202020-08-23%2011-13-59-00_ball.txt" TargetMode="External"/><Relationship Id="rId1216" Type="http://schemas.openxmlformats.org/officeDocument/2006/relationships/hyperlink" Target="result/&#12497;&#12527;&#12503;&#12525;2020%20-%20&#25237;&#29699;&#35299;&#26512;%20-%202020-08-24%2012-53-43-08_ball.txt" TargetMode="External"/><Relationship Id="rId1423" Type="http://schemas.openxmlformats.org/officeDocument/2006/relationships/hyperlink" Target="out/&#12497;&#12527;&#12503;&#12525;2020%20-%20&#25237;&#29699;&#35299;&#26512;%20-%202020-08-23%2014-22-38-07_out.mp4" TargetMode="External"/><Relationship Id="rId1630" Type="http://schemas.openxmlformats.org/officeDocument/2006/relationships/hyperlink" Target="result/&#12497;&#12527;&#12503;&#12525;2020%20-%20&#25237;&#29699;&#35299;&#26512;%20-%202020-08-24%2011-25-48-09_ball.txt" TargetMode="External"/><Relationship Id="rId1728" Type="http://schemas.openxmlformats.org/officeDocument/2006/relationships/hyperlink" Target="result/&#12497;&#12527;&#12503;&#12525;2020%20-%20&#25237;&#29699;&#35299;&#26512;%20-%202020-08-24%2012-36-56-01_ball.txt" TargetMode="External"/><Relationship Id="rId1935" Type="http://schemas.openxmlformats.org/officeDocument/2006/relationships/hyperlink" Target="out/&#12497;&#12527;&#12503;&#12525;2020%20-%20&#25237;&#29699;&#35299;&#26512;%20-%202020-08-26%2021-19-02-06_out.mp4" TargetMode="External"/><Relationship Id="rId2197" Type="http://schemas.openxmlformats.org/officeDocument/2006/relationships/hyperlink" Target="out/&#12497;&#12527;&#12503;&#12525;2020%20-%20&#25237;&#29699;&#35299;&#26512;%20-%202020-08-28%2022-33-04-07_out.mp4" TargetMode="External"/><Relationship Id="rId169" Type="http://schemas.openxmlformats.org/officeDocument/2006/relationships/hyperlink" Target="out/&#12497;&#12527;&#12503;&#12525;2020%20-%20&#25237;&#29699;&#35299;&#26512;%20-%202020-08-23%2014-06-56-04_out.mp4" TargetMode="External"/><Relationship Id="rId376" Type="http://schemas.openxmlformats.org/officeDocument/2006/relationships/hyperlink" Target="result/&#12497;&#12527;&#12503;&#12525;2020%20-%20&#25237;&#29699;&#35299;&#26512;%20-%202020-08-23%2015-52-13-07_ball.txt" TargetMode="External"/><Relationship Id="rId583" Type="http://schemas.openxmlformats.org/officeDocument/2006/relationships/hyperlink" Target="out/&#12497;&#12527;&#12503;&#12525;2020%20-%20&#25237;&#29699;&#35299;&#26512;%20-%202020-08-23%2016-28-07-02_out.mp4" TargetMode="External"/><Relationship Id="rId790" Type="http://schemas.openxmlformats.org/officeDocument/2006/relationships/hyperlink" Target="result/&#12497;&#12527;&#12503;&#12525;2020%20-%20&#25237;&#29699;&#35299;&#26512;%20-%202020-08-24%2012-06-16-07_ball.txt" TargetMode="External"/><Relationship Id="rId2057" Type="http://schemas.openxmlformats.org/officeDocument/2006/relationships/hyperlink" Target="out/&#12497;&#12527;&#12503;&#12525;2020%20-%20&#25237;&#29699;&#35299;&#26512;%20-%202020-08-27%2018-17-46-07_out.mp4" TargetMode="External"/><Relationship Id="rId2264" Type="http://schemas.openxmlformats.org/officeDocument/2006/relationships/hyperlink" Target="result/&#12497;&#12527;&#12503;&#12525;2020%20-%20&#25237;&#29699;&#35299;&#26512;%20-%202020-08-29%2009-37-40-00_ball.txt" TargetMode="External"/><Relationship Id="rId2471" Type="http://schemas.openxmlformats.org/officeDocument/2006/relationships/hyperlink" Target="out/&#12497;&#12527;&#12503;&#12525;2020%20-%20&#25237;&#29699;&#35299;&#26512;%20-%202020-08-29%2015-45-22-04_out.mp4" TargetMode="External"/><Relationship Id="rId4" Type="http://schemas.openxmlformats.org/officeDocument/2006/relationships/hyperlink" Target="result/&#12497;&#12527;&#12503;&#12525;2020%20-%20&#25237;&#29699;&#35299;&#26512;%20-%202020-08-23%2011-10-26-01_ball.txt" TargetMode="External"/><Relationship Id="rId236" Type="http://schemas.openxmlformats.org/officeDocument/2006/relationships/hyperlink" Target="result/&#12497;&#12527;&#12503;&#12525;2020%20-%20&#25237;&#29699;&#35299;&#26512;%20-%202020-08-23%2014-21-04-07_ball.txt" TargetMode="External"/><Relationship Id="rId443" Type="http://schemas.openxmlformats.org/officeDocument/2006/relationships/hyperlink" Target="out/&#12497;&#12527;&#12503;&#12525;2020%20-%20&#25237;&#29699;&#35299;&#26512;%20-%202020-08-23%2016-08-46-02_out.mp4" TargetMode="External"/><Relationship Id="rId650" Type="http://schemas.openxmlformats.org/officeDocument/2006/relationships/hyperlink" Target="result/&#12497;&#12527;&#12503;&#12525;2020%20-%20&#25237;&#29699;&#35299;&#26512;%20-%202020-08-23%2016-33-27-05_ball.txt" TargetMode="External"/><Relationship Id="rId888" Type="http://schemas.openxmlformats.org/officeDocument/2006/relationships/hyperlink" Target="result/&#12497;&#12527;&#12503;&#12525;2020%20-%20&#25237;&#29699;&#35299;&#26512;%20-%202020-08-24%2012-21-33-00_ball.txt" TargetMode="External"/><Relationship Id="rId1073" Type="http://schemas.openxmlformats.org/officeDocument/2006/relationships/hyperlink" Target="out/&#12497;&#12527;&#12503;&#12525;2020%20-%20&#25237;&#29699;&#35299;&#26512;%20-%202020-08-24%2012-41-25-02_out.mp4" TargetMode="External"/><Relationship Id="rId1280" Type="http://schemas.openxmlformats.org/officeDocument/2006/relationships/hyperlink" Target="result/&#12497;&#12527;&#12503;&#12525;2020%20-%20&#25237;&#29699;&#35299;&#26512;%20-%202020-08-24%2013-03-51-01_ball.txt" TargetMode="External"/><Relationship Id="rId2124" Type="http://schemas.openxmlformats.org/officeDocument/2006/relationships/hyperlink" Target="result/&#12497;&#12527;&#12503;&#12525;2020%20-%20&#25237;&#29699;&#35299;&#26512;%20-%202020-08-27%2018-24-30-00_ball.txt" TargetMode="External"/><Relationship Id="rId2331" Type="http://schemas.openxmlformats.org/officeDocument/2006/relationships/hyperlink" Target="out/&#12497;&#12527;&#12503;&#12525;2020%20-%20&#25237;&#29699;&#35299;&#26512;%20-%202020-08-29%2009-42-48-04_out.mp4" TargetMode="External"/><Relationship Id="rId2569" Type="http://schemas.openxmlformats.org/officeDocument/2006/relationships/hyperlink" Target="out/&#12497;&#12527;&#12503;&#12525;2020%20-%20&#25237;&#29699;&#35299;&#26512;%20-%202020-08-29%2015-51-26-03_out.mp4" TargetMode="External"/><Relationship Id="rId2776" Type="http://schemas.openxmlformats.org/officeDocument/2006/relationships/hyperlink" Target="result/&#25237;&#29699;&#35299;&#26512;%20-%20&#12497;&#12527;&#12503;&#12525;2020%20-%202020-09-08%2023-37-52-06_ball.txt" TargetMode="External"/><Relationship Id="rId303" Type="http://schemas.openxmlformats.org/officeDocument/2006/relationships/hyperlink" Target="out/&#12497;&#12527;&#12503;&#12525;2020%20-%20&#25237;&#29699;&#35299;&#26512;%20-%202020-08-23%2014-27-07-01_out.mp4" TargetMode="External"/><Relationship Id="rId748" Type="http://schemas.openxmlformats.org/officeDocument/2006/relationships/hyperlink" Target="result/&#12497;&#12527;&#12503;&#12525;2020%20-%20&#25237;&#29699;&#35299;&#26512;%20-%202020-08-24%2012-02-12-06_ball.txt" TargetMode="External"/><Relationship Id="rId955" Type="http://schemas.openxmlformats.org/officeDocument/2006/relationships/hyperlink" Target="out/&#12497;&#12527;&#12503;&#12525;2020%20-%20&#25237;&#29699;&#35299;&#26512;%20-%202020-08-24%2012-26-53-03_out.mp4" TargetMode="External"/><Relationship Id="rId1140" Type="http://schemas.openxmlformats.org/officeDocument/2006/relationships/hyperlink" Target="result/&#12497;&#12527;&#12503;&#12525;2020%20-%20&#25237;&#29699;&#35299;&#26512;%20-%202020-08-24%2012-46-03-15_ball.txt" TargetMode="External"/><Relationship Id="rId1378" Type="http://schemas.openxmlformats.org/officeDocument/2006/relationships/hyperlink" Target="result/&#12497;&#12527;&#12503;&#12525;2020%20-%20&#25237;&#29699;&#35299;&#26512;%20-%202020-08-23%2014-03-42-04_ball.txt" TargetMode="External"/><Relationship Id="rId1585" Type="http://schemas.openxmlformats.org/officeDocument/2006/relationships/hyperlink" Target="out/&#12497;&#12527;&#12503;&#12525;2020%20-%20&#25237;&#29699;&#35299;&#26512;%20-%202020-08-23%2016-24-41-09_out.mp4" TargetMode="External"/><Relationship Id="rId1792" Type="http://schemas.openxmlformats.org/officeDocument/2006/relationships/hyperlink" Target="result/&#12497;&#12527;&#12503;&#12525;2020%20-%20&#25237;&#29699;&#35299;&#26512;%20-%202020-08-24%2012-58-52-03_ball.txt" TargetMode="External"/><Relationship Id="rId2429" Type="http://schemas.openxmlformats.org/officeDocument/2006/relationships/hyperlink" Target="out/&#12497;&#12527;&#12503;&#12525;2020%20-%20&#25237;&#29699;&#35299;&#26512;%20-%202020-08-29%2015-42-43-04_out.mp4" TargetMode="External"/><Relationship Id="rId2636" Type="http://schemas.openxmlformats.org/officeDocument/2006/relationships/hyperlink" Target="result/&#12497;&#12527;&#12503;&#12525;2020%20-%20&#25237;&#29699;&#35299;&#26512;%20-%202020-08-29%2015-55-24-06_ball.txt" TargetMode="External"/><Relationship Id="rId84" Type="http://schemas.openxmlformats.org/officeDocument/2006/relationships/hyperlink" Target="result/&#12497;&#12527;&#12503;&#12525;2020%20-%20&#25237;&#29699;&#35299;&#26512;%20-%202020-08-23%2011-15-09-01_ball.txt" TargetMode="External"/><Relationship Id="rId510" Type="http://schemas.openxmlformats.org/officeDocument/2006/relationships/hyperlink" Target="result/&#12497;&#12527;&#12503;&#12525;2020%20-%20&#25237;&#29699;&#35299;&#26512;%20-%202020-08-23%2016-13-55-05_ball.txt" TargetMode="External"/><Relationship Id="rId608" Type="http://schemas.openxmlformats.org/officeDocument/2006/relationships/hyperlink" Target="result/&#12497;&#12527;&#12503;&#12525;2020%20-%20&#25237;&#29699;&#35299;&#26512;%20-%202020-08-23%2016-30-55-04_ball.txt" TargetMode="External"/><Relationship Id="rId815" Type="http://schemas.openxmlformats.org/officeDocument/2006/relationships/hyperlink" Target="out/&#12497;&#12527;&#12503;&#12525;2020%20-%20&#25237;&#29699;&#35299;&#26512;%20-%202020-08-24%2012-08-41-00_out.mp4" TargetMode="External"/><Relationship Id="rId1238" Type="http://schemas.openxmlformats.org/officeDocument/2006/relationships/hyperlink" Target="result/&#12497;&#12527;&#12503;&#12525;2020%20-%20&#25237;&#29699;&#35299;&#26512;%20-%202020-08-24%2012-58-52-09_ball.txt" TargetMode="External"/><Relationship Id="rId1445" Type="http://schemas.openxmlformats.org/officeDocument/2006/relationships/hyperlink" Target="out/&#12497;&#12527;&#12503;&#12525;2020%20-%20&#25237;&#29699;&#35299;&#26512;%20-%202020-08-23%2015-47-01-09_out.mp4" TargetMode="External"/><Relationship Id="rId1652" Type="http://schemas.openxmlformats.org/officeDocument/2006/relationships/hyperlink" Target="result/&#12497;&#12527;&#12503;&#12525;2020%20-%20&#25237;&#29699;&#35299;&#26512;%20-%202020-08-24%2012-06-16-01_ball.txt" TargetMode="External"/><Relationship Id="rId1000" Type="http://schemas.openxmlformats.org/officeDocument/2006/relationships/hyperlink" Target="result/&#12497;&#12527;&#12503;&#12525;2020%20-%20&#25237;&#29699;&#35299;&#26512;%20-%202020-08-24%2012-33-48-06_ball.txt" TargetMode="External"/><Relationship Id="rId1305" Type="http://schemas.openxmlformats.org/officeDocument/2006/relationships/hyperlink" Target="out/&#12497;&#12527;&#12503;&#12525;2020%20-%20&#25237;&#29699;&#35299;&#26512;%20-%202020-08-24%2013-07-27-03_out.mp4" TargetMode="External"/><Relationship Id="rId1957" Type="http://schemas.openxmlformats.org/officeDocument/2006/relationships/hyperlink" Target="out/&#12497;&#12527;&#12503;&#12525;2020%20-%20&#25237;&#29699;&#35299;&#26512;%20-%202020-08-26%2021-20-35-07_out.mp4" TargetMode="External"/><Relationship Id="rId2703" Type="http://schemas.openxmlformats.org/officeDocument/2006/relationships/hyperlink" Target="out/&#12497;&#12527;&#12503;&#12525;2020%20-%20&#25237;&#29699;&#35299;&#26512;%20-%202020-08-29%2016-00-15-00_out.mp4" TargetMode="External"/><Relationship Id="rId1512" Type="http://schemas.openxmlformats.org/officeDocument/2006/relationships/hyperlink" Target="result/&#12497;&#12527;&#12503;&#12525;2020%20-%20&#25237;&#29699;&#35299;&#26512;%20-%202020-08-23%2016-04-57-02_ball.txt" TargetMode="External"/><Relationship Id="rId1817" Type="http://schemas.openxmlformats.org/officeDocument/2006/relationships/hyperlink" Target="out/&#12497;&#12527;&#12503;&#12525;2020%20-%20&#25237;&#29699;&#35299;&#26512;%20-%202020-08-24%2013-14-19-03_out.mp4" TargetMode="External"/><Relationship Id="rId11" Type="http://schemas.openxmlformats.org/officeDocument/2006/relationships/hyperlink" Target="out/&#12497;&#12527;&#12503;&#12525;2020%20-%20&#25237;&#29699;&#35299;&#26512;%20-%202020-08-23%2011-10-26-05_out.mp4" TargetMode="External"/><Relationship Id="rId398" Type="http://schemas.openxmlformats.org/officeDocument/2006/relationships/hyperlink" Target="result/&#12497;&#12527;&#12503;&#12525;2020%20-%20&#25237;&#29699;&#35299;&#26512;%20-%202020-08-23%2015-54-48-08_ball.txt" TargetMode="External"/><Relationship Id="rId2079" Type="http://schemas.openxmlformats.org/officeDocument/2006/relationships/hyperlink" Target="out/&#12497;&#12527;&#12503;&#12525;2020%20-%20&#25237;&#29699;&#35299;&#26512;%20-%202020-08-27%2018-19-19-08_out.mp4" TargetMode="External"/><Relationship Id="rId160" Type="http://schemas.openxmlformats.org/officeDocument/2006/relationships/hyperlink" Target="result/&#12497;&#12527;&#12503;&#12525;2020%20-%20&#25237;&#29699;&#35299;&#26512;%20-%202020-08-23%2014-05-50-09_ball.txt" TargetMode="External"/><Relationship Id="rId2286" Type="http://schemas.openxmlformats.org/officeDocument/2006/relationships/hyperlink" Target="result/&#12497;&#12527;&#12503;&#12525;2020%20-%20&#25237;&#29699;&#35299;&#26512;%20-%202020-08-29%2009-39-15-01_ball.txt" TargetMode="External"/><Relationship Id="rId2493" Type="http://schemas.openxmlformats.org/officeDocument/2006/relationships/hyperlink" Target="out/&#12497;&#12527;&#12503;&#12525;2020%20-%20&#25237;&#29699;&#35299;&#26512;%20-%202020-08-29%2015-46-34-05_out.mp4" TargetMode="External"/><Relationship Id="rId258" Type="http://schemas.openxmlformats.org/officeDocument/2006/relationships/hyperlink" Target="result/&#12497;&#12527;&#12503;&#12525;2020%20-%20&#25237;&#29699;&#35299;&#26512;%20-%202020-08-23%2014-23-42-08_ball.txt" TargetMode="External"/><Relationship Id="rId465" Type="http://schemas.openxmlformats.org/officeDocument/2006/relationships/hyperlink" Target="out/&#12497;&#12527;&#12503;&#12525;2020%20-%20&#25237;&#29699;&#35299;&#26512;%20-%202020-08-23%2016-09-58-03_out.mp4" TargetMode="External"/><Relationship Id="rId672" Type="http://schemas.openxmlformats.org/officeDocument/2006/relationships/hyperlink" Target="result/&#12497;&#12527;&#12503;&#12525;2020%20-%20&#25237;&#29699;&#35299;&#26512;%20-%202020-08-24%2011-23-23-07_ball.txt" TargetMode="External"/><Relationship Id="rId1095" Type="http://schemas.openxmlformats.org/officeDocument/2006/relationships/hyperlink" Target="out/&#12497;&#12527;&#12503;&#12525;2020%20-%20&#25237;&#29699;&#35299;&#26512;%20-%202020-08-24%2012-42-52-03_out.mp4" TargetMode="External"/><Relationship Id="rId2146" Type="http://schemas.openxmlformats.org/officeDocument/2006/relationships/hyperlink" Target="result/&#12497;&#12527;&#12503;&#12525;2020%20-%20&#25237;&#29699;&#35299;&#26512;%20-%202020-08-27%2018-26-47-01_ball.txt" TargetMode="External"/><Relationship Id="rId2353" Type="http://schemas.openxmlformats.org/officeDocument/2006/relationships/hyperlink" Target="out/&#12497;&#12527;&#12503;&#12525;2020%20-%20&#25237;&#29699;&#35299;&#26512;%20-%202020-08-29%2009-44-23-06_out.mp4" TargetMode="External"/><Relationship Id="rId2560" Type="http://schemas.openxmlformats.org/officeDocument/2006/relationships/hyperlink" Target="result/&#12497;&#12527;&#12503;&#12525;2020%20-%20&#25237;&#29699;&#35299;&#26512;%20-%202020-08-29%2015-50-19-08_ball.txt" TargetMode="External"/><Relationship Id="rId2798" Type="http://schemas.openxmlformats.org/officeDocument/2006/relationships/hyperlink" Target="result/&#25237;&#29699;&#35299;&#26512;%20-%20&#12497;&#12527;&#12503;&#12525;2020%20-%202020-09-08%2023-39-02-07_ball.txt" TargetMode="External"/><Relationship Id="rId118" Type="http://schemas.openxmlformats.org/officeDocument/2006/relationships/hyperlink" Target="result/&#12497;&#12527;&#12503;&#12525;2020%20-%20&#25237;&#29699;&#35299;&#26512;%20-%202020-08-23%2011-16-20-08_ball.txt" TargetMode="External"/><Relationship Id="rId325" Type="http://schemas.openxmlformats.org/officeDocument/2006/relationships/hyperlink" Target="out/&#12497;&#12527;&#12503;&#12525;2020%20-%20&#25237;&#29699;&#35299;&#26512;%20-%202020-08-23%2015-48-07-02_out.mp4" TargetMode="External"/><Relationship Id="rId532" Type="http://schemas.openxmlformats.org/officeDocument/2006/relationships/hyperlink" Target="result/&#12497;&#12527;&#12503;&#12525;2020%20-%20&#25237;&#29699;&#35299;&#26512;%20-%202020-08-23%2016-15-07-06_ball.txt" TargetMode="External"/><Relationship Id="rId977" Type="http://schemas.openxmlformats.org/officeDocument/2006/relationships/hyperlink" Target="out/&#12497;&#12527;&#12503;&#12525;2020%20-%20&#25237;&#29699;&#35299;&#26512;%20-%202020-08-24%2012-32-08-05_out.mp4" TargetMode="External"/><Relationship Id="rId1162" Type="http://schemas.openxmlformats.org/officeDocument/2006/relationships/hyperlink" Target="result/&#12497;&#12527;&#12503;&#12525;2020%20-%20&#25237;&#29699;&#35299;&#26512;%20-%202020-08-24%2012-47-45-08_ball.txt" TargetMode="External"/><Relationship Id="rId2006" Type="http://schemas.openxmlformats.org/officeDocument/2006/relationships/hyperlink" Target="result/&#12497;&#12527;&#12503;&#12525;2020%20-%20&#25237;&#29699;&#35299;&#26512;%20-%202020-08-27%2018-14-40-01_ball.txt" TargetMode="External"/><Relationship Id="rId2213" Type="http://schemas.openxmlformats.org/officeDocument/2006/relationships/hyperlink" Target="out/&#12497;&#12527;&#12503;&#12525;2020%20-%20&#25237;&#29699;&#35299;&#26512;%20-%202020-08-28%2022-34-32-05_out.mp4" TargetMode="External"/><Relationship Id="rId2420" Type="http://schemas.openxmlformats.org/officeDocument/2006/relationships/hyperlink" Target="result/&#12497;&#12527;&#12503;&#12525;2020%20-%20&#25237;&#29699;&#35299;&#26512;%20-%202020-08-29%2009-49-52-09_ball.txt" TargetMode="External"/><Relationship Id="rId2658" Type="http://schemas.openxmlformats.org/officeDocument/2006/relationships/hyperlink" Target="result/&#12497;&#12527;&#12503;&#12525;2020%20-%20&#25237;&#29699;&#35299;&#26512;%20-%202020-08-29%2015-56-35-07_ball.txt" TargetMode="External"/><Relationship Id="rId837" Type="http://schemas.openxmlformats.org/officeDocument/2006/relationships/hyperlink" Target="out/&#12497;&#12527;&#12503;&#12525;2020%20-%20&#25237;&#29699;&#35299;&#26512;%20-%202020-08-24%2012-08-41-13_out.mp4" TargetMode="External"/><Relationship Id="rId1022" Type="http://schemas.openxmlformats.org/officeDocument/2006/relationships/hyperlink" Target="result/&#12497;&#12527;&#12503;&#12525;2020%20-%20&#25237;&#29699;&#35299;&#26512;%20-%202020-08-24%2012-36-56-06_ball.txt" TargetMode="External"/><Relationship Id="rId1467" Type="http://schemas.openxmlformats.org/officeDocument/2006/relationships/hyperlink" Target="out/&#12497;&#12527;&#12503;&#12525;2020%20-%20&#25237;&#29699;&#35299;&#26512;%20-%202020-08-23%2015-53-39-00_out.mp4" TargetMode="External"/><Relationship Id="rId1674" Type="http://schemas.openxmlformats.org/officeDocument/2006/relationships/hyperlink" Target="result/&#12497;&#12527;&#12503;&#12525;2020%20-%20&#25237;&#29699;&#35299;&#26512;%20-%202020-08-24%2012-11-18-07_ball.txt" TargetMode="External"/><Relationship Id="rId1881" Type="http://schemas.openxmlformats.org/officeDocument/2006/relationships/hyperlink" Target="out/&#12497;&#12527;&#12503;&#12525;2020%20-%20&#25237;&#29699;&#35299;&#26512;%20-%202020-08-24%2013-20-06-06_out.mp4" TargetMode="External"/><Relationship Id="rId2518" Type="http://schemas.openxmlformats.org/officeDocument/2006/relationships/hyperlink" Target="result/&#12497;&#12527;&#12503;&#12525;2020%20-%20&#25237;&#29699;&#35299;&#26512;%20-%202020-08-29%2015-48-09-07_ball.txt" TargetMode="External"/><Relationship Id="rId2725" Type="http://schemas.openxmlformats.org/officeDocument/2006/relationships/hyperlink" Target="out/&#12497;&#12527;&#12503;&#12525;2020%20-%20&#25237;&#29699;&#35299;&#26512;%20-%202020-08-29%2016-01-23-01_out.mp4" TargetMode="External"/><Relationship Id="rId904" Type="http://schemas.openxmlformats.org/officeDocument/2006/relationships/hyperlink" Target="result/&#12497;&#12527;&#12503;&#12525;2020%20-%20&#25237;&#29699;&#35299;&#26512;%20-%202020-08-24%2012-21-33-08_ball.txt" TargetMode="External"/><Relationship Id="rId1327" Type="http://schemas.openxmlformats.org/officeDocument/2006/relationships/hyperlink" Target="out/&#12497;&#12527;&#12503;&#12525;2020%20-%20&#25237;&#29699;&#35299;&#26512;%20-%202020-08-24%2013-09-18-05_out.mp4" TargetMode="External"/><Relationship Id="rId1534" Type="http://schemas.openxmlformats.org/officeDocument/2006/relationships/hyperlink" Target="result/&#12497;&#12527;&#12503;&#12525;2020%20-%20&#25237;&#29699;&#35299;&#26512;%20-%202020-08-23%2016-07-35-03_ball.txt" TargetMode="External"/><Relationship Id="rId1741" Type="http://schemas.openxmlformats.org/officeDocument/2006/relationships/hyperlink" Target="out/&#12497;&#12527;&#12503;&#12525;2020%20-%20&#25237;&#29699;&#35299;&#26512;%20-%202020-08-24%2012-42-52-07_out.mp4" TargetMode="External"/><Relationship Id="rId1979" Type="http://schemas.openxmlformats.org/officeDocument/2006/relationships/hyperlink" Target="out/&#12497;&#12527;&#12503;&#12525;2020%20-%20&#25237;&#29699;&#35299;&#26512;%20-%202020-08-26%2021-30-58-08_out.mp4" TargetMode="External"/><Relationship Id="rId33" Type="http://schemas.openxmlformats.org/officeDocument/2006/relationships/hyperlink" Target="out/&#12497;&#12527;&#12503;&#12525;2020%20-%20&#25237;&#29699;&#35299;&#26512;%20-%202020-08-23%2011-11-35-06_out.mp4" TargetMode="External"/><Relationship Id="rId1601" Type="http://schemas.openxmlformats.org/officeDocument/2006/relationships/hyperlink" Target="out/&#12497;&#12527;&#12503;&#12525;2020%20-%20&#25237;&#29699;&#35299;&#26512;%20-%202020-08-23%2016-29-37-06_out.mp4" TargetMode="External"/><Relationship Id="rId1839" Type="http://schemas.openxmlformats.org/officeDocument/2006/relationships/hyperlink" Target="out/&#12497;&#12527;&#12503;&#12525;2020%20-%20&#25237;&#29699;&#35299;&#26512;%20-%202020-08-24%2013-16-19-04_out.mp4" TargetMode="External"/><Relationship Id="rId182" Type="http://schemas.openxmlformats.org/officeDocument/2006/relationships/hyperlink" Target="result/&#12497;&#12527;&#12503;&#12525;2020%20-%20&#25237;&#29699;&#35299;&#26512;%20-%202020-08-23%2014-08-02-00_ball.txt" TargetMode="External"/><Relationship Id="rId1906" Type="http://schemas.openxmlformats.org/officeDocument/2006/relationships/hyperlink" Target="result/&#12497;&#12527;&#12503;&#12525;2020%20-%20&#25237;&#29699;&#35299;&#26512;%20-%202020-08-26%2021-15-29-08_ball.txt" TargetMode="External"/><Relationship Id="rId487" Type="http://schemas.openxmlformats.org/officeDocument/2006/relationships/hyperlink" Target="out/&#12497;&#12527;&#12503;&#12525;2020%20-%20&#25237;&#29699;&#35299;&#26512;%20-%202020-08-23%2016-12-41-04_out.mp4" TargetMode="External"/><Relationship Id="rId694" Type="http://schemas.openxmlformats.org/officeDocument/2006/relationships/hyperlink" Target="result/&#12497;&#12527;&#12503;&#12525;2020%20-%20&#25237;&#29699;&#35299;&#26512;%20-%202020-08-24%2011-24-36-08_ball.txt" TargetMode="External"/><Relationship Id="rId2070" Type="http://schemas.openxmlformats.org/officeDocument/2006/relationships/hyperlink" Target="result/&#12497;&#12527;&#12503;&#12525;2020%20-%20&#25237;&#29699;&#35299;&#26512;%20-%202020-08-27%2018-19-19-03_ball.txt" TargetMode="External"/><Relationship Id="rId2168" Type="http://schemas.openxmlformats.org/officeDocument/2006/relationships/hyperlink" Target="result/&#12497;&#12527;&#12503;&#12525;2020%20-%20&#25237;&#29699;&#35299;&#26512;%20-%202020-08-28%2022-31-31-02_ball.txt" TargetMode="External"/><Relationship Id="rId2375" Type="http://schemas.openxmlformats.org/officeDocument/2006/relationships/hyperlink" Target="out/&#12497;&#12527;&#12503;&#12525;2020%20-%20&#25237;&#29699;&#35299;&#26512;%20-%202020-08-29%2009-46-05-07_out.mp4" TargetMode="External"/><Relationship Id="rId347" Type="http://schemas.openxmlformats.org/officeDocument/2006/relationships/hyperlink" Target="out/&#12497;&#12527;&#12503;&#12525;2020%20-%20&#25237;&#29699;&#35299;&#26512;%20-%202020-08-23%2015-49-19-03_out.mp4" TargetMode="External"/><Relationship Id="rId999" Type="http://schemas.openxmlformats.org/officeDocument/2006/relationships/hyperlink" Target="out/&#12497;&#12527;&#12503;&#12525;2020%20-%20&#25237;&#29699;&#35299;&#26512;%20-%202020-08-24%2012-33-48-06_out.mp4" TargetMode="External"/><Relationship Id="rId1184" Type="http://schemas.openxmlformats.org/officeDocument/2006/relationships/hyperlink" Target="result/&#12497;&#12527;&#12503;&#12525;2020%20-%20&#25237;&#29699;&#35299;&#26512;%20-%202020-08-24%2012-52-05-02_ball.txt" TargetMode="External"/><Relationship Id="rId2028" Type="http://schemas.openxmlformats.org/officeDocument/2006/relationships/hyperlink" Target="result/&#12497;&#12527;&#12503;&#12525;2020%20-%20&#25237;&#29699;&#35299;&#26512;%20-%202020-08-27%2018-16-14-02_ball.txt" TargetMode="External"/><Relationship Id="rId2582" Type="http://schemas.openxmlformats.org/officeDocument/2006/relationships/hyperlink" Target="result/&#12497;&#12527;&#12503;&#12525;2020%20-%20&#25237;&#29699;&#35299;&#26512;%20-%202020-08-29%2015-51-26-09_ball.txt" TargetMode="External"/><Relationship Id="rId554" Type="http://schemas.openxmlformats.org/officeDocument/2006/relationships/hyperlink" Target="result/&#12497;&#12527;&#12503;&#12525;2020%20-%20&#25237;&#29699;&#35299;&#26512;%20-%202020-08-23%2016-25-48-07_ball.txt" TargetMode="External"/><Relationship Id="rId761" Type="http://schemas.openxmlformats.org/officeDocument/2006/relationships/hyperlink" Target="out/&#12497;&#12527;&#12503;&#12525;2020%20-%20&#25237;&#29699;&#35299;&#26512;%20-%202020-08-24%2012-03-33-03_out.mp4" TargetMode="External"/><Relationship Id="rId859" Type="http://schemas.openxmlformats.org/officeDocument/2006/relationships/hyperlink" Target="out/&#12497;&#12527;&#12503;&#12525;2020%20-%20&#25237;&#29699;&#35299;&#26512;%20-%202020-08-24%2012-11-18-00_out.mp4" TargetMode="External"/><Relationship Id="rId1391" Type="http://schemas.openxmlformats.org/officeDocument/2006/relationships/hyperlink" Target="out/&#12497;&#12527;&#12503;&#12525;2020%20-%20&#25237;&#29699;&#35299;&#26512;%20-%202020-08-23%2014-18-29-01_out.mp4" TargetMode="External"/><Relationship Id="rId1489" Type="http://schemas.openxmlformats.org/officeDocument/2006/relationships/hyperlink" Target="out/&#12497;&#12527;&#12503;&#12525;2020%20-%20&#25237;&#29699;&#35299;&#26512;%20-%202020-08-23%2015-56-09-01_out.mp4" TargetMode="External"/><Relationship Id="rId1696" Type="http://schemas.openxmlformats.org/officeDocument/2006/relationships/hyperlink" Target="result/&#12497;&#12527;&#12503;&#12525;2020%20-%20&#25237;&#29699;&#35299;&#26512;%20-%202020-08-24%2012-24-03-02_ball.txt" TargetMode="External"/><Relationship Id="rId2235" Type="http://schemas.openxmlformats.org/officeDocument/2006/relationships/hyperlink" Target="out/&#12497;&#12527;&#12503;&#12525;2020%20-%20&#25237;&#29699;&#35299;&#26512;%20-%202020-08-28%2022-36-12-06_out.mp4" TargetMode="External"/><Relationship Id="rId2442" Type="http://schemas.openxmlformats.org/officeDocument/2006/relationships/hyperlink" Target="result/&#12497;&#12527;&#12503;&#12525;2020%20-%20&#25237;&#29699;&#35299;&#26512;%20-%202020-08-29%2015-44-12-00_ball.txt" TargetMode="External"/><Relationship Id="rId207" Type="http://schemas.openxmlformats.org/officeDocument/2006/relationships/hyperlink" Target="out/&#12497;&#12527;&#12503;&#12525;2020%20-%20&#25237;&#29699;&#35299;&#26512;%20-%202020-08-23%2014-19-33-03_out.mp4" TargetMode="External"/><Relationship Id="rId414" Type="http://schemas.openxmlformats.org/officeDocument/2006/relationships/hyperlink" Target="result/&#12497;&#12527;&#12503;&#12525;2020%20-%20&#25237;&#29699;&#35299;&#26512;%20-%202020-08-23%2016-03-31-07_ball.txt" TargetMode="External"/><Relationship Id="rId621" Type="http://schemas.openxmlformats.org/officeDocument/2006/relationships/hyperlink" Target="out/&#12497;&#12527;&#12503;&#12525;2020%20-%20&#25237;&#29699;&#35299;&#26512;%20-%202020-08-23%2016-32-07-01_out.mp4" TargetMode="External"/><Relationship Id="rId1044" Type="http://schemas.openxmlformats.org/officeDocument/2006/relationships/hyperlink" Target="result/&#12497;&#12527;&#12503;&#12525;2020%20-%20&#25237;&#29699;&#35299;&#26512;%20-%202020-08-24%2012-38-24-07_ball.txt" TargetMode="External"/><Relationship Id="rId1251" Type="http://schemas.openxmlformats.org/officeDocument/2006/relationships/hyperlink" Target="out/&#12497;&#12527;&#12503;&#12525;2020%20-%20&#25237;&#29699;&#35299;&#26512;%20-%202020-08-24%2013-00-20-06_out.mp4" TargetMode="External"/><Relationship Id="rId1349" Type="http://schemas.openxmlformats.org/officeDocument/2006/relationships/hyperlink" Target="out/&#12497;&#12527;&#12503;&#12525;2020%20-%20&#25237;&#29699;&#35299;&#26512;%20-%202020-08-23%2011-08-57-00_out.mp4" TargetMode="External"/><Relationship Id="rId2302" Type="http://schemas.openxmlformats.org/officeDocument/2006/relationships/hyperlink" Target="result/&#12497;&#12527;&#12503;&#12525;2020%20-%20&#25237;&#29699;&#35299;&#26512;%20-%202020-08-29%2009-39-15-09_ball.txt" TargetMode="External"/><Relationship Id="rId2747" Type="http://schemas.openxmlformats.org/officeDocument/2006/relationships/hyperlink" Target="out/&#12497;&#12527;&#12503;&#12525;2020%20-%20&#25237;&#29699;&#35299;&#26512;%20-%202020-08-29%2016-06-51-02_out.mp4" TargetMode="External"/><Relationship Id="rId719" Type="http://schemas.openxmlformats.org/officeDocument/2006/relationships/hyperlink" Target="out/&#12497;&#12527;&#12503;&#12525;2020%20-%20&#25237;&#29699;&#35299;&#26512;%20-%202020-08-24%2012-01-04-01_out.mp4" TargetMode="External"/><Relationship Id="rId926" Type="http://schemas.openxmlformats.org/officeDocument/2006/relationships/hyperlink" Target="result/&#12497;&#12527;&#12503;&#12525;2020%20-%20&#25237;&#29699;&#35299;&#26512;%20-%202020-08-24%2012-24-03-08_ball.txt" TargetMode="External"/><Relationship Id="rId1111" Type="http://schemas.openxmlformats.org/officeDocument/2006/relationships/hyperlink" Target="out/&#12497;&#12527;&#12503;&#12525;2020%20-%20&#25237;&#29699;&#35299;&#26512;%20-%202020-08-24%2012-44-26-11_out.mp4" TargetMode="External"/><Relationship Id="rId1556" Type="http://schemas.openxmlformats.org/officeDocument/2006/relationships/hyperlink" Target="result/&#12497;&#12527;&#12503;&#12525;2020%20-%20&#25237;&#29699;&#35299;&#26512;%20-%202020-08-23%2016-11-33-04_ball.txt" TargetMode="External"/><Relationship Id="rId1763" Type="http://schemas.openxmlformats.org/officeDocument/2006/relationships/hyperlink" Target="out/&#12497;&#12527;&#12503;&#12525;2020%20-%20&#25237;&#29699;&#35299;&#26512;%20-%202020-08-24%2012-50-30-00_out.mp4" TargetMode="External"/><Relationship Id="rId1970" Type="http://schemas.openxmlformats.org/officeDocument/2006/relationships/hyperlink" Target="result/&#12497;&#12527;&#12503;&#12525;2020%20-%20&#25237;&#29699;&#35299;&#26512;%20-%202020-08-26%2021-30-58-03_ball.txt" TargetMode="External"/><Relationship Id="rId2607" Type="http://schemas.openxmlformats.org/officeDocument/2006/relationships/hyperlink" Target="out/&#12497;&#12527;&#12503;&#12525;2020%20-%20&#25237;&#29699;&#35299;&#26512;%20-%202020-08-29%2015-53-40-02_out.mp4" TargetMode="External"/><Relationship Id="rId55" Type="http://schemas.openxmlformats.org/officeDocument/2006/relationships/hyperlink" Target="out/&#12497;&#12527;&#12503;&#12525;2020%20-%20&#25237;&#29699;&#35299;&#26512;%20-%202020-08-23%2011-12-45-07_out.mp4" TargetMode="External"/><Relationship Id="rId1209" Type="http://schemas.openxmlformats.org/officeDocument/2006/relationships/hyperlink" Target="out/&#12497;&#12527;&#12503;&#12525;2020%20-%20&#25237;&#29699;&#35299;&#26512;%20-%202020-08-24%2012-53-43-05_out.mp4" TargetMode="External"/><Relationship Id="rId1416" Type="http://schemas.openxmlformats.org/officeDocument/2006/relationships/hyperlink" Target="result/&#12497;&#12527;&#12503;&#12525;2020%20-%20&#25237;&#29699;&#35299;&#26512;%20-%202020-08-23%2014-22-38-03_ball.txt" TargetMode="External"/><Relationship Id="rId1623" Type="http://schemas.openxmlformats.org/officeDocument/2006/relationships/hyperlink" Target="out/&#12497;&#12527;&#12503;&#12525;2020%20-%20&#25237;&#29699;&#35299;&#26512;%20-%202020-08-24%2011-22-14-06_out.mp4" TargetMode="External"/><Relationship Id="rId1830" Type="http://schemas.openxmlformats.org/officeDocument/2006/relationships/hyperlink" Target="result/&#12497;&#12527;&#12503;&#12525;2020%20-%20&#25237;&#29699;&#35299;&#26512;%20-%202020-08-24%2013-14-19-09_ball.txt" TargetMode="External"/><Relationship Id="rId1928" Type="http://schemas.openxmlformats.org/officeDocument/2006/relationships/hyperlink" Target="result/&#12497;&#12527;&#12503;&#12525;2020%20-%20&#25237;&#29699;&#35299;&#26512;%20-%202020-08-26%2021-19-02-02_ball.txt" TargetMode="External"/><Relationship Id="rId2092" Type="http://schemas.openxmlformats.org/officeDocument/2006/relationships/hyperlink" Target="result/&#12497;&#12527;&#12503;&#12525;2020%20-%20&#25237;&#29699;&#35299;&#26512;%20-%202020-08-27%2018-21-04-04_ball.txt" TargetMode="External"/><Relationship Id="rId271" Type="http://schemas.openxmlformats.org/officeDocument/2006/relationships/hyperlink" Target="out/&#12497;&#12527;&#12503;&#12525;2020%20-%20&#25237;&#29699;&#35299;&#26512;%20-%202020-08-23%2014-24-49-05_out.mp4" TargetMode="External"/><Relationship Id="rId2397" Type="http://schemas.openxmlformats.org/officeDocument/2006/relationships/hyperlink" Target="out/&#12497;&#12527;&#12503;&#12525;2020%20-%20&#25237;&#29699;&#35299;&#26512;%20-%202020-08-29%2009-48-04-08_out.mp4" TargetMode="External"/><Relationship Id="rId66" Type="http://schemas.openxmlformats.org/officeDocument/2006/relationships/hyperlink" Target="result/&#12497;&#12527;&#12503;&#12525;2020%20-%20&#25237;&#29699;&#35299;&#26512;%20-%202020-08-23%2011-13-59-02_ball.txt" TargetMode="External"/><Relationship Id="rId131" Type="http://schemas.openxmlformats.org/officeDocument/2006/relationships/hyperlink" Target="out/&#12497;&#12527;&#12503;&#12525;2020%20-%20&#25237;&#29699;&#35299;&#26512;%20-%202020-08-23%2014-04-47-05_out.mp4" TargetMode="External"/><Relationship Id="rId369" Type="http://schemas.openxmlformats.org/officeDocument/2006/relationships/hyperlink" Target="out/&#12497;&#12527;&#12503;&#12525;2020%20-%20&#25237;&#29699;&#35299;&#26512;%20-%202020-08-23%2015-52-13-04_out.mp4" TargetMode="External"/><Relationship Id="rId576" Type="http://schemas.openxmlformats.org/officeDocument/2006/relationships/hyperlink" Target="result/&#12497;&#12527;&#12503;&#12525;2020%20-%20&#25237;&#29699;&#35299;&#26512;%20-%202020-08-23%2016-26-58-08_ball.txt" TargetMode="External"/><Relationship Id="rId783" Type="http://schemas.openxmlformats.org/officeDocument/2006/relationships/hyperlink" Target="out/&#12497;&#12527;&#12503;&#12525;2020%20-%20&#25237;&#29699;&#35299;&#26512;%20-%202020-08-24%2012-04-51-04_out.mp4" TargetMode="External"/><Relationship Id="rId990" Type="http://schemas.openxmlformats.org/officeDocument/2006/relationships/hyperlink" Target="result/&#12497;&#12527;&#12503;&#12525;2020%20-%20&#25237;&#29699;&#35299;&#26512;%20-%202020-08-24%2012-33-48-01_ball.txt" TargetMode="External"/><Relationship Id="rId1427" Type="http://schemas.openxmlformats.org/officeDocument/2006/relationships/hyperlink" Target="out/&#12497;&#12527;&#12503;&#12525;2020%20-%20&#25237;&#29699;&#35299;&#26512;%20-%202020-08-23%2015-47-01-00_out.mp4" TargetMode="External"/><Relationship Id="rId1634" Type="http://schemas.openxmlformats.org/officeDocument/2006/relationships/hyperlink" Target="result/&#12497;&#12527;&#12503;&#12525;2020%20-%20&#25237;&#29699;&#35299;&#26512;%20-%202020-08-24%2012-00-01-01_ball.txt" TargetMode="External"/><Relationship Id="rId1841" Type="http://schemas.openxmlformats.org/officeDocument/2006/relationships/hyperlink" Target="out/&#12497;&#12527;&#12503;&#12525;2020%20-%20&#25237;&#29699;&#35299;&#26512;%20-%202020-08-24%2013-16-19-05_out.mp4" TargetMode="External"/><Relationship Id="rId2257" Type="http://schemas.openxmlformats.org/officeDocument/2006/relationships/hyperlink" Target="out/&#12497;&#12527;&#12503;&#12525;2020%20-%20&#25237;&#29699;&#35299;&#26512;%20-%202020-08-28%2022-37-55-07_out.mp4" TargetMode="External"/><Relationship Id="rId2464" Type="http://schemas.openxmlformats.org/officeDocument/2006/relationships/hyperlink" Target="result/&#12497;&#12527;&#12503;&#12525;2020%20-%20&#25237;&#29699;&#35299;&#26512;%20-%202020-08-29%2015-45-22-00_ball.txt" TargetMode="External"/><Relationship Id="rId2671" Type="http://schemas.openxmlformats.org/officeDocument/2006/relationships/hyperlink" Target="out/&#12497;&#12527;&#12503;&#12525;2020%20-%20&#25237;&#29699;&#35299;&#26512;%20-%202020-08-29%2015-57-36-04_out.mp4" TargetMode="External"/><Relationship Id="rId229" Type="http://schemas.openxmlformats.org/officeDocument/2006/relationships/hyperlink" Target="out/&#12497;&#12527;&#12503;&#12525;2020%20-%20&#25237;&#29699;&#35299;&#26512;%20-%202020-08-23%2014-21-04-04_out.mp4" TargetMode="External"/><Relationship Id="rId436" Type="http://schemas.openxmlformats.org/officeDocument/2006/relationships/hyperlink" Target="result/&#12497;&#12527;&#12503;&#12525;2020%20-%20&#25237;&#29699;&#35299;&#26512;%20-%202020-08-23%2016-06-08-08_ball.txt" TargetMode="External"/><Relationship Id="rId643" Type="http://schemas.openxmlformats.org/officeDocument/2006/relationships/hyperlink" Target="out/&#12497;&#12527;&#12503;&#12525;2020%20-%20&#25237;&#29699;&#35299;&#26512;%20-%202020-08-23%2016-33-27-02_out.mp4" TargetMode="External"/><Relationship Id="rId1066" Type="http://schemas.openxmlformats.org/officeDocument/2006/relationships/hyperlink" Target="result/&#12497;&#12527;&#12503;&#12525;2020%20-%20&#25237;&#29699;&#35299;&#26512;%20-%202020-08-24%2012-39-57-08_ball.txt" TargetMode="External"/><Relationship Id="rId1273" Type="http://schemas.openxmlformats.org/officeDocument/2006/relationships/hyperlink" Target="out/&#12497;&#12527;&#12503;&#12525;2020%20-%20&#25237;&#29699;&#35299;&#26512;%20-%202020-08-24%2013-02-04-08_out.mp4" TargetMode="External"/><Relationship Id="rId1480" Type="http://schemas.openxmlformats.org/officeDocument/2006/relationships/hyperlink" Target="result/&#12497;&#12527;&#12503;&#12525;2020%20-%20&#25237;&#29699;&#35299;&#26512;%20-%202020-08-23%2015-53-39-06_ball.txt" TargetMode="External"/><Relationship Id="rId1939" Type="http://schemas.openxmlformats.org/officeDocument/2006/relationships/hyperlink" Target="out/&#12497;&#12527;&#12503;&#12525;2020%20-%20&#25237;&#29699;&#35299;&#26512;%20-%202020-08-26%2021-19-02-08_out.mp4" TargetMode="External"/><Relationship Id="rId2117" Type="http://schemas.openxmlformats.org/officeDocument/2006/relationships/hyperlink" Target="out/&#12497;&#12527;&#12503;&#12525;2020%20-%20&#25237;&#29699;&#35299;&#26512;%20-%202020-08-27%2018-22-42-07_out.mp4" TargetMode="External"/><Relationship Id="rId2324" Type="http://schemas.openxmlformats.org/officeDocument/2006/relationships/hyperlink" Target="result/&#12497;&#12527;&#12503;&#12525;2020%20-%20&#25237;&#29699;&#35299;&#26512;%20-%202020-08-29%2009-42-48-00_ball.txt" TargetMode="External"/><Relationship Id="rId2769" Type="http://schemas.openxmlformats.org/officeDocument/2006/relationships/hyperlink" Target="out/&#25237;&#29699;&#35299;&#26512;%20-%20&#12497;&#12527;&#12503;&#12525;2020%20-%202020-09-08%2023-37-52-03_out.mp4" TargetMode="External"/><Relationship Id="rId850" Type="http://schemas.openxmlformats.org/officeDocument/2006/relationships/hyperlink" Target="result/&#12497;&#12527;&#12503;&#12525;2020%20-%20&#25237;&#29699;&#35299;&#26512;%20-%202020-08-24%2012-10-03-05_ball.txt" TargetMode="External"/><Relationship Id="rId948" Type="http://schemas.openxmlformats.org/officeDocument/2006/relationships/hyperlink" Target="result/&#12497;&#12527;&#12503;&#12525;2020%20-%20&#25237;&#29699;&#35299;&#26512;%20-%202020-08-24%2012-25-33-09_ball.txt" TargetMode="External"/><Relationship Id="rId1133" Type="http://schemas.openxmlformats.org/officeDocument/2006/relationships/hyperlink" Target="out/&#12497;&#12527;&#12503;&#12525;2020%20-%20&#25237;&#29699;&#35299;&#26512;%20-%202020-08-24%2012-46-03-09_out.mp4" TargetMode="External"/><Relationship Id="rId1578" Type="http://schemas.openxmlformats.org/officeDocument/2006/relationships/hyperlink" Target="result/&#12497;&#12527;&#12503;&#12525;2020%20-%20&#25237;&#29699;&#35299;&#26512;%20-%202020-08-23%2016-24-41-05_ball.txt" TargetMode="External"/><Relationship Id="rId1701" Type="http://schemas.openxmlformats.org/officeDocument/2006/relationships/hyperlink" Target="out/&#12497;&#12527;&#12503;&#12525;2020%20-%20&#25237;&#29699;&#35299;&#26512;%20-%202020-08-24%2012-28-05-02_out.mp4" TargetMode="External"/><Relationship Id="rId1785" Type="http://schemas.openxmlformats.org/officeDocument/2006/relationships/hyperlink" Target="out/&#12497;&#12527;&#12503;&#12525;2020%20-%20&#25237;&#29699;&#35299;&#26512;%20-%202020-08-24%2012-58-52-00_out.mp4" TargetMode="External"/><Relationship Id="rId1992" Type="http://schemas.openxmlformats.org/officeDocument/2006/relationships/hyperlink" Target="result/&#12497;&#12527;&#12503;&#12525;2020%20-%20&#25237;&#29699;&#35299;&#26512;%20-%202020-08-26%2021-35-18-04_ball.txt" TargetMode="External"/><Relationship Id="rId2531" Type="http://schemas.openxmlformats.org/officeDocument/2006/relationships/hyperlink" Target="out/&#12497;&#12527;&#12503;&#12525;2020%20-%20&#25237;&#29699;&#35299;&#26512;%20-%202020-08-29%2015-49-13-04_out.mp4" TargetMode="External"/><Relationship Id="rId2629" Type="http://schemas.openxmlformats.org/officeDocument/2006/relationships/hyperlink" Target="out/&#12497;&#12527;&#12503;&#12525;2020%20-%20&#25237;&#29699;&#35299;&#26512;%20-%202020-08-29%2015-55-24-03_out.mp4" TargetMode="External"/><Relationship Id="rId77" Type="http://schemas.openxmlformats.org/officeDocument/2006/relationships/hyperlink" Target="out/&#12497;&#12527;&#12503;&#12525;2020%20-%20&#25237;&#29699;&#35299;&#26512;%20-%202020-08-23%2011-13-59-08_out.mp4" TargetMode="External"/><Relationship Id="rId282" Type="http://schemas.openxmlformats.org/officeDocument/2006/relationships/hyperlink" Target="result/&#12497;&#12527;&#12503;&#12525;2020%20-%20&#25237;&#29699;&#35299;&#26512;%20-%202020-08-23%2014-25-58-00_ball.txt" TargetMode="External"/><Relationship Id="rId503" Type="http://schemas.openxmlformats.org/officeDocument/2006/relationships/hyperlink" Target="out/&#12497;&#12527;&#12503;&#12525;2020%20-%20&#25237;&#29699;&#35299;&#26512;%20-%202020-08-23%2016-13-55-02_out.mp4" TargetMode="External"/><Relationship Id="rId587" Type="http://schemas.openxmlformats.org/officeDocument/2006/relationships/hyperlink" Target="out/&#12497;&#12527;&#12503;&#12525;2020%20-%20&#25237;&#29699;&#35299;&#26512;%20-%202020-08-23%2016-28-07-04_out.mp4" TargetMode="External"/><Relationship Id="rId710" Type="http://schemas.openxmlformats.org/officeDocument/2006/relationships/hyperlink" Target="result/&#12497;&#12527;&#12503;&#12525;2020%20-%20&#25237;&#29699;&#35299;&#26512;%20-%202020-08-24%2011-25-48-06_ball.txt" TargetMode="External"/><Relationship Id="rId808" Type="http://schemas.openxmlformats.org/officeDocument/2006/relationships/hyperlink" Target="result/&#12497;&#12527;&#12503;&#12525;2020%20-%20&#25237;&#29699;&#35299;&#26512;%20-%202020-08-24%2012-07-26-06_ball.txt" TargetMode="External"/><Relationship Id="rId1340" Type="http://schemas.openxmlformats.org/officeDocument/2006/relationships/hyperlink" Target="result/&#12497;&#12527;&#12503;&#12525;2020%20-%20&#25237;&#29699;&#35299;&#26512;%20-%202020-08-24%2013-09-18-11_ball.txt" TargetMode="External"/><Relationship Id="rId1438" Type="http://schemas.openxmlformats.org/officeDocument/2006/relationships/hyperlink" Target="result/&#12497;&#12527;&#12503;&#12525;2020%20-%20&#25237;&#29699;&#35299;&#26512;%20-%202020-08-23%2015-47-01-05_ball.txt" TargetMode="External"/><Relationship Id="rId1645" Type="http://schemas.openxmlformats.org/officeDocument/2006/relationships/hyperlink" Target="out/&#12497;&#12527;&#12503;&#12525;2020%20-%20&#25237;&#29699;&#35299;&#26512;%20-%202020-08-24%2012-04-51-08_out.mp4" TargetMode="External"/><Relationship Id="rId2170" Type="http://schemas.openxmlformats.org/officeDocument/2006/relationships/hyperlink" Target="result/&#12497;&#12527;&#12503;&#12525;2020%20-%20&#25237;&#29699;&#35299;&#26512;%20-%202020-08-28%2022-31-31-03_ball.txt" TargetMode="External"/><Relationship Id="rId2268" Type="http://schemas.openxmlformats.org/officeDocument/2006/relationships/hyperlink" Target="result/&#12497;&#12527;&#12503;&#12525;2020%20-%20&#25237;&#29699;&#35299;&#26512;%20-%202020-08-29%2009-37-40-02_ball.txt" TargetMode="External"/><Relationship Id="rId8" Type="http://schemas.openxmlformats.org/officeDocument/2006/relationships/hyperlink" Target="result/&#12497;&#12527;&#12503;&#12525;2020%20-%20&#25237;&#29699;&#35299;&#26512;%20-%202020-08-23%2011-10-26-03_ball.txt" TargetMode="External"/><Relationship Id="rId142" Type="http://schemas.openxmlformats.org/officeDocument/2006/relationships/hyperlink" Target="result/&#12497;&#12527;&#12503;&#12525;2020%20-%20&#25237;&#29699;&#35299;&#26512;%20-%202020-08-23%2014-05-50-00_ball.txt" TargetMode="External"/><Relationship Id="rId447" Type="http://schemas.openxmlformats.org/officeDocument/2006/relationships/hyperlink" Target="out/&#12497;&#12527;&#12503;&#12525;2020%20-%20&#25237;&#29699;&#35299;&#26512;%20-%202020-08-23%2016-08-46-04_out.mp4" TargetMode="External"/><Relationship Id="rId794" Type="http://schemas.openxmlformats.org/officeDocument/2006/relationships/hyperlink" Target="result/&#12497;&#12527;&#12503;&#12525;2020%20-%20&#25237;&#29699;&#35299;&#26512;%20-%202020-08-24%2012-06-16-09_ball.txt" TargetMode="External"/><Relationship Id="rId1077" Type="http://schemas.openxmlformats.org/officeDocument/2006/relationships/hyperlink" Target="out/&#12497;&#12527;&#12503;&#12525;2020%20-%20&#25237;&#29699;&#35299;&#26512;%20-%202020-08-24%2012-41-25-04_out.mp4" TargetMode="External"/><Relationship Id="rId1200" Type="http://schemas.openxmlformats.org/officeDocument/2006/relationships/hyperlink" Target="result/&#12497;&#12527;&#12503;&#12525;2020%20-%20&#25237;&#29699;&#35299;&#26512;%20-%202020-08-24%2012-53-43-00_ball.txt" TargetMode="External"/><Relationship Id="rId1852" Type="http://schemas.openxmlformats.org/officeDocument/2006/relationships/hyperlink" Target="result/&#12497;&#12527;&#12503;&#12525;2020%20-%20&#25237;&#29699;&#35299;&#26512;%20-%202020-08-24%2013-17-56-01_ball.txt" TargetMode="External"/><Relationship Id="rId2030" Type="http://schemas.openxmlformats.org/officeDocument/2006/relationships/hyperlink" Target="result/&#12497;&#12527;&#12503;&#12525;2020%20-%20&#25237;&#29699;&#35299;&#26512;%20-%202020-08-27%2018-16-14-03_ball.txt" TargetMode="External"/><Relationship Id="rId2128" Type="http://schemas.openxmlformats.org/officeDocument/2006/relationships/hyperlink" Target="result/&#12497;&#12527;&#12503;&#12525;2020%20-%20&#25237;&#29699;&#35299;&#26512;%20-%202020-08-27%2018-24-30-02_ball.txt" TargetMode="External"/><Relationship Id="rId2475" Type="http://schemas.openxmlformats.org/officeDocument/2006/relationships/hyperlink" Target="out/&#12497;&#12527;&#12503;&#12525;2020%20-%20&#25237;&#29699;&#35299;&#26512;%20-%202020-08-29%2015-45-22-06_out.mp4" TargetMode="External"/><Relationship Id="rId2682" Type="http://schemas.openxmlformats.org/officeDocument/2006/relationships/hyperlink" Target="result/&#12497;&#12527;&#12503;&#12525;2020%20-%20&#25237;&#29699;&#35299;&#26512;%20-%202020-08-29%2015-57-36-09_ball.txt" TargetMode="External"/><Relationship Id="rId654" Type="http://schemas.openxmlformats.org/officeDocument/2006/relationships/hyperlink" Target="result/&#12497;&#12527;&#12503;&#12525;2020%20-%20&#25237;&#29699;&#35299;&#26512;%20-%202020-08-24%2011-22-14-08_ball.txt" TargetMode="External"/><Relationship Id="rId861" Type="http://schemas.openxmlformats.org/officeDocument/2006/relationships/hyperlink" Target="out/&#12497;&#12527;&#12503;&#12525;2020%20-%20&#25237;&#29699;&#35299;&#26512;%20-%202020-08-24%2012-11-18-01_out.mp4" TargetMode="External"/><Relationship Id="rId959" Type="http://schemas.openxmlformats.org/officeDocument/2006/relationships/hyperlink" Target="out/&#12497;&#12527;&#12503;&#12525;2020%20-%20&#25237;&#29699;&#35299;&#26512;%20-%202020-08-24%2012-26-53-05_out.mp4" TargetMode="External"/><Relationship Id="rId1284" Type="http://schemas.openxmlformats.org/officeDocument/2006/relationships/hyperlink" Target="result/&#12497;&#12527;&#12503;&#12525;2020%20-%20&#25237;&#29699;&#35299;&#26512;%20-%202020-08-24%2013-03-51-03_ball.txt" TargetMode="External"/><Relationship Id="rId1491" Type="http://schemas.openxmlformats.org/officeDocument/2006/relationships/hyperlink" Target="out/&#12497;&#12527;&#12503;&#12525;2020%20-%20&#25237;&#29699;&#35299;&#26512;%20-%202020-08-23%2015-56-09-02_out.mp4" TargetMode="External"/><Relationship Id="rId1505" Type="http://schemas.openxmlformats.org/officeDocument/2006/relationships/hyperlink" Target="out/&#12497;&#12527;&#12503;&#12525;2020%20-%20&#25237;&#29699;&#35299;&#26512;%20-%202020-08-23%2015-56-09-09_out.mp4" TargetMode="External"/><Relationship Id="rId1589" Type="http://schemas.openxmlformats.org/officeDocument/2006/relationships/hyperlink" Target="out/&#12497;&#12527;&#12503;&#12525;2020%20-%20&#25237;&#29699;&#35299;&#26512;%20-%202020-08-23%2016-29-37-00_out.mp4" TargetMode="External"/><Relationship Id="rId1712" Type="http://schemas.openxmlformats.org/officeDocument/2006/relationships/hyperlink" Target="result/&#12497;&#12527;&#12503;&#12525;2020%20-%20&#25237;&#29699;&#35299;&#26512;%20-%202020-08-24%2012-28-05-07_ball.txt" TargetMode="External"/><Relationship Id="rId2335" Type="http://schemas.openxmlformats.org/officeDocument/2006/relationships/hyperlink" Target="out/&#12497;&#12527;&#12503;&#12525;2020%20-%20&#25237;&#29699;&#35299;&#26512;%20-%202020-08-29%2009-42-48-06_out.mp4" TargetMode="External"/><Relationship Id="rId2542" Type="http://schemas.openxmlformats.org/officeDocument/2006/relationships/hyperlink" Target="result/&#12497;&#12527;&#12503;&#12525;2020%20-%20&#25237;&#29699;&#35299;&#26512;%20-%202020-08-29%2015-49-13-09_ball.txt" TargetMode="External"/><Relationship Id="rId293" Type="http://schemas.openxmlformats.org/officeDocument/2006/relationships/hyperlink" Target="out/&#12497;&#12527;&#12503;&#12525;2020%20-%20&#25237;&#29699;&#35299;&#26512;%20-%202020-08-23%2014-25-58-06_out.mp4" TargetMode="External"/><Relationship Id="rId307" Type="http://schemas.openxmlformats.org/officeDocument/2006/relationships/hyperlink" Target="out/&#12497;&#12527;&#12503;&#12525;2020%20-%20&#25237;&#29699;&#35299;&#26512;%20-%202020-08-23%2014-27-07-03_out.mp4" TargetMode="External"/><Relationship Id="rId514" Type="http://schemas.openxmlformats.org/officeDocument/2006/relationships/hyperlink" Target="result/&#12497;&#12527;&#12503;&#12525;2020%20-%20&#25237;&#29699;&#35299;&#26512;%20-%202020-08-23%2016-13-55-07_ball.txt" TargetMode="External"/><Relationship Id="rId721" Type="http://schemas.openxmlformats.org/officeDocument/2006/relationships/hyperlink" Target="out/&#12497;&#12527;&#12503;&#12525;2020%20-%20&#25237;&#29699;&#35299;&#26512;%20-%202020-08-24%2012-01-04-02_out.mp4" TargetMode="External"/><Relationship Id="rId1144" Type="http://schemas.openxmlformats.org/officeDocument/2006/relationships/hyperlink" Target="result/&#12497;&#12527;&#12503;&#12525;2020%20-%20&#25237;&#29699;&#35299;&#26512;%20-%202020-08-24%2012-46-03-18_ball.txt" TargetMode="External"/><Relationship Id="rId1351" Type="http://schemas.openxmlformats.org/officeDocument/2006/relationships/hyperlink" Target="out/&#12497;&#12527;&#12503;&#12525;2020%20-%20&#25237;&#29699;&#35299;&#26512;%20-%202020-08-23%2011-08-57-01_out.mp4" TargetMode="External"/><Relationship Id="rId1449" Type="http://schemas.openxmlformats.org/officeDocument/2006/relationships/hyperlink" Target="out/&#12497;&#12527;&#12503;&#12525;2020%20-%20&#25237;&#29699;&#35299;&#26512;%20-%202020-08-23%2015-51-08-01_out.mp4" TargetMode="External"/><Relationship Id="rId1796" Type="http://schemas.openxmlformats.org/officeDocument/2006/relationships/hyperlink" Target="result/&#12497;&#12527;&#12503;&#12525;2020%20-%20&#25237;&#29699;&#35299;&#26512;%20-%202020-08-24%2012-58-52-05_ball.txt" TargetMode="External"/><Relationship Id="rId2181" Type="http://schemas.openxmlformats.org/officeDocument/2006/relationships/hyperlink" Target="out/&#12497;&#12527;&#12503;&#12525;2020%20-%20&#25237;&#29699;&#35299;&#26512;%20-%202020-08-28%2022-31-31-09_out.mp4" TargetMode="External"/><Relationship Id="rId2402" Type="http://schemas.openxmlformats.org/officeDocument/2006/relationships/hyperlink" Target="result/&#12497;&#12527;&#12503;&#12525;2020%20-%20&#25237;&#29699;&#35299;&#26512;%20-%202020-08-29%2009-49-52-00_ball.txt" TargetMode="External"/><Relationship Id="rId88" Type="http://schemas.openxmlformats.org/officeDocument/2006/relationships/hyperlink" Target="result/&#12497;&#12527;&#12503;&#12525;2020%20-%20&#25237;&#29699;&#35299;&#26512;%20-%202020-08-23%2011-15-09-03_ball.txt" TargetMode="External"/><Relationship Id="rId153" Type="http://schemas.openxmlformats.org/officeDocument/2006/relationships/hyperlink" Target="out/&#12497;&#12527;&#12503;&#12525;2020%20-%20&#25237;&#29699;&#35299;&#26512;%20-%202020-08-23%2014-05-50-06_out.mp4" TargetMode="External"/><Relationship Id="rId360" Type="http://schemas.openxmlformats.org/officeDocument/2006/relationships/hyperlink" Target="result/&#12497;&#12527;&#12503;&#12525;2020%20-%20&#25237;&#29699;&#35299;&#26512;%20-%202020-08-23%2015-49-19-09_ball.txt" TargetMode="External"/><Relationship Id="rId598" Type="http://schemas.openxmlformats.org/officeDocument/2006/relationships/hyperlink" Target="result/&#12497;&#12527;&#12503;&#12525;2020%20-%20&#25237;&#29699;&#35299;&#26512;%20-%202020-08-23%2016-29-37-09_ball.txt" TargetMode="External"/><Relationship Id="rId819" Type="http://schemas.openxmlformats.org/officeDocument/2006/relationships/hyperlink" Target="out/&#12497;&#12527;&#12503;&#12525;2020%20-%20&#25237;&#29699;&#35299;&#26512;%20-%202020-08-24%2012-08-41-02_out.mp4" TargetMode="External"/><Relationship Id="rId1004" Type="http://schemas.openxmlformats.org/officeDocument/2006/relationships/hyperlink" Target="result/&#12497;&#12527;&#12503;&#12525;2020%20-%20&#25237;&#29699;&#35299;&#26512;%20-%202020-08-24%2012-33-48-08_ball.txt" TargetMode="External"/><Relationship Id="rId1211" Type="http://schemas.openxmlformats.org/officeDocument/2006/relationships/hyperlink" Target="out/&#12497;&#12527;&#12503;&#12525;2020%20-%20&#25237;&#29699;&#35299;&#26512;%20-%202020-08-24%2012-53-43-06_out.mp4" TargetMode="External"/><Relationship Id="rId1656" Type="http://schemas.openxmlformats.org/officeDocument/2006/relationships/hyperlink" Target="result/&#12497;&#12527;&#12503;&#12525;2020%20-%20&#25237;&#29699;&#35299;&#26512;%20-%202020-08-24%2012-06-16-03_ball.txt" TargetMode="External"/><Relationship Id="rId1863" Type="http://schemas.openxmlformats.org/officeDocument/2006/relationships/hyperlink" Target="out/&#12497;&#12527;&#12503;&#12525;2020%20-%20&#25237;&#29699;&#35299;&#26512;%20-%202020-08-24%2013-17-56-07_out.mp4" TargetMode="External"/><Relationship Id="rId2041" Type="http://schemas.openxmlformats.org/officeDocument/2006/relationships/hyperlink" Target="out/&#12497;&#12527;&#12503;&#12525;2020%20-%20&#25237;&#29699;&#35299;&#26512;%20-%202020-08-27%2018-16-14-09_out.mp4" TargetMode="External"/><Relationship Id="rId2279" Type="http://schemas.openxmlformats.org/officeDocument/2006/relationships/hyperlink" Target="out/&#12497;&#12527;&#12503;&#12525;2020%20-%20&#25237;&#29699;&#35299;&#26512;%20-%202020-08-29%2009-37-40-08_out.mp4" TargetMode="External"/><Relationship Id="rId2486" Type="http://schemas.openxmlformats.org/officeDocument/2006/relationships/hyperlink" Target="result/&#12497;&#12527;&#12503;&#12525;2020%20-%20&#25237;&#29699;&#35299;&#26512;%20-%202020-08-29%2015-46-34-01_ball.txt" TargetMode="External"/><Relationship Id="rId2693" Type="http://schemas.openxmlformats.org/officeDocument/2006/relationships/hyperlink" Target="out/&#12497;&#12527;&#12503;&#12525;2020%20-%20&#25237;&#29699;&#35299;&#26512;%20-%202020-08-29%2015-58-43-05_out.mp4" TargetMode="External"/><Relationship Id="rId2707" Type="http://schemas.openxmlformats.org/officeDocument/2006/relationships/hyperlink" Target="out/&#12497;&#12527;&#12503;&#12525;2020%20-%20&#25237;&#29699;&#35299;&#26512;%20-%202020-08-29%2016-00-15-02_out.mp4" TargetMode="External"/><Relationship Id="rId220" Type="http://schemas.openxmlformats.org/officeDocument/2006/relationships/hyperlink" Target="result/&#12497;&#12527;&#12503;&#12525;2020%20-%20&#25237;&#29699;&#35299;&#26512;%20-%202020-08-23%2014-19-33-09_ball.txt" TargetMode="External"/><Relationship Id="rId458" Type="http://schemas.openxmlformats.org/officeDocument/2006/relationships/hyperlink" Target="result/&#12497;&#12527;&#12503;&#12525;2020%20-%20&#25237;&#29699;&#35299;&#26512;%20-%202020-08-23%2016-08-46-09_ball.txt" TargetMode="External"/><Relationship Id="rId665" Type="http://schemas.openxmlformats.org/officeDocument/2006/relationships/hyperlink" Target="out/&#12497;&#12527;&#12503;&#12525;2020%20-%20&#25237;&#29699;&#35299;&#26512;%20-%202020-08-24%2011-23-23-04_out.mp4" TargetMode="External"/><Relationship Id="rId872" Type="http://schemas.openxmlformats.org/officeDocument/2006/relationships/hyperlink" Target="result/&#12497;&#12527;&#12503;&#12525;2020%20-%20&#25237;&#29699;&#35299;&#26512;%20-%202020-08-24%2012-12-56-02_ball.txt" TargetMode="External"/><Relationship Id="rId1088" Type="http://schemas.openxmlformats.org/officeDocument/2006/relationships/hyperlink" Target="result/&#12497;&#12527;&#12503;&#12525;2020%20-%20&#25237;&#29699;&#35299;&#26512;%20-%202020-08-24%2012-41-25-09_ball.txt" TargetMode="External"/><Relationship Id="rId1295" Type="http://schemas.openxmlformats.org/officeDocument/2006/relationships/hyperlink" Target="out/&#12497;&#12527;&#12503;&#12525;2020%20-%20&#25237;&#29699;&#35299;&#26512;%20-%202020-08-24%2013-05-36-09_out.mp4" TargetMode="External"/><Relationship Id="rId1309" Type="http://schemas.openxmlformats.org/officeDocument/2006/relationships/hyperlink" Target="out/&#12497;&#12527;&#12503;&#12525;2020%20-%20&#25237;&#29699;&#35299;&#26512;%20-%202020-08-24%2013-07-27-05_out.mp4" TargetMode="External"/><Relationship Id="rId1516" Type="http://schemas.openxmlformats.org/officeDocument/2006/relationships/hyperlink" Target="result/&#12497;&#12527;&#12503;&#12525;2020%20-%20&#25237;&#29699;&#35299;&#26512;%20-%202020-08-23%2016-04-57-04_ball.txt" TargetMode="External"/><Relationship Id="rId1723" Type="http://schemas.openxmlformats.org/officeDocument/2006/relationships/hyperlink" Target="out/&#12497;&#12527;&#12503;&#12525;2020%20-%20&#25237;&#29699;&#35299;&#26512;%20-%202020-08-24%2012-35-33-09_out.mp4" TargetMode="External"/><Relationship Id="rId1930" Type="http://schemas.openxmlformats.org/officeDocument/2006/relationships/hyperlink" Target="result/&#12497;&#12527;&#12503;&#12525;2020%20-%20&#25237;&#29699;&#35299;&#26512;%20-%202020-08-26%2021-19-02-03_ball.txt" TargetMode="External"/><Relationship Id="rId2139" Type="http://schemas.openxmlformats.org/officeDocument/2006/relationships/hyperlink" Target="out/&#12497;&#12527;&#12503;&#12525;2020%20-%20&#25237;&#29699;&#35299;&#26512;%20-%202020-08-27%2018-24-30-08_out.mp4" TargetMode="External"/><Relationship Id="rId2346" Type="http://schemas.openxmlformats.org/officeDocument/2006/relationships/hyperlink" Target="result/&#12497;&#12527;&#12503;&#12525;2020%20-%20&#25237;&#29699;&#35299;&#26512;%20-%202020-08-29%2009-44-23-02_ball.txt" TargetMode="External"/><Relationship Id="rId2553" Type="http://schemas.openxmlformats.org/officeDocument/2006/relationships/hyperlink" Target="out/&#12497;&#12527;&#12503;&#12525;2020%20-%20&#25237;&#29699;&#35299;&#26512;%20-%202020-08-29%2015-50-19-05_out.mp4" TargetMode="External"/><Relationship Id="rId2760" Type="http://schemas.openxmlformats.org/officeDocument/2006/relationships/hyperlink" Target="result/&#12497;&#12527;&#12503;&#12525;2020%20-%20&#25237;&#29699;&#35299;&#26512;%20-%202020-08-29%2016-06-51-08_ball.txt" TargetMode="External"/><Relationship Id="rId15" Type="http://schemas.openxmlformats.org/officeDocument/2006/relationships/hyperlink" Target="out/&#12497;&#12527;&#12503;&#12525;2020%20-%20&#25237;&#29699;&#35299;&#26512;%20-%202020-08-23%2011-10-26-07_out.mp4" TargetMode="External"/><Relationship Id="rId318" Type="http://schemas.openxmlformats.org/officeDocument/2006/relationships/hyperlink" Target="result/&#12497;&#12527;&#12503;&#12525;2020%20-%20&#25237;&#29699;&#35299;&#26512;%20-%202020-08-23%2014-27-07-08_ball.txt" TargetMode="External"/><Relationship Id="rId525" Type="http://schemas.openxmlformats.org/officeDocument/2006/relationships/hyperlink" Target="out/&#12497;&#12527;&#12503;&#12525;2020%20-%20&#25237;&#29699;&#35299;&#26512;%20-%202020-08-23%2016-15-07-03_out.mp4" TargetMode="External"/><Relationship Id="rId732" Type="http://schemas.openxmlformats.org/officeDocument/2006/relationships/hyperlink" Target="result/&#12497;&#12527;&#12503;&#12525;2020%20-%20&#25237;&#29699;&#35299;&#26512;%20-%202020-08-24%2012-01-04-07_ball.txt" TargetMode="External"/><Relationship Id="rId1155" Type="http://schemas.openxmlformats.org/officeDocument/2006/relationships/hyperlink" Target="out/&#12497;&#12527;&#12503;&#12525;2020%20-%20&#25237;&#29699;&#35299;&#26512;%20-%202020-08-24%2012-47-45-05_out.mp4" TargetMode="External"/><Relationship Id="rId1362" Type="http://schemas.openxmlformats.org/officeDocument/2006/relationships/hyperlink" Target="result/&#12497;&#12527;&#12503;&#12525;2020%20-%20&#25237;&#29699;&#35299;&#26512;%20-%202020-08-23%2011-08-57-06_ball.txt" TargetMode="External"/><Relationship Id="rId2192" Type="http://schemas.openxmlformats.org/officeDocument/2006/relationships/hyperlink" Target="result/&#12497;&#12527;&#12503;&#12525;2020%20-%20&#25237;&#29699;&#35299;&#26512;%20-%202020-08-28%2022-33-04-04_ball.txt" TargetMode="External"/><Relationship Id="rId2206" Type="http://schemas.openxmlformats.org/officeDocument/2006/relationships/hyperlink" Target="result/&#12497;&#12527;&#12503;&#12525;2020%20-%20&#25237;&#29699;&#35299;&#26512;%20-%202020-08-28%2022-34-32-01_ball.txt" TargetMode="External"/><Relationship Id="rId2413" Type="http://schemas.openxmlformats.org/officeDocument/2006/relationships/hyperlink" Target="out/&#12497;&#12527;&#12503;&#12525;2020%20-%20&#25237;&#29699;&#35299;&#26512;%20-%202020-08-29%2009-49-52-06_out.mp4" TargetMode="External"/><Relationship Id="rId2620" Type="http://schemas.openxmlformats.org/officeDocument/2006/relationships/hyperlink" Target="result/&#12497;&#12527;&#12503;&#12525;2020%20-%20&#25237;&#29699;&#35299;&#26512;%20-%202020-08-29%2015-53-40-08_ball.txt" TargetMode="External"/><Relationship Id="rId99" Type="http://schemas.openxmlformats.org/officeDocument/2006/relationships/hyperlink" Target="out/&#12497;&#12527;&#12503;&#12525;2020%20-%20&#25237;&#29699;&#35299;&#26512;%20-%202020-08-23%2011-15-09-09_out.mp4" TargetMode="External"/><Relationship Id="rId164" Type="http://schemas.openxmlformats.org/officeDocument/2006/relationships/hyperlink" Target="result/&#12497;&#12527;&#12503;&#12525;2020%20-%20&#25237;&#29699;&#35299;&#26512;%20-%202020-08-23%2014-06-56-01_ball.txt" TargetMode="External"/><Relationship Id="rId371" Type="http://schemas.openxmlformats.org/officeDocument/2006/relationships/hyperlink" Target="out/&#12497;&#12527;&#12503;&#12525;2020%20-%20&#25237;&#29699;&#35299;&#26512;%20-%202020-08-23%2015-52-13-05_out.mp4" TargetMode="External"/><Relationship Id="rId1015" Type="http://schemas.openxmlformats.org/officeDocument/2006/relationships/hyperlink" Target="out/&#12497;&#12527;&#12503;&#12525;2020%20-%20&#25237;&#29699;&#35299;&#26512;%20-%202020-08-24%2012-35-33-04_out.mp4" TargetMode="External"/><Relationship Id="rId1222" Type="http://schemas.openxmlformats.org/officeDocument/2006/relationships/hyperlink" Target="result/&#12497;&#12527;&#12503;&#12525;2020%20-%20&#25237;&#29699;&#35299;&#26512;%20-%202020-08-24%2012-55-39-01_ball.txt" TargetMode="External"/><Relationship Id="rId1667" Type="http://schemas.openxmlformats.org/officeDocument/2006/relationships/hyperlink" Target="out/&#12497;&#12527;&#12503;&#12525;2020%20-%20&#25237;&#29699;&#35299;&#26512;%20-%202020-08-24%2012-11-18-04_out.mp4" TargetMode="External"/><Relationship Id="rId1874" Type="http://schemas.openxmlformats.org/officeDocument/2006/relationships/hyperlink" Target="result/&#12497;&#12527;&#12503;&#12525;2020%20-%20&#25237;&#29699;&#35299;&#26512;%20-%202020-08-24%2013-20-06-02_ball.txt" TargetMode="External"/><Relationship Id="rId2052" Type="http://schemas.openxmlformats.org/officeDocument/2006/relationships/hyperlink" Target="result/&#12497;&#12527;&#12503;&#12525;2020%20-%20&#25237;&#29699;&#35299;&#26512;%20-%202020-08-27%2018-17-46-04_ball.txt" TargetMode="External"/><Relationship Id="rId2497" Type="http://schemas.openxmlformats.org/officeDocument/2006/relationships/hyperlink" Target="out/&#12497;&#12527;&#12503;&#12525;2020%20-%20&#25237;&#29699;&#35299;&#26512;%20-%202020-08-29%2015-46-34-07_out.mp4" TargetMode="External"/><Relationship Id="rId2718" Type="http://schemas.openxmlformats.org/officeDocument/2006/relationships/hyperlink" Target="result/&#12497;&#12527;&#12503;&#12525;2020%20-%20&#25237;&#29699;&#35299;&#26512;%20-%202020-08-29%2016-00-15-07_ball.txt" TargetMode="External"/><Relationship Id="rId469" Type="http://schemas.openxmlformats.org/officeDocument/2006/relationships/hyperlink" Target="out/&#12497;&#12527;&#12503;&#12525;2020%20-%20&#25237;&#29699;&#35299;&#26512;%20-%202020-08-23%2016-09-58-05_out.mp4" TargetMode="External"/><Relationship Id="rId676" Type="http://schemas.openxmlformats.org/officeDocument/2006/relationships/hyperlink" Target="result/&#12497;&#12527;&#12503;&#12525;2020%20-%20&#25237;&#29699;&#35299;&#26512;%20-%202020-08-24%2011-23-23-09_ball.txt" TargetMode="External"/><Relationship Id="rId883" Type="http://schemas.openxmlformats.org/officeDocument/2006/relationships/hyperlink" Target="out/&#12497;&#12527;&#12503;&#12525;2020%20-%20&#25237;&#29699;&#35299;&#26512;%20-%202020-08-24%2012-12-56-08_out.mp4" TargetMode="External"/><Relationship Id="rId1099" Type="http://schemas.openxmlformats.org/officeDocument/2006/relationships/hyperlink" Target="out/&#12497;&#12527;&#12503;&#12525;2020%20-%20&#25237;&#29699;&#35299;&#26512;%20-%202020-08-24%2012-44-26-05_out.mp4" TargetMode="External"/><Relationship Id="rId1527" Type="http://schemas.openxmlformats.org/officeDocument/2006/relationships/hyperlink" Target="out/&#12497;&#12527;&#12503;&#12525;2020%20-%20&#25237;&#29699;&#35299;&#26512;%20-%202020-08-23%2016-07-35-00_out.mp4" TargetMode="External"/><Relationship Id="rId1734" Type="http://schemas.openxmlformats.org/officeDocument/2006/relationships/hyperlink" Target="result/&#12497;&#12527;&#12503;&#12525;2020%20-%20&#25237;&#29699;&#35299;&#26512;%20-%202020-08-24%2012-36-56-04_ball.txt" TargetMode="External"/><Relationship Id="rId1941" Type="http://schemas.openxmlformats.org/officeDocument/2006/relationships/hyperlink" Target="out/&#12497;&#12527;&#12503;&#12525;2020%20-%20&#25237;&#29699;&#35299;&#26512;%20-%202020-08-26%2021-19-02-09_out.mp4" TargetMode="External"/><Relationship Id="rId2357" Type="http://schemas.openxmlformats.org/officeDocument/2006/relationships/hyperlink" Target="out/&#12497;&#12527;&#12503;&#12525;2020%20-%20&#25237;&#29699;&#35299;&#26512;%20-%202020-08-29%2009-44-23-08_out.mp4" TargetMode="External"/><Relationship Id="rId2564" Type="http://schemas.openxmlformats.org/officeDocument/2006/relationships/hyperlink" Target="result/&#12497;&#12527;&#12503;&#12525;2020%20-%20&#25237;&#29699;&#35299;&#26512;%20-%202020-08-29%2015-51-26-00_ball.txt" TargetMode="External"/><Relationship Id="rId26" Type="http://schemas.openxmlformats.org/officeDocument/2006/relationships/hyperlink" Target="result/&#12497;&#12527;&#12503;&#12525;2020%20-%20&#25237;&#29699;&#35299;&#26512;%20-%202020-08-23%2011-11-35-02_ball.txt" TargetMode="External"/><Relationship Id="rId231" Type="http://schemas.openxmlformats.org/officeDocument/2006/relationships/hyperlink" Target="out/&#12497;&#12527;&#12503;&#12525;2020%20-%20&#25237;&#29699;&#35299;&#26512;%20-%202020-08-23%2014-21-04-05_out.mp4" TargetMode="External"/><Relationship Id="rId329" Type="http://schemas.openxmlformats.org/officeDocument/2006/relationships/hyperlink" Target="out/&#12497;&#12527;&#12503;&#12525;2020%20-%20&#25237;&#29699;&#35299;&#26512;%20-%202020-08-23%2015-48-07-04_out.mp4" TargetMode="External"/><Relationship Id="rId536" Type="http://schemas.openxmlformats.org/officeDocument/2006/relationships/hyperlink" Target="result/&#12497;&#12527;&#12503;&#12525;2020%20-%20&#25237;&#29699;&#35299;&#26512;%20-%202020-08-23%2016-15-07-08_ball.txt" TargetMode="External"/><Relationship Id="rId1166" Type="http://schemas.openxmlformats.org/officeDocument/2006/relationships/hyperlink" Target="result/&#12497;&#12527;&#12503;&#12525;2020%20-%20&#25237;&#29699;&#35299;&#26512;%20-%202020-08-24%2012-49-17-00_ball.txt" TargetMode="External"/><Relationship Id="rId1373" Type="http://schemas.openxmlformats.org/officeDocument/2006/relationships/hyperlink" Target="out/&#12497;&#12527;&#12503;&#12525;2020%20-%20&#25237;&#29699;&#35299;&#26512;%20-%202020-08-23%2014-03-42-02_out.mp4" TargetMode="External"/><Relationship Id="rId2217" Type="http://schemas.openxmlformats.org/officeDocument/2006/relationships/hyperlink" Target="out/&#12497;&#12527;&#12503;&#12525;2020%20-%20&#25237;&#29699;&#35299;&#26512;%20-%202020-08-28%2022-34-32-07_out.mp4" TargetMode="External"/><Relationship Id="rId2771" Type="http://schemas.openxmlformats.org/officeDocument/2006/relationships/hyperlink" Target="out/&#25237;&#29699;&#35299;&#26512;%20-%20&#12497;&#12527;&#12503;&#12525;2020%20-%202020-09-08%2023-37-52-04_out.mp4" TargetMode="External"/><Relationship Id="rId175" Type="http://schemas.openxmlformats.org/officeDocument/2006/relationships/hyperlink" Target="out/&#12497;&#12527;&#12503;&#12525;2020%20-%20&#25237;&#29699;&#35299;&#26512;%20-%202020-08-23%2014-06-56-07_out.mp4" TargetMode="External"/><Relationship Id="rId743" Type="http://schemas.openxmlformats.org/officeDocument/2006/relationships/hyperlink" Target="out/&#12497;&#12527;&#12503;&#12525;2020%20-%20&#25237;&#29699;&#35299;&#26512;%20-%202020-08-24%2012-02-12-04_out.mp4" TargetMode="External"/><Relationship Id="rId950" Type="http://schemas.openxmlformats.org/officeDocument/2006/relationships/hyperlink" Target="result/&#12497;&#12527;&#12503;&#12525;2020%20-%20&#25237;&#29699;&#35299;&#26512;%20-%202020-08-24%2012-26-53-00_ball.txt" TargetMode="External"/><Relationship Id="rId1026" Type="http://schemas.openxmlformats.org/officeDocument/2006/relationships/hyperlink" Target="result/&#12497;&#12527;&#12503;&#12525;2020%20-%20&#25237;&#29699;&#35299;&#26512;%20-%202020-08-24%2012-36-56-08_ball.txt" TargetMode="External"/><Relationship Id="rId1580" Type="http://schemas.openxmlformats.org/officeDocument/2006/relationships/hyperlink" Target="result/&#12497;&#12527;&#12503;&#12525;2020%20-%20&#25237;&#29699;&#35299;&#26512;%20-%202020-08-23%2016-24-41-06_ball.txt" TargetMode="External"/><Relationship Id="rId1678" Type="http://schemas.openxmlformats.org/officeDocument/2006/relationships/hyperlink" Target="result/&#12497;&#12527;&#12503;&#12525;2020%20-%20&#25237;&#29699;&#35299;&#26512;%20-%202020-08-24%2012-11-18-09_ball.txt" TargetMode="External"/><Relationship Id="rId1801" Type="http://schemas.openxmlformats.org/officeDocument/2006/relationships/hyperlink" Target="out/&#12497;&#12527;&#12503;&#12525;2020%20-%20&#25237;&#29699;&#35299;&#26512;%20-%202020-08-24%2013-03-51-09_out.mp4" TargetMode="External"/><Relationship Id="rId1885" Type="http://schemas.openxmlformats.org/officeDocument/2006/relationships/hyperlink" Target="out/&#12497;&#12527;&#12503;&#12525;2020%20-%20&#25237;&#29699;&#35299;&#26512;%20-%202020-08-24%2013-20-06-08_out.mp4" TargetMode="External"/><Relationship Id="rId2424" Type="http://schemas.openxmlformats.org/officeDocument/2006/relationships/hyperlink" Target="result/&#12497;&#12527;&#12503;&#12525;2020%20-%20&#25237;&#29699;&#35299;&#26512;%20-%202020-08-29%2015-42-43-01_ball.txt" TargetMode="External"/><Relationship Id="rId2631" Type="http://schemas.openxmlformats.org/officeDocument/2006/relationships/hyperlink" Target="out/&#12497;&#12527;&#12503;&#12525;2020%20-%20&#25237;&#29699;&#35299;&#26512;%20-%202020-08-29%2015-55-24-04_out.mp4" TargetMode="External"/><Relationship Id="rId2729" Type="http://schemas.openxmlformats.org/officeDocument/2006/relationships/hyperlink" Target="out/&#12497;&#12527;&#12503;&#12525;2020%20-%20&#25237;&#29699;&#35299;&#26512;%20-%202020-08-29%2016-01-23-03_out.mp4" TargetMode="External"/><Relationship Id="rId382" Type="http://schemas.openxmlformats.org/officeDocument/2006/relationships/hyperlink" Target="result/&#12497;&#12527;&#12503;&#12525;2020%20-%20&#25237;&#29699;&#35299;&#26512;%20-%202020-08-23%2015-54-48-00_ball.txt" TargetMode="External"/><Relationship Id="rId603" Type="http://schemas.openxmlformats.org/officeDocument/2006/relationships/hyperlink" Target="out/&#12497;&#12527;&#12503;&#12525;2020%20-%20&#25237;&#29699;&#35299;&#26512;%20-%202020-08-23%2016-30-55-02_out.mp4" TargetMode="External"/><Relationship Id="rId687" Type="http://schemas.openxmlformats.org/officeDocument/2006/relationships/hyperlink" Target="out/&#12497;&#12527;&#12503;&#12525;2020%20-%20&#25237;&#29699;&#35299;&#26512;%20-%202020-08-24%2011-24-36-05_out.mp4" TargetMode="External"/><Relationship Id="rId810" Type="http://schemas.openxmlformats.org/officeDocument/2006/relationships/hyperlink" Target="result/&#12497;&#12527;&#12503;&#12525;2020%20-%20&#25237;&#29699;&#35299;&#26512;%20-%202020-08-24%2012-07-26-07_ball.txt" TargetMode="External"/><Relationship Id="rId908" Type="http://schemas.openxmlformats.org/officeDocument/2006/relationships/hyperlink" Target="result/&#12497;&#12527;&#12503;&#12525;2020%20-%20&#25237;&#29699;&#35299;&#26512;%20-%202020-08-24%2012-22-44-00_ball.txt" TargetMode="External"/><Relationship Id="rId1233" Type="http://schemas.openxmlformats.org/officeDocument/2006/relationships/hyperlink" Target="out/&#12497;&#12527;&#12503;&#12525;2020%20-%20&#25237;&#29699;&#35299;&#26512;%20-%202020-08-24%2012-58-52-07_out.mp4" TargetMode="External"/><Relationship Id="rId1440" Type="http://schemas.openxmlformats.org/officeDocument/2006/relationships/hyperlink" Target="result/&#12497;&#12527;&#12503;&#12525;2020%20-%20&#25237;&#29699;&#35299;&#26512;%20-%202020-08-23%2015-47-01-06_ball.txt" TargetMode="External"/><Relationship Id="rId1538" Type="http://schemas.openxmlformats.org/officeDocument/2006/relationships/hyperlink" Target="result/&#12497;&#12527;&#12503;&#12525;2020%20-%20&#25237;&#29699;&#35299;&#26512;%20-%202020-08-23%2016-07-35-05_ball.txt" TargetMode="External"/><Relationship Id="rId2063" Type="http://schemas.openxmlformats.org/officeDocument/2006/relationships/hyperlink" Target="out/&#12497;&#12527;&#12503;&#12525;2020%20-%20&#25237;&#29699;&#35299;&#26512;%20-%202020-08-27%2018-19-19-00_out.mp4" TargetMode="External"/><Relationship Id="rId2270" Type="http://schemas.openxmlformats.org/officeDocument/2006/relationships/hyperlink" Target="result/&#12497;&#12527;&#12503;&#12525;2020%20-%20&#25237;&#29699;&#35299;&#26512;%20-%202020-08-29%2009-37-40-03_ball.txt" TargetMode="External"/><Relationship Id="rId2368" Type="http://schemas.openxmlformats.org/officeDocument/2006/relationships/hyperlink" Target="result/&#12497;&#12527;&#12503;&#12525;2020%20-%20&#25237;&#29699;&#35299;&#26512;%20-%202020-08-29%2009-46-05-03_ball.txt" TargetMode="External"/><Relationship Id="rId242" Type="http://schemas.openxmlformats.org/officeDocument/2006/relationships/hyperlink" Target="result/&#12497;&#12527;&#12503;&#12525;2020%20-%20&#25237;&#29699;&#35299;&#26512;%20-%202020-08-23%2014-23-42-00_ball.txt" TargetMode="External"/><Relationship Id="rId894" Type="http://schemas.openxmlformats.org/officeDocument/2006/relationships/hyperlink" Target="result/&#12497;&#12527;&#12503;&#12525;2020%20-%20&#25237;&#29699;&#35299;&#26512;%20-%202020-08-24%2012-21-33-03_ball.txt" TargetMode="External"/><Relationship Id="rId1177" Type="http://schemas.openxmlformats.org/officeDocument/2006/relationships/hyperlink" Target="out/&#12497;&#12527;&#12503;&#12525;2020%20-%20&#25237;&#29699;&#35299;&#26512;%20-%202020-08-24%2012-50-30-09_out.mp4" TargetMode="External"/><Relationship Id="rId1300" Type="http://schemas.openxmlformats.org/officeDocument/2006/relationships/hyperlink" Target="result/&#12497;&#12527;&#12503;&#12525;2020%20-%20&#25237;&#29699;&#35299;&#26512;%20-%202020-08-24%2013-07-27-00_ball.txt" TargetMode="External"/><Relationship Id="rId1745" Type="http://schemas.openxmlformats.org/officeDocument/2006/relationships/hyperlink" Target="out/&#12497;&#12527;&#12503;&#12525;2020%20-%20&#25237;&#29699;&#35299;&#26512;%20-%202020-08-24%2012-42-52-09_out.mp4" TargetMode="External"/><Relationship Id="rId1952" Type="http://schemas.openxmlformats.org/officeDocument/2006/relationships/hyperlink" Target="result/&#12497;&#12527;&#12503;&#12525;2020%20-%20&#25237;&#29699;&#35299;&#26512;%20-%202020-08-26%2021-20-35-04_ball.txt" TargetMode="External"/><Relationship Id="rId2130" Type="http://schemas.openxmlformats.org/officeDocument/2006/relationships/hyperlink" Target="result/&#12497;&#12527;&#12503;&#12525;2020%20-%20&#25237;&#29699;&#35299;&#26512;%20-%202020-08-27%2018-24-30-03_ball.txt" TargetMode="External"/><Relationship Id="rId2575" Type="http://schemas.openxmlformats.org/officeDocument/2006/relationships/hyperlink" Target="out/&#12497;&#12527;&#12503;&#12525;2020%20-%20&#25237;&#29699;&#35299;&#26512;%20-%202020-08-29%2015-51-26-06_out.mp4" TargetMode="External"/><Relationship Id="rId2782" Type="http://schemas.openxmlformats.org/officeDocument/2006/relationships/hyperlink" Target="result/&#25237;&#29699;&#35299;&#26512;%20-%20&#12497;&#12527;&#12503;&#12525;2020%20-%202020-09-08%2023-37-52-09_ball.txt" TargetMode="External"/><Relationship Id="rId37" Type="http://schemas.openxmlformats.org/officeDocument/2006/relationships/hyperlink" Target="out/&#12497;&#12527;&#12503;&#12525;2020%20-%20&#25237;&#29699;&#35299;&#26512;%20-%202020-08-23%2011-11-35-08_out.mp4" TargetMode="External"/><Relationship Id="rId102" Type="http://schemas.openxmlformats.org/officeDocument/2006/relationships/hyperlink" Target="result/&#12497;&#12527;&#12503;&#12525;2020%20-%20&#25237;&#29699;&#35299;&#26512;%20-%202020-08-23%2011-16-20-00_ball.txt" TargetMode="External"/><Relationship Id="rId547" Type="http://schemas.openxmlformats.org/officeDocument/2006/relationships/hyperlink" Target="out/&#12497;&#12527;&#12503;&#12525;2020%20-%20&#25237;&#29699;&#35299;&#26512;%20-%202020-08-23%2016-25-48-04_out.mp4" TargetMode="External"/><Relationship Id="rId754" Type="http://schemas.openxmlformats.org/officeDocument/2006/relationships/hyperlink" Target="result/&#12497;&#12527;&#12503;&#12525;2020%20-%20&#25237;&#29699;&#35299;&#26512;%20-%202020-08-24%2012-02-12-09_ball.txt" TargetMode="External"/><Relationship Id="rId961" Type="http://schemas.openxmlformats.org/officeDocument/2006/relationships/hyperlink" Target="out/&#12497;&#12527;&#12503;&#12525;2020%20-%20&#25237;&#29699;&#35299;&#26512;%20-%202020-08-24%2012-26-53-06_out.mp4" TargetMode="External"/><Relationship Id="rId1384" Type="http://schemas.openxmlformats.org/officeDocument/2006/relationships/hyperlink" Target="result/&#12497;&#12527;&#12503;&#12525;2020%20-%20&#25237;&#29699;&#35299;&#26512;%20-%202020-08-23%2014-03-42-07_ball.txt" TargetMode="External"/><Relationship Id="rId1591" Type="http://schemas.openxmlformats.org/officeDocument/2006/relationships/hyperlink" Target="out/&#12497;&#12527;&#12503;&#12525;2020%20-%20&#25237;&#29699;&#35299;&#26512;%20-%202020-08-23%2016-29-37-01_out.mp4" TargetMode="External"/><Relationship Id="rId1605" Type="http://schemas.openxmlformats.org/officeDocument/2006/relationships/hyperlink" Target="out/&#12497;&#12527;&#12503;&#12525;2020%20-%20&#25237;&#29699;&#35299;&#26512;%20-%202020-08-23%2016-29-37-08_out.mp4" TargetMode="External"/><Relationship Id="rId1689" Type="http://schemas.openxmlformats.org/officeDocument/2006/relationships/hyperlink" Target="out/&#12497;&#12527;&#12503;&#12525;2020%20-%20&#25237;&#29699;&#35299;&#26512;%20-%202020-08-24%2012-22-44-09_out.mp4" TargetMode="External"/><Relationship Id="rId1812" Type="http://schemas.openxmlformats.org/officeDocument/2006/relationships/hyperlink" Target="result/&#12497;&#12527;&#12503;&#12525;2020%20-%20&#25237;&#29699;&#35299;&#26512;%20-%202020-08-24%2013-05-36-04_ball.txt" TargetMode="External"/><Relationship Id="rId2228" Type="http://schemas.openxmlformats.org/officeDocument/2006/relationships/hyperlink" Target="result/&#12497;&#12527;&#12503;&#12525;2020%20-%20&#25237;&#29699;&#35299;&#26512;%20-%202020-08-28%2022-36-12-02_ball.txt" TargetMode="External"/><Relationship Id="rId2435" Type="http://schemas.openxmlformats.org/officeDocument/2006/relationships/hyperlink" Target="out/&#12497;&#12527;&#12503;&#12525;2020%20-%20&#25237;&#29699;&#35299;&#26512;%20-%202020-08-29%2015-42-43-07_out.mp4" TargetMode="External"/><Relationship Id="rId2642" Type="http://schemas.openxmlformats.org/officeDocument/2006/relationships/hyperlink" Target="result/&#12497;&#12527;&#12503;&#12525;2020%20-%20&#25237;&#29699;&#35299;&#26512;%20-%202020-08-29%2015-55-24-09_ball.txt" TargetMode="External"/><Relationship Id="rId90" Type="http://schemas.openxmlformats.org/officeDocument/2006/relationships/hyperlink" Target="result/&#12497;&#12527;&#12503;&#12525;2020%20-%20&#25237;&#29699;&#35299;&#26512;%20-%202020-08-23%2011-15-09-04_ball.txt" TargetMode="External"/><Relationship Id="rId186" Type="http://schemas.openxmlformats.org/officeDocument/2006/relationships/hyperlink" Target="result/&#12497;&#12527;&#12503;&#12525;2020%20-%20&#25237;&#29699;&#35299;&#26512;%20-%202020-08-23%2014-08-02-02_ball.txt" TargetMode="External"/><Relationship Id="rId393" Type="http://schemas.openxmlformats.org/officeDocument/2006/relationships/hyperlink" Target="out/&#12497;&#12527;&#12503;&#12525;2020%20-%20&#25237;&#29699;&#35299;&#26512;%20-%202020-08-23%2015-54-48-06_out.mp4" TargetMode="External"/><Relationship Id="rId407" Type="http://schemas.openxmlformats.org/officeDocument/2006/relationships/hyperlink" Target="out/&#12497;&#12527;&#12503;&#12525;2020%20-%20&#25237;&#29699;&#35299;&#26512;%20-%202020-08-23%2016-03-31-04_out.mp4" TargetMode="External"/><Relationship Id="rId614" Type="http://schemas.openxmlformats.org/officeDocument/2006/relationships/hyperlink" Target="result/&#12497;&#12527;&#12503;&#12525;2020%20-%20&#25237;&#29699;&#35299;&#26512;%20-%202020-08-23%2016-30-55-07_ball.txt" TargetMode="External"/><Relationship Id="rId821" Type="http://schemas.openxmlformats.org/officeDocument/2006/relationships/hyperlink" Target="out/&#12497;&#12527;&#12503;&#12525;2020%20-%20&#25237;&#29699;&#35299;&#26512;%20-%202020-08-24%2012-08-41-03_out.mp4" TargetMode="External"/><Relationship Id="rId1037" Type="http://schemas.openxmlformats.org/officeDocument/2006/relationships/hyperlink" Target="out/&#12497;&#12527;&#12503;&#12525;2020%20-%20&#25237;&#29699;&#35299;&#26512;%20-%202020-08-24%2012-38-24-04_out.mp4" TargetMode="External"/><Relationship Id="rId1244" Type="http://schemas.openxmlformats.org/officeDocument/2006/relationships/hyperlink" Target="result/&#12497;&#12527;&#12503;&#12525;2020%20-%20&#25237;&#29699;&#35299;&#26512;%20-%202020-08-24%2013-00-20-02_ball.txt" TargetMode="External"/><Relationship Id="rId1451" Type="http://schemas.openxmlformats.org/officeDocument/2006/relationships/hyperlink" Target="out/&#12497;&#12527;&#12503;&#12525;2020%20-%20&#25237;&#29699;&#35299;&#26512;%20-%202020-08-23%2015-51-08-02_out.mp4" TargetMode="External"/><Relationship Id="rId1896" Type="http://schemas.openxmlformats.org/officeDocument/2006/relationships/hyperlink" Target="result/&#12497;&#12527;&#12503;&#12525;2020%20-%20&#25237;&#29699;&#35299;&#26512;%20-%202020-08-26%2021-15-29-03_ball.txt" TargetMode="External"/><Relationship Id="rId2074" Type="http://schemas.openxmlformats.org/officeDocument/2006/relationships/hyperlink" Target="result/&#12497;&#12527;&#12503;&#12525;2020%20-%20&#25237;&#29699;&#35299;&#26512;%20-%202020-08-27%2018-19-19-05_ball.txt" TargetMode="External"/><Relationship Id="rId2281" Type="http://schemas.openxmlformats.org/officeDocument/2006/relationships/hyperlink" Target="out/&#12497;&#12527;&#12503;&#12525;2020%20-%20&#25237;&#29699;&#35299;&#26512;%20-%202020-08-29%2009-37-40-09_out.mp4" TargetMode="External"/><Relationship Id="rId2502" Type="http://schemas.openxmlformats.org/officeDocument/2006/relationships/hyperlink" Target="result/&#12497;&#12527;&#12503;&#12525;2020%20-%20&#25237;&#29699;&#35299;&#26512;%20-%202020-08-29%2015-46-34-09_ball.txt" TargetMode="External"/><Relationship Id="rId253" Type="http://schemas.openxmlformats.org/officeDocument/2006/relationships/hyperlink" Target="out/&#12497;&#12527;&#12503;&#12525;2020%20-%20&#25237;&#29699;&#35299;&#26512;%20-%202020-08-23%2014-23-42-06_out.mp4" TargetMode="External"/><Relationship Id="rId460" Type="http://schemas.openxmlformats.org/officeDocument/2006/relationships/hyperlink" Target="result/&#12497;&#12527;&#12503;&#12525;2020%20-%20&#25237;&#29699;&#35299;&#26512;%20-%202020-08-23%2016-09-58-00_ball.txt" TargetMode="External"/><Relationship Id="rId698" Type="http://schemas.openxmlformats.org/officeDocument/2006/relationships/hyperlink" Target="result/&#12497;&#12527;&#12503;&#12525;2020%20-%20&#25237;&#29699;&#35299;&#26512;%20-%202020-08-24%2011-25-48-00_ball.txt" TargetMode="External"/><Relationship Id="rId919" Type="http://schemas.openxmlformats.org/officeDocument/2006/relationships/hyperlink" Target="out/&#12497;&#12527;&#12503;&#12525;2020%20-%20&#25237;&#29699;&#35299;&#26512;%20-%202020-08-24%2012-24-03-05_out.mp4" TargetMode="External"/><Relationship Id="rId1090" Type="http://schemas.openxmlformats.org/officeDocument/2006/relationships/hyperlink" Target="result/&#12497;&#12527;&#12503;&#12525;2020%20-%20&#25237;&#29699;&#35299;&#26512;%20-%202020-08-24%2012-42-52-00_ball.txt" TargetMode="External"/><Relationship Id="rId1104" Type="http://schemas.openxmlformats.org/officeDocument/2006/relationships/hyperlink" Target="result/&#12497;&#12527;&#12503;&#12525;2020%20-%20&#25237;&#29699;&#35299;&#26512;%20-%202020-08-24%2012-44-26-07_ball.txt" TargetMode="External"/><Relationship Id="rId1311" Type="http://schemas.openxmlformats.org/officeDocument/2006/relationships/hyperlink" Target="out/&#12497;&#12527;&#12503;&#12525;2020%20-%20&#25237;&#29699;&#35299;&#26512;%20-%202020-08-24%2013-07-27-06_out.mp4" TargetMode="External"/><Relationship Id="rId1549" Type="http://schemas.openxmlformats.org/officeDocument/2006/relationships/hyperlink" Target="out/&#12497;&#12527;&#12503;&#12525;2020%20-%20&#25237;&#29699;&#35299;&#26512;%20-%202020-08-23%2016-11-33-01_out.mp4" TargetMode="External"/><Relationship Id="rId1756" Type="http://schemas.openxmlformats.org/officeDocument/2006/relationships/hyperlink" Target="result/&#12497;&#12527;&#12503;&#12525;2020%20-%20&#25237;&#29699;&#35299;&#26512;%20-%202020-08-24%2012-44-26-04_ball.txt" TargetMode="External"/><Relationship Id="rId1963" Type="http://schemas.openxmlformats.org/officeDocument/2006/relationships/hyperlink" Target="out/&#12497;&#12527;&#12503;&#12525;2020%20-%20&#25237;&#29699;&#35299;&#26512;%20-%202020-08-26%2021-30-58-00_out.mp4" TargetMode="External"/><Relationship Id="rId2141" Type="http://schemas.openxmlformats.org/officeDocument/2006/relationships/hyperlink" Target="out/&#12497;&#12527;&#12503;&#12525;2020%20-%20&#25237;&#29699;&#35299;&#26512;%20-%202020-08-27%2018-24-30-09_out.mp4" TargetMode="External"/><Relationship Id="rId2379" Type="http://schemas.openxmlformats.org/officeDocument/2006/relationships/hyperlink" Target="out/&#12497;&#12527;&#12503;&#12525;2020%20-%20&#25237;&#29699;&#35299;&#26512;%20-%202020-08-29%2009-46-05-09_out.mp4" TargetMode="External"/><Relationship Id="rId2586" Type="http://schemas.openxmlformats.org/officeDocument/2006/relationships/hyperlink" Target="result/&#12497;&#12527;&#12503;&#12525;2020%20-%20&#25237;&#29699;&#35299;&#26512;%20-%202020-08-29%2015-52-32-01_ball.txt" TargetMode="External"/><Relationship Id="rId2793" Type="http://schemas.openxmlformats.org/officeDocument/2006/relationships/hyperlink" Target="out/&#25237;&#29699;&#35299;&#26512;%20-%20&#12497;&#12527;&#12503;&#12525;2020%20-%202020-09-08%2023-39-02-05_out.mp4" TargetMode="External"/><Relationship Id="rId48" Type="http://schemas.openxmlformats.org/officeDocument/2006/relationships/hyperlink" Target="result/&#12497;&#12527;&#12503;&#12525;2020%20-%20&#25237;&#29699;&#35299;&#26512;%20-%202020-08-23%2011-12-45-03_ball.txt" TargetMode="External"/><Relationship Id="rId113" Type="http://schemas.openxmlformats.org/officeDocument/2006/relationships/hyperlink" Target="out/&#12497;&#12527;&#12503;&#12525;2020%20-%20&#25237;&#29699;&#35299;&#26512;%20-%202020-08-23%2011-16-20-06_out.mp4" TargetMode="External"/><Relationship Id="rId320" Type="http://schemas.openxmlformats.org/officeDocument/2006/relationships/hyperlink" Target="result/&#12497;&#12527;&#12503;&#12525;2020%20-%20&#25237;&#29699;&#35299;&#26512;%20-%202020-08-23%2014-27-07-09_ball.txt" TargetMode="External"/><Relationship Id="rId558" Type="http://schemas.openxmlformats.org/officeDocument/2006/relationships/hyperlink" Target="result/&#12497;&#12527;&#12503;&#12525;2020%20-%20&#25237;&#29699;&#35299;&#26512;%20-%202020-08-23%2016-25-48-09_ball.txt" TargetMode="External"/><Relationship Id="rId765" Type="http://schemas.openxmlformats.org/officeDocument/2006/relationships/hyperlink" Target="out/&#12497;&#12527;&#12503;&#12525;2020%20-%20&#25237;&#29699;&#35299;&#26512;%20-%202020-08-24%2012-03-33-05_out.mp4" TargetMode="External"/><Relationship Id="rId972" Type="http://schemas.openxmlformats.org/officeDocument/2006/relationships/hyperlink" Target="result/&#12497;&#12527;&#12503;&#12525;2020%20-%20&#25237;&#29699;&#35299;&#26512;%20-%202020-08-24%2012-32-08-02_ball.txt" TargetMode="External"/><Relationship Id="rId1188" Type="http://schemas.openxmlformats.org/officeDocument/2006/relationships/hyperlink" Target="result/&#12497;&#12527;&#12503;&#12525;2020%20-%20&#25237;&#29699;&#35299;&#26512;%20-%202020-08-24%2012-52-05-04_ball.txt" TargetMode="External"/><Relationship Id="rId1395" Type="http://schemas.openxmlformats.org/officeDocument/2006/relationships/hyperlink" Target="out/&#12497;&#12527;&#12503;&#12525;2020%20-%20&#25237;&#29699;&#35299;&#26512;%20-%202020-08-23%2014-18-29-03_out.mp4" TargetMode="External"/><Relationship Id="rId1409" Type="http://schemas.openxmlformats.org/officeDocument/2006/relationships/hyperlink" Target="out/&#12497;&#12527;&#12503;&#12525;2020%20-%20&#25237;&#29699;&#35299;&#26512;%20-%202020-08-23%2014-22-38-00_out.mp4" TargetMode="External"/><Relationship Id="rId1616" Type="http://schemas.openxmlformats.org/officeDocument/2006/relationships/hyperlink" Target="result/&#12497;&#12527;&#12503;&#12525;2020%20-%20&#25237;&#29699;&#35299;&#26512;%20-%202020-08-24%2011-22-14-02_ball.txt" TargetMode="External"/><Relationship Id="rId1823" Type="http://schemas.openxmlformats.org/officeDocument/2006/relationships/hyperlink" Target="out/&#12497;&#12527;&#12503;&#12525;2020%20-%20&#25237;&#29699;&#35299;&#26512;%20-%202020-08-24%2013-14-19-06_out.mp4" TargetMode="External"/><Relationship Id="rId2001" Type="http://schemas.openxmlformats.org/officeDocument/2006/relationships/hyperlink" Target="out/&#12497;&#12527;&#12503;&#12525;2020%20-%20&#25237;&#29699;&#35299;&#26512;%20-%202020-08-26%2021-35-18-09_out.mp4" TargetMode="External"/><Relationship Id="rId2239" Type="http://schemas.openxmlformats.org/officeDocument/2006/relationships/hyperlink" Target="out/&#12497;&#12527;&#12503;&#12525;2020%20-%20&#25237;&#29699;&#35299;&#26512;%20-%202020-08-28%2022-36-12-08_out.mp4" TargetMode="External"/><Relationship Id="rId2446" Type="http://schemas.openxmlformats.org/officeDocument/2006/relationships/hyperlink" Target="result/&#12497;&#12527;&#12503;&#12525;2020%20-%20&#25237;&#29699;&#35299;&#26512;%20-%202020-08-29%2015-44-12-02_ball.txt" TargetMode="External"/><Relationship Id="rId2653" Type="http://schemas.openxmlformats.org/officeDocument/2006/relationships/hyperlink" Target="out/&#12497;&#12527;&#12503;&#12525;2020%20-%20&#25237;&#29699;&#35299;&#26512;%20-%202020-08-29%2015-56-35-05_out.mp4" TargetMode="External"/><Relationship Id="rId197" Type="http://schemas.openxmlformats.org/officeDocument/2006/relationships/hyperlink" Target="out/&#12497;&#12527;&#12503;&#12525;2020%20-%20&#25237;&#29699;&#35299;&#26512;%20-%202020-08-23%2014-08-02-08_out.mp4" TargetMode="External"/><Relationship Id="rId418" Type="http://schemas.openxmlformats.org/officeDocument/2006/relationships/hyperlink" Target="result/&#12497;&#12527;&#12503;&#12525;2020%20-%20&#25237;&#29699;&#35299;&#26512;%20-%202020-08-23%2016-03-31-09_ball.txt" TargetMode="External"/><Relationship Id="rId625" Type="http://schemas.openxmlformats.org/officeDocument/2006/relationships/hyperlink" Target="out/&#12497;&#12527;&#12503;&#12525;2020%20-%20&#25237;&#29699;&#35299;&#26512;%20-%202020-08-23%2016-32-07-03_out.mp4" TargetMode="External"/><Relationship Id="rId832" Type="http://schemas.openxmlformats.org/officeDocument/2006/relationships/hyperlink" Target="result/&#12497;&#12527;&#12503;&#12525;2020%20-%20&#25237;&#29699;&#35299;&#26512;%20-%202020-08-24%2012-08-41-08_ball.txt" TargetMode="External"/><Relationship Id="rId1048" Type="http://schemas.openxmlformats.org/officeDocument/2006/relationships/hyperlink" Target="result/&#12497;&#12527;&#12503;&#12525;2020%20-%20&#25237;&#29699;&#35299;&#26512;%20-%202020-08-24%2012-38-24-09_ball.txt" TargetMode="External"/><Relationship Id="rId1255" Type="http://schemas.openxmlformats.org/officeDocument/2006/relationships/hyperlink" Target="out/&#12497;&#12527;&#12503;&#12525;2020%20-%20&#25237;&#29699;&#35299;&#26512;%20-%202020-08-24%2013-00-20-08_out.mp4" TargetMode="External"/><Relationship Id="rId1462" Type="http://schemas.openxmlformats.org/officeDocument/2006/relationships/hyperlink" Target="result/&#12497;&#12527;&#12503;&#12525;2020%20-%20&#25237;&#29699;&#35299;&#26512;%20-%202020-08-23%2015-51-08-07_ball.txt" TargetMode="External"/><Relationship Id="rId2085" Type="http://schemas.openxmlformats.org/officeDocument/2006/relationships/hyperlink" Target="out/&#12497;&#12527;&#12503;&#12525;2020%20-%20&#25237;&#29699;&#35299;&#26512;%20-%202020-08-27%2018-21-04-01_out.mp4" TargetMode="External"/><Relationship Id="rId2292" Type="http://schemas.openxmlformats.org/officeDocument/2006/relationships/hyperlink" Target="result/&#12497;&#12527;&#12503;&#12525;2020%20-%20&#25237;&#29699;&#35299;&#26512;%20-%202020-08-29%2009-39-15-04_ball.txt" TargetMode="External"/><Relationship Id="rId2306" Type="http://schemas.openxmlformats.org/officeDocument/2006/relationships/hyperlink" Target="result/&#12497;&#12527;&#12503;&#12525;2020%20-%20&#25237;&#29699;&#35299;&#26512;%20-%202020-08-29%2009-41-06-01_ball.txt" TargetMode="External"/><Relationship Id="rId2513" Type="http://schemas.openxmlformats.org/officeDocument/2006/relationships/hyperlink" Target="out/&#12497;&#12527;&#12503;&#12525;2020%20-%20&#25237;&#29699;&#35299;&#26512;%20-%202020-08-29%2015-48-09-05_out.mp4" TargetMode="External"/><Relationship Id="rId264" Type="http://schemas.openxmlformats.org/officeDocument/2006/relationships/hyperlink" Target="result/&#12497;&#12527;&#12503;&#12525;2020%20-%20&#25237;&#29699;&#35299;&#26512;%20-%202020-08-23%2014-24-49-01_ball.txt" TargetMode="External"/><Relationship Id="rId471" Type="http://schemas.openxmlformats.org/officeDocument/2006/relationships/hyperlink" Target="out/&#12497;&#12527;&#12503;&#12525;2020%20-%20&#25237;&#29699;&#35299;&#26512;%20-%202020-08-23%2016-09-58-06_out.mp4" TargetMode="External"/><Relationship Id="rId1115" Type="http://schemas.openxmlformats.org/officeDocument/2006/relationships/hyperlink" Target="out/&#12497;&#12527;&#12503;&#12525;2020%20-%20&#25237;&#29699;&#35299;&#26512;%20-%202020-08-24%2012-46-03-00_out.mp4" TargetMode="External"/><Relationship Id="rId1322" Type="http://schemas.openxmlformats.org/officeDocument/2006/relationships/hyperlink" Target="result/&#12497;&#12527;&#12503;&#12525;2020%20-%20&#25237;&#29699;&#35299;&#26512;%20-%202020-08-24%2013-09-18-02_ball.txt" TargetMode="External"/><Relationship Id="rId1767" Type="http://schemas.openxmlformats.org/officeDocument/2006/relationships/hyperlink" Target="out/&#12497;&#12527;&#12503;&#12525;2020%20-%20&#25237;&#29699;&#35299;&#26512;%20-%202020-08-24%2012-50-30-02_out.mp4" TargetMode="External"/><Relationship Id="rId1974" Type="http://schemas.openxmlformats.org/officeDocument/2006/relationships/hyperlink" Target="result/&#12497;&#12527;&#12503;&#12525;2020%20-%20&#25237;&#29699;&#35299;&#26512;%20-%202020-08-26%2021-30-58-05_ball.txt" TargetMode="External"/><Relationship Id="rId2152" Type="http://schemas.openxmlformats.org/officeDocument/2006/relationships/hyperlink" Target="result/&#12497;&#12527;&#12503;&#12525;2020%20-%20&#25237;&#29699;&#35299;&#26512;%20-%202020-08-27%2018-26-47-04_ball.txt" TargetMode="External"/><Relationship Id="rId2597" Type="http://schemas.openxmlformats.org/officeDocument/2006/relationships/hyperlink" Target="out/&#12497;&#12527;&#12503;&#12525;2020%20-%20&#25237;&#29699;&#35299;&#26512;%20-%202020-08-29%2015-52-32-07_out.mp4" TargetMode="External"/><Relationship Id="rId2720" Type="http://schemas.openxmlformats.org/officeDocument/2006/relationships/hyperlink" Target="result/&#12497;&#12527;&#12503;&#12525;2020%20-%20&#25237;&#29699;&#35299;&#26512;%20-%202020-08-29%2016-00-15-08_ball.txt" TargetMode="External"/><Relationship Id="rId59" Type="http://schemas.openxmlformats.org/officeDocument/2006/relationships/hyperlink" Target="out/&#12497;&#12527;&#12503;&#12525;2020%20-%20&#25237;&#29699;&#35299;&#26512;%20-%202020-08-23%2011-12-45-09_out.mp4" TargetMode="External"/><Relationship Id="rId124" Type="http://schemas.openxmlformats.org/officeDocument/2006/relationships/hyperlink" Target="result/&#12497;&#12527;&#12503;&#12525;2020%20-%20&#25237;&#29699;&#35299;&#26512;%20-%202020-08-23%2014-04-47-01_ball.txt" TargetMode="External"/><Relationship Id="rId569" Type="http://schemas.openxmlformats.org/officeDocument/2006/relationships/hyperlink" Target="out/&#12497;&#12527;&#12503;&#12525;2020%20-%20&#25237;&#29699;&#35299;&#26512;%20-%202020-08-23%2016-26-58-05_out.mp4" TargetMode="External"/><Relationship Id="rId776" Type="http://schemas.openxmlformats.org/officeDocument/2006/relationships/hyperlink" Target="result/&#12497;&#12527;&#12503;&#12525;2020%20-%20&#25237;&#29699;&#35299;&#26512;%20-%202020-08-24%2012-04-51-00_ball.txt" TargetMode="External"/><Relationship Id="rId983" Type="http://schemas.openxmlformats.org/officeDocument/2006/relationships/hyperlink" Target="out/&#12497;&#12527;&#12503;&#12525;2020%20-%20&#25237;&#29699;&#35299;&#26512;%20-%202020-08-24%2012-32-08-08_out.mp4" TargetMode="External"/><Relationship Id="rId1199" Type="http://schemas.openxmlformats.org/officeDocument/2006/relationships/hyperlink" Target="out/&#12497;&#12527;&#12503;&#12525;2020%20-%20&#25237;&#29699;&#35299;&#26512;%20-%202020-08-24%2012-53-43-00_out.mp4" TargetMode="External"/><Relationship Id="rId1627" Type="http://schemas.openxmlformats.org/officeDocument/2006/relationships/hyperlink" Target="out/&#12497;&#12527;&#12503;&#12525;2020%20-%20&#25237;&#29699;&#35299;&#26512;%20-%202020-08-24%2011-25-48-08_out.mp4" TargetMode="External"/><Relationship Id="rId1834" Type="http://schemas.openxmlformats.org/officeDocument/2006/relationships/hyperlink" Target="result/&#12497;&#12527;&#12503;&#12525;2020%20-%20&#25237;&#29699;&#35299;&#26512;%20-%202020-08-24%2013-16-19-01_ball.txt" TargetMode="External"/><Relationship Id="rId2457" Type="http://schemas.openxmlformats.org/officeDocument/2006/relationships/hyperlink" Target="out/&#12497;&#12527;&#12503;&#12525;2020%20-%20&#25237;&#29699;&#35299;&#26512;%20-%202020-08-29%2015-44-12-08_out.mp4" TargetMode="External"/><Relationship Id="rId2664" Type="http://schemas.openxmlformats.org/officeDocument/2006/relationships/hyperlink" Target="result/&#12497;&#12527;&#12503;&#12525;2020%20-%20&#25237;&#29699;&#35299;&#26512;%20-%202020-08-29%2015-57-36-00_ball.txt" TargetMode="External"/><Relationship Id="rId331" Type="http://schemas.openxmlformats.org/officeDocument/2006/relationships/hyperlink" Target="out/&#12497;&#12527;&#12503;&#12525;2020%20-%20&#25237;&#29699;&#35299;&#26512;%20-%202020-08-23%2015-48-07-05_out.mp4" TargetMode="External"/><Relationship Id="rId429" Type="http://schemas.openxmlformats.org/officeDocument/2006/relationships/hyperlink" Target="out/&#12497;&#12527;&#12503;&#12525;2020%20-%20&#25237;&#29699;&#35299;&#26512;%20-%202020-08-23%2016-06-08-05_out.mp4" TargetMode="External"/><Relationship Id="rId636" Type="http://schemas.openxmlformats.org/officeDocument/2006/relationships/hyperlink" Target="result/&#12497;&#12527;&#12503;&#12525;2020%20-%20&#25237;&#29699;&#35299;&#26512;%20-%202020-08-23%2016-32-07-08_ball.txt" TargetMode="External"/><Relationship Id="rId1059" Type="http://schemas.openxmlformats.org/officeDocument/2006/relationships/hyperlink" Target="out/&#12497;&#12527;&#12503;&#12525;2020%20-%20&#25237;&#29699;&#35299;&#26512;%20-%202020-08-24%2012-39-57-05_out.mp4" TargetMode="External"/><Relationship Id="rId1266" Type="http://schemas.openxmlformats.org/officeDocument/2006/relationships/hyperlink" Target="result/&#12497;&#12527;&#12503;&#12525;2020%20-%20&#25237;&#29699;&#35299;&#26512;%20-%202020-08-24%2013-02-04-04_ball.txt" TargetMode="External"/><Relationship Id="rId1473" Type="http://schemas.openxmlformats.org/officeDocument/2006/relationships/hyperlink" Target="out/&#12497;&#12527;&#12503;&#12525;2020%20-%20&#25237;&#29699;&#35299;&#26512;%20-%202020-08-23%2015-53-39-03_out.mp4" TargetMode="External"/><Relationship Id="rId2012" Type="http://schemas.openxmlformats.org/officeDocument/2006/relationships/hyperlink" Target="result/&#12497;&#12527;&#12503;&#12525;2020%20-%20&#25237;&#29699;&#35299;&#26512;%20-%202020-08-27%2018-14-40-04_ball.txt" TargetMode="External"/><Relationship Id="rId2096" Type="http://schemas.openxmlformats.org/officeDocument/2006/relationships/hyperlink" Target="result/&#12497;&#12527;&#12503;&#12525;2020%20-%20&#25237;&#29699;&#35299;&#26512;%20-%202020-08-27%2018-21-04-06_ball.txt" TargetMode="External"/><Relationship Id="rId2317" Type="http://schemas.openxmlformats.org/officeDocument/2006/relationships/hyperlink" Target="out/&#12497;&#12527;&#12503;&#12525;2020%20-%20&#25237;&#29699;&#35299;&#26512;%20-%202020-08-29%2009-41-06-07_out.mp4" TargetMode="External"/><Relationship Id="rId843" Type="http://schemas.openxmlformats.org/officeDocument/2006/relationships/hyperlink" Target="out/&#12497;&#12527;&#12503;&#12525;2020%20-%20&#25237;&#29699;&#35299;&#26512;%20-%202020-08-24%2012-10-03-02_out.mp4" TargetMode="External"/><Relationship Id="rId1126" Type="http://schemas.openxmlformats.org/officeDocument/2006/relationships/hyperlink" Target="result/&#12497;&#12527;&#12503;&#12525;2020%20-%20&#25237;&#29699;&#35299;&#26512;%20-%202020-08-24%2012-46-03-05_ball.txt" TargetMode="External"/><Relationship Id="rId1680" Type="http://schemas.openxmlformats.org/officeDocument/2006/relationships/hyperlink" Target="result/&#12497;&#12527;&#12503;&#12525;2020%20-%20&#25237;&#29699;&#35299;&#26512;%20-%202020-08-24%2012-11-18-11_ball.txt" TargetMode="External"/><Relationship Id="rId1778" Type="http://schemas.openxmlformats.org/officeDocument/2006/relationships/hyperlink" Target="result/&#12497;&#12527;&#12503;&#12525;2020%20-%20&#25237;&#29699;&#35299;&#26512;%20-%202020-08-24%2012-55-39-06_ball.txt" TargetMode="External"/><Relationship Id="rId1901" Type="http://schemas.openxmlformats.org/officeDocument/2006/relationships/hyperlink" Target="out/&#12497;&#12527;&#12503;&#12525;2020%20-%20&#25237;&#29699;&#35299;&#26512;%20-%202020-08-26%2021-15-29-06_out.mp4" TargetMode="External"/><Relationship Id="rId1985" Type="http://schemas.openxmlformats.org/officeDocument/2006/relationships/hyperlink" Target="out/&#12497;&#12527;&#12503;&#12525;2020%20-%20&#25237;&#29699;&#35299;&#26512;%20-%202020-08-26%2021-35-18-01_out.mp4" TargetMode="External"/><Relationship Id="rId2524" Type="http://schemas.openxmlformats.org/officeDocument/2006/relationships/hyperlink" Target="result/&#12497;&#12527;&#12503;&#12525;2020%20-%20&#25237;&#29699;&#35299;&#26512;%20-%202020-08-29%2015-49-13-00_ball.txt" TargetMode="External"/><Relationship Id="rId2731" Type="http://schemas.openxmlformats.org/officeDocument/2006/relationships/hyperlink" Target="out/&#12497;&#12527;&#12503;&#12525;2020%20-%20&#25237;&#29699;&#35299;&#26512;%20-%202020-08-29%2016-01-23-04_out.mp4" TargetMode="External"/><Relationship Id="rId275" Type="http://schemas.openxmlformats.org/officeDocument/2006/relationships/hyperlink" Target="out/&#12497;&#12527;&#12503;&#12525;2020%20-%20&#25237;&#29699;&#35299;&#26512;%20-%202020-08-23%2014-24-49-07_out.mp4" TargetMode="External"/><Relationship Id="rId482" Type="http://schemas.openxmlformats.org/officeDocument/2006/relationships/hyperlink" Target="result/&#12497;&#12527;&#12503;&#12525;2020%20-%20&#25237;&#29699;&#35299;&#26512;%20-%202020-08-23%2016-12-41-01_ball.txt" TargetMode="External"/><Relationship Id="rId703" Type="http://schemas.openxmlformats.org/officeDocument/2006/relationships/hyperlink" Target="out/&#12497;&#12527;&#12503;&#12525;2020%20-%20&#25237;&#29699;&#35299;&#26512;%20-%202020-08-24%2011-25-48-03_out.mp4" TargetMode="External"/><Relationship Id="rId910" Type="http://schemas.openxmlformats.org/officeDocument/2006/relationships/hyperlink" Target="result/&#12497;&#12527;&#12503;&#12525;2020%20-%20&#25237;&#29699;&#35299;&#26512;%20-%202020-08-24%2012-22-44-01_ball.txt" TargetMode="External"/><Relationship Id="rId1333" Type="http://schemas.openxmlformats.org/officeDocument/2006/relationships/hyperlink" Target="out/&#12497;&#12527;&#12503;&#12525;2020%20-%20&#25237;&#29699;&#35299;&#26512;%20-%202020-08-24%2013-09-18-08_out.mp4" TargetMode="External"/><Relationship Id="rId1540" Type="http://schemas.openxmlformats.org/officeDocument/2006/relationships/hyperlink" Target="result/&#12497;&#12527;&#12503;&#12525;2020%20-%20&#25237;&#29699;&#35299;&#26512;%20-%202020-08-23%2016-07-35-06_ball.txt" TargetMode="External"/><Relationship Id="rId1638" Type="http://schemas.openxmlformats.org/officeDocument/2006/relationships/hyperlink" Target="result/&#12497;&#12527;&#12503;&#12525;2020%20-%20&#25237;&#29699;&#35299;&#26512;%20-%202020-08-24%2012-00-01-03_ball.txt" TargetMode="External"/><Relationship Id="rId2163" Type="http://schemas.openxmlformats.org/officeDocument/2006/relationships/hyperlink" Target="out/&#12497;&#12527;&#12503;&#12525;2020%20-%20&#25237;&#29699;&#35299;&#26512;%20-%202020-08-28%2022-31-31-00_out.mp4" TargetMode="External"/><Relationship Id="rId2370" Type="http://schemas.openxmlformats.org/officeDocument/2006/relationships/hyperlink" Target="result/&#12497;&#12527;&#12503;&#12525;2020%20-%20&#25237;&#29699;&#35299;&#26512;%20-%202020-08-29%2009-46-05-04_ball.txt" TargetMode="External"/><Relationship Id="rId135" Type="http://schemas.openxmlformats.org/officeDocument/2006/relationships/hyperlink" Target="out/&#12497;&#12527;&#12503;&#12525;2020%20-%20&#25237;&#29699;&#35299;&#26512;%20-%202020-08-23%2014-04-47-07_out.mp4" TargetMode="External"/><Relationship Id="rId342" Type="http://schemas.openxmlformats.org/officeDocument/2006/relationships/hyperlink" Target="result/&#12497;&#12527;&#12503;&#12525;2020%20-%20&#25237;&#29699;&#35299;&#26512;%20-%202020-08-23%2015-49-19-00_ball.txt" TargetMode="External"/><Relationship Id="rId787" Type="http://schemas.openxmlformats.org/officeDocument/2006/relationships/hyperlink" Target="out/&#12497;&#12527;&#12503;&#12525;2020%20-%20&#25237;&#29699;&#35299;&#26512;%20-%202020-08-24%2012-04-51-06_out.mp4" TargetMode="External"/><Relationship Id="rId994" Type="http://schemas.openxmlformats.org/officeDocument/2006/relationships/hyperlink" Target="result/&#12497;&#12527;&#12503;&#12525;2020%20-%20&#25237;&#29699;&#35299;&#26512;%20-%202020-08-24%2012-33-48-03_ball.txt" TargetMode="External"/><Relationship Id="rId1400" Type="http://schemas.openxmlformats.org/officeDocument/2006/relationships/hyperlink" Target="result/&#12497;&#12527;&#12503;&#12525;2020%20-%20&#25237;&#29699;&#35299;&#26512;%20-%202020-08-23%2014-18-29-05_ball.txt" TargetMode="External"/><Relationship Id="rId1845" Type="http://schemas.openxmlformats.org/officeDocument/2006/relationships/hyperlink" Target="out/&#12497;&#12527;&#12503;&#12525;2020%20-%20&#25237;&#29699;&#35299;&#26512;%20-%202020-08-24%2013-16-19-07_out.mp4" TargetMode="External"/><Relationship Id="rId2023" Type="http://schemas.openxmlformats.org/officeDocument/2006/relationships/hyperlink" Target="out/&#12497;&#12527;&#12503;&#12525;2020%20-%20&#25237;&#29699;&#35299;&#26512;%20-%202020-08-27%2018-16-14-00_out.mp4" TargetMode="External"/><Relationship Id="rId2230" Type="http://schemas.openxmlformats.org/officeDocument/2006/relationships/hyperlink" Target="result/&#12497;&#12527;&#12503;&#12525;2020%20-%20&#25237;&#29699;&#35299;&#26512;%20-%202020-08-28%2022-36-12-03_ball.txt" TargetMode="External"/><Relationship Id="rId2468" Type="http://schemas.openxmlformats.org/officeDocument/2006/relationships/hyperlink" Target="result/&#12497;&#12527;&#12503;&#12525;2020%20-%20&#25237;&#29699;&#35299;&#26512;%20-%202020-08-29%2015-45-22-02_ball.txt" TargetMode="External"/><Relationship Id="rId2675" Type="http://schemas.openxmlformats.org/officeDocument/2006/relationships/hyperlink" Target="out/&#12497;&#12527;&#12503;&#12525;2020%20-%20&#25237;&#29699;&#35299;&#26512;%20-%202020-08-29%2015-57-36-06_out.mp4" TargetMode="External"/><Relationship Id="rId202" Type="http://schemas.openxmlformats.org/officeDocument/2006/relationships/hyperlink" Target="result/&#12497;&#12527;&#12503;&#12525;2020%20-%20&#25237;&#29699;&#35299;&#26512;%20-%202020-08-23%2014-19-33-00_ball.txt" TargetMode="External"/><Relationship Id="rId647" Type="http://schemas.openxmlformats.org/officeDocument/2006/relationships/hyperlink" Target="out/&#12497;&#12527;&#12503;&#12525;2020%20-%20&#25237;&#29699;&#35299;&#26512;%20-%202020-08-23%2016-33-27-04_out.mp4" TargetMode="External"/><Relationship Id="rId854" Type="http://schemas.openxmlformats.org/officeDocument/2006/relationships/hyperlink" Target="result/&#12497;&#12527;&#12503;&#12525;2020%20-%20&#25237;&#29699;&#35299;&#26512;%20-%202020-08-24%2012-10-03-07_ball.txt" TargetMode="External"/><Relationship Id="rId1277" Type="http://schemas.openxmlformats.org/officeDocument/2006/relationships/hyperlink" Target="out/&#12497;&#12527;&#12503;&#12525;2020%20-%20&#25237;&#29699;&#35299;&#26512;%20-%202020-08-24%2013-03-51-00_out.mp4" TargetMode="External"/><Relationship Id="rId1484" Type="http://schemas.openxmlformats.org/officeDocument/2006/relationships/hyperlink" Target="result/&#12497;&#12527;&#12503;&#12525;2020%20-%20&#25237;&#29699;&#35299;&#26512;%20-%202020-08-23%2015-53-39-08_ball.txt" TargetMode="External"/><Relationship Id="rId1691" Type="http://schemas.openxmlformats.org/officeDocument/2006/relationships/hyperlink" Target="out/&#12497;&#12527;&#12503;&#12525;2020%20-%20&#25237;&#29699;&#35299;&#26512;%20-%202020-08-24%2012-24-03-00_out.mp4" TargetMode="External"/><Relationship Id="rId1705" Type="http://schemas.openxmlformats.org/officeDocument/2006/relationships/hyperlink" Target="out/&#12497;&#12527;&#12503;&#12525;2020%20-%20&#25237;&#29699;&#35299;&#26512;%20-%202020-08-24%2012-28-05-04_out.mp4" TargetMode="External"/><Relationship Id="rId1912" Type="http://schemas.openxmlformats.org/officeDocument/2006/relationships/hyperlink" Target="result/&#12497;&#12527;&#12503;&#12525;2020%20-%20&#25237;&#29699;&#35299;&#26512;%20-%202020-08-26%2021-17-48-01_ball.txt" TargetMode="External"/><Relationship Id="rId2328" Type="http://schemas.openxmlformats.org/officeDocument/2006/relationships/hyperlink" Target="result/&#12497;&#12527;&#12503;&#12525;2020%20-%20&#25237;&#29699;&#35299;&#26512;%20-%202020-08-29%2009-42-48-02_ball.txt" TargetMode="External"/><Relationship Id="rId2535" Type="http://schemas.openxmlformats.org/officeDocument/2006/relationships/hyperlink" Target="out/&#12497;&#12527;&#12503;&#12525;2020%20-%20&#25237;&#29699;&#35299;&#26512;%20-%202020-08-29%2015-49-13-06_out.mp4" TargetMode="External"/><Relationship Id="rId2742" Type="http://schemas.openxmlformats.org/officeDocument/2006/relationships/hyperlink" Target="result/&#12497;&#12527;&#12503;&#12525;2020%20-%20&#25237;&#29699;&#35299;&#26512;%20-%202020-08-29%2016-01-23-09_ball.txt" TargetMode="External"/><Relationship Id="rId286" Type="http://schemas.openxmlformats.org/officeDocument/2006/relationships/hyperlink" Target="result/&#12497;&#12527;&#12503;&#12525;2020%20-%20&#25237;&#29699;&#35299;&#26512;%20-%202020-08-23%2014-25-58-02_ball.txt" TargetMode="External"/><Relationship Id="rId493" Type="http://schemas.openxmlformats.org/officeDocument/2006/relationships/hyperlink" Target="out/&#12497;&#12527;&#12503;&#12525;2020%20-%20&#25237;&#29699;&#35299;&#26512;%20-%202020-08-23%2016-12-41-07_out.mp4" TargetMode="External"/><Relationship Id="rId507" Type="http://schemas.openxmlformats.org/officeDocument/2006/relationships/hyperlink" Target="out/&#12497;&#12527;&#12503;&#12525;2020%20-%20&#25237;&#29699;&#35299;&#26512;%20-%202020-08-23%2016-13-55-04_out.mp4" TargetMode="External"/><Relationship Id="rId714" Type="http://schemas.openxmlformats.org/officeDocument/2006/relationships/hyperlink" Target="result/&#12497;&#12527;&#12503;&#12525;2020%20-%20&#25237;&#29699;&#35299;&#26512;%20-%202020-08-24%2012-00-01-06_ball.txt" TargetMode="External"/><Relationship Id="rId921" Type="http://schemas.openxmlformats.org/officeDocument/2006/relationships/hyperlink" Target="out/&#12497;&#12527;&#12503;&#12525;2020%20-%20&#25237;&#29699;&#35299;&#26512;%20-%202020-08-24%2012-24-03-06_out.mp4" TargetMode="External"/><Relationship Id="rId1137" Type="http://schemas.openxmlformats.org/officeDocument/2006/relationships/hyperlink" Target="out/&#12497;&#12527;&#12503;&#12525;2020%20-%20&#25237;&#29699;&#35299;&#26512;%20-%202020-08-24%2012-46-03-11_out.mp4" TargetMode="External"/><Relationship Id="rId1344" Type="http://schemas.openxmlformats.org/officeDocument/2006/relationships/hyperlink" Target="result/&#12497;&#12527;&#12503;&#12525;2020%20-%20&#25237;&#29699;&#35299;&#26512;%20-%202020-08-24%2013-14-19-00_ball.txt" TargetMode="External"/><Relationship Id="rId1551" Type="http://schemas.openxmlformats.org/officeDocument/2006/relationships/hyperlink" Target="out/&#12497;&#12527;&#12503;&#12525;2020%20-%20&#25237;&#29699;&#35299;&#26512;%20-%202020-08-23%2016-11-33-02_out.mp4" TargetMode="External"/><Relationship Id="rId1789" Type="http://schemas.openxmlformats.org/officeDocument/2006/relationships/hyperlink" Target="out/&#12497;&#12527;&#12503;&#12525;2020%20-%20&#25237;&#29699;&#35299;&#26512;%20-%202020-08-24%2012-58-52-02_out.mp4" TargetMode="External"/><Relationship Id="rId1996" Type="http://schemas.openxmlformats.org/officeDocument/2006/relationships/hyperlink" Target="result/&#12497;&#12527;&#12503;&#12525;2020%20-%20&#25237;&#29699;&#35299;&#26512;%20-%202020-08-26%2021-35-18-06_ball.txt" TargetMode="External"/><Relationship Id="rId2174" Type="http://schemas.openxmlformats.org/officeDocument/2006/relationships/hyperlink" Target="result/&#12497;&#12527;&#12503;&#12525;2020%20-%20&#25237;&#29699;&#35299;&#26512;%20-%202020-08-28%2022-31-31-05_ball.txt" TargetMode="External"/><Relationship Id="rId2381" Type="http://schemas.openxmlformats.org/officeDocument/2006/relationships/hyperlink" Target="out/&#12497;&#12527;&#12503;&#12525;2020%20-%20&#25237;&#29699;&#35299;&#26512;%20-%202020-08-29%2009-48-04-00_out.mp4" TargetMode="External"/><Relationship Id="rId2602" Type="http://schemas.openxmlformats.org/officeDocument/2006/relationships/hyperlink" Target="result/&#12497;&#12527;&#12503;&#12525;2020%20-%20&#25237;&#29699;&#35299;&#26512;%20-%202020-08-29%2015-52-32-09_ball.txt" TargetMode="External"/><Relationship Id="rId50" Type="http://schemas.openxmlformats.org/officeDocument/2006/relationships/hyperlink" Target="result/&#12497;&#12527;&#12503;&#12525;2020%20-%20&#25237;&#29699;&#35299;&#26512;%20-%202020-08-23%2011-12-45-04_ball.txt" TargetMode="External"/><Relationship Id="rId146" Type="http://schemas.openxmlformats.org/officeDocument/2006/relationships/hyperlink" Target="result/&#12497;&#12527;&#12503;&#12525;2020%20-%20&#25237;&#29699;&#35299;&#26512;%20-%202020-08-23%2014-05-50-02_ball.txt" TargetMode="External"/><Relationship Id="rId353" Type="http://schemas.openxmlformats.org/officeDocument/2006/relationships/hyperlink" Target="out/&#12497;&#12527;&#12503;&#12525;2020%20-%20&#25237;&#29699;&#35299;&#26512;%20-%202020-08-23%2015-49-19-06_out.mp4" TargetMode="External"/><Relationship Id="rId560" Type="http://schemas.openxmlformats.org/officeDocument/2006/relationships/hyperlink" Target="result/&#12497;&#12527;&#12503;&#12525;2020%20-%20&#25237;&#29699;&#35299;&#26512;%20-%202020-08-23%2016-26-58-00_ball.txt" TargetMode="External"/><Relationship Id="rId798" Type="http://schemas.openxmlformats.org/officeDocument/2006/relationships/hyperlink" Target="result/&#12497;&#12527;&#12503;&#12525;2020%20-%20&#25237;&#29699;&#35299;&#26512;%20-%202020-08-24%2012-07-26-01_ball.txt" TargetMode="External"/><Relationship Id="rId1190" Type="http://schemas.openxmlformats.org/officeDocument/2006/relationships/hyperlink" Target="result/&#12497;&#12527;&#12503;&#12525;2020%20-%20&#25237;&#29699;&#35299;&#26512;%20-%202020-08-24%2012-52-05-05_ball.txt" TargetMode="External"/><Relationship Id="rId1204" Type="http://schemas.openxmlformats.org/officeDocument/2006/relationships/hyperlink" Target="result/&#12497;&#12527;&#12503;&#12525;2020%20-%20&#25237;&#29699;&#35299;&#26512;%20-%202020-08-24%2012-53-43-02_ball.txt" TargetMode="External"/><Relationship Id="rId1411" Type="http://schemas.openxmlformats.org/officeDocument/2006/relationships/hyperlink" Target="out/&#12497;&#12527;&#12503;&#12525;2020%20-%20&#25237;&#29699;&#35299;&#26512;%20-%202020-08-23%2014-22-38-01_out.mp4" TargetMode="External"/><Relationship Id="rId1649" Type="http://schemas.openxmlformats.org/officeDocument/2006/relationships/hyperlink" Target="out/&#12497;&#12527;&#12503;&#12525;2020%20-%20&#25237;&#29699;&#35299;&#26512;%20-%202020-08-24%2012-06-16-00_out.mp4" TargetMode="External"/><Relationship Id="rId1856" Type="http://schemas.openxmlformats.org/officeDocument/2006/relationships/hyperlink" Target="result/&#12497;&#12527;&#12503;&#12525;2020%20-%20&#25237;&#29699;&#35299;&#26512;%20-%202020-08-24%2013-17-56-03_ball.txt" TargetMode="External"/><Relationship Id="rId2034" Type="http://schemas.openxmlformats.org/officeDocument/2006/relationships/hyperlink" Target="result/&#12497;&#12527;&#12503;&#12525;2020%20-%20&#25237;&#29699;&#35299;&#26512;%20-%202020-08-27%2018-16-14-05_ball.txt" TargetMode="External"/><Relationship Id="rId2241" Type="http://schemas.openxmlformats.org/officeDocument/2006/relationships/hyperlink" Target="out/&#12497;&#12527;&#12503;&#12525;2020%20-%20&#25237;&#29699;&#35299;&#26512;%20-%202020-08-28%2022-36-12-09_out.mp4" TargetMode="External"/><Relationship Id="rId2479" Type="http://schemas.openxmlformats.org/officeDocument/2006/relationships/hyperlink" Target="out/&#12497;&#12527;&#12503;&#12525;2020%20-%20&#25237;&#29699;&#35299;&#26512;%20-%202020-08-29%2015-45-22-08_out.mp4" TargetMode="External"/><Relationship Id="rId2686" Type="http://schemas.openxmlformats.org/officeDocument/2006/relationships/hyperlink" Target="result/&#12497;&#12527;&#12503;&#12525;2020%20-%20&#25237;&#29699;&#35299;&#26512;%20-%202020-08-29%2015-58-43-01_ball.txt" TargetMode="External"/><Relationship Id="rId213" Type="http://schemas.openxmlformats.org/officeDocument/2006/relationships/hyperlink" Target="out/&#12497;&#12527;&#12503;&#12525;2020%20-%20&#25237;&#29699;&#35299;&#26512;%20-%202020-08-23%2014-19-33-06_out.mp4" TargetMode="External"/><Relationship Id="rId420" Type="http://schemas.openxmlformats.org/officeDocument/2006/relationships/hyperlink" Target="result/&#12497;&#12527;&#12503;&#12525;2020%20-%20&#25237;&#29699;&#35299;&#26512;%20-%202020-08-23%2016-06-08-00_ball.txt" TargetMode="External"/><Relationship Id="rId658" Type="http://schemas.openxmlformats.org/officeDocument/2006/relationships/hyperlink" Target="result/&#12497;&#12527;&#12503;&#12525;2020%20-%20&#25237;&#29699;&#35299;&#26512;%20-%202020-08-24%2011-23-23-00_ball.txt" TargetMode="External"/><Relationship Id="rId865" Type="http://schemas.openxmlformats.org/officeDocument/2006/relationships/hyperlink" Target="out/&#12497;&#12527;&#12503;&#12525;2020%20-%20&#25237;&#29699;&#35299;&#26512;%20-%202020-08-24%2012-11-18-13_out.mp4" TargetMode="External"/><Relationship Id="rId1050" Type="http://schemas.openxmlformats.org/officeDocument/2006/relationships/hyperlink" Target="result/&#12497;&#12527;&#12503;&#12525;2020%20-%20&#25237;&#29699;&#35299;&#26512;%20-%202020-08-24%2012-39-57-00_ball.txt" TargetMode="External"/><Relationship Id="rId1288" Type="http://schemas.openxmlformats.org/officeDocument/2006/relationships/hyperlink" Target="result/&#12497;&#12527;&#12503;&#12525;2020%20-%20&#25237;&#29699;&#35299;&#26512;%20-%202020-08-24%2013-03-51-05_ball.txt" TargetMode="External"/><Relationship Id="rId1495" Type="http://schemas.openxmlformats.org/officeDocument/2006/relationships/hyperlink" Target="out/&#12497;&#12527;&#12503;&#12525;2020%20-%20&#25237;&#29699;&#35299;&#26512;%20-%202020-08-23%2015-56-09-04_out.mp4" TargetMode="External"/><Relationship Id="rId1509" Type="http://schemas.openxmlformats.org/officeDocument/2006/relationships/hyperlink" Target="out/&#12497;&#12527;&#12503;&#12525;2020%20-%20&#25237;&#29699;&#35299;&#26512;%20-%202020-08-23%2016-04-57-01_out.mp4" TargetMode="External"/><Relationship Id="rId1716" Type="http://schemas.openxmlformats.org/officeDocument/2006/relationships/hyperlink" Target="result/&#12497;&#12527;&#12503;&#12525;2020%20-%20&#25237;&#29699;&#35299;&#26512;%20-%202020-08-24%2012-28-05-09_ball.txt" TargetMode="External"/><Relationship Id="rId1923" Type="http://schemas.openxmlformats.org/officeDocument/2006/relationships/hyperlink" Target="out/&#12497;&#12527;&#12503;&#12525;2020%20-%20&#25237;&#29699;&#35299;&#26512;%20-%202020-08-26%2021-19-02-00_out.mp4" TargetMode="External"/><Relationship Id="rId2101" Type="http://schemas.openxmlformats.org/officeDocument/2006/relationships/hyperlink" Target="out/&#12497;&#12527;&#12503;&#12525;2020%20-%20&#25237;&#29699;&#35299;&#26512;%20-%202020-08-27%2018-21-04-09_out.mp4" TargetMode="External"/><Relationship Id="rId2339" Type="http://schemas.openxmlformats.org/officeDocument/2006/relationships/hyperlink" Target="out/&#12497;&#12527;&#12503;&#12525;2020%20-%20&#25237;&#29699;&#35299;&#26512;%20-%202020-08-29%2009-42-48-08_out.mp4" TargetMode="External"/><Relationship Id="rId2546" Type="http://schemas.openxmlformats.org/officeDocument/2006/relationships/hyperlink" Target="result/&#12497;&#12527;&#12503;&#12525;2020%20-%20&#25237;&#29699;&#35299;&#26512;%20-%202020-08-29%2015-50-19-01_ball.txt" TargetMode="External"/><Relationship Id="rId2753" Type="http://schemas.openxmlformats.org/officeDocument/2006/relationships/hyperlink" Target="out/&#12497;&#12527;&#12503;&#12525;2020%20-%20&#25237;&#29699;&#35299;&#26512;%20-%202020-08-29%2016-06-51-05_out.mp4" TargetMode="External"/><Relationship Id="rId297" Type="http://schemas.openxmlformats.org/officeDocument/2006/relationships/hyperlink" Target="out/&#12497;&#12527;&#12503;&#12525;2020%20-%20&#25237;&#29699;&#35299;&#26512;%20-%202020-08-23%2014-25-58-08_out.mp4" TargetMode="External"/><Relationship Id="rId518" Type="http://schemas.openxmlformats.org/officeDocument/2006/relationships/hyperlink" Target="result/&#12497;&#12527;&#12503;&#12525;2020%20-%20&#25237;&#29699;&#35299;&#26512;%20-%202020-08-23%2016-13-55-09_ball.txt" TargetMode="External"/><Relationship Id="rId725" Type="http://schemas.openxmlformats.org/officeDocument/2006/relationships/hyperlink" Target="out/&#12497;&#12527;&#12503;&#12525;2020%20-%20&#25237;&#29699;&#35299;&#26512;%20-%202020-08-24%2012-01-04-04_out.mp4" TargetMode="External"/><Relationship Id="rId932" Type="http://schemas.openxmlformats.org/officeDocument/2006/relationships/hyperlink" Target="result/&#12497;&#12527;&#12503;&#12525;2020%20-%20&#25237;&#29699;&#35299;&#26512;%20-%202020-08-24%2012-25-33-01_ball.txt" TargetMode="External"/><Relationship Id="rId1148" Type="http://schemas.openxmlformats.org/officeDocument/2006/relationships/hyperlink" Target="result/&#12497;&#12527;&#12503;&#12525;2020%20-%20&#25237;&#29699;&#35299;&#26512;%20-%202020-08-24%2012-47-45-01_ball.txt" TargetMode="External"/><Relationship Id="rId1355" Type="http://schemas.openxmlformats.org/officeDocument/2006/relationships/hyperlink" Target="out/&#12497;&#12527;&#12503;&#12525;2020%20-%20&#25237;&#29699;&#35299;&#26512;%20-%202020-08-23%2011-08-57-03_out.mp4" TargetMode="External"/><Relationship Id="rId1562" Type="http://schemas.openxmlformats.org/officeDocument/2006/relationships/hyperlink" Target="result/&#12497;&#12527;&#12503;&#12525;2020%20-%20&#25237;&#29699;&#35299;&#26512;%20-%202020-08-23%2016-11-33-07_ball.txt" TargetMode="External"/><Relationship Id="rId2185" Type="http://schemas.openxmlformats.org/officeDocument/2006/relationships/hyperlink" Target="out/&#12497;&#12527;&#12503;&#12525;2020%20-%20&#25237;&#29699;&#35299;&#26512;%20-%202020-08-28%2022-33-04-01_out.mp4" TargetMode="External"/><Relationship Id="rId2392" Type="http://schemas.openxmlformats.org/officeDocument/2006/relationships/hyperlink" Target="result/&#12497;&#12527;&#12503;&#12525;2020%20-%20&#25237;&#29699;&#35299;&#26512;%20-%202020-08-29%2009-48-04-05_ball.txt" TargetMode="External"/><Relationship Id="rId2406" Type="http://schemas.openxmlformats.org/officeDocument/2006/relationships/hyperlink" Target="result/&#12497;&#12527;&#12503;&#12525;2020%20-%20&#25237;&#29699;&#35299;&#26512;%20-%202020-08-29%2009-49-52-02_ball.txt" TargetMode="External"/><Relationship Id="rId2613" Type="http://schemas.openxmlformats.org/officeDocument/2006/relationships/hyperlink" Target="out/&#12497;&#12527;&#12503;&#12525;2020%20-%20&#25237;&#29699;&#35299;&#26512;%20-%202020-08-29%2015-53-40-05_out.mp4" TargetMode="External"/><Relationship Id="rId157" Type="http://schemas.openxmlformats.org/officeDocument/2006/relationships/hyperlink" Target="out/&#12497;&#12527;&#12503;&#12525;2020%20-%20&#25237;&#29699;&#35299;&#26512;%20-%202020-08-23%2014-05-50-08_out.mp4" TargetMode="External"/><Relationship Id="rId364" Type="http://schemas.openxmlformats.org/officeDocument/2006/relationships/hyperlink" Target="result/&#12497;&#12527;&#12503;&#12525;2020%20-%20&#25237;&#29699;&#35299;&#26512;%20-%202020-08-23%2015-52-13-01_ball.txt" TargetMode="External"/><Relationship Id="rId1008" Type="http://schemas.openxmlformats.org/officeDocument/2006/relationships/hyperlink" Target="result/&#12497;&#12527;&#12503;&#12525;2020%20-%20&#25237;&#29699;&#35299;&#26512;%20-%202020-08-24%2012-35-33-00_ball.txt" TargetMode="External"/><Relationship Id="rId1215" Type="http://schemas.openxmlformats.org/officeDocument/2006/relationships/hyperlink" Target="out/&#12497;&#12527;&#12503;&#12525;2020%20-%20&#25237;&#29699;&#35299;&#26512;%20-%202020-08-24%2012-53-43-08_out.mp4" TargetMode="External"/><Relationship Id="rId1422" Type="http://schemas.openxmlformats.org/officeDocument/2006/relationships/hyperlink" Target="result/&#12497;&#12527;&#12503;&#12525;2020%20-%20&#25237;&#29699;&#35299;&#26512;%20-%202020-08-23%2014-22-38-06_ball.txt" TargetMode="External"/><Relationship Id="rId1867" Type="http://schemas.openxmlformats.org/officeDocument/2006/relationships/hyperlink" Target="out/&#12497;&#12527;&#12503;&#12525;2020%20-%20&#25237;&#29699;&#35299;&#26512;%20-%202020-08-24%2013-17-56-09_out.mp4" TargetMode="External"/><Relationship Id="rId2045" Type="http://schemas.openxmlformats.org/officeDocument/2006/relationships/hyperlink" Target="out/&#12497;&#12527;&#12503;&#12525;2020%20-%20&#25237;&#29699;&#35299;&#26512;%20-%202020-08-27%2018-17-46-01_out.mp4" TargetMode="External"/><Relationship Id="rId2697" Type="http://schemas.openxmlformats.org/officeDocument/2006/relationships/hyperlink" Target="out/&#12497;&#12527;&#12503;&#12525;2020%20-%20&#25237;&#29699;&#35299;&#26512;%20-%202020-08-29%2015-58-43-07_out.mp4" TargetMode="External"/><Relationship Id="rId61" Type="http://schemas.openxmlformats.org/officeDocument/2006/relationships/hyperlink" Target="out/&#12497;&#12527;&#12503;&#12525;2020%20-%20&#25237;&#29699;&#35299;&#26512;%20-%202020-08-23%2011-13-59-00_out.mp4" TargetMode="External"/><Relationship Id="rId571" Type="http://schemas.openxmlformats.org/officeDocument/2006/relationships/hyperlink" Target="out/&#12497;&#12527;&#12503;&#12525;2020%20-%20&#25237;&#29699;&#35299;&#26512;%20-%202020-08-23%2016-26-58-06_out.mp4" TargetMode="External"/><Relationship Id="rId669" Type="http://schemas.openxmlformats.org/officeDocument/2006/relationships/hyperlink" Target="out/&#12497;&#12527;&#12503;&#12525;2020%20-%20&#25237;&#29699;&#35299;&#26512;%20-%202020-08-24%2011-23-23-06_out.mp4" TargetMode="External"/><Relationship Id="rId876" Type="http://schemas.openxmlformats.org/officeDocument/2006/relationships/hyperlink" Target="result/&#12497;&#12527;&#12503;&#12525;2020%20-%20&#25237;&#29699;&#35299;&#26512;%20-%202020-08-24%2012-12-56-04_ball.txt" TargetMode="External"/><Relationship Id="rId1299" Type="http://schemas.openxmlformats.org/officeDocument/2006/relationships/hyperlink" Target="out/&#12497;&#12527;&#12503;&#12525;2020%20-%20&#25237;&#29699;&#35299;&#26512;%20-%202020-08-24%2013-07-27-00_out.mp4" TargetMode="External"/><Relationship Id="rId1727" Type="http://schemas.openxmlformats.org/officeDocument/2006/relationships/hyperlink" Target="out/&#12497;&#12527;&#12503;&#12525;2020%20-%20&#25237;&#29699;&#35299;&#26512;%20-%202020-08-24%2012-36-56-01_out.mp4" TargetMode="External"/><Relationship Id="rId1934" Type="http://schemas.openxmlformats.org/officeDocument/2006/relationships/hyperlink" Target="result/&#12497;&#12527;&#12503;&#12525;2020%20-%20&#25237;&#29699;&#35299;&#26512;%20-%202020-08-26%2021-19-02-05_ball.txt" TargetMode="External"/><Relationship Id="rId2252" Type="http://schemas.openxmlformats.org/officeDocument/2006/relationships/hyperlink" Target="result/&#12497;&#12527;&#12503;&#12525;2020%20-%20&#25237;&#29699;&#35299;&#26512;%20-%202020-08-28%2022-37-55-04_ball.txt" TargetMode="External"/><Relationship Id="rId2557" Type="http://schemas.openxmlformats.org/officeDocument/2006/relationships/hyperlink" Target="out/&#12497;&#12527;&#12503;&#12525;2020%20-%20&#25237;&#29699;&#35299;&#26512;%20-%202020-08-29%2015-50-19-07_out.mp4" TargetMode="External"/><Relationship Id="rId19" Type="http://schemas.openxmlformats.org/officeDocument/2006/relationships/hyperlink" Target="out/&#12497;&#12527;&#12503;&#12525;2020%20-%20&#25237;&#29699;&#35299;&#26512;%20-%202020-08-23%2011-10-26-09_out.mp4" TargetMode="External"/><Relationship Id="rId224" Type="http://schemas.openxmlformats.org/officeDocument/2006/relationships/hyperlink" Target="result/&#12497;&#12527;&#12503;&#12525;2020%20-%20&#25237;&#29699;&#35299;&#26512;%20-%202020-08-23%2014-21-04-01_ball.txt" TargetMode="External"/><Relationship Id="rId431" Type="http://schemas.openxmlformats.org/officeDocument/2006/relationships/hyperlink" Target="out/&#12497;&#12527;&#12503;&#12525;2020%20-%20&#25237;&#29699;&#35299;&#26512;%20-%202020-08-23%2016-06-08-06_out.mp4" TargetMode="External"/><Relationship Id="rId529" Type="http://schemas.openxmlformats.org/officeDocument/2006/relationships/hyperlink" Target="out/&#12497;&#12527;&#12503;&#12525;2020%20-%20&#25237;&#29699;&#35299;&#26512;%20-%202020-08-23%2016-15-07-05_out.mp4" TargetMode="External"/><Relationship Id="rId736" Type="http://schemas.openxmlformats.org/officeDocument/2006/relationships/hyperlink" Target="result/&#12497;&#12527;&#12503;&#12525;2020%20-%20&#25237;&#29699;&#35299;&#26512;%20-%202020-08-24%2012-02-12-00_ball.txt" TargetMode="External"/><Relationship Id="rId1061" Type="http://schemas.openxmlformats.org/officeDocument/2006/relationships/hyperlink" Target="out/&#12497;&#12527;&#12503;&#12525;2020%20-%20&#25237;&#29699;&#35299;&#26512;%20-%202020-08-24%2012-39-57-06_out.mp4" TargetMode="External"/><Relationship Id="rId1159" Type="http://schemas.openxmlformats.org/officeDocument/2006/relationships/hyperlink" Target="out/&#12497;&#12527;&#12503;&#12525;2020%20-%20&#25237;&#29699;&#35299;&#26512;%20-%202020-08-24%2012-47-45-07_out.mp4" TargetMode="External"/><Relationship Id="rId1366" Type="http://schemas.openxmlformats.org/officeDocument/2006/relationships/hyperlink" Target="result/&#12497;&#12527;&#12503;&#12525;2020%20-%20&#25237;&#29699;&#35299;&#26512;%20-%202020-08-23%2011-08-57-08_ball.txt" TargetMode="External"/><Relationship Id="rId2112" Type="http://schemas.openxmlformats.org/officeDocument/2006/relationships/hyperlink" Target="result/&#12497;&#12527;&#12503;&#12525;2020%20-%20&#25237;&#29699;&#35299;&#26512;%20-%202020-08-27%2018-22-42-04_ball.txt" TargetMode="External"/><Relationship Id="rId2196" Type="http://schemas.openxmlformats.org/officeDocument/2006/relationships/hyperlink" Target="result/&#12497;&#12527;&#12503;&#12525;2020%20-%20&#25237;&#29699;&#35299;&#26512;%20-%202020-08-28%2022-33-04-06_ball.txt" TargetMode="External"/><Relationship Id="rId2417" Type="http://schemas.openxmlformats.org/officeDocument/2006/relationships/hyperlink" Target="out/&#12497;&#12527;&#12503;&#12525;2020%20-%20&#25237;&#29699;&#35299;&#26512;%20-%202020-08-29%2009-49-52-08_out.mp4" TargetMode="External"/><Relationship Id="rId2764" Type="http://schemas.openxmlformats.org/officeDocument/2006/relationships/hyperlink" Target="result/&#25237;&#29699;&#35299;&#26512;%20-%20&#12497;&#12527;&#12503;&#12525;2020%20-%202020-09-08%2023-37-52-00_ball.txt" TargetMode="External"/><Relationship Id="rId168" Type="http://schemas.openxmlformats.org/officeDocument/2006/relationships/hyperlink" Target="result/&#12497;&#12527;&#12503;&#12525;2020%20-%20&#25237;&#29699;&#35299;&#26512;%20-%202020-08-23%2014-06-56-03_ball.txt" TargetMode="External"/><Relationship Id="rId943" Type="http://schemas.openxmlformats.org/officeDocument/2006/relationships/hyperlink" Target="out/&#12497;&#12527;&#12503;&#12525;2020%20-%20&#25237;&#29699;&#35299;&#26512;%20-%202020-08-24%2012-25-33-07_out.mp4" TargetMode="External"/><Relationship Id="rId1019" Type="http://schemas.openxmlformats.org/officeDocument/2006/relationships/hyperlink" Target="out/&#12497;&#12527;&#12503;&#12525;2020%20-%20&#25237;&#29699;&#35299;&#26512;%20-%202020-08-24%2012-35-33-06_out.mp4" TargetMode="External"/><Relationship Id="rId1573" Type="http://schemas.openxmlformats.org/officeDocument/2006/relationships/hyperlink" Target="out/&#12497;&#12527;&#12503;&#12525;2020%20-%20&#25237;&#29699;&#35299;&#26512;%20-%202020-08-23%2016-24-41-03_out.mp4" TargetMode="External"/><Relationship Id="rId1780" Type="http://schemas.openxmlformats.org/officeDocument/2006/relationships/hyperlink" Target="result/&#12497;&#12527;&#12503;&#12525;2020%20-%20&#25237;&#29699;&#35299;&#26512;%20-%202020-08-24%2012-55-39-07_ball.txt" TargetMode="External"/><Relationship Id="rId1878" Type="http://schemas.openxmlformats.org/officeDocument/2006/relationships/hyperlink" Target="result/&#12497;&#12527;&#12503;&#12525;2020%20-%20&#25237;&#29699;&#35299;&#26512;%20-%202020-08-24%2013-20-06-04_ball.txt" TargetMode="External"/><Relationship Id="rId2624" Type="http://schemas.openxmlformats.org/officeDocument/2006/relationships/hyperlink" Target="result/&#12497;&#12527;&#12503;&#12525;2020%20-%20&#25237;&#29699;&#35299;&#26512;%20-%202020-08-29%2015-55-24-00_ball.txt" TargetMode="External"/><Relationship Id="rId72" Type="http://schemas.openxmlformats.org/officeDocument/2006/relationships/hyperlink" Target="result/&#12497;&#12527;&#12503;&#12525;2020%20-%20&#25237;&#29699;&#35299;&#26512;%20-%202020-08-23%2011-13-59-05_ball.txt" TargetMode="External"/><Relationship Id="rId375" Type="http://schemas.openxmlformats.org/officeDocument/2006/relationships/hyperlink" Target="out/&#12497;&#12527;&#12503;&#12525;2020%20-%20&#25237;&#29699;&#35299;&#26512;%20-%202020-08-23%2015-52-13-07_out.mp4" TargetMode="External"/><Relationship Id="rId582" Type="http://schemas.openxmlformats.org/officeDocument/2006/relationships/hyperlink" Target="result/&#12497;&#12527;&#12503;&#12525;2020%20-%20&#25237;&#29699;&#35299;&#26512;%20-%202020-08-23%2016-28-07-01_ball.txt" TargetMode="External"/><Relationship Id="rId803" Type="http://schemas.openxmlformats.org/officeDocument/2006/relationships/hyperlink" Target="out/&#12497;&#12527;&#12503;&#12525;2020%20-%20&#25237;&#29699;&#35299;&#26512;%20-%202020-08-24%2012-07-26-04_out.mp4" TargetMode="External"/><Relationship Id="rId1226" Type="http://schemas.openxmlformats.org/officeDocument/2006/relationships/hyperlink" Target="result/&#12497;&#12527;&#12503;&#12525;2020%20-%20&#25237;&#29699;&#35299;&#26512;%20-%202020-08-24%2012-55-39-03_ball.txt" TargetMode="External"/><Relationship Id="rId1433" Type="http://schemas.openxmlformats.org/officeDocument/2006/relationships/hyperlink" Target="out/&#12497;&#12527;&#12503;&#12525;2020%20-%20&#25237;&#29699;&#35299;&#26512;%20-%202020-08-23%2015-47-01-03_out.mp4" TargetMode="External"/><Relationship Id="rId1640" Type="http://schemas.openxmlformats.org/officeDocument/2006/relationships/hyperlink" Target="result/&#12497;&#12527;&#12503;&#12525;2020%20-%20&#25237;&#29699;&#35299;&#26512;%20-%202020-08-24%2012-00-01-04_ball.txt" TargetMode="External"/><Relationship Id="rId1738" Type="http://schemas.openxmlformats.org/officeDocument/2006/relationships/hyperlink" Target="result/&#12497;&#12527;&#12503;&#12525;2020%20-%20&#25237;&#29699;&#35299;&#26512;%20-%202020-08-24%2012-42-52-05_ball.txt" TargetMode="External"/><Relationship Id="rId2056" Type="http://schemas.openxmlformats.org/officeDocument/2006/relationships/hyperlink" Target="result/&#12497;&#12527;&#12503;&#12525;2020%20-%20&#25237;&#29699;&#35299;&#26512;%20-%202020-08-27%2018-17-46-06_ball.txt" TargetMode="External"/><Relationship Id="rId2263" Type="http://schemas.openxmlformats.org/officeDocument/2006/relationships/hyperlink" Target="out/&#12497;&#12527;&#12503;&#12525;2020%20-%20&#25237;&#29699;&#35299;&#26512;%20-%202020-08-29%2009-37-40-00_out.mp4" TargetMode="External"/><Relationship Id="rId2470" Type="http://schemas.openxmlformats.org/officeDocument/2006/relationships/hyperlink" Target="result/&#12497;&#12527;&#12503;&#12525;2020%20-%20&#25237;&#29699;&#35299;&#26512;%20-%202020-08-29%2015-45-22-03_ball.txt" TargetMode="External"/><Relationship Id="rId3" Type="http://schemas.openxmlformats.org/officeDocument/2006/relationships/hyperlink" Target="out/&#12497;&#12527;&#12503;&#12525;2020%20-%20&#25237;&#29699;&#35299;&#26512;%20-%202020-08-23%2011-10-26-01_out.mp4" TargetMode="External"/><Relationship Id="rId235" Type="http://schemas.openxmlformats.org/officeDocument/2006/relationships/hyperlink" Target="out/&#12497;&#12527;&#12503;&#12525;2020%20-%20&#25237;&#29699;&#35299;&#26512;%20-%202020-08-23%2014-21-04-07_out.mp4" TargetMode="External"/><Relationship Id="rId442" Type="http://schemas.openxmlformats.org/officeDocument/2006/relationships/hyperlink" Target="result/&#12497;&#12527;&#12503;&#12525;2020%20-%20&#25237;&#29699;&#35299;&#26512;%20-%202020-08-23%2016-08-46-01_ball.txt" TargetMode="External"/><Relationship Id="rId887" Type="http://schemas.openxmlformats.org/officeDocument/2006/relationships/hyperlink" Target="out/&#12497;&#12527;&#12503;&#12525;2020%20-%20&#25237;&#29699;&#35299;&#26512;%20-%202020-08-24%2012-21-33-00_out.mp4" TargetMode="External"/><Relationship Id="rId1072" Type="http://schemas.openxmlformats.org/officeDocument/2006/relationships/hyperlink" Target="result/&#12497;&#12527;&#12503;&#12525;2020%20-%20&#25237;&#29699;&#35299;&#26512;%20-%202020-08-24%2012-41-25-01_ball.txt" TargetMode="External"/><Relationship Id="rId1500" Type="http://schemas.openxmlformats.org/officeDocument/2006/relationships/hyperlink" Target="result/&#12497;&#12527;&#12503;&#12525;2020%20-%20&#25237;&#29699;&#35299;&#26512;%20-%202020-08-23%2015-56-09-06_ball.txt" TargetMode="External"/><Relationship Id="rId1945" Type="http://schemas.openxmlformats.org/officeDocument/2006/relationships/hyperlink" Target="out/&#12497;&#12527;&#12503;&#12525;2020%20-%20&#25237;&#29699;&#35299;&#26512;%20-%202020-08-26%2021-20-35-01_out.mp4" TargetMode="External"/><Relationship Id="rId2123" Type="http://schemas.openxmlformats.org/officeDocument/2006/relationships/hyperlink" Target="out/&#12497;&#12527;&#12503;&#12525;2020%20-%20&#25237;&#29699;&#35299;&#26512;%20-%202020-08-27%2018-24-30-00_out.mp4" TargetMode="External"/><Relationship Id="rId2330" Type="http://schemas.openxmlformats.org/officeDocument/2006/relationships/hyperlink" Target="result/&#12497;&#12527;&#12503;&#12525;2020%20-%20&#25237;&#29699;&#35299;&#26512;%20-%202020-08-29%2009-42-48-03_ball.txt" TargetMode="External"/><Relationship Id="rId2568" Type="http://schemas.openxmlformats.org/officeDocument/2006/relationships/hyperlink" Target="result/&#12497;&#12527;&#12503;&#12525;2020%20-%20&#25237;&#29699;&#35299;&#26512;%20-%202020-08-29%2015-51-26-02_ball.txt" TargetMode="External"/><Relationship Id="rId2775" Type="http://schemas.openxmlformats.org/officeDocument/2006/relationships/hyperlink" Target="out/&#25237;&#29699;&#35299;&#26512;%20-%20&#12497;&#12527;&#12503;&#12525;2020%20-%202020-09-08%2023-37-52-06_out.mp4" TargetMode="External"/><Relationship Id="rId302" Type="http://schemas.openxmlformats.org/officeDocument/2006/relationships/hyperlink" Target="result/&#12497;&#12527;&#12503;&#12525;2020%20-%20&#25237;&#29699;&#35299;&#26512;%20-%202020-08-23%2014-27-07-00_ball.txt" TargetMode="External"/><Relationship Id="rId747" Type="http://schemas.openxmlformats.org/officeDocument/2006/relationships/hyperlink" Target="out/&#12497;&#12527;&#12503;&#12525;2020%20-%20&#25237;&#29699;&#35299;&#26512;%20-%202020-08-24%2012-02-12-06_out.mp4" TargetMode="External"/><Relationship Id="rId954" Type="http://schemas.openxmlformats.org/officeDocument/2006/relationships/hyperlink" Target="result/&#12497;&#12527;&#12503;&#12525;2020%20-%20&#25237;&#29699;&#35299;&#26512;%20-%202020-08-24%2012-26-53-02_ball.txt" TargetMode="External"/><Relationship Id="rId1377" Type="http://schemas.openxmlformats.org/officeDocument/2006/relationships/hyperlink" Target="out/&#12497;&#12527;&#12503;&#12525;2020%20-%20&#25237;&#29699;&#35299;&#26512;%20-%202020-08-23%2014-03-42-04_out.mp4" TargetMode="External"/><Relationship Id="rId1584" Type="http://schemas.openxmlformats.org/officeDocument/2006/relationships/hyperlink" Target="result/&#12497;&#12527;&#12503;&#12525;2020%20-%20&#25237;&#29699;&#35299;&#26512;%20-%202020-08-23%2016-24-41-08_ball.txt" TargetMode="External"/><Relationship Id="rId1791" Type="http://schemas.openxmlformats.org/officeDocument/2006/relationships/hyperlink" Target="out/&#12497;&#12527;&#12503;&#12525;2020%20-%20&#25237;&#29699;&#35299;&#26512;%20-%202020-08-24%2012-58-52-03_out.mp4" TargetMode="External"/><Relationship Id="rId1805" Type="http://schemas.openxmlformats.org/officeDocument/2006/relationships/hyperlink" Target="out/&#12497;&#12527;&#12503;&#12525;2020%20-%20&#25237;&#29699;&#35299;&#26512;%20-%202020-08-24%2013-05-36-01_out.mp4" TargetMode="External"/><Relationship Id="rId2428" Type="http://schemas.openxmlformats.org/officeDocument/2006/relationships/hyperlink" Target="result/&#12497;&#12527;&#12503;&#12525;2020%20-%20&#25237;&#29699;&#35299;&#26512;%20-%202020-08-29%2015-42-43-03_ball.txt" TargetMode="External"/><Relationship Id="rId2635" Type="http://schemas.openxmlformats.org/officeDocument/2006/relationships/hyperlink" Target="out/&#12497;&#12527;&#12503;&#12525;2020%20-%20&#25237;&#29699;&#35299;&#26512;%20-%202020-08-29%2015-55-24-06_out.mp4" TargetMode="External"/><Relationship Id="rId83" Type="http://schemas.openxmlformats.org/officeDocument/2006/relationships/hyperlink" Target="out/&#12497;&#12527;&#12503;&#12525;2020%20-%20&#25237;&#29699;&#35299;&#26512;%20-%202020-08-23%2011-15-09-01_out.mp4" TargetMode="External"/><Relationship Id="rId179" Type="http://schemas.openxmlformats.org/officeDocument/2006/relationships/hyperlink" Target="out/&#12497;&#12527;&#12503;&#12525;2020%20-%20&#25237;&#29699;&#35299;&#26512;%20-%202020-08-23%2014-06-56-09_out.mp4" TargetMode="External"/><Relationship Id="rId386" Type="http://schemas.openxmlformats.org/officeDocument/2006/relationships/hyperlink" Target="result/&#12497;&#12527;&#12503;&#12525;2020%20-%20&#25237;&#29699;&#35299;&#26512;%20-%202020-08-23%2015-54-48-02_ball.txt" TargetMode="External"/><Relationship Id="rId593" Type="http://schemas.openxmlformats.org/officeDocument/2006/relationships/hyperlink" Target="out/&#12497;&#12527;&#12503;&#12525;2020%20-%20&#25237;&#29699;&#35299;&#26512;%20-%202020-08-23%2016-28-07-07_out.mp4" TargetMode="External"/><Relationship Id="rId607" Type="http://schemas.openxmlformats.org/officeDocument/2006/relationships/hyperlink" Target="out/&#12497;&#12527;&#12503;&#12525;2020%20-%20&#25237;&#29699;&#35299;&#26512;%20-%202020-08-23%2016-30-55-04_out.mp4" TargetMode="External"/><Relationship Id="rId814" Type="http://schemas.openxmlformats.org/officeDocument/2006/relationships/hyperlink" Target="result/&#12497;&#12527;&#12503;&#12525;2020%20-%20&#25237;&#29699;&#35299;&#26512;%20-%202020-08-24%2012-07-26-09_ball.txt" TargetMode="External"/><Relationship Id="rId1237" Type="http://schemas.openxmlformats.org/officeDocument/2006/relationships/hyperlink" Target="out/&#12497;&#12527;&#12503;&#12525;2020%20-%20&#25237;&#29699;&#35299;&#26512;%20-%202020-08-24%2012-58-52-09_out.mp4" TargetMode="External"/><Relationship Id="rId1444" Type="http://schemas.openxmlformats.org/officeDocument/2006/relationships/hyperlink" Target="result/&#12497;&#12527;&#12503;&#12525;2020%20-%20&#25237;&#29699;&#35299;&#26512;%20-%202020-08-23%2015-47-01-08_ball.txt" TargetMode="External"/><Relationship Id="rId1651" Type="http://schemas.openxmlformats.org/officeDocument/2006/relationships/hyperlink" Target="out/&#12497;&#12527;&#12503;&#12525;2020%20-%20&#25237;&#29699;&#35299;&#26512;%20-%202020-08-24%2012-06-16-01_out.mp4" TargetMode="External"/><Relationship Id="rId1889" Type="http://schemas.openxmlformats.org/officeDocument/2006/relationships/hyperlink" Target="out/&#12497;&#12527;&#12503;&#12525;2020%20-%20&#25237;&#29699;&#35299;&#26512;%20-%202020-08-26%2021-15-29-00_out.mp4" TargetMode="External"/><Relationship Id="rId2067" Type="http://schemas.openxmlformats.org/officeDocument/2006/relationships/hyperlink" Target="out/&#12497;&#12527;&#12503;&#12525;2020%20-%20&#25237;&#29699;&#35299;&#26512;%20-%202020-08-27%2018-19-19-02_out.mp4" TargetMode="External"/><Relationship Id="rId2274" Type="http://schemas.openxmlformats.org/officeDocument/2006/relationships/hyperlink" Target="result/&#12497;&#12527;&#12503;&#12525;2020%20-%20&#25237;&#29699;&#35299;&#26512;%20-%202020-08-29%2009-37-40-05_ball.txt" TargetMode="External"/><Relationship Id="rId2481" Type="http://schemas.openxmlformats.org/officeDocument/2006/relationships/hyperlink" Target="out/&#12497;&#12527;&#12503;&#12525;2020%20-%20&#25237;&#29699;&#35299;&#26512;%20-%202020-08-29%2015-45-22-09_out.mp4" TargetMode="External"/><Relationship Id="rId2702" Type="http://schemas.openxmlformats.org/officeDocument/2006/relationships/hyperlink" Target="result/&#12497;&#12527;&#12503;&#12525;2020%20-%20&#25237;&#29699;&#35299;&#26512;%20-%202020-08-29%2015-58-43-09_ball.txt" TargetMode="External"/><Relationship Id="rId246" Type="http://schemas.openxmlformats.org/officeDocument/2006/relationships/hyperlink" Target="result/&#12497;&#12527;&#12503;&#12525;2020%20-%20&#25237;&#29699;&#35299;&#26512;%20-%202020-08-23%2014-23-42-02_ball.txt" TargetMode="External"/><Relationship Id="rId453" Type="http://schemas.openxmlformats.org/officeDocument/2006/relationships/hyperlink" Target="out/&#12497;&#12527;&#12503;&#12525;2020%20-%20&#25237;&#29699;&#35299;&#26512;%20-%202020-08-23%2016-08-46-07_out.mp4" TargetMode="External"/><Relationship Id="rId660" Type="http://schemas.openxmlformats.org/officeDocument/2006/relationships/hyperlink" Target="result/&#12497;&#12527;&#12503;&#12525;2020%20-%20&#25237;&#29699;&#35299;&#26512;%20-%202020-08-24%2011-23-23-01_ball.txt" TargetMode="External"/><Relationship Id="rId898" Type="http://schemas.openxmlformats.org/officeDocument/2006/relationships/hyperlink" Target="result/&#12497;&#12527;&#12503;&#12525;2020%20-%20&#25237;&#29699;&#35299;&#26512;%20-%202020-08-24%2012-21-33-05_ball.txt" TargetMode="External"/><Relationship Id="rId1083" Type="http://schemas.openxmlformats.org/officeDocument/2006/relationships/hyperlink" Target="out/&#12497;&#12527;&#12503;&#12525;2020%20-%20&#25237;&#29699;&#35299;&#26512;%20-%202020-08-24%2012-41-25-07_out.mp4" TargetMode="External"/><Relationship Id="rId1290" Type="http://schemas.openxmlformats.org/officeDocument/2006/relationships/hyperlink" Target="result/&#12497;&#12527;&#12503;&#12525;2020%20-%20&#25237;&#29699;&#35299;&#26512;%20-%202020-08-24%2013-03-51-06_ball.txt" TargetMode="External"/><Relationship Id="rId1304" Type="http://schemas.openxmlformats.org/officeDocument/2006/relationships/hyperlink" Target="result/&#12497;&#12527;&#12503;&#12525;2020%20-%20&#25237;&#29699;&#35299;&#26512;%20-%202020-08-24%2013-07-27-02_ball.txt" TargetMode="External"/><Relationship Id="rId1511" Type="http://schemas.openxmlformats.org/officeDocument/2006/relationships/hyperlink" Target="out/&#12497;&#12527;&#12503;&#12525;2020%20-%20&#25237;&#29699;&#35299;&#26512;%20-%202020-08-23%2016-04-57-02_out.mp4" TargetMode="External"/><Relationship Id="rId1749" Type="http://schemas.openxmlformats.org/officeDocument/2006/relationships/hyperlink" Target="out/&#12497;&#12527;&#12503;&#12525;2020%20-%20&#25237;&#29699;&#35299;&#26512;%20-%202020-08-24%2012-44-26-01_out.mp4" TargetMode="External"/><Relationship Id="rId1956" Type="http://schemas.openxmlformats.org/officeDocument/2006/relationships/hyperlink" Target="result/&#12497;&#12527;&#12503;&#12525;2020%20-%20&#25237;&#29699;&#35299;&#26512;%20-%202020-08-26%2021-20-35-06_ball.txt" TargetMode="External"/><Relationship Id="rId2134" Type="http://schemas.openxmlformats.org/officeDocument/2006/relationships/hyperlink" Target="result/&#12497;&#12527;&#12503;&#12525;2020%20-%20&#25237;&#29699;&#35299;&#26512;%20-%202020-08-27%2018-24-30-05_ball.txt" TargetMode="External"/><Relationship Id="rId2341" Type="http://schemas.openxmlformats.org/officeDocument/2006/relationships/hyperlink" Target="out/&#12497;&#12527;&#12503;&#12525;2020%20-%20&#25237;&#29699;&#35299;&#26512;%20-%202020-08-29%2009-44-23-00_out.mp4" TargetMode="External"/><Relationship Id="rId2579" Type="http://schemas.openxmlformats.org/officeDocument/2006/relationships/hyperlink" Target="out/&#12497;&#12527;&#12503;&#12525;2020%20-%20&#25237;&#29699;&#35299;&#26512;%20-%202020-08-29%2015-51-26-08_out.mp4" TargetMode="External"/><Relationship Id="rId2786" Type="http://schemas.openxmlformats.org/officeDocument/2006/relationships/hyperlink" Target="result/&#25237;&#29699;&#35299;&#26512;%20-%20&#12497;&#12527;&#12503;&#12525;2020%20-%202020-09-08%2023-39-02-01_ball.txt" TargetMode="External"/><Relationship Id="rId106" Type="http://schemas.openxmlformats.org/officeDocument/2006/relationships/hyperlink" Target="result/&#12497;&#12527;&#12503;&#12525;2020%20-%20&#25237;&#29699;&#35299;&#26512;%20-%202020-08-23%2011-16-20-02_ball.txt" TargetMode="External"/><Relationship Id="rId313" Type="http://schemas.openxmlformats.org/officeDocument/2006/relationships/hyperlink" Target="out/&#12497;&#12527;&#12503;&#12525;2020%20-%20&#25237;&#29699;&#35299;&#26512;%20-%202020-08-23%2014-27-07-06_out.mp4" TargetMode="External"/><Relationship Id="rId758" Type="http://schemas.openxmlformats.org/officeDocument/2006/relationships/hyperlink" Target="result/&#12497;&#12527;&#12503;&#12525;2020%20-%20&#25237;&#29699;&#35299;&#26512;%20-%202020-08-24%2012-03-33-01_ball.txt" TargetMode="External"/><Relationship Id="rId965" Type="http://schemas.openxmlformats.org/officeDocument/2006/relationships/hyperlink" Target="out/&#12497;&#12527;&#12503;&#12525;2020%20-%20&#25237;&#29699;&#35299;&#26512;%20-%202020-08-24%2012-26-53-08_out.mp4" TargetMode="External"/><Relationship Id="rId1150" Type="http://schemas.openxmlformats.org/officeDocument/2006/relationships/hyperlink" Target="result/&#12497;&#12527;&#12503;&#12525;2020%20-%20&#25237;&#29699;&#35299;&#26512;%20-%202020-08-24%2012-47-45-02_ball.txt" TargetMode="External"/><Relationship Id="rId1388" Type="http://schemas.openxmlformats.org/officeDocument/2006/relationships/hyperlink" Target="result/&#12497;&#12527;&#12503;&#12525;2020%20-%20&#25237;&#29699;&#35299;&#26512;%20-%202020-08-23%2014-03-42-09_ball.txt" TargetMode="External"/><Relationship Id="rId1595" Type="http://schemas.openxmlformats.org/officeDocument/2006/relationships/hyperlink" Target="out/&#12497;&#12527;&#12503;&#12525;2020%20-%20&#25237;&#29699;&#35299;&#26512;%20-%202020-08-23%2016-29-37-03_out.mp4" TargetMode="External"/><Relationship Id="rId1609" Type="http://schemas.openxmlformats.org/officeDocument/2006/relationships/hyperlink" Target="out/&#12497;&#12527;&#12503;&#12525;2020%20-%20&#25237;&#29699;&#35299;&#26512;%20-%202020-08-23%2016-33-27-08_out.mp4" TargetMode="External"/><Relationship Id="rId1816" Type="http://schemas.openxmlformats.org/officeDocument/2006/relationships/hyperlink" Target="result/&#12497;&#12527;&#12503;&#12525;2020%20-%20&#25237;&#29699;&#35299;&#26512;%20-%202020-08-24%2013-05-36-06_ball.txt" TargetMode="External"/><Relationship Id="rId2439" Type="http://schemas.openxmlformats.org/officeDocument/2006/relationships/hyperlink" Target="out/&#12497;&#12527;&#12503;&#12525;2020%20-%20&#25237;&#29699;&#35299;&#26512;%20-%202020-08-29%2015-42-43-09_out.mp4" TargetMode="External"/><Relationship Id="rId2646" Type="http://schemas.openxmlformats.org/officeDocument/2006/relationships/hyperlink" Target="result/&#12497;&#12527;&#12503;&#12525;2020%20-%20&#25237;&#29699;&#35299;&#26512;%20-%202020-08-29%2015-56-35-01_ball.txt" TargetMode="External"/><Relationship Id="rId10" Type="http://schemas.openxmlformats.org/officeDocument/2006/relationships/hyperlink" Target="result/&#12497;&#12527;&#12503;&#12525;2020%20-%20&#25237;&#29699;&#35299;&#26512;%20-%202020-08-23%2011-10-26-04_ball.txt" TargetMode="External"/><Relationship Id="rId94" Type="http://schemas.openxmlformats.org/officeDocument/2006/relationships/hyperlink" Target="result/&#12497;&#12527;&#12503;&#12525;2020%20-%20&#25237;&#29699;&#35299;&#26512;%20-%202020-08-23%2011-15-09-06_ball.txt" TargetMode="External"/><Relationship Id="rId397" Type="http://schemas.openxmlformats.org/officeDocument/2006/relationships/hyperlink" Target="out/&#12497;&#12527;&#12503;&#12525;2020%20-%20&#25237;&#29699;&#35299;&#26512;%20-%202020-08-23%2015-54-48-08_out.mp4" TargetMode="External"/><Relationship Id="rId520" Type="http://schemas.openxmlformats.org/officeDocument/2006/relationships/hyperlink" Target="result/&#12497;&#12527;&#12503;&#12525;2020%20-%20&#25237;&#29699;&#35299;&#26512;%20-%202020-08-23%2016-15-07-00_ball.txt" TargetMode="External"/><Relationship Id="rId618" Type="http://schemas.openxmlformats.org/officeDocument/2006/relationships/hyperlink" Target="result/&#12497;&#12527;&#12503;&#12525;2020%20-%20&#25237;&#29699;&#35299;&#26512;%20-%202020-08-23%2016-30-55-09_ball.txt" TargetMode="External"/><Relationship Id="rId825" Type="http://schemas.openxmlformats.org/officeDocument/2006/relationships/hyperlink" Target="out/&#12497;&#12527;&#12503;&#12525;2020%20-%20&#25237;&#29699;&#35299;&#26512;%20-%202020-08-24%2012-08-41-05_out.mp4" TargetMode="External"/><Relationship Id="rId1248" Type="http://schemas.openxmlformats.org/officeDocument/2006/relationships/hyperlink" Target="result/&#12497;&#12527;&#12503;&#12525;2020%20-%20&#25237;&#29699;&#35299;&#26512;%20-%202020-08-24%2013-00-20-04_ball.txt" TargetMode="External"/><Relationship Id="rId1455" Type="http://schemas.openxmlformats.org/officeDocument/2006/relationships/hyperlink" Target="out/&#12497;&#12527;&#12503;&#12525;2020%20-%20&#25237;&#29699;&#35299;&#26512;%20-%202020-08-23%2015-51-08-04_out.mp4" TargetMode="External"/><Relationship Id="rId1662" Type="http://schemas.openxmlformats.org/officeDocument/2006/relationships/hyperlink" Target="result/&#12497;&#12527;&#12503;&#12525;2020%20-%20&#25237;&#29699;&#35299;&#26512;%20-%202020-08-24%2012-06-16-06_ball.txt" TargetMode="External"/><Relationship Id="rId2078" Type="http://schemas.openxmlformats.org/officeDocument/2006/relationships/hyperlink" Target="result/&#12497;&#12527;&#12503;&#12525;2020%20-%20&#25237;&#29699;&#35299;&#26512;%20-%202020-08-27%2018-19-19-07_ball.txt" TargetMode="External"/><Relationship Id="rId2201" Type="http://schemas.openxmlformats.org/officeDocument/2006/relationships/hyperlink" Target="out/&#12497;&#12527;&#12503;&#12525;2020%20-%20&#25237;&#29699;&#35299;&#26512;%20-%202020-08-28%2022-33-04-09_out.mp4" TargetMode="External"/><Relationship Id="rId2285" Type="http://schemas.openxmlformats.org/officeDocument/2006/relationships/hyperlink" Target="out/&#12497;&#12527;&#12503;&#12525;2020%20-%20&#25237;&#29699;&#35299;&#26512;%20-%202020-08-29%2009-39-15-01_out.mp4" TargetMode="External"/><Relationship Id="rId2492" Type="http://schemas.openxmlformats.org/officeDocument/2006/relationships/hyperlink" Target="result/&#12497;&#12527;&#12503;&#12525;2020%20-%20&#25237;&#29699;&#35299;&#26512;%20-%202020-08-29%2015-46-34-04_ball.txt" TargetMode="External"/><Relationship Id="rId2506" Type="http://schemas.openxmlformats.org/officeDocument/2006/relationships/hyperlink" Target="result/&#12497;&#12527;&#12503;&#12525;2020%20-%20&#25237;&#29699;&#35299;&#26512;%20-%202020-08-29%2015-48-09-01_ball.txt" TargetMode="External"/><Relationship Id="rId257" Type="http://schemas.openxmlformats.org/officeDocument/2006/relationships/hyperlink" Target="out/&#12497;&#12527;&#12503;&#12525;2020%20-%20&#25237;&#29699;&#35299;&#26512;%20-%202020-08-23%2014-23-42-08_out.mp4" TargetMode="External"/><Relationship Id="rId464" Type="http://schemas.openxmlformats.org/officeDocument/2006/relationships/hyperlink" Target="result/&#12497;&#12527;&#12503;&#12525;2020%20-%20&#25237;&#29699;&#35299;&#26512;%20-%202020-08-23%2016-09-58-02_ball.txt" TargetMode="External"/><Relationship Id="rId1010" Type="http://schemas.openxmlformats.org/officeDocument/2006/relationships/hyperlink" Target="result/&#12497;&#12527;&#12503;&#12525;2020%20-%20&#25237;&#29699;&#35299;&#26512;%20-%202020-08-24%2012-35-33-01_ball.txt" TargetMode="External"/><Relationship Id="rId1094" Type="http://schemas.openxmlformats.org/officeDocument/2006/relationships/hyperlink" Target="result/&#12497;&#12527;&#12503;&#12525;2020%20-%20&#25237;&#29699;&#35299;&#26512;%20-%202020-08-24%2012-42-52-02_ball.txt" TargetMode="External"/><Relationship Id="rId1108" Type="http://schemas.openxmlformats.org/officeDocument/2006/relationships/hyperlink" Target="result/&#12497;&#12527;&#12503;&#12525;2020%20-%20&#25237;&#29699;&#35299;&#26512;%20-%202020-08-24%2012-44-26-09_ball.txt" TargetMode="External"/><Relationship Id="rId1315" Type="http://schemas.openxmlformats.org/officeDocument/2006/relationships/hyperlink" Target="out/&#12497;&#12527;&#12503;&#12525;2020%20-%20&#25237;&#29699;&#35299;&#26512;%20-%202020-08-24%2013-07-27-08_out.mp4" TargetMode="External"/><Relationship Id="rId1967" Type="http://schemas.openxmlformats.org/officeDocument/2006/relationships/hyperlink" Target="out/&#12497;&#12527;&#12503;&#12525;2020%20-%20&#25237;&#29699;&#35299;&#26512;%20-%202020-08-26%2021-30-58-02_out.mp4" TargetMode="External"/><Relationship Id="rId2145" Type="http://schemas.openxmlformats.org/officeDocument/2006/relationships/hyperlink" Target="out/&#12497;&#12527;&#12503;&#12525;2020%20-%20&#25237;&#29699;&#35299;&#26512;%20-%202020-08-27%2018-26-47-01_out.mp4" TargetMode="External"/><Relationship Id="rId2713" Type="http://schemas.openxmlformats.org/officeDocument/2006/relationships/hyperlink" Target="out/&#12497;&#12527;&#12503;&#12525;2020%20-%20&#25237;&#29699;&#35299;&#26512;%20-%202020-08-29%2016-00-15-05_out.mp4" TargetMode="External"/><Relationship Id="rId2797" Type="http://schemas.openxmlformats.org/officeDocument/2006/relationships/hyperlink" Target="out/&#25237;&#29699;&#35299;&#26512;%20-%20&#12497;&#12527;&#12503;&#12525;2020%20-%202020-09-08%2023-39-02-07_out.mp4" TargetMode="External"/><Relationship Id="rId117" Type="http://schemas.openxmlformats.org/officeDocument/2006/relationships/hyperlink" Target="out/&#12497;&#12527;&#12503;&#12525;2020%20-%20&#25237;&#29699;&#35299;&#26512;%20-%202020-08-23%2011-16-20-08_out.mp4" TargetMode="External"/><Relationship Id="rId671" Type="http://schemas.openxmlformats.org/officeDocument/2006/relationships/hyperlink" Target="out/&#12497;&#12527;&#12503;&#12525;2020%20-%20&#25237;&#29699;&#35299;&#26512;%20-%202020-08-24%2011-23-23-07_out.mp4" TargetMode="External"/><Relationship Id="rId769" Type="http://schemas.openxmlformats.org/officeDocument/2006/relationships/hyperlink" Target="out/&#12497;&#12527;&#12503;&#12525;2020%20-%20&#25237;&#29699;&#35299;&#26512;%20-%202020-08-24%2012-03-33-07_out.mp4" TargetMode="External"/><Relationship Id="rId976" Type="http://schemas.openxmlformats.org/officeDocument/2006/relationships/hyperlink" Target="result/&#12497;&#12527;&#12503;&#12525;2020%20-%20&#25237;&#29699;&#35299;&#26512;%20-%202020-08-24%2012-32-08-04_ball.txt" TargetMode="External"/><Relationship Id="rId1399" Type="http://schemas.openxmlformats.org/officeDocument/2006/relationships/hyperlink" Target="out/&#12497;&#12527;&#12503;&#12525;2020%20-%20&#25237;&#29699;&#35299;&#26512;%20-%202020-08-23%2014-18-29-05_out.mp4" TargetMode="External"/><Relationship Id="rId2352" Type="http://schemas.openxmlformats.org/officeDocument/2006/relationships/hyperlink" Target="result/&#12497;&#12527;&#12503;&#12525;2020%20-%20&#25237;&#29699;&#35299;&#26512;%20-%202020-08-29%2009-44-23-05_ball.txt" TargetMode="External"/><Relationship Id="rId2657" Type="http://schemas.openxmlformats.org/officeDocument/2006/relationships/hyperlink" Target="out/&#12497;&#12527;&#12503;&#12525;2020%20-%20&#25237;&#29699;&#35299;&#26512;%20-%202020-08-29%2015-56-35-07_out.mp4" TargetMode="External"/><Relationship Id="rId324" Type="http://schemas.openxmlformats.org/officeDocument/2006/relationships/hyperlink" Target="result/&#12497;&#12527;&#12503;&#12525;2020%20-%20&#25237;&#29699;&#35299;&#26512;%20-%202020-08-23%2015-48-07-01_ball.txt" TargetMode="External"/><Relationship Id="rId531" Type="http://schemas.openxmlformats.org/officeDocument/2006/relationships/hyperlink" Target="out/&#12497;&#12527;&#12503;&#12525;2020%20-%20&#25237;&#29699;&#35299;&#26512;%20-%202020-08-23%2016-15-07-06_out.mp4" TargetMode="External"/><Relationship Id="rId629" Type="http://schemas.openxmlformats.org/officeDocument/2006/relationships/hyperlink" Target="out/&#12497;&#12527;&#12503;&#12525;2020%20-%20&#25237;&#29699;&#35299;&#26512;%20-%202020-08-23%2016-32-07-05_out.mp4" TargetMode="External"/><Relationship Id="rId1161" Type="http://schemas.openxmlformats.org/officeDocument/2006/relationships/hyperlink" Target="out/&#12497;&#12527;&#12503;&#12525;2020%20-%20&#25237;&#29699;&#35299;&#26512;%20-%202020-08-24%2012-47-45-08_out.mp4" TargetMode="External"/><Relationship Id="rId1259" Type="http://schemas.openxmlformats.org/officeDocument/2006/relationships/hyperlink" Target="out/&#12497;&#12527;&#12503;&#12525;2020%20-%20&#25237;&#29699;&#35299;&#26512;%20-%202020-08-24%2013-02-04-01_out.mp4" TargetMode="External"/><Relationship Id="rId1466" Type="http://schemas.openxmlformats.org/officeDocument/2006/relationships/hyperlink" Target="result/&#12497;&#12527;&#12503;&#12525;2020%20-%20&#25237;&#29699;&#35299;&#26512;%20-%202020-08-23%2015-51-08-09_ball.txt" TargetMode="External"/><Relationship Id="rId2005" Type="http://schemas.openxmlformats.org/officeDocument/2006/relationships/hyperlink" Target="out/&#12497;&#12527;&#12503;&#12525;2020%20-%20&#25237;&#29699;&#35299;&#26512;%20-%202020-08-27%2018-14-40-01_out.mp4" TargetMode="External"/><Relationship Id="rId2212" Type="http://schemas.openxmlformats.org/officeDocument/2006/relationships/hyperlink" Target="result/&#12497;&#12527;&#12503;&#12525;2020%20-%20&#25237;&#29699;&#35299;&#26512;%20-%202020-08-28%2022-34-32-04_ball.txt" TargetMode="External"/><Relationship Id="rId836" Type="http://schemas.openxmlformats.org/officeDocument/2006/relationships/hyperlink" Target="result/&#12497;&#12527;&#12503;&#12525;2020%20-%20&#25237;&#29699;&#35299;&#26512;%20-%202020-08-24%2012-08-41-12_ball.txt" TargetMode="External"/><Relationship Id="rId1021" Type="http://schemas.openxmlformats.org/officeDocument/2006/relationships/hyperlink" Target="out/&#12497;&#12527;&#12503;&#12525;2020%20-%20&#25237;&#29699;&#35299;&#26512;%20-%202020-08-24%2012-36-56-06_out.mp4" TargetMode="External"/><Relationship Id="rId1119" Type="http://schemas.openxmlformats.org/officeDocument/2006/relationships/hyperlink" Target="out/&#12497;&#12527;&#12503;&#12525;2020%20-%20&#25237;&#29699;&#35299;&#26512;%20-%202020-08-24%2012-46-03-02_out.mp4" TargetMode="External"/><Relationship Id="rId1673" Type="http://schemas.openxmlformats.org/officeDocument/2006/relationships/hyperlink" Target="out/&#12497;&#12527;&#12503;&#12525;2020%20-%20&#25237;&#29699;&#35299;&#26512;%20-%202020-08-24%2012-11-18-07_out.mp4" TargetMode="External"/><Relationship Id="rId1880" Type="http://schemas.openxmlformats.org/officeDocument/2006/relationships/hyperlink" Target="result/&#12497;&#12527;&#12503;&#12525;2020%20-%20&#25237;&#29699;&#35299;&#26512;%20-%202020-08-24%2013-20-06-05_ball.txt" TargetMode="External"/><Relationship Id="rId1978" Type="http://schemas.openxmlformats.org/officeDocument/2006/relationships/hyperlink" Target="result/&#12497;&#12527;&#12503;&#12525;2020%20-%20&#25237;&#29699;&#35299;&#26512;%20-%202020-08-26%2021-30-58-07_ball.txt" TargetMode="External"/><Relationship Id="rId2517" Type="http://schemas.openxmlformats.org/officeDocument/2006/relationships/hyperlink" Target="out/&#12497;&#12527;&#12503;&#12525;2020%20-%20&#25237;&#29699;&#35299;&#26512;%20-%202020-08-29%2015-48-09-07_out.mp4" TargetMode="External"/><Relationship Id="rId2724" Type="http://schemas.openxmlformats.org/officeDocument/2006/relationships/hyperlink" Target="result/&#12497;&#12527;&#12503;&#12525;2020%20-%20&#25237;&#29699;&#35299;&#26512;%20-%202020-08-29%2016-01-23-00_ball.txt" TargetMode="External"/><Relationship Id="rId903" Type="http://schemas.openxmlformats.org/officeDocument/2006/relationships/hyperlink" Target="out/&#12497;&#12527;&#12503;&#12525;2020%20-%20&#25237;&#29699;&#35299;&#26512;%20-%202020-08-24%2012-21-33-08_out.mp4" TargetMode="External"/><Relationship Id="rId1326" Type="http://schemas.openxmlformats.org/officeDocument/2006/relationships/hyperlink" Target="result/&#12497;&#12527;&#12503;&#12525;2020%20-%20&#25237;&#29699;&#35299;&#26512;%20-%202020-08-24%2013-09-18-04_ball.txt" TargetMode="External"/><Relationship Id="rId1533" Type="http://schemas.openxmlformats.org/officeDocument/2006/relationships/hyperlink" Target="out/&#12497;&#12527;&#12503;&#12525;2020%20-%20&#25237;&#29699;&#35299;&#26512;%20-%202020-08-23%2016-07-35-03_out.mp4" TargetMode="External"/><Relationship Id="rId1740" Type="http://schemas.openxmlformats.org/officeDocument/2006/relationships/hyperlink" Target="result/&#12497;&#12527;&#12503;&#12525;2020%20-%20&#25237;&#29699;&#35299;&#26512;%20-%202020-08-24%2012-42-52-06_ball.txt" TargetMode="External"/><Relationship Id="rId32" Type="http://schemas.openxmlformats.org/officeDocument/2006/relationships/hyperlink" Target="result/&#12497;&#12527;&#12503;&#12525;2020%20-%20&#25237;&#29699;&#35299;&#26512;%20-%202020-08-23%2011-11-35-05_ball.txt" TargetMode="External"/><Relationship Id="rId1600" Type="http://schemas.openxmlformats.org/officeDocument/2006/relationships/hyperlink" Target="result/&#12497;&#12527;&#12503;&#12525;2020%20-%20&#25237;&#29699;&#35299;&#26512;%20-%202020-08-23%2016-29-37-05_ball.txt" TargetMode="External"/><Relationship Id="rId1838" Type="http://schemas.openxmlformats.org/officeDocument/2006/relationships/hyperlink" Target="result/&#12497;&#12527;&#12503;&#12525;2020%20-%20&#25237;&#29699;&#35299;&#26512;%20-%202020-08-24%2013-16-19-03_ball.txt" TargetMode="External"/><Relationship Id="rId181" Type="http://schemas.openxmlformats.org/officeDocument/2006/relationships/hyperlink" Target="out/&#12497;&#12527;&#12503;&#12525;2020%20-%20&#25237;&#29699;&#35299;&#26512;%20-%202020-08-23%2014-08-02-00_out.mp4" TargetMode="External"/><Relationship Id="rId1905" Type="http://schemas.openxmlformats.org/officeDocument/2006/relationships/hyperlink" Target="out/&#12497;&#12527;&#12503;&#12525;2020%20-%20&#25237;&#29699;&#35299;&#26512;%20-%202020-08-26%2021-15-29-08_out.mp4" TargetMode="External"/><Relationship Id="rId279" Type="http://schemas.openxmlformats.org/officeDocument/2006/relationships/hyperlink" Target="out/&#12497;&#12527;&#12503;&#12525;2020%20-%20&#25237;&#29699;&#35299;&#26512;%20-%202020-08-23%2014-24-49-09_out.mp4" TargetMode="External"/><Relationship Id="rId486" Type="http://schemas.openxmlformats.org/officeDocument/2006/relationships/hyperlink" Target="result/&#12497;&#12527;&#12503;&#12525;2020%20-%20&#25237;&#29699;&#35299;&#26512;%20-%202020-08-23%2016-12-41-03_ball.txt" TargetMode="External"/><Relationship Id="rId693" Type="http://schemas.openxmlformats.org/officeDocument/2006/relationships/hyperlink" Target="out/&#12497;&#12527;&#12503;&#12525;2020%20-%20&#25237;&#29699;&#35299;&#26512;%20-%202020-08-24%2011-24-36-08_out.mp4" TargetMode="External"/><Relationship Id="rId2167" Type="http://schemas.openxmlformats.org/officeDocument/2006/relationships/hyperlink" Target="out/&#12497;&#12527;&#12503;&#12525;2020%20-%20&#25237;&#29699;&#35299;&#26512;%20-%202020-08-28%2022-31-31-02_out.mp4" TargetMode="External"/><Relationship Id="rId2374" Type="http://schemas.openxmlformats.org/officeDocument/2006/relationships/hyperlink" Target="result/&#12497;&#12527;&#12503;&#12525;2020%20-%20&#25237;&#29699;&#35299;&#26512;%20-%202020-08-29%2009-46-05-06_ball.txt" TargetMode="External"/><Relationship Id="rId2581" Type="http://schemas.openxmlformats.org/officeDocument/2006/relationships/hyperlink" Target="out/&#12497;&#12527;&#12503;&#12525;2020%20-%20&#25237;&#29699;&#35299;&#26512;%20-%202020-08-29%2015-51-26-09_out.mp4" TargetMode="External"/><Relationship Id="rId139" Type="http://schemas.openxmlformats.org/officeDocument/2006/relationships/hyperlink" Target="out/&#12497;&#12527;&#12503;&#12525;2020%20-%20&#25237;&#29699;&#35299;&#26512;%20-%202020-08-23%2014-04-47-09_out.mp4" TargetMode="External"/><Relationship Id="rId346" Type="http://schemas.openxmlformats.org/officeDocument/2006/relationships/hyperlink" Target="result/&#12497;&#12527;&#12503;&#12525;2020%20-%20&#25237;&#29699;&#35299;&#26512;%20-%202020-08-23%2015-49-19-02_ball.txt" TargetMode="External"/><Relationship Id="rId553" Type="http://schemas.openxmlformats.org/officeDocument/2006/relationships/hyperlink" Target="out/&#12497;&#12527;&#12503;&#12525;2020%20-%20&#25237;&#29699;&#35299;&#26512;%20-%202020-08-23%2016-25-48-07_out.mp4" TargetMode="External"/><Relationship Id="rId760" Type="http://schemas.openxmlformats.org/officeDocument/2006/relationships/hyperlink" Target="result/&#12497;&#12527;&#12503;&#12525;2020%20-%20&#25237;&#29699;&#35299;&#26512;%20-%202020-08-24%2012-03-33-02_ball.txt" TargetMode="External"/><Relationship Id="rId998" Type="http://schemas.openxmlformats.org/officeDocument/2006/relationships/hyperlink" Target="result/&#12497;&#12527;&#12503;&#12525;2020%20-%20&#25237;&#29699;&#35299;&#26512;%20-%202020-08-24%2012-33-48-05_ball.txt" TargetMode="External"/><Relationship Id="rId1183" Type="http://schemas.openxmlformats.org/officeDocument/2006/relationships/hyperlink" Target="out/&#12497;&#12527;&#12503;&#12525;2020%20-%20&#25237;&#29699;&#35299;&#26512;%20-%202020-08-24%2012-52-05-02_out.mp4" TargetMode="External"/><Relationship Id="rId1390" Type="http://schemas.openxmlformats.org/officeDocument/2006/relationships/hyperlink" Target="result/&#12497;&#12527;&#12503;&#12525;2020%20-%20&#25237;&#29699;&#35299;&#26512;%20-%202020-08-23%2014-18-29-00_ball.txt" TargetMode="External"/><Relationship Id="rId2027" Type="http://schemas.openxmlformats.org/officeDocument/2006/relationships/hyperlink" Target="out/&#12497;&#12527;&#12503;&#12525;2020%20-%20&#25237;&#29699;&#35299;&#26512;%20-%202020-08-27%2018-16-14-02_out.mp4" TargetMode="External"/><Relationship Id="rId2234" Type="http://schemas.openxmlformats.org/officeDocument/2006/relationships/hyperlink" Target="result/&#12497;&#12527;&#12503;&#12525;2020%20-%20&#25237;&#29699;&#35299;&#26512;%20-%202020-08-28%2022-36-12-05_ball.txt" TargetMode="External"/><Relationship Id="rId2441" Type="http://schemas.openxmlformats.org/officeDocument/2006/relationships/hyperlink" Target="out/&#12497;&#12527;&#12503;&#12525;2020%20-%20&#25237;&#29699;&#35299;&#26512;%20-%202020-08-29%2015-44-12-00_out.mp4" TargetMode="External"/><Relationship Id="rId2679" Type="http://schemas.openxmlformats.org/officeDocument/2006/relationships/hyperlink" Target="out/&#12497;&#12527;&#12503;&#12525;2020%20-%20&#25237;&#29699;&#35299;&#26512;%20-%202020-08-29%2015-57-36-08_out.mp4" TargetMode="External"/><Relationship Id="rId206" Type="http://schemas.openxmlformats.org/officeDocument/2006/relationships/hyperlink" Target="result/&#12497;&#12527;&#12503;&#12525;2020%20-%20&#25237;&#29699;&#35299;&#26512;%20-%202020-08-23%2014-19-33-02_ball.txt" TargetMode="External"/><Relationship Id="rId413" Type="http://schemas.openxmlformats.org/officeDocument/2006/relationships/hyperlink" Target="out/&#12497;&#12527;&#12503;&#12525;2020%20-%20&#25237;&#29699;&#35299;&#26512;%20-%202020-08-23%2016-03-31-07_out.mp4" TargetMode="External"/><Relationship Id="rId858" Type="http://schemas.openxmlformats.org/officeDocument/2006/relationships/hyperlink" Target="result/&#12497;&#12527;&#12503;&#12525;2020%20-%20&#25237;&#29699;&#35299;&#26512;%20-%202020-08-24%2012-10-03-09_ball.txt" TargetMode="External"/><Relationship Id="rId1043" Type="http://schemas.openxmlformats.org/officeDocument/2006/relationships/hyperlink" Target="out/&#12497;&#12527;&#12503;&#12525;2020%20-%20&#25237;&#29699;&#35299;&#26512;%20-%202020-08-24%2012-38-24-07_out.mp4" TargetMode="External"/><Relationship Id="rId1488" Type="http://schemas.openxmlformats.org/officeDocument/2006/relationships/hyperlink" Target="result/&#12497;&#12527;&#12503;&#12525;2020%20-%20&#25237;&#29699;&#35299;&#26512;%20-%202020-08-23%2015-56-09-00_ball.txt" TargetMode="External"/><Relationship Id="rId1695" Type="http://schemas.openxmlformats.org/officeDocument/2006/relationships/hyperlink" Target="out/&#12497;&#12527;&#12503;&#12525;2020%20-%20&#25237;&#29699;&#35299;&#26512;%20-%202020-08-24%2012-24-03-02_out.mp4" TargetMode="External"/><Relationship Id="rId2539" Type="http://schemas.openxmlformats.org/officeDocument/2006/relationships/hyperlink" Target="out/&#12497;&#12527;&#12503;&#12525;2020%20-%20&#25237;&#29699;&#35299;&#26512;%20-%202020-08-29%2015-49-13-08_out.mp4" TargetMode="External"/><Relationship Id="rId2746" Type="http://schemas.openxmlformats.org/officeDocument/2006/relationships/hyperlink" Target="result/&#12497;&#12527;&#12503;&#12525;2020%20-%20&#25237;&#29699;&#35299;&#26512;%20-%202020-08-29%2016-06-51-01_ball.txt" TargetMode="External"/><Relationship Id="rId620" Type="http://schemas.openxmlformats.org/officeDocument/2006/relationships/hyperlink" Target="result/&#12497;&#12527;&#12503;&#12525;2020%20-%20&#25237;&#29699;&#35299;&#26512;%20-%202020-08-23%2016-32-07-00_ball.txt" TargetMode="External"/><Relationship Id="rId718" Type="http://schemas.openxmlformats.org/officeDocument/2006/relationships/hyperlink" Target="result/&#12497;&#12527;&#12503;&#12525;2020%20-%20&#25237;&#29699;&#35299;&#26512;%20-%202020-08-24%2012-01-04-00_ball.txt" TargetMode="External"/><Relationship Id="rId925" Type="http://schemas.openxmlformats.org/officeDocument/2006/relationships/hyperlink" Target="out/&#12497;&#12527;&#12503;&#12525;2020%20-%20&#25237;&#29699;&#35299;&#26512;%20-%202020-08-24%2012-24-03-08_out.mp4" TargetMode="External"/><Relationship Id="rId1250" Type="http://schemas.openxmlformats.org/officeDocument/2006/relationships/hyperlink" Target="result/&#12497;&#12527;&#12503;&#12525;2020%20-%20&#25237;&#29699;&#35299;&#26512;%20-%202020-08-24%2013-00-20-05_ball.txt" TargetMode="External"/><Relationship Id="rId1348" Type="http://schemas.openxmlformats.org/officeDocument/2006/relationships/hyperlink" Target="result/&#12497;&#12527;&#12503;&#12525;2020%20-%20&#25237;&#29699;&#35299;&#26512;%20-%202020-08-24%2013-14-19-02_ball.txt" TargetMode="External"/><Relationship Id="rId1555" Type="http://schemas.openxmlformats.org/officeDocument/2006/relationships/hyperlink" Target="out/&#12497;&#12527;&#12503;&#12525;2020%20-%20&#25237;&#29699;&#35299;&#26512;%20-%202020-08-23%2016-11-33-04_out.mp4" TargetMode="External"/><Relationship Id="rId1762" Type="http://schemas.openxmlformats.org/officeDocument/2006/relationships/hyperlink" Target="result/&#12497;&#12527;&#12503;&#12525;2020%20-%20&#25237;&#29699;&#35299;&#26512;%20-%202020-08-24%2012-49-17-06_ball.txt" TargetMode="External"/><Relationship Id="rId2301" Type="http://schemas.openxmlformats.org/officeDocument/2006/relationships/hyperlink" Target="out/&#12497;&#12527;&#12503;&#12525;2020%20-%20&#25237;&#29699;&#35299;&#26512;%20-%202020-08-29%2009-39-15-09_out.mp4" TargetMode="External"/><Relationship Id="rId2606" Type="http://schemas.openxmlformats.org/officeDocument/2006/relationships/hyperlink" Target="result/&#12497;&#12527;&#12503;&#12525;2020%20-%20&#25237;&#29699;&#35299;&#26512;%20-%202020-08-29%2015-53-40-01_ball.txt" TargetMode="External"/><Relationship Id="rId1110" Type="http://schemas.openxmlformats.org/officeDocument/2006/relationships/hyperlink" Target="result/&#12497;&#12527;&#12503;&#12525;2020%20-%20&#25237;&#29699;&#35299;&#26512;%20-%202020-08-24%2012-44-26-10_ball.txt" TargetMode="External"/><Relationship Id="rId1208" Type="http://schemas.openxmlformats.org/officeDocument/2006/relationships/hyperlink" Target="result/&#12497;&#12527;&#12503;&#12525;2020%20-%20&#25237;&#29699;&#35299;&#26512;%20-%202020-08-24%2012-53-43-04_ball.txt" TargetMode="External"/><Relationship Id="rId1415" Type="http://schemas.openxmlformats.org/officeDocument/2006/relationships/hyperlink" Target="out/&#12497;&#12527;&#12503;&#12525;2020%20-%20&#25237;&#29699;&#35299;&#26512;%20-%202020-08-23%2014-22-38-03_out.mp4" TargetMode="External"/><Relationship Id="rId54" Type="http://schemas.openxmlformats.org/officeDocument/2006/relationships/hyperlink" Target="result/&#12497;&#12527;&#12503;&#12525;2020%20-%20&#25237;&#29699;&#35299;&#26512;%20-%202020-08-23%2011-12-45-06_ball.txt" TargetMode="External"/><Relationship Id="rId1622" Type="http://schemas.openxmlformats.org/officeDocument/2006/relationships/hyperlink" Target="result/&#12497;&#12527;&#12503;&#12525;2020%20-%20&#25237;&#29699;&#35299;&#26512;%20-%202020-08-24%2011-22-14-05_ball.txt" TargetMode="External"/><Relationship Id="rId1927" Type="http://schemas.openxmlformats.org/officeDocument/2006/relationships/hyperlink" Target="out/&#12497;&#12527;&#12503;&#12525;2020%20-%20&#25237;&#29699;&#35299;&#26512;%20-%202020-08-26%2021-19-02-02_out.mp4" TargetMode="External"/><Relationship Id="rId2091" Type="http://schemas.openxmlformats.org/officeDocument/2006/relationships/hyperlink" Target="out/&#12497;&#12527;&#12503;&#12525;2020%20-%20&#25237;&#29699;&#35299;&#26512;%20-%202020-08-27%2018-21-04-04_out.mp4" TargetMode="External"/><Relationship Id="rId2189" Type="http://schemas.openxmlformats.org/officeDocument/2006/relationships/hyperlink" Target="out/&#12497;&#12527;&#12503;&#12525;2020%20-%20&#25237;&#29699;&#35299;&#26512;%20-%202020-08-28%2022-33-04-03_out.mp4" TargetMode="External"/><Relationship Id="rId270" Type="http://schemas.openxmlformats.org/officeDocument/2006/relationships/hyperlink" Target="result/&#12497;&#12527;&#12503;&#12525;2020%20-%20&#25237;&#29699;&#35299;&#26512;%20-%202020-08-23%2014-24-49-04_ball.txt" TargetMode="External"/><Relationship Id="rId2396" Type="http://schemas.openxmlformats.org/officeDocument/2006/relationships/hyperlink" Target="result/&#12497;&#12527;&#12503;&#12525;2020%20-%20&#25237;&#29699;&#35299;&#26512;%20-%202020-08-29%2009-48-04-07_ball.txt" TargetMode="External"/><Relationship Id="rId130" Type="http://schemas.openxmlformats.org/officeDocument/2006/relationships/hyperlink" Target="result/&#12497;&#12527;&#12503;&#12525;2020%20-%20&#25237;&#29699;&#35299;&#26512;%20-%202020-08-23%2014-04-47-04_ball.txt" TargetMode="External"/><Relationship Id="rId368" Type="http://schemas.openxmlformats.org/officeDocument/2006/relationships/hyperlink" Target="result/&#12497;&#12527;&#12503;&#12525;2020%20-%20&#25237;&#29699;&#35299;&#26512;%20-%202020-08-23%2015-52-13-03_ball.txt" TargetMode="External"/><Relationship Id="rId575" Type="http://schemas.openxmlformats.org/officeDocument/2006/relationships/hyperlink" Target="out/&#12497;&#12527;&#12503;&#12525;2020%20-%20&#25237;&#29699;&#35299;&#26512;%20-%202020-08-23%2016-26-58-08_out.mp4" TargetMode="External"/><Relationship Id="rId782" Type="http://schemas.openxmlformats.org/officeDocument/2006/relationships/hyperlink" Target="result/&#12497;&#12527;&#12503;&#12525;2020%20-%20&#25237;&#29699;&#35299;&#26512;%20-%202020-08-24%2012-04-51-03_ball.txt" TargetMode="External"/><Relationship Id="rId2049" Type="http://schemas.openxmlformats.org/officeDocument/2006/relationships/hyperlink" Target="out/&#12497;&#12527;&#12503;&#12525;2020%20-%20&#25237;&#29699;&#35299;&#26512;%20-%202020-08-27%2018-17-46-03_out.mp4" TargetMode="External"/><Relationship Id="rId2256" Type="http://schemas.openxmlformats.org/officeDocument/2006/relationships/hyperlink" Target="result/&#12497;&#12527;&#12503;&#12525;2020%20-%20&#25237;&#29699;&#35299;&#26512;%20-%202020-08-28%2022-37-55-06_ball.txt" TargetMode="External"/><Relationship Id="rId2463" Type="http://schemas.openxmlformats.org/officeDocument/2006/relationships/hyperlink" Target="out/&#12497;&#12527;&#12503;&#12525;2020%20-%20&#25237;&#29699;&#35299;&#26512;%20-%202020-08-29%2015-45-22-00_out.mp4" TargetMode="External"/><Relationship Id="rId2670" Type="http://schemas.openxmlformats.org/officeDocument/2006/relationships/hyperlink" Target="result/&#12497;&#12527;&#12503;&#12525;2020%20-%20&#25237;&#29699;&#35299;&#26512;%20-%202020-08-29%2015-57-36-03_ball.txt" TargetMode="External"/><Relationship Id="rId228" Type="http://schemas.openxmlformats.org/officeDocument/2006/relationships/hyperlink" Target="result/&#12497;&#12527;&#12503;&#12525;2020%20-%20&#25237;&#29699;&#35299;&#26512;%20-%202020-08-23%2014-21-04-03_ball.txt" TargetMode="External"/><Relationship Id="rId435" Type="http://schemas.openxmlformats.org/officeDocument/2006/relationships/hyperlink" Target="out/&#12497;&#12527;&#12503;&#12525;2020%20-%20&#25237;&#29699;&#35299;&#26512;%20-%202020-08-23%2016-06-08-08_out.mp4" TargetMode="External"/><Relationship Id="rId642" Type="http://schemas.openxmlformats.org/officeDocument/2006/relationships/hyperlink" Target="result/&#12497;&#12527;&#12503;&#12525;2020%20-%20&#25237;&#29699;&#35299;&#26512;%20-%202020-08-23%2016-33-27-01_ball.txt" TargetMode="External"/><Relationship Id="rId1065" Type="http://schemas.openxmlformats.org/officeDocument/2006/relationships/hyperlink" Target="out/&#12497;&#12527;&#12503;&#12525;2020%20-%20&#25237;&#29699;&#35299;&#26512;%20-%202020-08-24%2012-39-57-08_out.mp4" TargetMode="External"/><Relationship Id="rId1272" Type="http://schemas.openxmlformats.org/officeDocument/2006/relationships/hyperlink" Target="result/&#12497;&#12527;&#12503;&#12525;2020%20-%20&#25237;&#29699;&#35299;&#26512;%20-%202020-08-24%2013-02-04-07_ball.txt" TargetMode="External"/><Relationship Id="rId2116" Type="http://schemas.openxmlformats.org/officeDocument/2006/relationships/hyperlink" Target="result/&#12497;&#12527;&#12503;&#12525;2020%20-%20&#25237;&#29699;&#35299;&#26512;%20-%202020-08-27%2018-22-42-06_ball.txt" TargetMode="External"/><Relationship Id="rId2323" Type="http://schemas.openxmlformats.org/officeDocument/2006/relationships/hyperlink" Target="out/&#12497;&#12527;&#12503;&#12525;2020%20-%20&#25237;&#29699;&#35299;&#26512;%20-%202020-08-29%2009-42-48-00_out.mp4" TargetMode="External"/><Relationship Id="rId2530" Type="http://schemas.openxmlformats.org/officeDocument/2006/relationships/hyperlink" Target="result/&#12497;&#12527;&#12503;&#12525;2020%20-%20&#25237;&#29699;&#35299;&#26512;%20-%202020-08-29%2015-49-13-03_ball.txt" TargetMode="External"/><Relationship Id="rId2768" Type="http://schemas.openxmlformats.org/officeDocument/2006/relationships/hyperlink" Target="result/&#25237;&#29699;&#35299;&#26512;%20-%20&#12497;&#12527;&#12503;&#12525;2020%20-%202020-09-08%2023-37-52-02_ball.txt" TargetMode="External"/><Relationship Id="rId502" Type="http://schemas.openxmlformats.org/officeDocument/2006/relationships/hyperlink" Target="result/&#12497;&#12527;&#12503;&#12525;2020%20-%20&#25237;&#29699;&#35299;&#26512;%20-%202020-08-23%2016-13-55-01_ball.txt" TargetMode="External"/><Relationship Id="rId947" Type="http://schemas.openxmlformats.org/officeDocument/2006/relationships/hyperlink" Target="out/&#12497;&#12527;&#12503;&#12525;2020%20-%20&#25237;&#29699;&#35299;&#26512;%20-%202020-08-24%2012-25-33-09_out.mp4" TargetMode="External"/><Relationship Id="rId1132" Type="http://schemas.openxmlformats.org/officeDocument/2006/relationships/hyperlink" Target="result/&#12497;&#12527;&#12503;&#12525;2020%20-%20&#25237;&#29699;&#35299;&#26512;%20-%202020-08-24%2012-46-03-08_ball.txt" TargetMode="External"/><Relationship Id="rId1577" Type="http://schemas.openxmlformats.org/officeDocument/2006/relationships/hyperlink" Target="out/&#12497;&#12527;&#12503;&#12525;2020%20-%20&#25237;&#29699;&#35299;&#26512;%20-%202020-08-23%2016-24-41-05_out.mp4" TargetMode="External"/><Relationship Id="rId1784" Type="http://schemas.openxmlformats.org/officeDocument/2006/relationships/hyperlink" Target="result/&#12497;&#12527;&#12503;&#12525;2020%20-%20&#25237;&#29699;&#35299;&#26512;%20-%202020-08-24%2012-55-39-09_ball.txt" TargetMode="External"/><Relationship Id="rId1991" Type="http://schemas.openxmlformats.org/officeDocument/2006/relationships/hyperlink" Target="out/&#12497;&#12527;&#12503;&#12525;2020%20-%20&#25237;&#29699;&#35299;&#26512;%20-%202020-08-26%2021-35-18-04_out.mp4" TargetMode="External"/><Relationship Id="rId2628" Type="http://schemas.openxmlformats.org/officeDocument/2006/relationships/hyperlink" Target="result/&#12497;&#12527;&#12503;&#12525;2020%20-%20&#25237;&#29699;&#35299;&#26512;%20-%202020-08-29%2015-55-24-02_ball.txt" TargetMode="External"/><Relationship Id="rId76" Type="http://schemas.openxmlformats.org/officeDocument/2006/relationships/hyperlink" Target="result/&#12497;&#12527;&#12503;&#12525;2020%20-%20&#25237;&#29699;&#35299;&#26512;%20-%202020-08-23%2011-13-59-07_ball.txt" TargetMode="External"/><Relationship Id="rId807" Type="http://schemas.openxmlformats.org/officeDocument/2006/relationships/hyperlink" Target="out/&#12497;&#12527;&#12503;&#12525;2020%20-%20&#25237;&#29699;&#35299;&#26512;%20-%202020-08-24%2012-07-26-06_out.mp4" TargetMode="External"/><Relationship Id="rId1437" Type="http://schemas.openxmlformats.org/officeDocument/2006/relationships/hyperlink" Target="out/&#12497;&#12527;&#12503;&#12525;2020%20-%20&#25237;&#29699;&#35299;&#26512;%20-%202020-08-23%2015-47-01-05_out.mp4" TargetMode="External"/><Relationship Id="rId1644" Type="http://schemas.openxmlformats.org/officeDocument/2006/relationships/hyperlink" Target="result/&#12497;&#12527;&#12503;&#12525;2020%20-%20&#25237;&#29699;&#35299;&#26512;%20-%202020-08-24%2012-04-51-07_ball.txt" TargetMode="External"/><Relationship Id="rId1851" Type="http://schemas.openxmlformats.org/officeDocument/2006/relationships/hyperlink" Target="out/&#12497;&#12527;&#12503;&#12525;2020%20-%20&#25237;&#29699;&#35299;&#26512;%20-%202020-08-24%2013-17-56-01_out.mp4" TargetMode="External"/><Relationship Id="rId1504" Type="http://schemas.openxmlformats.org/officeDocument/2006/relationships/hyperlink" Target="result/&#12497;&#12527;&#12503;&#12525;2020%20-%20&#25237;&#29699;&#35299;&#26512;%20-%202020-08-23%2015-56-09-08_ball.txt" TargetMode="External"/><Relationship Id="rId1711" Type="http://schemas.openxmlformats.org/officeDocument/2006/relationships/hyperlink" Target="out/&#12497;&#12527;&#12503;&#12525;2020%20-%20&#25237;&#29699;&#35299;&#26512;%20-%202020-08-24%2012-28-05-07_out.mp4" TargetMode="External"/><Relationship Id="rId1949" Type="http://schemas.openxmlformats.org/officeDocument/2006/relationships/hyperlink" Target="out/&#12497;&#12527;&#12503;&#12525;2020%20-%20&#25237;&#29699;&#35299;&#26512;%20-%202020-08-26%2021-20-35-03_out.mp4" TargetMode="External"/><Relationship Id="rId292" Type="http://schemas.openxmlformats.org/officeDocument/2006/relationships/hyperlink" Target="result/&#12497;&#12527;&#12503;&#12525;2020%20-%20&#25237;&#29699;&#35299;&#26512;%20-%202020-08-23%2014-25-58-05_ball.txt" TargetMode="External"/><Relationship Id="rId1809" Type="http://schemas.openxmlformats.org/officeDocument/2006/relationships/hyperlink" Target="out/&#12497;&#12527;&#12503;&#12525;2020%20-%20&#25237;&#29699;&#35299;&#26512;%20-%202020-08-24%2013-05-36-03_out.mp4" TargetMode="External"/><Relationship Id="rId597" Type="http://schemas.openxmlformats.org/officeDocument/2006/relationships/hyperlink" Target="out/&#12497;&#12527;&#12503;&#12525;2020%20-%20&#25237;&#29699;&#35299;&#26512;%20-%202020-08-23%2016-29-37-09_out.mp4" TargetMode="External"/><Relationship Id="rId2180" Type="http://schemas.openxmlformats.org/officeDocument/2006/relationships/hyperlink" Target="result/&#12497;&#12527;&#12503;&#12525;2020%20-%20&#25237;&#29699;&#35299;&#26512;%20-%202020-08-28%2022-31-31-08_ball.txt" TargetMode="External"/><Relationship Id="rId2278" Type="http://schemas.openxmlformats.org/officeDocument/2006/relationships/hyperlink" Target="result/&#12497;&#12527;&#12503;&#12525;2020%20-%20&#25237;&#29699;&#35299;&#26512;%20-%202020-08-29%2009-37-40-07_ball.txt" TargetMode="External"/><Relationship Id="rId2485" Type="http://schemas.openxmlformats.org/officeDocument/2006/relationships/hyperlink" Target="out/&#12497;&#12527;&#12503;&#12525;2020%20-%20&#25237;&#29699;&#35299;&#26512;%20-%202020-08-29%2015-46-34-01_out.mp4" TargetMode="External"/><Relationship Id="rId152" Type="http://schemas.openxmlformats.org/officeDocument/2006/relationships/hyperlink" Target="result/&#12497;&#12527;&#12503;&#12525;2020%20-%20&#25237;&#29699;&#35299;&#26512;%20-%202020-08-23%2014-05-50-05_ball.txt" TargetMode="External"/><Relationship Id="rId457" Type="http://schemas.openxmlformats.org/officeDocument/2006/relationships/hyperlink" Target="out/&#12497;&#12527;&#12503;&#12525;2020%20-%20&#25237;&#29699;&#35299;&#26512;%20-%202020-08-23%2016-08-46-09_out.mp4" TargetMode="External"/><Relationship Id="rId1087" Type="http://schemas.openxmlformats.org/officeDocument/2006/relationships/hyperlink" Target="out/&#12497;&#12527;&#12503;&#12525;2020%20-%20&#25237;&#29699;&#35299;&#26512;%20-%202020-08-24%2012-41-25-09_out.mp4" TargetMode="External"/><Relationship Id="rId1294" Type="http://schemas.openxmlformats.org/officeDocument/2006/relationships/hyperlink" Target="result/&#12497;&#12527;&#12503;&#12525;2020%20-%20&#25237;&#29699;&#35299;&#26512;%20-%202020-08-24%2013-05-36-08_ball.txt" TargetMode="External"/><Relationship Id="rId2040" Type="http://schemas.openxmlformats.org/officeDocument/2006/relationships/hyperlink" Target="result/&#12497;&#12527;&#12503;&#12525;2020%20-%20&#25237;&#29699;&#35299;&#26512;%20-%202020-08-27%2018-16-14-08_ball.txt" TargetMode="External"/><Relationship Id="rId2138" Type="http://schemas.openxmlformats.org/officeDocument/2006/relationships/hyperlink" Target="result/&#12497;&#12527;&#12503;&#12525;2020%20-%20&#25237;&#29699;&#35299;&#26512;%20-%202020-08-27%2018-24-30-07_ball.txt" TargetMode="External"/><Relationship Id="rId2692" Type="http://schemas.openxmlformats.org/officeDocument/2006/relationships/hyperlink" Target="result/&#12497;&#12527;&#12503;&#12525;2020%20-%20&#25237;&#29699;&#35299;&#26512;%20-%202020-08-29%2015-58-43-04_ball.txt" TargetMode="External"/><Relationship Id="rId664" Type="http://schemas.openxmlformats.org/officeDocument/2006/relationships/hyperlink" Target="result/&#12497;&#12527;&#12503;&#12525;2020%20-%20&#25237;&#29699;&#35299;&#26512;%20-%202020-08-24%2011-23-23-03_ball.txt" TargetMode="External"/><Relationship Id="rId871" Type="http://schemas.openxmlformats.org/officeDocument/2006/relationships/hyperlink" Target="out/&#12497;&#12527;&#12503;&#12525;2020%20-%20&#25237;&#29699;&#35299;&#26512;%20-%202020-08-24%2012-12-56-02_out.mp4" TargetMode="External"/><Relationship Id="rId969" Type="http://schemas.openxmlformats.org/officeDocument/2006/relationships/hyperlink" Target="out/&#12497;&#12527;&#12503;&#12525;2020%20-%20&#25237;&#29699;&#35299;&#26512;%20-%202020-08-24%2012-32-08-01_out.mp4" TargetMode="External"/><Relationship Id="rId1599" Type="http://schemas.openxmlformats.org/officeDocument/2006/relationships/hyperlink" Target="out/&#12497;&#12527;&#12503;&#12525;2020%20-%20&#25237;&#29699;&#35299;&#26512;%20-%202020-08-23%2016-29-37-05_out.mp4" TargetMode="External"/><Relationship Id="rId2345" Type="http://schemas.openxmlformats.org/officeDocument/2006/relationships/hyperlink" Target="out/&#12497;&#12527;&#12503;&#12525;2020%20-%20&#25237;&#29699;&#35299;&#26512;%20-%202020-08-29%2009-44-23-02_out.mp4" TargetMode="External"/><Relationship Id="rId2552" Type="http://schemas.openxmlformats.org/officeDocument/2006/relationships/hyperlink" Target="result/&#12497;&#12527;&#12503;&#12525;2020%20-%20&#25237;&#29699;&#35299;&#26512;%20-%202020-08-29%2015-50-19-04_ball.txt" TargetMode="External"/><Relationship Id="rId317" Type="http://schemas.openxmlformats.org/officeDocument/2006/relationships/hyperlink" Target="out/&#12497;&#12527;&#12503;&#12525;2020%20-%20&#25237;&#29699;&#35299;&#26512;%20-%202020-08-23%2014-27-07-08_out.mp4" TargetMode="External"/><Relationship Id="rId524" Type="http://schemas.openxmlformats.org/officeDocument/2006/relationships/hyperlink" Target="result/&#12497;&#12527;&#12503;&#12525;2020%20-%20&#25237;&#29699;&#35299;&#26512;%20-%202020-08-23%2016-15-07-02_ball.txt" TargetMode="External"/><Relationship Id="rId731" Type="http://schemas.openxmlformats.org/officeDocument/2006/relationships/hyperlink" Target="out/&#12497;&#12527;&#12503;&#12525;2020%20-%20&#25237;&#29699;&#35299;&#26512;%20-%202020-08-24%2012-01-04-07_out.mp4" TargetMode="External"/><Relationship Id="rId1154" Type="http://schemas.openxmlformats.org/officeDocument/2006/relationships/hyperlink" Target="result/&#12497;&#12527;&#12503;&#12525;2020%20-%20&#25237;&#29699;&#35299;&#26512;%20-%202020-08-24%2012-47-45-04_ball.txt" TargetMode="External"/><Relationship Id="rId1361" Type="http://schemas.openxmlformats.org/officeDocument/2006/relationships/hyperlink" Target="out/&#12497;&#12527;&#12503;&#12525;2020%20-%20&#25237;&#29699;&#35299;&#26512;%20-%202020-08-23%2011-08-57-06_out.mp4" TargetMode="External"/><Relationship Id="rId1459" Type="http://schemas.openxmlformats.org/officeDocument/2006/relationships/hyperlink" Target="out/&#12497;&#12527;&#12503;&#12525;2020%20-%20&#25237;&#29699;&#35299;&#26512;%20-%202020-08-23%2015-51-08-06_out.mp4" TargetMode="External"/><Relationship Id="rId2205" Type="http://schemas.openxmlformats.org/officeDocument/2006/relationships/hyperlink" Target="out/&#12497;&#12527;&#12503;&#12525;2020%20-%20&#25237;&#29699;&#35299;&#26512;%20-%202020-08-28%2022-34-32-01_out.mp4" TargetMode="External"/><Relationship Id="rId2412" Type="http://schemas.openxmlformats.org/officeDocument/2006/relationships/hyperlink" Target="result/&#12497;&#12527;&#12503;&#12525;2020%20-%20&#25237;&#29699;&#35299;&#26512;%20-%202020-08-29%2009-49-52-05_ball.txt" TargetMode="External"/><Relationship Id="rId98" Type="http://schemas.openxmlformats.org/officeDocument/2006/relationships/hyperlink" Target="result/&#12497;&#12527;&#12503;&#12525;2020%20-%20&#25237;&#29699;&#35299;&#26512;%20-%202020-08-23%2011-15-09-08_ball.txt" TargetMode="External"/><Relationship Id="rId829" Type="http://schemas.openxmlformats.org/officeDocument/2006/relationships/hyperlink" Target="out/&#12497;&#12527;&#12503;&#12525;2020%20-%20&#25237;&#29699;&#35299;&#26512;%20-%202020-08-24%2012-08-41-07_out.mp4" TargetMode="External"/><Relationship Id="rId1014" Type="http://schemas.openxmlformats.org/officeDocument/2006/relationships/hyperlink" Target="result/&#12497;&#12527;&#12503;&#12525;2020%20-%20&#25237;&#29699;&#35299;&#26512;%20-%202020-08-24%2012-35-33-03_ball.txt" TargetMode="External"/><Relationship Id="rId1221" Type="http://schemas.openxmlformats.org/officeDocument/2006/relationships/hyperlink" Target="out/&#12497;&#12527;&#12503;&#12525;2020%20-%20&#25237;&#29699;&#35299;&#26512;%20-%202020-08-24%2012-55-39-01_out.mp4" TargetMode="External"/><Relationship Id="rId1666" Type="http://schemas.openxmlformats.org/officeDocument/2006/relationships/hyperlink" Target="result/&#12497;&#12527;&#12503;&#12525;2020%20-%20&#25237;&#29699;&#35299;&#26512;%20-%202020-08-24%2012-11-18-03_ball.txt" TargetMode="External"/><Relationship Id="rId1873" Type="http://schemas.openxmlformats.org/officeDocument/2006/relationships/hyperlink" Target="out/&#12497;&#12527;&#12503;&#12525;2020%20-%20&#25237;&#29699;&#35299;&#26512;%20-%202020-08-24%2013-20-06-02_out.mp4" TargetMode="External"/><Relationship Id="rId2717" Type="http://schemas.openxmlformats.org/officeDocument/2006/relationships/hyperlink" Target="out/&#12497;&#12527;&#12503;&#12525;2020%20-%20&#25237;&#29699;&#35299;&#26512;%20-%202020-08-29%2016-00-15-07_out.mp4" TargetMode="External"/><Relationship Id="rId1319" Type="http://schemas.openxmlformats.org/officeDocument/2006/relationships/hyperlink" Target="out/&#12497;&#12527;&#12503;&#12525;2020%20-%20&#25237;&#29699;&#35299;&#26512;%20-%202020-08-24%2013-09-18-01_out.mp4" TargetMode="External"/><Relationship Id="rId1526" Type="http://schemas.openxmlformats.org/officeDocument/2006/relationships/hyperlink" Target="result/&#12497;&#12527;&#12503;&#12525;2020%20-%20&#25237;&#29699;&#35299;&#26512;%20-%202020-08-23%2016-04-57-09_ball.txt" TargetMode="External"/><Relationship Id="rId1733" Type="http://schemas.openxmlformats.org/officeDocument/2006/relationships/hyperlink" Target="out/&#12497;&#12527;&#12503;&#12525;2020%20-%20&#25237;&#29699;&#35299;&#26512;%20-%202020-08-24%2012-36-56-04_out.mp4" TargetMode="External"/><Relationship Id="rId1940" Type="http://schemas.openxmlformats.org/officeDocument/2006/relationships/hyperlink" Target="result/&#12497;&#12527;&#12503;&#12525;2020%20-%20&#25237;&#29699;&#35299;&#26512;%20-%202020-08-26%2021-19-02-08_ball.txt" TargetMode="External"/><Relationship Id="rId25" Type="http://schemas.openxmlformats.org/officeDocument/2006/relationships/hyperlink" Target="out/&#12497;&#12527;&#12503;&#12525;2020%20-%20&#25237;&#29699;&#35299;&#26512;%20-%202020-08-23%2011-11-35-02_out.mp4" TargetMode="External"/><Relationship Id="rId1800" Type="http://schemas.openxmlformats.org/officeDocument/2006/relationships/hyperlink" Target="result/&#12497;&#12527;&#12503;&#12525;2020%20-%20&#25237;&#29699;&#35299;&#26512;%20-%202020-08-24%2013-03-51-08_ball.txt" TargetMode="External"/><Relationship Id="rId174" Type="http://schemas.openxmlformats.org/officeDocument/2006/relationships/hyperlink" Target="result/&#12497;&#12527;&#12503;&#12525;2020%20-%20&#25237;&#29699;&#35299;&#26512;%20-%202020-08-23%2014-06-56-06_ball.txt" TargetMode="External"/><Relationship Id="rId381" Type="http://schemas.openxmlformats.org/officeDocument/2006/relationships/hyperlink" Target="out/&#12497;&#12527;&#12503;&#12525;2020%20-%20&#25237;&#29699;&#35299;&#26512;%20-%202020-08-23%2015-54-48-00_out.mp4" TargetMode="External"/><Relationship Id="rId2062" Type="http://schemas.openxmlformats.org/officeDocument/2006/relationships/hyperlink" Target="result/&#12497;&#12527;&#12503;&#12525;2020%20-%20&#25237;&#29699;&#35299;&#26512;%20-%202020-08-27%2018-17-46-09_ball.txt" TargetMode="External"/><Relationship Id="rId241" Type="http://schemas.openxmlformats.org/officeDocument/2006/relationships/hyperlink" Target="out/&#12497;&#12527;&#12503;&#12525;2020%20-%20&#25237;&#29699;&#35299;&#26512;%20-%202020-08-23%2014-23-42-00_out.mp4" TargetMode="External"/><Relationship Id="rId479" Type="http://schemas.openxmlformats.org/officeDocument/2006/relationships/hyperlink" Target="out/&#12497;&#12527;&#12503;&#12525;2020%20-%20&#25237;&#29699;&#35299;&#26512;%20-%202020-08-23%2016-12-41-00_out.mp4" TargetMode="External"/><Relationship Id="rId686" Type="http://schemas.openxmlformats.org/officeDocument/2006/relationships/hyperlink" Target="result/&#12497;&#12527;&#12503;&#12525;2020%20-%20&#25237;&#29699;&#35299;&#26512;%20-%202020-08-24%2011-24-36-04_ball.txt" TargetMode="External"/><Relationship Id="rId893" Type="http://schemas.openxmlformats.org/officeDocument/2006/relationships/hyperlink" Target="out/&#12497;&#12527;&#12503;&#12525;2020%20-%20&#25237;&#29699;&#35299;&#26512;%20-%202020-08-24%2012-21-33-03_out.mp4" TargetMode="External"/><Relationship Id="rId2367" Type="http://schemas.openxmlformats.org/officeDocument/2006/relationships/hyperlink" Target="out/&#12497;&#12527;&#12503;&#12525;2020%20-%20&#25237;&#29699;&#35299;&#26512;%20-%202020-08-29%2009-46-05-03_out.mp4" TargetMode="External"/><Relationship Id="rId2574" Type="http://schemas.openxmlformats.org/officeDocument/2006/relationships/hyperlink" Target="result/&#12497;&#12527;&#12503;&#12525;2020%20-%20&#25237;&#29699;&#35299;&#26512;%20-%202020-08-29%2015-51-26-05_ball.txt" TargetMode="External"/><Relationship Id="rId2781" Type="http://schemas.openxmlformats.org/officeDocument/2006/relationships/hyperlink" Target="out/&#25237;&#29699;&#35299;&#26512;%20-%20&#12497;&#12527;&#12503;&#12525;2020%20-%202020-09-08%2023-37-52-09_out.mp4" TargetMode="External"/><Relationship Id="rId339" Type="http://schemas.openxmlformats.org/officeDocument/2006/relationships/hyperlink" Target="out/&#12497;&#12527;&#12503;&#12525;2020%20-%20&#25237;&#29699;&#35299;&#26512;%20-%202020-08-23%2015-48-07-09_out.mp4" TargetMode="External"/><Relationship Id="rId546" Type="http://schemas.openxmlformats.org/officeDocument/2006/relationships/hyperlink" Target="result/&#12497;&#12527;&#12503;&#12525;2020%20-%20&#25237;&#29699;&#35299;&#26512;%20-%202020-08-23%2016-25-48-03_ball.txt" TargetMode="External"/><Relationship Id="rId753" Type="http://schemas.openxmlformats.org/officeDocument/2006/relationships/hyperlink" Target="out/&#12497;&#12527;&#12503;&#12525;2020%20-%20&#25237;&#29699;&#35299;&#26512;%20-%202020-08-24%2012-02-12-09_out.mp4" TargetMode="External"/><Relationship Id="rId1176" Type="http://schemas.openxmlformats.org/officeDocument/2006/relationships/hyperlink" Target="result/&#12497;&#12527;&#12503;&#12525;2020%20-%20&#25237;&#29699;&#35299;&#26512;%20-%202020-08-24%2012-50-30-08_ball.txt" TargetMode="External"/><Relationship Id="rId1383" Type="http://schemas.openxmlformats.org/officeDocument/2006/relationships/hyperlink" Target="out/&#12497;&#12527;&#12503;&#12525;2020%20-%20&#25237;&#29699;&#35299;&#26512;%20-%202020-08-23%2014-03-42-07_out.mp4" TargetMode="External"/><Relationship Id="rId2227" Type="http://schemas.openxmlformats.org/officeDocument/2006/relationships/hyperlink" Target="out/&#12497;&#12527;&#12503;&#12525;2020%20-%20&#25237;&#29699;&#35299;&#26512;%20-%202020-08-28%2022-36-12-02_out.mp4" TargetMode="External"/><Relationship Id="rId2434" Type="http://schemas.openxmlformats.org/officeDocument/2006/relationships/hyperlink" Target="result/&#12497;&#12527;&#12503;&#12525;2020%20-%20&#25237;&#29699;&#35299;&#26512;%20-%202020-08-29%2015-42-43-06_ball.txt" TargetMode="External"/><Relationship Id="rId101" Type="http://schemas.openxmlformats.org/officeDocument/2006/relationships/hyperlink" Target="out/&#12497;&#12527;&#12503;&#12525;2020%20-%20&#25237;&#29699;&#35299;&#26512;%20-%202020-08-23%2011-16-20-00_out.mp4" TargetMode="External"/><Relationship Id="rId406" Type="http://schemas.openxmlformats.org/officeDocument/2006/relationships/hyperlink" Target="result/&#12497;&#12527;&#12503;&#12525;2020%20-%20&#25237;&#29699;&#35299;&#26512;%20-%202020-08-23%2016-03-31-03_ball.txt" TargetMode="External"/><Relationship Id="rId960" Type="http://schemas.openxmlformats.org/officeDocument/2006/relationships/hyperlink" Target="result/&#12497;&#12527;&#12503;&#12525;2020%20-%20&#25237;&#29699;&#35299;&#26512;%20-%202020-08-24%2012-26-53-05_ball.txt" TargetMode="External"/><Relationship Id="rId1036" Type="http://schemas.openxmlformats.org/officeDocument/2006/relationships/hyperlink" Target="result/&#12497;&#12527;&#12503;&#12525;2020%20-%20&#25237;&#29699;&#35299;&#26512;%20-%202020-08-24%2012-38-24-03_ball.txt" TargetMode="External"/><Relationship Id="rId1243" Type="http://schemas.openxmlformats.org/officeDocument/2006/relationships/hyperlink" Target="out/&#12497;&#12527;&#12503;&#12525;2020%20-%20&#25237;&#29699;&#35299;&#26512;%20-%202020-08-24%2013-00-20-02_out.mp4" TargetMode="External"/><Relationship Id="rId1590" Type="http://schemas.openxmlformats.org/officeDocument/2006/relationships/hyperlink" Target="result/&#12497;&#12527;&#12503;&#12525;2020%20-%20&#25237;&#29699;&#35299;&#26512;%20-%202020-08-23%2016-29-37-00_ball.txt" TargetMode="External"/><Relationship Id="rId1688" Type="http://schemas.openxmlformats.org/officeDocument/2006/relationships/hyperlink" Target="result/&#12497;&#12527;&#12503;&#12525;2020%20-%20&#25237;&#29699;&#35299;&#26512;%20-%202020-08-24%2012-22-44-08_ball.txt" TargetMode="External"/><Relationship Id="rId1895" Type="http://schemas.openxmlformats.org/officeDocument/2006/relationships/hyperlink" Target="out/&#12497;&#12527;&#12503;&#12525;2020%20-%20&#25237;&#29699;&#35299;&#26512;%20-%202020-08-26%2021-15-29-03_out.mp4" TargetMode="External"/><Relationship Id="rId2641" Type="http://schemas.openxmlformats.org/officeDocument/2006/relationships/hyperlink" Target="out/&#12497;&#12527;&#12503;&#12525;2020%20-%20&#25237;&#29699;&#35299;&#26512;%20-%202020-08-29%2015-55-24-09_out.mp4" TargetMode="External"/><Relationship Id="rId2739" Type="http://schemas.openxmlformats.org/officeDocument/2006/relationships/hyperlink" Target="out/&#12497;&#12527;&#12503;&#12525;2020%20-%20&#25237;&#29699;&#35299;&#26512;%20-%202020-08-29%2016-01-23-08_out.mp4" TargetMode="External"/><Relationship Id="rId613" Type="http://schemas.openxmlformats.org/officeDocument/2006/relationships/hyperlink" Target="out/&#12497;&#12527;&#12503;&#12525;2020%20-%20&#25237;&#29699;&#35299;&#26512;%20-%202020-08-23%2016-30-55-07_out.mp4" TargetMode="External"/><Relationship Id="rId820" Type="http://schemas.openxmlformats.org/officeDocument/2006/relationships/hyperlink" Target="result/&#12497;&#12527;&#12503;&#12525;2020%20-%20&#25237;&#29699;&#35299;&#26512;%20-%202020-08-24%2012-08-41-02_ball.txt" TargetMode="External"/><Relationship Id="rId918" Type="http://schemas.openxmlformats.org/officeDocument/2006/relationships/hyperlink" Target="result/&#12497;&#12527;&#12503;&#12525;2020%20-%20&#25237;&#29699;&#35299;&#26512;%20-%202020-08-24%2012-24-03-04_ball.txt" TargetMode="External"/><Relationship Id="rId1450" Type="http://schemas.openxmlformats.org/officeDocument/2006/relationships/hyperlink" Target="result/&#12497;&#12527;&#12503;&#12525;2020%20-%20&#25237;&#29699;&#35299;&#26512;%20-%202020-08-23%2015-51-08-01_ball.txt" TargetMode="External"/><Relationship Id="rId1548" Type="http://schemas.openxmlformats.org/officeDocument/2006/relationships/hyperlink" Target="result/&#12497;&#12527;&#12503;&#12525;2020%20-%20&#25237;&#29699;&#35299;&#26512;%20-%202020-08-23%2016-11-33-00_ball.txt" TargetMode="External"/><Relationship Id="rId1755" Type="http://schemas.openxmlformats.org/officeDocument/2006/relationships/hyperlink" Target="out/&#12497;&#12527;&#12503;&#12525;2020%20-%20&#25237;&#29699;&#35299;&#26512;%20-%202020-08-24%2012-44-26-04_out.mp4" TargetMode="External"/><Relationship Id="rId2501" Type="http://schemas.openxmlformats.org/officeDocument/2006/relationships/hyperlink" Target="out/&#12497;&#12527;&#12503;&#12525;2020%20-%20&#25237;&#29699;&#35299;&#26512;%20-%202020-08-29%2015-46-34-09_out.mp4" TargetMode="External"/><Relationship Id="rId1103" Type="http://schemas.openxmlformats.org/officeDocument/2006/relationships/hyperlink" Target="out/&#12497;&#12527;&#12503;&#12525;2020%20-%20&#25237;&#29699;&#35299;&#26512;%20-%202020-08-24%2012-44-26-07_out.mp4" TargetMode="External"/><Relationship Id="rId1310" Type="http://schemas.openxmlformats.org/officeDocument/2006/relationships/hyperlink" Target="result/&#12497;&#12527;&#12503;&#12525;2020%20-%20&#25237;&#29699;&#35299;&#26512;%20-%202020-08-24%2013-07-27-05_ball.txt" TargetMode="External"/><Relationship Id="rId1408" Type="http://schemas.openxmlformats.org/officeDocument/2006/relationships/hyperlink" Target="result/&#12497;&#12527;&#12503;&#12525;2020%20-%20&#25237;&#29699;&#35299;&#26512;%20-%202020-08-23%2014-18-29-09_ball.txt" TargetMode="External"/><Relationship Id="rId1962" Type="http://schemas.openxmlformats.org/officeDocument/2006/relationships/hyperlink" Target="result/&#12497;&#12527;&#12503;&#12525;2020%20-%20&#25237;&#29699;&#35299;&#26512;%20-%202020-08-26%2021-20-35-09_ball.txt" TargetMode="External"/><Relationship Id="rId47" Type="http://schemas.openxmlformats.org/officeDocument/2006/relationships/hyperlink" Target="out/&#12497;&#12527;&#12503;&#12525;2020%20-%20&#25237;&#29699;&#35299;&#26512;%20-%202020-08-23%2011-12-45-03_out.mp4" TargetMode="External"/><Relationship Id="rId1615" Type="http://schemas.openxmlformats.org/officeDocument/2006/relationships/hyperlink" Target="out/&#12497;&#12527;&#12503;&#12525;2020%20-%20&#25237;&#29699;&#35299;&#26512;%20-%202020-08-24%2011-22-14-02_out.mp4" TargetMode="External"/><Relationship Id="rId1822" Type="http://schemas.openxmlformats.org/officeDocument/2006/relationships/hyperlink" Target="result/&#12497;&#12527;&#12503;&#12525;2020%20-%20&#25237;&#29699;&#35299;&#26512;%20-%202020-08-24%2013-14-19-05_ball.txt" TargetMode="External"/><Relationship Id="rId196" Type="http://schemas.openxmlformats.org/officeDocument/2006/relationships/hyperlink" Target="result/&#12497;&#12527;&#12503;&#12525;2020%20-%20&#25237;&#29699;&#35299;&#26512;%20-%202020-08-23%2014-08-02-07_ball.txt" TargetMode="External"/><Relationship Id="rId2084" Type="http://schemas.openxmlformats.org/officeDocument/2006/relationships/hyperlink" Target="result/&#12497;&#12527;&#12503;&#12525;2020%20-%20&#25237;&#29699;&#35299;&#26512;%20-%202020-08-27%2018-21-04-00_ball.txt" TargetMode="External"/><Relationship Id="rId2291" Type="http://schemas.openxmlformats.org/officeDocument/2006/relationships/hyperlink" Target="out/&#12497;&#12527;&#12503;&#12525;2020%20-%20&#25237;&#29699;&#35299;&#26512;%20-%202020-08-29%2009-39-15-04_out.mp4" TargetMode="External"/><Relationship Id="rId263" Type="http://schemas.openxmlformats.org/officeDocument/2006/relationships/hyperlink" Target="out/&#12497;&#12527;&#12503;&#12525;2020%20-%20&#25237;&#29699;&#35299;&#26512;%20-%202020-08-23%2014-24-49-01_out.mp4" TargetMode="External"/><Relationship Id="rId470" Type="http://schemas.openxmlformats.org/officeDocument/2006/relationships/hyperlink" Target="result/&#12497;&#12527;&#12503;&#12525;2020%20-%20&#25237;&#29699;&#35299;&#26512;%20-%202020-08-23%2016-09-58-05_ball.txt" TargetMode="External"/><Relationship Id="rId2151" Type="http://schemas.openxmlformats.org/officeDocument/2006/relationships/hyperlink" Target="out/&#12497;&#12527;&#12503;&#12525;2020%20-%20&#25237;&#29699;&#35299;&#26512;%20-%202020-08-27%2018-26-47-04_out.mp4" TargetMode="External"/><Relationship Id="rId2389" Type="http://schemas.openxmlformats.org/officeDocument/2006/relationships/hyperlink" Target="out/&#12497;&#12527;&#12503;&#12525;2020%20-%20&#25237;&#29699;&#35299;&#26512;%20-%202020-08-29%2009-48-04-04_out.mp4" TargetMode="External"/><Relationship Id="rId2596" Type="http://schemas.openxmlformats.org/officeDocument/2006/relationships/hyperlink" Target="result/&#12497;&#12527;&#12503;&#12525;2020%20-%20&#25237;&#29699;&#35299;&#26512;%20-%202020-08-29%2015-52-32-06_ball.txt" TargetMode="External"/><Relationship Id="rId123" Type="http://schemas.openxmlformats.org/officeDocument/2006/relationships/hyperlink" Target="out/&#12497;&#12527;&#12503;&#12525;2020%20-%20&#25237;&#29699;&#35299;&#26512;%20-%202020-08-23%2014-04-47-01_out.mp4" TargetMode="External"/><Relationship Id="rId330" Type="http://schemas.openxmlformats.org/officeDocument/2006/relationships/hyperlink" Target="result/&#12497;&#12527;&#12503;&#12525;2020%20-%20&#25237;&#29699;&#35299;&#26512;%20-%202020-08-23%2015-48-07-04_ball.txt" TargetMode="External"/><Relationship Id="rId568" Type="http://schemas.openxmlformats.org/officeDocument/2006/relationships/hyperlink" Target="result/&#12497;&#12527;&#12503;&#12525;2020%20-%20&#25237;&#29699;&#35299;&#26512;%20-%202020-08-23%2016-26-58-04_ball.txt" TargetMode="External"/><Relationship Id="rId775" Type="http://schemas.openxmlformats.org/officeDocument/2006/relationships/hyperlink" Target="out/&#12497;&#12527;&#12503;&#12525;2020%20-%20&#25237;&#29699;&#35299;&#26512;%20-%202020-08-24%2012-04-51-00_out.mp4" TargetMode="External"/><Relationship Id="rId982" Type="http://schemas.openxmlformats.org/officeDocument/2006/relationships/hyperlink" Target="result/&#12497;&#12527;&#12503;&#12525;2020%20-%20&#25237;&#29699;&#35299;&#26512;%20-%202020-08-24%2012-32-08-07_ball.txt" TargetMode="External"/><Relationship Id="rId1198" Type="http://schemas.openxmlformats.org/officeDocument/2006/relationships/hyperlink" Target="result/&#12497;&#12527;&#12503;&#12525;2020%20-%20&#25237;&#29699;&#35299;&#26512;%20-%202020-08-24%2012-52-05-09_ball.txt" TargetMode="External"/><Relationship Id="rId2011" Type="http://schemas.openxmlformats.org/officeDocument/2006/relationships/hyperlink" Target="out/&#12497;&#12527;&#12503;&#12525;2020%20-%20&#25237;&#29699;&#35299;&#26512;%20-%202020-08-27%2018-14-40-04_out.mp4" TargetMode="External"/><Relationship Id="rId2249" Type="http://schemas.openxmlformats.org/officeDocument/2006/relationships/hyperlink" Target="out/&#12497;&#12527;&#12503;&#12525;2020%20-%20&#25237;&#29699;&#35299;&#26512;%20-%202020-08-28%2022-37-55-03_out.mp4" TargetMode="External"/><Relationship Id="rId2456" Type="http://schemas.openxmlformats.org/officeDocument/2006/relationships/hyperlink" Target="result/&#12497;&#12527;&#12503;&#12525;2020%20-%20&#25237;&#29699;&#35299;&#26512;%20-%202020-08-29%2015-44-12-07_ball.txt" TargetMode="External"/><Relationship Id="rId2663" Type="http://schemas.openxmlformats.org/officeDocument/2006/relationships/hyperlink" Target="out/&#12497;&#12527;&#12503;&#12525;2020%20-%20&#25237;&#29699;&#35299;&#26512;%20-%202020-08-29%2015-57-36-00_out.mp4" TargetMode="External"/><Relationship Id="rId428" Type="http://schemas.openxmlformats.org/officeDocument/2006/relationships/hyperlink" Target="result/&#12497;&#12527;&#12503;&#12525;2020%20-%20&#25237;&#29699;&#35299;&#26512;%20-%202020-08-23%2016-06-08-04_ball.txt" TargetMode="External"/><Relationship Id="rId635" Type="http://schemas.openxmlformats.org/officeDocument/2006/relationships/hyperlink" Target="out/&#12497;&#12527;&#12503;&#12525;2020%20-%20&#25237;&#29699;&#35299;&#26512;%20-%202020-08-23%2016-32-07-08_out.mp4" TargetMode="External"/><Relationship Id="rId842" Type="http://schemas.openxmlformats.org/officeDocument/2006/relationships/hyperlink" Target="result/&#12497;&#12527;&#12503;&#12525;2020%20-%20&#25237;&#29699;&#35299;&#26512;%20-%202020-08-24%2012-10-03-01_ball.txt" TargetMode="External"/><Relationship Id="rId1058" Type="http://schemas.openxmlformats.org/officeDocument/2006/relationships/hyperlink" Target="result/&#12497;&#12527;&#12503;&#12525;2020%20-%20&#25237;&#29699;&#35299;&#26512;%20-%202020-08-24%2012-39-57-04_ball.txt" TargetMode="External"/><Relationship Id="rId1265" Type="http://schemas.openxmlformats.org/officeDocument/2006/relationships/hyperlink" Target="out/&#12497;&#12527;&#12503;&#12525;2020%20-%20&#25237;&#29699;&#35299;&#26512;%20-%202020-08-24%2013-02-04-04_out.mp4" TargetMode="External"/><Relationship Id="rId1472" Type="http://schemas.openxmlformats.org/officeDocument/2006/relationships/hyperlink" Target="result/&#12497;&#12527;&#12503;&#12525;2020%20-%20&#25237;&#29699;&#35299;&#26512;%20-%202020-08-23%2015-53-39-02_ball.txt" TargetMode="External"/><Relationship Id="rId2109" Type="http://schemas.openxmlformats.org/officeDocument/2006/relationships/hyperlink" Target="out/&#12497;&#12527;&#12503;&#12525;2020%20-%20&#25237;&#29699;&#35299;&#26512;%20-%202020-08-27%2018-22-42-03_out.mp4" TargetMode="External"/><Relationship Id="rId2316" Type="http://schemas.openxmlformats.org/officeDocument/2006/relationships/hyperlink" Target="result/&#12497;&#12527;&#12503;&#12525;2020%20-%20&#25237;&#29699;&#35299;&#26512;%20-%202020-08-29%2009-41-06-06_ball.txt" TargetMode="External"/><Relationship Id="rId2523" Type="http://schemas.openxmlformats.org/officeDocument/2006/relationships/hyperlink" Target="out/&#12497;&#12527;&#12503;&#12525;2020%20-%20&#25237;&#29699;&#35299;&#26512;%20-%202020-08-29%2015-49-13-00_out.mp4" TargetMode="External"/><Relationship Id="rId2730" Type="http://schemas.openxmlformats.org/officeDocument/2006/relationships/hyperlink" Target="result/&#12497;&#12527;&#12503;&#12525;2020%20-%20&#25237;&#29699;&#35299;&#26512;%20-%202020-08-29%2016-01-23-03_ball.txt" TargetMode="External"/><Relationship Id="rId702" Type="http://schemas.openxmlformats.org/officeDocument/2006/relationships/hyperlink" Target="result/&#12497;&#12527;&#12503;&#12525;2020%20-%20&#25237;&#29699;&#35299;&#26512;%20-%202020-08-24%2011-25-48-02_ball.txt" TargetMode="External"/><Relationship Id="rId1125" Type="http://schemas.openxmlformats.org/officeDocument/2006/relationships/hyperlink" Target="out/&#12497;&#12527;&#12503;&#12525;2020%20-%20&#25237;&#29699;&#35299;&#26512;%20-%202020-08-24%2012-46-03-05_out.mp4" TargetMode="External"/><Relationship Id="rId1332" Type="http://schemas.openxmlformats.org/officeDocument/2006/relationships/hyperlink" Target="result/&#12497;&#12527;&#12503;&#12525;2020%20-%20&#25237;&#29699;&#35299;&#26512;%20-%202020-08-24%2013-09-18-07_ball.txt" TargetMode="External"/><Relationship Id="rId1777" Type="http://schemas.openxmlformats.org/officeDocument/2006/relationships/hyperlink" Target="out/&#12497;&#12527;&#12503;&#12525;2020%20-%20&#25237;&#29699;&#35299;&#26512;%20-%202020-08-24%2012-55-39-06_out.mp4" TargetMode="External"/><Relationship Id="rId1984" Type="http://schemas.openxmlformats.org/officeDocument/2006/relationships/hyperlink" Target="result/&#12497;&#12527;&#12503;&#12525;2020%20-%20&#25237;&#29699;&#35299;&#26512;%20-%202020-08-26%2021-35-18-00_ball.txt" TargetMode="External"/><Relationship Id="rId69" Type="http://schemas.openxmlformats.org/officeDocument/2006/relationships/hyperlink" Target="out/&#12497;&#12527;&#12503;&#12525;2020%20-%20&#25237;&#29699;&#35299;&#26512;%20-%202020-08-23%2011-13-59-04_out.mp4" TargetMode="External"/><Relationship Id="rId1637" Type="http://schemas.openxmlformats.org/officeDocument/2006/relationships/hyperlink" Target="out/&#12497;&#12527;&#12503;&#12525;2020%20-%20&#25237;&#29699;&#35299;&#26512;%20-%202020-08-24%2012-00-01-03_out.mp4" TargetMode="External"/><Relationship Id="rId1844" Type="http://schemas.openxmlformats.org/officeDocument/2006/relationships/hyperlink" Target="result/&#12497;&#12527;&#12503;&#12525;2020%20-%20&#25237;&#29699;&#35299;&#26512;%20-%202020-08-24%2013-16-19-06_ball.txt" TargetMode="External"/><Relationship Id="rId1704" Type="http://schemas.openxmlformats.org/officeDocument/2006/relationships/hyperlink" Target="result/&#12497;&#12527;&#12503;&#12525;2020%20-%20&#25237;&#29699;&#35299;&#26512;%20-%202020-08-24%2012-28-05-03_ball.txt" TargetMode="External"/><Relationship Id="rId285" Type="http://schemas.openxmlformats.org/officeDocument/2006/relationships/hyperlink" Target="out/&#12497;&#12527;&#12503;&#12525;2020%20-%20&#25237;&#29699;&#35299;&#26512;%20-%202020-08-23%2014-25-58-02_out.mp4" TargetMode="External"/><Relationship Id="rId1911" Type="http://schemas.openxmlformats.org/officeDocument/2006/relationships/hyperlink" Target="out/&#12497;&#12527;&#12503;&#12525;2020%20-%20&#25237;&#29699;&#35299;&#26512;%20-%202020-08-26%2021-17-48-01_out.mp4" TargetMode="External"/><Relationship Id="rId492" Type="http://schemas.openxmlformats.org/officeDocument/2006/relationships/hyperlink" Target="result/&#12497;&#12527;&#12503;&#12525;2020%20-%20&#25237;&#29699;&#35299;&#26512;%20-%202020-08-23%2016-12-41-06_ball.txt" TargetMode="External"/><Relationship Id="rId797" Type="http://schemas.openxmlformats.org/officeDocument/2006/relationships/hyperlink" Target="out/&#12497;&#12527;&#12503;&#12525;2020%20-%20&#25237;&#29699;&#35299;&#26512;%20-%202020-08-24%2012-07-26-01_out.mp4" TargetMode="External"/><Relationship Id="rId2173" Type="http://schemas.openxmlformats.org/officeDocument/2006/relationships/hyperlink" Target="out/&#12497;&#12527;&#12503;&#12525;2020%20-%20&#25237;&#29699;&#35299;&#26512;%20-%202020-08-28%2022-31-31-05_out.mp4" TargetMode="External"/><Relationship Id="rId2380" Type="http://schemas.openxmlformats.org/officeDocument/2006/relationships/hyperlink" Target="result/&#12497;&#12527;&#12503;&#12525;2020%20-%20&#25237;&#29699;&#35299;&#26512;%20-%202020-08-29%2009-46-05-09_ball.txt" TargetMode="External"/><Relationship Id="rId2478" Type="http://schemas.openxmlformats.org/officeDocument/2006/relationships/hyperlink" Target="result/&#12497;&#12527;&#12503;&#12525;2020%20-%20&#25237;&#29699;&#35299;&#26512;%20-%202020-08-29%2015-45-22-07_ball.txt" TargetMode="External"/><Relationship Id="rId145" Type="http://schemas.openxmlformats.org/officeDocument/2006/relationships/hyperlink" Target="out/&#12497;&#12527;&#12503;&#12525;2020%20-%20&#25237;&#29699;&#35299;&#26512;%20-%202020-08-23%2014-05-50-02_out.mp4" TargetMode="External"/><Relationship Id="rId352" Type="http://schemas.openxmlformats.org/officeDocument/2006/relationships/hyperlink" Target="result/&#12497;&#12527;&#12503;&#12525;2020%20-%20&#25237;&#29699;&#35299;&#26512;%20-%202020-08-23%2015-49-19-05_ball.txt" TargetMode="External"/><Relationship Id="rId1287" Type="http://schemas.openxmlformats.org/officeDocument/2006/relationships/hyperlink" Target="out/&#12497;&#12527;&#12503;&#12525;2020%20-%20&#25237;&#29699;&#35299;&#26512;%20-%202020-08-24%2013-03-51-05_out.mp4" TargetMode="External"/><Relationship Id="rId2033" Type="http://schemas.openxmlformats.org/officeDocument/2006/relationships/hyperlink" Target="out/&#12497;&#12527;&#12503;&#12525;2020%20-%20&#25237;&#29699;&#35299;&#26512;%20-%202020-08-27%2018-16-14-05_out.mp4" TargetMode="External"/><Relationship Id="rId2240" Type="http://schemas.openxmlformats.org/officeDocument/2006/relationships/hyperlink" Target="result/&#12497;&#12527;&#12503;&#12525;2020%20-%20&#25237;&#29699;&#35299;&#26512;%20-%202020-08-28%2022-36-12-08_ball.txt" TargetMode="External"/><Relationship Id="rId2685" Type="http://schemas.openxmlformats.org/officeDocument/2006/relationships/hyperlink" Target="out/&#12497;&#12527;&#12503;&#12525;2020%20-%20&#25237;&#29699;&#35299;&#26512;%20-%202020-08-29%2015-58-43-01_out.mp4" TargetMode="External"/><Relationship Id="rId212" Type="http://schemas.openxmlformats.org/officeDocument/2006/relationships/hyperlink" Target="result/&#12497;&#12527;&#12503;&#12525;2020%20-%20&#25237;&#29699;&#35299;&#26512;%20-%202020-08-23%2014-19-33-05_ball.txt" TargetMode="External"/><Relationship Id="rId657" Type="http://schemas.openxmlformats.org/officeDocument/2006/relationships/hyperlink" Target="out/&#12497;&#12527;&#12503;&#12525;2020%20-%20&#25237;&#29699;&#35299;&#26512;%20-%202020-08-24%2011-23-23-00_out.mp4" TargetMode="External"/><Relationship Id="rId864" Type="http://schemas.openxmlformats.org/officeDocument/2006/relationships/hyperlink" Target="result/&#12497;&#12527;&#12503;&#12525;2020%20-%20&#25237;&#29699;&#35299;&#26512;%20-%202020-08-24%2012-11-18-12_ball.txt" TargetMode="External"/><Relationship Id="rId1494" Type="http://schemas.openxmlformats.org/officeDocument/2006/relationships/hyperlink" Target="result/&#12497;&#12527;&#12503;&#12525;2020%20-%20&#25237;&#29699;&#35299;&#26512;%20-%202020-08-23%2015-56-09-03_ball.txt" TargetMode="External"/><Relationship Id="rId1799" Type="http://schemas.openxmlformats.org/officeDocument/2006/relationships/hyperlink" Target="out/&#12497;&#12527;&#12503;&#12525;2020%20-%20&#25237;&#29699;&#35299;&#26512;%20-%202020-08-24%2013-03-51-08_out.mp4" TargetMode="External"/><Relationship Id="rId2100" Type="http://schemas.openxmlformats.org/officeDocument/2006/relationships/hyperlink" Target="result/&#12497;&#12527;&#12503;&#12525;2020%20-%20&#25237;&#29699;&#35299;&#26512;%20-%202020-08-27%2018-21-04-08_ball.txt" TargetMode="External"/><Relationship Id="rId2338" Type="http://schemas.openxmlformats.org/officeDocument/2006/relationships/hyperlink" Target="result/&#12497;&#12527;&#12503;&#12525;2020%20-%20&#25237;&#29699;&#35299;&#26512;%20-%202020-08-29%2009-42-48-07_ball.txt" TargetMode="External"/><Relationship Id="rId2545" Type="http://schemas.openxmlformats.org/officeDocument/2006/relationships/hyperlink" Target="out/&#12497;&#12527;&#12503;&#12525;2020%20-%20&#25237;&#29699;&#35299;&#26512;%20-%202020-08-29%2015-50-19-01_out.mp4" TargetMode="External"/><Relationship Id="rId2752" Type="http://schemas.openxmlformats.org/officeDocument/2006/relationships/hyperlink" Target="result/&#12497;&#12527;&#12503;&#12525;2020%20-%20&#25237;&#29699;&#35299;&#26512;%20-%202020-08-29%2016-06-51-04_ball.txt" TargetMode="External"/><Relationship Id="rId517" Type="http://schemas.openxmlformats.org/officeDocument/2006/relationships/hyperlink" Target="out/&#12497;&#12527;&#12503;&#12525;2020%20-%20&#25237;&#29699;&#35299;&#26512;%20-%202020-08-23%2016-13-55-09_out.mp4" TargetMode="External"/><Relationship Id="rId724" Type="http://schemas.openxmlformats.org/officeDocument/2006/relationships/hyperlink" Target="result/&#12497;&#12527;&#12503;&#12525;2020%20-%20&#25237;&#29699;&#35299;&#26512;%20-%202020-08-24%2012-01-04-03_ball.txt" TargetMode="External"/><Relationship Id="rId931" Type="http://schemas.openxmlformats.org/officeDocument/2006/relationships/hyperlink" Target="out/&#12497;&#12527;&#12503;&#12525;2020%20-%20&#25237;&#29699;&#35299;&#26512;%20-%202020-08-24%2012-25-33-01_out.mp4" TargetMode="External"/><Relationship Id="rId1147" Type="http://schemas.openxmlformats.org/officeDocument/2006/relationships/hyperlink" Target="out/&#12497;&#12527;&#12503;&#12525;2020%20-%20&#25237;&#29699;&#35299;&#26512;%20-%202020-08-24%2012-47-45-01_out.mp4" TargetMode="External"/><Relationship Id="rId1354" Type="http://schemas.openxmlformats.org/officeDocument/2006/relationships/hyperlink" Target="result/&#12497;&#12527;&#12503;&#12525;2020%20-%20&#25237;&#29699;&#35299;&#26512;%20-%202020-08-23%2011-08-57-02_ball.txt" TargetMode="External"/><Relationship Id="rId1561" Type="http://schemas.openxmlformats.org/officeDocument/2006/relationships/hyperlink" Target="out/&#12497;&#12527;&#12503;&#12525;2020%20-%20&#25237;&#29699;&#35299;&#26512;%20-%202020-08-23%2016-11-33-07_out.mp4" TargetMode="External"/><Relationship Id="rId2405" Type="http://schemas.openxmlformats.org/officeDocument/2006/relationships/hyperlink" Target="out/&#12497;&#12527;&#12503;&#12525;2020%20-%20&#25237;&#29699;&#35299;&#26512;%20-%202020-08-29%2009-49-52-02_out.mp4" TargetMode="External"/><Relationship Id="rId2612" Type="http://schemas.openxmlformats.org/officeDocument/2006/relationships/hyperlink" Target="result/&#12497;&#12527;&#12503;&#12525;2020%20-%20&#25237;&#29699;&#35299;&#26512;%20-%202020-08-29%2015-53-40-04_ball.txt" TargetMode="External"/><Relationship Id="rId60" Type="http://schemas.openxmlformats.org/officeDocument/2006/relationships/hyperlink" Target="result/&#12497;&#12527;&#12503;&#12525;2020%20-%20&#25237;&#29699;&#35299;&#26512;%20-%202020-08-23%2011-12-45-09_ball.txt" TargetMode="External"/><Relationship Id="rId1007" Type="http://schemas.openxmlformats.org/officeDocument/2006/relationships/hyperlink" Target="out/&#12497;&#12527;&#12503;&#12525;2020%20-%20&#25237;&#29699;&#35299;&#26512;%20-%202020-08-24%2012-35-33-00_out.mp4" TargetMode="External"/><Relationship Id="rId1214" Type="http://schemas.openxmlformats.org/officeDocument/2006/relationships/hyperlink" Target="result/&#12497;&#12527;&#12503;&#12525;2020%20-%20&#25237;&#29699;&#35299;&#26512;%20-%202020-08-24%2012-53-43-07_ball.txt" TargetMode="External"/><Relationship Id="rId1421" Type="http://schemas.openxmlformats.org/officeDocument/2006/relationships/hyperlink" Target="out/&#12497;&#12527;&#12503;&#12525;2020%20-%20&#25237;&#29699;&#35299;&#26512;%20-%202020-08-23%2014-22-38-06_out.mp4" TargetMode="External"/><Relationship Id="rId1659" Type="http://schemas.openxmlformats.org/officeDocument/2006/relationships/hyperlink" Target="out/&#12497;&#12527;&#12503;&#12525;2020%20-%20&#25237;&#29699;&#35299;&#26512;%20-%202020-08-24%2012-06-16-05_out.mp4" TargetMode="External"/><Relationship Id="rId1866" Type="http://schemas.openxmlformats.org/officeDocument/2006/relationships/hyperlink" Target="result/&#12497;&#12527;&#12503;&#12525;2020%20-%20&#25237;&#29699;&#35299;&#26512;%20-%202020-08-24%2013-17-56-08_ball.txt" TargetMode="External"/><Relationship Id="rId1519" Type="http://schemas.openxmlformats.org/officeDocument/2006/relationships/hyperlink" Target="out/&#12497;&#12527;&#12503;&#12525;2020%20-%20&#25237;&#29699;&#35299;&#26512;%20-%202020-08-23%2016-04-57-06_out.mp4" TargetMode="External"/><Relationship Id="rId1726" Type="http://schemas.openxmlformats.org/officeDocument/2006/relationships/hyperlink" Target="result/&#12497;&#12527;&#12503;&#12525;2020%20-%20&#25237;&#29699;&#35299;&#26512;%20-%202020-08-24%2012-36-56-00_ball.txt" TargetMode="External"/><Relationship Id="rId1933" Type="http://schemas.openxmlformats.org/officeDocument/2006/relationships/hyperlink" Target="out/&#12497;&#12527;&#12503;&#12525;2020%20-%20&#25237;&#29699;&#35299;&#26512;%20-%202020-08-26%2021-19-02-05_out.mp4" TargetMode="External"/><Relationship Id="rId18" Type="http://schemas.openxmlformats.org/officeDocument/2006/relationships/hyperlink" Target="result/&#12497;&#12527;&#12503;&#12525;2020%20-%20&#25237;&#29699;&#35299;&#26512;%20-%202020-08-23%2011-10-26-08_ball.txt" TargetMode="External"/><Relationship Id="rId2195" Type="http://schemas.openxmlformats.org/officeDocument/2006/relationships/hyperlink" Target="out/&#12497;&#12527;&#12503;&#12525;2020%20-%20&#25237;&#29699;&#35299;&#26512;%20-%202020-08-28%2022-33-04-06_out.mp4" TargetMode="External"/><Relationship Id="rId167" Type="http://schemas.openxmlformats.org/officeDocument/2006/relationships/hyperlink" Target="out/&#12497;&#12527;&#12503;&#12525;2020%20-%20&#25237;&#29699;&#35299;&#26512;%20-%202020-08-23%2014-06-56-03_out.mp4" TargetMode="External"/><Relationship Id="rId374" Type="http://schemas.openxmlformats.org/officeDocument/2006/relationships/hyperlink" Target="result/&#12497;&#12527;&#12503;&#12525;2020%20-%20&#25237;&#29699;&#35299;&#26512;%20-%202020-08-23%2015-52-13-06_ball.txt" TargetMode="External"/><Relationship Id="rId581" Type="http://schemas.openxmlformats.org/officeDocument/2006/relationships/hyperlink" Target="out/&#12497;&#12527;&#12503;&#12525;2020%20-%20&#25237;&#29699;&#35299;&#26512;%20-%202020-08-23%2016-28-07-01_out.mp4" TargetMode="External"/><Relationship Id="rId2055" Type="http://schemas.openxmlformats.org/officeDocument/2006/relationships/hyperlink" Target="out/&#12497;&#12527;&#12503;&#12525;2020%20-%20&#25237;&#29699;&#35299;&#26512;%20-%202020-08-27%2018-17-46-06_out.mp4" TargetMode="External"/><Relationship Id="rId2262" Type="http://schemas.openxmlformats.org/officeDocument/2006/relationships/hyperlink" Target="result/&#12497;&#12527;&#12503;&#12525;2020%20-%20&#25237;&#29699;&#35299;&#26512;%20-%202020-08-28%2022-37-55-09_ball.txt" TargetMode="External"/><Relationship Id="rId234" Type="http://schemas.openxmlformats.org/officeDocument/2006/relationships/hyperlink" Target="result/&#12497;&#12527;&#12503;&#12525;2020%20-%20&#25237;&#29699;&#35299;&#26512;%20-%202020-08-23%2014-21-04-06_ball.txt" TargetMode="External"/><Relationship Id="rId679" Type="http://schemas.openxmlformats.org/officeDocument/2006/relationships/hyperlink" Target="out/&#12497;&#12527;&#12503;&#12525;2020%20-%20&#25237;&#29699;&#35299;&#26512;%20-%202020-08-24%2011-24-36-01_out.mp4" TargetMode="External"/><Relationship Id="rId886" Type="http://schemas.openxmlformats.org/officeDocument/2006/relationships/hyperlink" Target="result/&#12497;&#12527;&#12503;&#12525;2020%20-%20&#25237;&#29699;&#35299;&#26512;%20-%202020-08-24%2012-12-56-09_ball.txt" TargetMode="External"/><Relationship Id="rId2567" Type="http://schemas.openxmlformats.org/officeDocument/2006/relationships/hyperlink" Target="out/&#12497;&#12527;&#12503;&#12525;2020%20-%20&#25237;&#29699;&#35299;&#26512;%20-%202020-08-29%2015-51-26-02_out.mp4" TargetMode="External"/><Relationship Id="rId2774" Type="http://schemas.openxmlformats.org/officeDocument/2006/relationships/hyperlink" Target="result/&#25237;&#29699;&#35299;&#26512;%20-%20&#12497;&#12527;&#12503;&#12525;2020%20-%202020-09-08%2023-37-52-05_ball.txt" TargetMode="External"/><Relationship Id="rId2" Type="http://schemas.openxmlformats.org/officeDocument/2006/relationships/hyperlink" Target="result/&#12497;&#12527;&#12503;&#12525;2020%20-%20&#25237;&#29699;&#35299;&#26512;%20-%202020-08-23%2011-10-26-00_ball.txt" TargetMode="External"/><Relationship Id="rId441" Type="http://schemas.openxmlformats.org/officeDocument/2006/relationships/hyperlink" Target="out/&#12497;&#12527;&#12503;&#12525;2020%20-%20&#25237;&#29699;&#35299;&#26512;%20-%202020-08-23%2016-08-46-01_out.mp4" TargetMode="External"/><Relationship Id="rId539" Type="http://schemas.openxmlformats.org/officeDocument/2006/relationships/hyperlink" Target="out/&#12497;&#12527;&#12503;&#12525;2020%20-%20&#25237;&#29699;&#35299;&#26512;%20-%202020-08-23%2016-25-48-00_out.mp4" TargetMode="External"/><Relationship Id="rId746" Type="http://schemas.openxmlformats.org/officeDocument/2006/relationships/hyperlink" Target="result/&#12497;&#12527;&#12503;&#12525;2020%20-%20&#25237;&#29699;&#35299;&#26512;%20-%202020-08-24%2012-02-12-05_ball.txt" TargetMode="External"/><Relationship Id="rId1071" Type="http://schemas.openxmlformats.org/officeDocument/2006/relationships/hyperlink" Target="out/&#12497;&#12527;&#12503;&#12525;2020%20-%20&#25237;&#29699;&#35299;&#26512;%20-%202020-08-24%2012-41-25-01_out.mp4" TargetMode="External"/><Relationship Id="rId1169" Type="http://schemas.openxmlformats.org/officeDocument/2006/relationships/hyperlink" Target="out/&#12497;&#12527;&#12503;&#12525;2020%20-%20&#25237;&#29699;&#35299;&#26512;%20-%202020-08-24%2012-49-17-02_out.mp4" TargetMode="External"/><Relationship Id="rId1376" Type="http://schemas.openxmlformats.org/officeDocument/2006/relationships/hyperlink" Target="result/&#12497;&#12527;&#12503;&#12525;2020%20-%20&#25237;&#29699;&#35299;&#26512;%20-%202020-08-23%2014-03-42-03_ball.txt" TargetMode="External"/><Relationship Id="rId1583" Type="http://schemas.openxmlformats.org/officeDocument/2006/relationships/hyperlink" Target="out/&#12497;&#12527;&#12503;&#12525;2020%20-%20&#25237;&#29699;&#35299;&#26512;%20-%202020-08-23%2016-24-41-08_out.mp4" TargetMode="External"/><Relationship Id="rId2122" Type="http://schemas.openxmlformats.org/officeDocument/2006/relationships/hyperlink" Target="result/&#12497;&#12527;&#12503;&#12525;2020%20-%20&#25237;&#29699;&#35299;&#26512;%20-%202020-08-27%2018-22-42-09_ball.txt" TargetMode="External"/><Relationship Id="rId2427" Type="http://schemas.openxmlformats.org/officeDocument/2006/relationships/hyperlink" Target="out/&#12497;&#12527;&#12503;&#12525;2020%20-%20&#25237;&#29699;&#35299;&#26512;%20-%202020-08-29%2015-42-43-03_out.mp4" TargetMode="External"/><Relationship Id="rId301" Type="http://schemas.openxmlformats.org/officeDocument/2006/relationships/hyperlink" Target="out/&#12497;&#12527;&#12503;&#12525;2020%20-%20&#25237;&#29699;&#35299;&#26512;%20-%202020-08-23%2014-27-07-00_out.mp4" TargetMode="External"/><Relationship Id="rId953" Type="http://schemas.openxmlformats.org/officeDocument/2006/relationships/hyperlink" Target="out/&#12497;&#12527;&#12503;&#12525;2020%20-%20&#25237;&#29699;&#35299;&#26512;%20-%202020-08-24%2012-26-53-02_out.mp4" TargetMode="External"/><Relationship Id="rId1029" Type="http://schemas.openxmlformats.org/officeDocument/2006/relationships/hyperlink" Target="out/&#12497;&#12527;&#12503;&#12525;2020%20-%20&#25237;&#29699;&#35299;&#26512;%20-%202020-08-24%2012-38-24-00_out.mp4" TargetMode="External"/><Relationship Id="rId1236" Type="http://schemas.openxmlformats.org/officeDocument/2006/relationships/hyperlink" Target="result/&#12497;&#12527;&#12503;&#12525;2020%20-%20&#25237;&#29699;&#35299;&#26512;%20-%202020-08-24%2012-58-52-08_ball.txt" TargetMode="External"/><Relationship Id="rId1790" Type="http://schemas.openxmlformats.org/officeDocument/2006/relationships/hyperlink" Target="result/&#12497;&#12527;&#12503;&#12525;2020%20-%20&#25237;&#29699;&#35299;&#26512;%20-%202020-08-24%2012-58-52-02_ball.txt" TargetMode="External"/><Relationship Id="rId1888" Type="http://schemas.openxmlformats.org/officeDocument/2006/relationships/hyperlink" Target="result/&#12497;&#12527;&#12503;&#12525;2020%20-%20&#25237;&#29699;&#35299;&#26512;%20-%202020-08-24%2013-20-06-09_ball.txt" TargetMode="External"/><Relationship Id="rId2634" Type="http://schemas.openxmlformats.org/officeDocument/2006/relationships/hyperlink" Target="result/&#12497;&#12527;&#12503;&#12525;2020%20-%20&#25237;&#29699;&#35299;&#26512;%20-%202020-08-29%2015-55-24-05_ball.txt" TargetMode="External"/><Relationship Id="rId82" Type="http://schemas.openxmlformats.org/officeDocument/2006/relationships/hyperlink" Target="result/&#12497;&#12527;&#12503;&#12525;2020%20-%20&#25237;&#29699;&#35299;&#26512;%20-%202020-08-23%2011-15-09-00_ball.txt" TargetMode="External"/><Relationship Id="rId606" Type="http://schemas.openxmlformats.org/officeDocument/2006/relationships/hyperlink" Target="result/&#12497;&#12527;&#12503;&#12525;2020%20-%20&#25237;&#29699;&#35299;&#26512;%20-%202020-08-23%2016-30-55-03_ball.txt" TargetMode="External"/><Relationship Id="rId813" Type="http://schemas.openxmlformats.org/officeDocument/2006/relationships/hyperlink" Target="out/&#12497;&#12527;&#12503;&#12525;2020%20-%20&#25237;&#29699;&#35299;&#26512;%20-%202020-08-24%2012-07-26-09_out.mp4" TargetMode="External"/><Relationship Id="rId1443" Type="http://schemas.openxmlformats.org/officeDocument/2006/relationships/hyperlink" Target="out/&#12497;&#12527;&#12503;&#12525;2020%20-%20&#25237;&#29699;&#35299;&#26512;%20-%202020-08-23%2015-47-01-08_out.mp4" TargetMode="External"/><Relationship Id="rId1650" Type="http://schemas.openxmlformats.org/officeDocument/2006/relationships/hyperlink" Target="result/&#12497;&#12527;&#12503;&#12525;2020%20-%20&#25237;&#29699;&#35299;&#26512;%20-%202020-08-24%2012-06-16-00_ball.txt" TargetMode="External"/><Relationship Id="rId1748" Type="http://schemas.openxmlformats.org/officeDocument/2006/relationships/hyperlink" Target="result/&#12497;&#12527;&#12503;&#12525;2020%20-%20&#25237;&#29699;&#35299;&#26512;%20-%202020-08-24%2012-44-26-00_ball.txt" TargetMode="External"/><Relationship Id="rId2701" Type="http://schemas.openxmlformats.org/officeDocument/2006/relationships/hyperlink" Target="out/&#12497;&#12527;&#12503;&#12525;2020%20-%20&#25237;&#29699;&#35299;&#26512;%20-%202020-08-29%2015-58-43-09_out.mp4" TargetMode="External"/><Relationship Id="rId1303" Type="http://schemas.openxmlformats.org/officeDocument/2006/relationships/hyperlink" Target="out/&#12497;&#12527;&#12503;&#12525;2020%20-%20&#25237;&#29699;&#35299;&#26512;%20-%202020-08-24%2013-07-27-02_out.mp4" TargetMode="External"/><Relationship Id="rId1510" Type="http://schemas.openxmlformats.org/officeDocument/2006/relationships/hyperlink" Target="result/&#12497;&#12527;&#12503;&#12525;2020%20-%20&#25237;&#29699;&#35299;&#26512;%20-%202020-08-23%2016-04-57-01_ball.txt" TargetMode="External"/><Relationship Id="rId1955" Type="http://schemas.openxmlformats.org/officeDocument/2006/relationships/hyperlink" Target="out/&#12497;&#12527;&#12503;&#12525;2020%20-%20&#25237;&#29699;&#35299;&#26512;%20-%202020-08-26%2021-20-35-06_out.mp4" TargetMode="External"/><Relationship Id="rId1608" Type="http://schemas.openxmlformats.org/officeDocument/2006/relationships/hyperlink" Target="result/&#12497;&#12527;&#12503;&#12525;2020%20-%20&#25237;&#29699;&#35299;&#26512;%20-%202020-08-23%2016-33-27-07_ball.txt" TargetMode="External"/><Relationship Id="rId1815" Type="http://schemas.openxmlformats.org/officeDocument/2006/relationships/hyperlink" Target="out/&#12497;&#12527;&#12503;&#12525;2020%20-%20&#25237;&#29699;&#35299;&#26512;%20-%202020-08-24%2013-05-36-06_out.mp4" TargetMode="External"/><Relationship Id="rId189" Type="http://schemas.openxmlformats.org/officeDocument/2006/relationships/hyperlink" Target="out/&#12497;&#12527;&#12503;&#12525;2020%20-%20&#25237;&#29699;&#35299;&#26512;%20-%202020-08-23%2014-08-02-04_out.mp4" TargetMode="External"/><Relationship Id="rId396" Type="http://schemas.openxmlformats.org/officeDocument/2006/relationships/hyperlink" Target="result/&#12497;&#12527;&#12503;&#12525;2020%20-%20&#25237;&#29699;&#35299;&#26512;%20-%202020-08-23%2015-54-48-07_ball.txt" TargetMode="External"/><Relationship Id="rId2077" Type="http://schemas.openxmlformats.org/officeDocument/2006/relationships/hyperlink" Target="out/&#12497;&#12527;&#12503;&#12525;2020%20-%20&#25237;&#29699;&#35299;&#26512;%20-%202020-08-27%2018-19-19-07_out.mp4" TargetMode="External"/><Relationship Id="rId2284" Type="http://schemas.openxmlformats.org/officeDocument/2006/relationships/hyperlink" Target="result/&#12497;&#12527;&#12503;&#12525;2020%20-%20&#25237;&#29699;&#35299;&#26512;%20-%202020-08-29%2009-39-15-00_ball.txt" TargetMode="External"/><Relationship Id="rId2491" Type="http://schemas.openxmlformats.org/officeDocument/2006/relationships/hyperlink" Target="out/&#12497;&#12527;&#12503;&#12525;2020%20-%20&#25237;&#29699;&#35299;&#26512;%20-%202020-08-29%2015-46-34-04_out.mp4" TargetMode="External"/><Relationship Id="rId256" Type="http://schemas.openxmlformats.org/officeDocument/2006/relationships/hyperlink" Target="result/&#12497;&#12527;&#12503;&#12525;2020%20-%20&#25237;&#29699;&#35299;&#26512;%20-%202020-08-23%2014-23-42-07_ball.txt" TargetMode="External"/><Relationship Id="rId463" Type="http://schemas.openxmlformats.org/officeDocument/2006/relationships/hyperlink" Target="out/&#12497;&#12527;&#12503;&#12525;2020%20-%20&#25237;&#29699;&#35299;&#26512;%20-%202020-08-23%2016-09-58-02_out.mp4" TargetMode="External"/><Relationship Id="rId670" Type="http://schemas.openxmlformats.org/officeDocument/2006/relationships/hyperlink" Target="result/&#12497;&#12527;&#12503;&#12525;2020%20-%20&#25237;&#29699;&#35299;&#26512;%20-%202020-08-24%2011-23-23-06_ball.txt" TargetMode="External"/><Relationship Id="rId1093" Type="http://schemas.openxmlformats.org/officeDocument/2006/relationships/hyperlink" Target="out/&#12497;&#12527;&#12503;&#12525;2020%20-%20&#25237;&#29699;&#35299;&#26512;%20-%202020-08-24%2012-42-52-02_out.mp4" TargetMode="External"/><Relationship Id="rId2144" Type="http://schemas.openxmlformats.org/officeDocument/2006/relationships/hyperlink" Target="result/&#12497;&#12527;&#12503;&#12525;2020%20-%20&#25237;&#29699;&#35299;&#26512;%20-%202020-08-27%2018-26-47-00_ball.txt" TargetMode="External"/><Relationship Id="rId2351" Type="http://schemas.openxmlformats.org/officeDocument/2006/relationships/hyperlink" Target="out/&#12497;&#12527;&#12503;&#12525;2020%20-%20&#25237;&#29699;&#35299;&#26512;%20-%202020-08-29%2009-44-23-05_out.mp4" TargetMode="External"/><Relationship Id="rId2589" Type="http://schemas.openxmlformats.org/officeDocument/2006/relationships/hyperlink" Target="out/&#12497;&#12527;&#12503;&#12525;2020%20-%20&#25237;&#29699;&#35299;&#26512;%20-%202020-08-29%2015-52-32-03_out.mp4" TargetMode="External"/><Relationship Id="rId2796" Type="http://schemas.openxmlformats.org/officeDocument/2006/relationships/hyperlink" Target="result/&#25237;&#29699;&#35299;&#26512;%20-%20&#12497;&#12527;&#12503;&#12525;2020%20-%202020-09-08%2023-39-02-06_ball.txt" TargetMode="External"/><Relationship Id="rId116" Type="http://schemas.openxmlformats.org/officeDocument/2006/relationships/hyperlink" Target="result/&#12497;&#12527;&#12503;&#12525;2020%20-%20&#25237;&#29699;&#35299;&#26512;%20-%202020-08-23%2011-16-20-07_ball.txt" TargetMode="External"/><Relationship Id="rId323" Type="http://schemas.openxmlformats.org/officeDocument/2006/relationships/hyperlink" Target="out/&#12497;&#12527;&#12503;&#12525;2020%20-%20&#25237;&#29699;&#35299;&#26512;%20-%202020-08-23%2015-48-07-01_out.mp4" TargetMode="External"/><Relationship Id="rId530" Type="http://schemas.openxmlformats.org/officeDocument/2006/relationships/hyperlink" Target="result/&#12497;&#12527;&#12503;&#12525;2020%20-%20&#25237;&#29699;&#35299;&#26512;%20-%202020-08-23%2016-15-07-05_ball.txt" TargetMode="External"/><Relationship Id="rId768" Type="http://schemas.openxmlformats.org/officeDocument/2006/relationships/hyperlink" Target="result/&#12497;&#12527;&#12503;&#12525;2020%20-%20&#25237;&#29699;&#35299;&#26512;%20-%202020-08-24%2012-03-33-06_ball.txt" TargetMode="External"/><Relationship Id="rId975" Type="http://schemas.openxmlformats.org/officeDocument/2006/relationships/hyperlink" Target="out/&#12497;&#12527;&#12503;&#12525;2020%20-%20&#25237;&#29699;&#35299;&#26512;%20-%202020-08-24%2012-32-08-04_out.mp4" TargetMode="External"/><Relationship Id="rId1160" Type="http://schemas.openxmlformats.org/officeDocument/2006/relationships/hyperlink" Target="result/&#12497;&#12527;&#12503;&#12525;2020%20-%20&#25237;&#29699;&#35299;&#26512;%20-%202020-08-24%2012-47-45-07_ball.txt" TargetMode="External"/><Relationship Id="rId1398" Type="http://schemas.openxmlformats.org/officeDocument/2006/relationships/hyperlink" Target="result/&#12497;&#12527;&#12503;&#12525;2020%20-%20&#25237;&#29699;&#35299;&#26512;%20-%202020-08-23%2014-18-29-04_ball.txt" TargetMode="External"/><Relationship Id="rId2004" Type="http://schemas.openxmlformats.org/officeDocument/2006/relationships/hyperlink" Target="result/&#12497;&#12527;&#12503;&#12525;2020%20-%20&#25237;&#29699;&#35299;&#26512;%20-%202020-08-27%2018-14-40-00_ball.txt" TargetMode="External"/><Relationship Id="rId2211" Type="http://schemas.openxmlformats.org/officeDocument/2006/relationships/hyperlink" Target="out/&#12497;&#12527;&#12503;&#12525;2020%20-%20&#25237;&#29699;&#35299;&#26512;%20-%202020-08-28%2022-34-32-04_out.mp4" TargetMode="External"/><Relationship Id="rId2449" Type="http://schemas.openxmlformats.org/officeDocument/2006/relationships/hyperlink" Target="out/&#12497;&#12527;&#12503;&#12525;2020%20-%20&#25237;&#29699;&#35299;&#26512;%20-%202020-08-29%2015-44-12-04_out.mp4" TargetMode="External"/><Relationship Id="rId2656" Type="http://schemas.openxmlformats.org/officeDocument/2006/relationships/hyperlink" Target="result/&#12497;&#12527;&#12503;&#12525;2020%20-%20&#25237;&#29699;&#35299;&#26512;%20-%202020-08-29%2015-56-35-06_ball.txt" TargetMode="External"/><Relationship Id="rId628" Type="http://schemas.openxmlformats.org/officeDocument/2006/relationships/hyperlink" Target="result/&#12497;&#12527;&#12503;&#12525;2020%20-%20&#25237;&#29699;&#35299;&#26512;%20-%202020-08-23%2016-32-07-04_ball.txt" TargetMode="External"/><Relationship Id="rId835" Type="http://schemas.openxmlformats.org/officeDocument/2006/relationships/hyperlink" Target="out/&#12497;&#12527;&#12503;&#12525;2020%20-%20&#25237;&#29699;&#35299;&#26512;%20-%202020-08-24%2012-08-41-12_out.mp4" TargetMode="External"/><Relationship Id="rId1258" Type="http://schemas.openxmlformats.org/officeDocument/2006/relationships/hyperlink" Target="result/&#12497;&#12527;&#12503;&#12525;2020%20-%20&#25237;&#29699;&#35299;&#26512;%20-%202020-08-24%2013-02-04-00_ball.txt" TargetMode="External"/><Relationship Id="rId1465" Type="http://schemas.openxmlformats.org/officeDocument/2006/relationships/hyperlink" Target="out/&#12497;&#12527;&#12503;&#12525;2020%20-%20&#25237;&#29699;&#35299;&#26512;%20-%202020-08-23%2015-51-08-09_out.mp4" TargetMode="External"/><Relationship Id="rId1672" Type="http://schemas.openxmlformats.org/officeDocument/2006/relationships/hyperlink" Target="result/&#12497;&#12527;&#12503;&#12525;2020%20-%20&#25237;&#29699;&#35299;&#26512;%20-%202020-08-24%2012-11-18-06_ball.txt" TargetMode="External"/><Relationship Id="rId2309" Type="http://schemas.openxmlformats.org/officeDocument/2006/relationships/hyperlink" Target="out/&#12497;&#12527;&#12503;&#12525;2020%20-%20&#25237;&#29699;&#35299;&#26512;%20-%202020-08-29%2009-41-06-03_out.mp4" TargetMode="External"/><Relationship Id="rId2516" Type="http://schemas.openxmlformats.org/officeDocument/2006/relationships/hyperlink" Target="result/&#12497;&#12527;&#12503;&#12525;2020%20-%20&#25237;&#29699;&#35299;&#26512;%20-%202020-08-29%2015-48-09-06_ball.txt" TargetMode="External"/><Relationship Id="rId2723" Type="http://schemas.openxmlformats.org/officeDocument/2006/relationships/hyperlink" Target="out/&#12497;&#12527;&#12503;&#12525;2020%20-%20&#25237;&#29699;&#35299;&#26512;%20-%202020-08-29%2016-01-23-00_out.mp4" TargetMode="External"/><Relationship Id="rId1020" Type="http://schemas.openxmlformats.org/officeDocument/2006/relationships/hyperlink" Target="result/&#12497;&#12527;&#12503;&#12525;2020%20-%20&#25237;&#29699;&#35299;&#26512;%20-%202020-08-24%2012-35-33-06_ball.txt" TargetMode="External"/><Relationship Id="rId1118" Type="http://schemas.openxmlformats.org/officeDocument/2006/relationships/hyperlink" Target="result/&#12497;&#12527;&#12503;&#12525;2020%20-%20&#25237;&#29699;&#35299;&#26512;%20-%202020-08-24%2012-46-03-01_ball.txt" TargetMode="External"/><Relationship Id="rId1325" Type="http://schemas.openxmlformats.org/officeDocument/2006/relationships/hyperlink" Target="out/&#12497;&#12527;&#12503;&#12525;2020%20-%20&#25237;&#29699;&#35299;&#26512;%20-%202020-08-24%2013-09-18-04_out.mp4" TargetMode="External"/><Relationship Id="rId1532" Type="http://schemas.openxmlformats.org/officeDocument/2006/relationships/hyperlink" Target="result/&#12497;&#12527;&#12503;&#12525;2020%20-%20&#25237;&#29699;&#35299;&#26512;%20-%202020-08-23%2016-07-35-02_ball.txt" TargetMode="External"/><Relationship Id="rId1977" Type="http://schemas.openxmlformats.org/officeDocument/2006/relationships/hyperlink" Target="out/&#12497;&#12527;&#12503;&#12525;2020%20-%20&#25237;&#29699;&#35299;&#26512;%20-%202020-08-26%2021-30-58-07_out.mp4" TargetMode="External"/><Relationship Id="rId902" Type="http://schemas.openxmlformats.org/officeDocument/2006/relationships/hyperlink" Target="result/&#12497;&#12527;&#12503;&#12525;2020%20-%20&#25237;&#29699;&#35299;&#26512;%20-%202020-08-24%2012-21-33-07_ball.txt" TargetMode="External"/><Relationship Id="rId1837" Type="http://schemas.openxmlformats.org/officeDocument/2006/relationships/hyperlink" Target="out/&#12497;&#12527;&#12503;&#12525;2020%20-%20&#25237;&#29699;&#35299;&#26512;%20-%202020-08-24%2013-16-19-03_out.mp4" TargetMode="External"/><Relationship Id="rId31" Type="http://schemas.openxmlformats.org/officeDocument/2006/relationships/hyperlink" Target="out/&#12497;&#12527;&#12503;&#12525;2020%20-%20&#25237;&#29699;&#35299;&#26512;%20-%202020-08-23%2011-11-35-05_out.mp4" TargetMode="External"/><Relationship Id="rId2099" Type="http://schemas.openxmlformats.org/officeDocument/2006/relationships/hyperlink" Target="out/&#12497;&#12527;&#12503;&#12525;2020%20-%20&#25237;&#29699;&#35299;&#26512;%20-%202020-08-27%2018-21-04-08_out.mp4" TargetMode="External"/><Relationship Id="rId180" Type="http://schemas.openxmlformats.org/officeDocument/2006/relationships/hyperlink" Target="result/&#12497;&#12527;&#12503;&#12525;2020%20-%20&#25237;&#29699;&#35299;&#26512;%20-%202020-08-23%2014-06-56-09_ball.txt" TargetMode="External"/><Relationship Id="rId278" Type="http://schemas.openxmlformats.org/officeDocument/2006/relationships/hyperlink" Target="result/&#12497;&#12527;&#12503;&#12525;2020%20-%20&#25237;&#29699;&#35299;&#26512;%20-%202020-08-23%2014-24-49-08_ball.txt" TargetMode="External"/><Relationship Id="rId1904" Type="http://schemas.openxmlformats.org/officeDocument/2006/relationships/hyperlink" Target="result/&#12497;&#12527;&#12503;&#12525;2020%20-%20&#25237;&#29699;&#35299;&#26512;%20-%202020-08-26%2021-15-29-07_ball.txt" TargetMode="External"/><Relationship Id="rId485" Type="http://schemas.openxmlformats.org/officeDocument/2006/relationships/hyperlink" Target="out/&#12497;&#12527;&#12503;&#12525;2020%20-%20&#25237;&#29699;&#35299;&#26512;%20-%202020-08-23%2016-12-41-03_out.mp4" TargetMode="External"/><Relationship Id="rId692" Type="http://schemas.openxmlformats.org/officeDocument/2006/relationships/hyperlink" Target="result/&#12497;&#12527;&#12503;&#12525;2020%20-%20&#25237;&#29699;&#35299;&#26512;%20-%202020-08-24%2011-24-36-07_ball.txt" TargetMode="External"/><Relationship Id="rId2166" Type="http://schemas.openxmlformats.org/officeDocument/2006/relationships/hyperlink" Target="result/&#12497;&#12527;&#12503;&#12525;2020%20-%20&#25237;&#29699;&#35299;&#26512;%20-%202020-08-28%2022-31-31-01_ball.txt" TargetMode="External"/><Relationship Id="rId2373" Type="http://schemas.openxmlformats.org/officeDocument/2006/relationships/hyperlink" Target="out/&#12497;&#12527;&#12503;&#12525;2020%20-%20&#25237;&#29699;&#35299;&#26512;%20-%202020-08-29%2009-46-05-06_out.mp4" TargetMode="External"/><Relationship Id="rId2580" Type="http://schemas.openxmlformats.org/officeDocument/2006/relationships/hyperlink" Target="result/&#12497;&#12527;&#12503;&#12525;2020%20-%20&#25237;&#29699;&#35299;&#26512;%20-%202020-08-29%2015-51-26-08_ball.txt" TargetMode="External"/><Relationship Id="rId138" Type="http://schemas.openxmlformats.org/officeDocument/2006/relationships/hyperlink" Target="result/&#12497;&#12527;&#12503;&#12525;2020%20-%20&#25237;&#29699;&#35299;&#26512;%20-%202020-08-23%2014-04-47-08_ball.txt" TargetMode="External"/><Relationship Id="rId345" Type="http://schemas.openxmlformats.org/officeDocument/2006/relationships/hyperlink" Target="out/&#12497;&#12527;&#12503;&#12525;2020%20-%20&#25237;&#29699;&#35299;&#26512;%20-%202020-08-23%2015-49-19-02_out.mp4" TargetMode="External"/><Relationship Id="rId552" Type="http://schemas.openxmlformats.org/officeDocument/2006/relationships/hyperlink" Target="result/&#12497;&#12527;&#12503;&#12525;2020%20-%20&#25237;&#29699;&#35299;&#26512;%20-%202020-08-23%2016-25-48-06_ball.txt" TargetMode="External"/><Relationship Id="rId997" Type="http://schemas.openxmlformats.org/officeDocument/2006/relationships/hyperlink" Target="out/&#12497;&#12527;&#12503;&#12525;2020%20-%20&#25237;&#29699;&#35299;&#26512;%20-%202020-08-24%2012-33-48-05_out.mp4" TargetMode="External"/><Relationship Id="rId1182" Type="http://schemas.openxmlformats.org/officeDocument/2006/relationships/hyperlink" Target="result/&#12497;&#12527;&#12503;&#12525;2020%20-%20&#25237;&#29699;&#35299;&#26512;%20-%202020-08-24%2012-52-05-01_ball.txt" TargetMode="External"/><Relationship Id="rId2026" Type="http://schemas.openxmlformats.org/officeDocument/2006/relationships/hyperlink" Target="result/&#12497;&#12527;&#12503;&#12525;2020%20-%20&#25237;&#29699;&#35299;&#26512;%20-%202020-08-27%2018-16-14-01_ball.txt" TargetMode="External"/><Relationship Id="rId2233" Type="http://schemas.openxmlformats.org/officeDocument/2006/relationships/hyperlink" Target="out/&#12497;&#12527;&#12503;&#12525;2020%20-%20&#25237;&#29699;&#35299;&#26512;%20-%202020-08-28%2022-36-12-05_out.mp4" TargetMode="External"/><Relationship Id="rId2440" Type="http://schemas.openxmlformats.org/officeDocument/2006/relationships/hyperlink" Target="result/&#12497;&#12527;&#12503;&#12525;2020%20-%20&#25237;&#29699;&#35299;&#26512;%20-%202020-08-29%2015-42-43-09_ball.txt" TargetMode="External"/><Relationship Id="rId2678" Type="http://schemas.openxmlformats.org/officeDocument/2006/relationships/hyperlink" Target="result/&#12497;&#12527;&#12503;&#12525;2020%20-%20&#25237;&#29699;&#35299;&#26512;%20-%202020-08-29%2015-57-36-07_ball.txt" TargetMode="External"/><Relationship Id="rId205" Type="http://schemas.openxmlformats.org/officeDocument/2006/relationships/hyperlink" Target="out/&#12497;&#12527;&#12503;&#12525;2020%20-%20&#25237;&#29699;&#35299;&#26512;%20-%202020-08-23%2014-19-33-02_out.mp4" TargetMode="External"/><Relationship Id="rId412" Type="http://schemas.openxmlformats.org/officeDocument/2006/relationships/hyperlink" Target="result/&#12497;&#12527;&#12503;&#12525;2020%20-%20&#25237;&#29699;&#35299;&#26512;%20-%202020-08-23%2016-03-31-06_ball.txt" TargetMode="External"/><Relationship Id="rId857" Type="http://schemas.openxmlformats.org/officeDocument/2006/relationships/hyperlink" Target="out/&#12497;&#12527;&#12503;&#12525;2020%20-%20&#25237;&#29699;&#35299;&#26512;%20-%202020-08-24%2012-10-03-09_out.mp4" TargetMode="External"/><Relationship Id="rId1042" Type="http://schemas.openxmlformats.org/officeDocument/2006/relationships/hyperlink" Target="result/&#12497;&#12527;&#12503;&#12525;2020%20-%20&#25237;&#29699;&#35299;&#26512;%20-%202020-08-24%2012-38-24-06_ball.txt" TargetMode="External"/><Relationship Id="rId1487" Type="http://schemas.openxmlformats.org/officeDocument/2006/relationships/hyperlink" Target="out/&#12497;&#12527;&#12503;&#12525;2020%20-%20&#25237;&#29699;&#35299;&#26512;%20-%202020-08-23%2015-56-09-00_out.mp4" TargetMode="External"/><Relationship Id="rId1694" Type="http://schemas.openxmlformats.org/officeDocument/2006/relationships/hyperlink" Target="result/&#12497;&#12527;&#12503;&#12525;2020%20-%20&#25237;&#29699;&#35299;&#26512;%20-%202020-08-24%2012-24-03-01_ball.txt" TargetMode="External"/><Relationship Id="rId2300" Type="http://schemas.openxmlformats.org/officeDocument/2006/relationships/hyperlink" Target="result/&#12497;&#12527;&#12503;&#12525;2020%20-%20&#25237;&#29699;&#35299;&#26512;%20-%202020-08-29%2009-39-15-08_ball.txt" TargetMode="External"/><Relationship Id="rId2538" Type="http://schemas.openxmlformats.org/officeDocument/2006/relationships/hyperlink" Target="result/&#12497;&#12527;&#12503;&#12525;2020%20-%20&#25237;&#29699;&#35299;&#26512;%20-%202020-08-29%2015-49-13-07_ball.txt" TargetMode="External"/><Relationship Id="rId2745" Type="http://schemas.openxmlformats.org/officeDocument/2006/relationships/hyperlink" Target="out/&#12497;&#12527;&#12503;&#12525;2020%20-%20&#25237;&#29699;&#35299;&#26512;%20-%202020-08-29%2016-06-51-01_out.mp4" TargetMode="External"/><Relationship Id="rId717" Type="http://schemas.openxmlformats.org/officeDocument/2006/relationships/hyperlink" Target="out/&#12497;&#12527;&#12503;&#12525;2020%20-%20&#25237;&#29699;&#35299;&#26512;%20-%202020-08-24%2012-01-04-00_out.mp4" TargetMode="External"/><Relationship Id="rId924" Type="http://schemas.openxmlformats.org/officeDocument/2006/relationships/hyperlink" Target="result/&#12497;&#12527;&#12503;&#12525;2020%20-%20&#25237;&#29699;&#35299;&#26512;%20-%202020-08-24%2012-24-03-07_ball.txt" TargetMode="External"/><Relationship Id="rId1347" Type="http://schemas.openxmlformats.org/officeDocument/2006/relationships/hyperlink" Target="out/&#12497;&#12527;&#12503;&#12525;2020%20-%20&#25237;&#29699;&#35299;&#26512;%20-%202020-08-24%2013-14-19-02_out.mp4" TargetMode="External"/><Relationship Id="rId1554" Type="http://schemas.openxmlformats.org/officeDocument/2006/relationships/hyperlink" Target="result/&#12497;&#12527;&#12503;&#12525;2020%20-%20&#25237;&#29699;&#35299;&#26512;%20-%202020-08-23%2016-11-33-03_ball.txt" TargetMode="External"/><Relationship Id="rId1761" Type="http://schemas.openxmlformats.org/officeDocument/2006/relationships/hyperlink" Target="out/&#12497;&#12527;&#12503;&#12525;2020%20-%20&#25237;&#29699;&#35299;&#26512;%20-%202020-08-24%2012-49-17-06_out.mp4" TargetMode="External"/><Relationship Id="rId1999" Type="http://schemas.openxmlformats.org/officeDocument/2006/relationships/hyperlink" Target="out/&#12497;&#12527;&#12503;&#12525;2020%20-%20&#25237;&#29699;&#35299;&#26512;%20-%202020-08-26%2021-35-18-08_out.mp4" TargetMode="External"/><Relationship Id="rId2605" Type="http://schemas.openxmlformats.org/officeDocument/2006/relationships/hyperlink" Target="out/&#12497;&#12527;&#12503;&#12525;2020%20-%20&#25237;&#29699;&#35299;&#26512;%20-%202020-08-29%2015-53-40-01_out.mp4" TargetMode="External"/><Relationship Id="rId53" Type="http://schemas.openxmlformats.org/officeDocument/2006/relationships/hyperlink" Target="out/&#12497;&#12527;&#12503;&#12525;2020%20-%20&#25237;&#29699;&#35299;&#26512;%20-%202020-08-23%2011-12-45-06_out.mp4" TargetMode="External"/><Relationship Id="rId1207" Type="http://schemas.openxmlformats.org/officeDocument/2006/relationships/hyperlink" Target="out/&#12497;&#12527;&#12503;&#12525;2020%20-%20&#25237;&#29699;&#35299;&#26512;%20-%202020-08-24%2012-53-43-04_out.mp4" TargetMode="External"/><Relationship Id="rId1414" Type="http://schemas.openxmlformats.org/officeDocument/2006/relationships/hyperlink" Target="result/&#12497;&#12527;&#12503;&#12525;2020%20-%20&#25237;&#29699;&#35299;&#26512;%20-%202020-08-23%2014-22-38-02_ball.txt" TargetMode="External"/><Relationship Id="rId1621" Type="http://schemas.openxmlformats.org/officeDocument/2006/relationships/hyperlink" Target="out/&#12497;&#12527;&#12503;&#12525;2020%20-%20&#25237;&#29699;&#35299;&#26512;%20-%202020-08-24%2011-22-14-05_out.mp4" TargetMode="External"/><Relationship Id="rId1859" Type="http://schemas.openxmlformats.org/officeDocument/2006/relationships/hyperlink" Target="out/&#12497;&#12527;&#12503;&#12525;2020%20-%20&#25237;&#29699;&#35299;&#26512;%20-%202020-08-24%2013-17-56-05_out.mp4" TargetMode="External"/><Relationship Id="rId1719" Type="http://schemas.openxmlformats.org/officeDocument/2006/relationships/hyperlink" Target="out/&#12497;&#12527;&#12503;&#12525;2020%20-%20&#25237;&#29699;&#35299;&#26512;%20-%202020-08-24%2012-35-33-07_out.mp4" TargetMode="External"/><Relationship Id="rId1926" Type="http://schemas.openxmlformats.org/officeDocument/2006/relationships/hyperlink" Target="result/&#12497;&#12527;&#12503;&#12525;2020%20-%20&#25237;&#29699;&#35299;&#26512;%20-%202020-08-26%2021-19-02-01_ball.txt" TargetMode="External"/><Relationship Id="rId2090" Type="http://schemas.openxmlformats.org/officeDocument/2006/relationships/hyperlink" Target="result/&#12497;&#12527;&#12503;&#12525;2020%20-%20&#25237;&#29699;&#35299;&#26512;%20-%202020-08-27%2018-21-04-03_ball.txt" TargetMode="External"/><Relationship Id="rId2188" Type="http://schemas.openxmlformats.org/officeDocument/2006/relationships/hyperlink" Target="result/&#12497;&#12527;&#12503;&#12525;2020%20-%20&#25237;&#29699;&#35299;&#26512;%20-%202020-08-28%2022-33-04-02_ball.txt" TargetMode="External"/><Relationship Id="rId2395" Type="http://schemas.openxmlformats.org/officeDocument/2006/relationships/hyperlink" Target="out/&#12497;&#12527;&#12503;&#12525;2020%20-%20&#25237;&#29699;&#35299;&#26512;%20-%202020-08-29%2009-48-04-07_out.mp4" TargetMode="External"/><Relationship Id="rId367" Type="http://schemas.openxmlformats.org/officeDocument/2006/relationships/hyperlink" Target="out/&#12497;&#12527;&#12503;&#12525;2020%20-%20&#25237;&#29699;&#35299;&#26512;%20-%202020-08-23%2015-52-13-03_out.mp4" TargetMode="External"/><Relationship Id="rId574" Type="http://schemas.openxmlformats.org/officeDocument/2006/relationships/hyperlink" Target="result/&#12497;&#12527;&#12503;&#12525;2020%20-%20&#25237;&#29699;&#35299;&#26512;%20-%202020-08-23%2016-26-58-07_ball.txt" TargetMode="External"/><Relationship Id="rId2048" Type="http://schemas.openxmlformats.org/officeDocument/2006/relationships/hyperlink" Target="result/&#12497;&#12527;&#12503;&#12525;2020%20-%20&#25237;&#29699;&#35299;&#26512;%20-%202020-08-27%2018-17-46-02_ball.txt" TargetMode="External"/><Relationship Id="rId2255" Type="http://schemas.openxmlformats.org/officeDocument/2006/relationships/hyperlink" Target="out/&#12497;&#12527;&#12503;&#12525;2020%20-%20&#25237;&#29699;&#35299;&#26512;%20-%202020-08-28%2022-37-55-06_out.mp4" TargetMode="External"/><Relationship Id="rId227" Type="http://schemas.openxmlformats.org/officeDocument/2006/relationships/hyperlink" Target="out/&#12497;&#12527;&#12503;&#12525;2020%20-%20&#25237;&#29699;&#35299;&#26512;%20-%202020-08-23%2014-21-04-03_out.mp4" TargetMode="External"/><Relationship Id="rId781" Type="http://schemas.openxmlformats.org/officeDocument/2006/relationships/hyperlink" Target="out/&#12497;&#12527;&#12503;&#12525;2020%20-%20&#25237;&#29699;&#35299;&#26512;%20-%202020-08-24%2012-04-51-03_out.mp4" TargetMode="External"/><Relationship Id="rId879" Type="http://schemas.openxmlformats.org/officeDocument/2006/relationships/hyperlink" Target="out/&#12497;&#12527;&#12503;&#12525;2020%20-%20&#25237;&#29699;&#35299;&#26512;%20-%202020-08-24%2012-12-56-06_out.mp4" TargetMode="External"/><Relationship Id="rId2462" Type="http://schemas.openxmlformats.org/officeDocument/2006/relationships/hyperlink" Target="result/&#12497;&#12527;&#12503;&#12525;2020%20-%20&#25237;&#29699;&#35299;&#26512;%20-%202020-08-29%2015-44-12-10_ball.txt" TargetMode="External"/><Relationship Id="rId2767" Type="http://schemas.openxmlformats.org/officeDocument/2006/relationships/hyperlink" Target="out/&#25237;&#29699;&#35299;&#26512;%20-%20&#12497;&#12527;&#12503;&#12525;2020%20-%202020-09-08%2023-37-52-02_out.mp4" TargetMode="External"/><Relationship Id="rId434" Type="http://schemas.openxmlformats.org/officeDocument/2006/relationships/hyperlink" Target="result/&#12497;&#12527;&#12503;&#12525;2020%20-%20&#25237;&#29699;&#35299;&#26512;%20-%202020-08-23%2016-06-08-07_ball.txt" TargetMode="External"/><Relationship Id="rId641" Type="http://schemas.openxmlformats.org/officeDocument/2006/relationships/hyperlink" Target="out/&#12497;&#12527;&#12503;&#12525;2020%20-%20&#25237;&#29699;&#35299;&#26512;%20-%202020-08-23%2016-33-27-01_out.mp4" TargetMode="External"/><Relationship Id="rId739" Type="http://schemas.openxmlformats.org/officeDocument/2006/relationships/hyperlink" Target="out/&#12497;&#12527;&#12503;&#12525;2020%20-%20&#25237;&#29699;&#35299;&#26512;%20-%202020-08-24%2012-02-12-02_out.mp4" TargetMode="External"/><Relationship Id="rId1064" Type="http://schemas.openxmlformats.org/officeDocument/2006/relationships/hyperlink" Target="result/&#12497;&#12527;&#12503;&#12525;2020%20-%20&#25237;&#29699;&#35299;&#26512;%20-%202020-08-24%2012-39-57-07_ball.txt" TargetMode="External"/><Relationship Id="rId1271" Type="http://schemas.openxmlformats.org/officeDocument/2006/relationships/hyperlink" Target="out/&#12497;&#12527;&#12503;&#12525;2020%20-%20&#25237;&#29699;&#35299;&#26512;%20-%202020-08-24%2013-02-04-07_out.mp4" TargetMode="External"/><Relationship Id="rId1369" Type="http://schemas.openxmlformats.org/officeDocument/2006/relationships/hyperlink" Target="out/&#12497;&#12527;&#12503;&#12525;2020%20-%20&#25237;&#29699;&#35299;&#26512;%20-%202020-08-23%2014-03-42-00_out.mp4" TargetMode="External"/><Relationship Id="rId1576" Type="http://schemas.openxmlformats.org/officeDocument/2006/relationships/hyperlink" Target="result/&#12497;&#12527;&#12503;&#12525;2020%20-%20&#25237;&#29699;&#35299;&#26512;%20-%202020-08-23%2016-24-41-04_ball.txt" TargetMode="External"/><Relationship Id="rId2115" Type="http://schemas.openxmlformats.org/officeDocument/2006/relationships/hyperlink" Target="out/&#12497;&#12527;&#12503;&#12525;2020%20-%20&#25237;&#29699;&#35299;&#26512;%20-%202020-08-27%2018-22-42-06_out.mp4" TargetMode="External"/><Relationship Id="rId2322" Type="http://schemas.openxmlformats.org/officeDocument/2006/relationships/hyperlink" Target="result/&#12497;&#12527;&#12503;&#12525;2020%20-%20&#25237;&#29699;&#35299;&#26512;%20-%202020-08-29%2009-41-06-09_ball.txt" TargetMode="External"/><Relationship Id="rId501" Type="http://schemas.openxmlformats.org/officeDocument/2006/relationships/hyperlink" Target="out/&#12497;&#12527;&#12503;&#12525;2020%20-%20&#25237;&#29699;&#35299;&#26512;%20-%202020-08-23%2016-13-55-01_out.mp4" TargetMode="External"/><Relationship Id="rId946" Type="http://schemas.openxmlformats.org/officeDocument/2006/relationships/hyperlink" Target="result/&#12497;&#12527;&#12503;&#12525;2020%20-%20&#25237;&#29699;&#35299;&#26512;%20-%202020-08-24%2012-25-33-08_ball.txt" TargetMode="External"/><Relationship Id="rId1131" Type="http://schemas.openxmlformats.org/officeDocument/2006/relationships/hyperlink" Target="out/&#12497;&#12527;&#12503;&#12525;2020%20-%20&#25237;&#29699;&#35299;&#26512;%20-%202020-08-24%2012-46-03-08_out.mp4" TargetMode="External"/><Relationship Id="rId1229" Type="http://schemas.openxmlformats.org/officeDocument/2006/relationships/hyperlink" Target="out/&#12497;&#12527;&#12503;&#12525;2020%20-%20&#25237;&#29699;&#35299;&#26512;%20-%202020-08-24%2012-55-39-05_out.mp4" TargetMode="External"/><Relationship Id="rId1783" Type="http://schemas.openxmlformats.org/officeDocument/2006/relationships/hyperlink" Target="out/&#12497;&#12527;&#12503;&#12525;2020%20-%20&#25237;&#29699;&#35299;&#26512;%20-%202020-08-24%2012-55-39-09_out.mp4" TargetMode="External"/><Relationship Id="rId1990" Type="http://schemas.openxmlformats.org/officeDocument/2006/relationships/hyperlink" Target="result/&#12497;&#12527;&#12503;&#12525;2020%20-%20&#25237;&#29699;&#35299;&#26512;%20-%202020-08-26%2021-35-18-03_ball.txt" TargetMode="External"/><Relationship Id="rId2627" Type="http://schemas.openxmlformats.org/officeDocument/2006/relationships/hyperlink" Target="out/&#12497;&#12527;&#12503;&#12525;2020%20-%20&#25237;&#29699;&#35299;&#26512;%20-%202020-08-29%2015-55-24-02_out.mp4" TargetMode="External"/><Relationship Id="rId75" Type="http://schemas.openxmlformats.org/officeDocument/2006/relationships/hyperlink" Target="out/&#12497;&#12527;&#12503;&#12525;2020%20-%20&#25237;&#29699;&#35299;&#26512;%20-%202020-08-23%2011-13-59-07_out.mp4" TargetMode="External"/><Relationship Id="rId806" Type="http://schemas.openxmlformats.org/officeDocument/2006/relationships/hyperlink" Target="result/&#12497;&#12527;&#12503;&#12525;2020%20-%20&#25237;&#29699;&#35299;&#26512;%20-%202020-08-24%2012-07-26-05_ball.txt" TargetMode="External"/><Relationship Id="rId1436" Type="http://schemas.openxmlformats.org/officeDocument/2006/relationships/hyperlink" Target="result/&#12497;&#12527;&#12503;&#12525;2020%20-%20&#25237;&#29699;&#35299;&#26512;%20-%202020-08-23%2015-47-01-04_ball.txt" TargetMode="External"/><Relationship Id="rId1643" Type="http://schemas.openxmlformats.org/officeDocument/2006/relationships/hyperlink" Target="out/&#12497;&#12527;&#12503;&#12525;2020%20-%20&#25237;&#29699;&#35299;&#26512;%20-%202020-08-24%2012-04-51-07_out.mp4" TargetMode="External"/><Relationship Id="rId1850" Type="http://schemas.openxmlformats.org/officeDocument/2006/relationships/hyperlink" Target="result/&#12497;&#12527;&#12503;&#12525;2020%20-%20&#25237;&#29699;&#35299;&#26512;%20-%202020-08-24%2013-17-56-00_ball.txt" TargetMode="External"/><Relationship Id="rId1503" Type="http://schemas.openxmlformats.org/officeDocument/2006/relationships/hyperlink" Target="out/&#12497;&#12527;&#12503;&#12525;2020%20-%20&#25237;&#29699;&#35299;&#26512;%20-%202020-08-23%2015-56-09-08_out.mp4" TargetMode="External"/><Relationship Id="rId1710" Type="http://schemas.openxmlformats.org/officeDocument/2006/relationships/hyperlink" Target="result/&#12497;&#12527;&#12503;&#12525;2020%20-%20&#25237;&#29699;&#35299;&#26512;%20-%202020-08-24%2012-28-05-06_ball.txt" TargetMode="External"/><Relationship Id="rId1948" Type="http://schemas.openxmlformats.org/officeDocument/2006/relationships/hyperlink" Target="result/&#12497;&#12527;&#12503;&#12525;2020%20-%20&#25237;&#29699;&#35299;&#26512;%20-%202020-08-26%2021-20-35-02_ball.txt" TargetMode="External"/><Relationship Id="rId291" Type="http://schemas.openxmlformats.org/officeDocument/2006/relationships/hyperlink" Target="out/&#12497;&#12527;&#12503;&#12525;2020%20-%20&#25237;&#29699;&#35299;&#26512;%20-%202020-08-23%2014-25-58-05_out.mp4" TargetMode="External"/><Relationship Id="rId1808" Type="http://schemas.openxmlformats.org/officeDocument/2006/relationships/hyperlink" Target="result/&#12497;&#12527;&#12503;&#12525;2020%20-%20&#25237;&#29699;&#35299;&#26512;%20-%202020-08-24%2013-05-36-02_ball.txt" TargetMode="External"/><Relationship Id="rId151" Type="http://schemas.openxmlformats.org/officeDocument/2006/relationships/hyperlink" Target="out/&#12497;&#12527;&#12503;&#12525;2020%20-%20&#25237;&#29699;&#35299;&#26512;%20-%202020-08-23%2014-05-50-05_out.mp4" TargetMode="External"/><Relationship Id="rId389" Type="http://schemas.openxmlformats.org/officeDocument/2006/relationships/hyperlink" Target="out/&#12497;&#12527;&#12503;&#12525;2020%20-%20&#25237;&#29699;&#35299;&#26512;%20-%202020-08-23%2015-54-48-04_out.mp4" TargetMode="External"/><Relationship Id="rId596" Type="http://schemas.openxmlformats.org/officeDocument/2006/relationships/hyperlink" Target="result/&#12497;&#12527;&#12503;&#12525;2020%20-%20&#25237;&#29699;&#35299;&#26512;%20-%202020-08-23%2016-28-07-08_ball.txt" TargetMode="External"/><Relationship Id="rId2277" Type="http://schemas.openxmlformats.org/officeDocument/2006/relationships/hyperlink" Target="out/&#12497;&#12527;&#12503;&#12525;2020%20-%20&#25237;&#29699;&#35299;&#26512;%20-%202020-08-29%2009-37-40-07_out.mp4" TargetMode="External"/><Relationship Id="rId2484" Type="http://schemas.openxmlformats.org/officeDocument/2006/relationships/hyperlink" Target="result/&#12497;&#12527;&#12503;&#12525;2020%20-%20&#25237;&#29699;&#35299;&#26512;%20-%202020-08-29%2015-46-34-00_ball.txt" TargetMode="External"/><Relationship Id="rId2691" Type="http://schemas.openxmlformats.org/officeDocument/2006/relationships/hyperlink" Target="out/&#12497;&#12527;&#12503;&#12525;2020%20-%20&#25237;&#29699;&#35299;&#26512;%20-%202020-08-29%2015-58-43-04_out.mp4" TargetMode="External"/><Relationship Id="rId249" Type="http://schemas.openxmlformats.org/officeDocument/2006/relationships/hyperlink" Target="out/&#12497;&#12527;&#12503;&#12525;2020%20-%20&#25237;&#29699;&#35299;&#26512;%20-%202020-08-23%2014-23-42-04_out.mp4" TargetMode="External"/><Relationship Id="rId456" Type="http://schemas.openxmlformats.org/officeDocument/2006/relationships/hyperlink" Target="result/&#12497;&#12527;&#12503;&#12525;2020%20-%20&#25237;&#29699;&#35299;&#26512;%20-%202020-08-23%2016-08-46-08_ball.txt" TargetMode="External"/><Relationship Id="rId663" Type="http://schemas.openxmlformats.org/officeDocument/2006/relationships/hyperlink" Target="out/&#12497;&#12527;&#12503;&#12525;2020%20-%20&#25237;&#29699;&#35299;&#26512;%20-%202020-08-24%2011-23-23-03_out.mp4" TargetMode="External"/><Relationship Id="rId870" Type="http://schemas.openxmlformats.org/officeDocument/2006/relationships/hyperlink" Target="result/&#12497;&#12527;&#12503;&#12525;2020%20-%20&#25237;&#29699;&#35299;&#26512;%20-%202020-08-24%2012-12-56-01_ball.txt" TargetMode="External"/><Relationship Id="rId1086" Type="http://schemas.openxmlformats.org/officeDocument/2006/relationships/hyperlink" Target="result/&#12497;&#12527;&#12503;&#12525;2020%20-%20&#25237;&#29699;&#35299;&#26512;%20-%202020-08-24%2012-41-25-08_ball.txt" TargetMode="External"/><Relationship Id="rId1293" Type="http://schemas.openxmlformats.org/officeDocument/2006/relationships/hyperlink" Target="out/&#12497;&#12527;&#12503;&#12525;2020%20-%20&#25237;&#29699;&#35299;&#26512;%20-%202020-08-24%2013-05-36-08_out.mp4" TargetMode="External"/><Relationship Id="rId2137" Type="http://schemas.openxmlformats.org/officeDocument/2006/relationships/hyperlink" Target="out/&#12497;&#12527;&#12503;&#12525;2020%20-%20&#25237;&#29699;&#35299;&#26512;%20-%202020-08-27%2018-24-30-07_out.mp4" TargetMode="External"/><Relationship Id="rId2344" Type="http://schemas.openxmlformats.org/officeDocument/2006/relationships/hyperlink" Target="result/&#12497;&#12527;&#12503;&#12525;2020%20-%20&#25237;&#29699;&#35299;&#26512;%20-%202020-08-29%2009-44-23-01_ball.txt" TargetMode="External"/><Relationship Id="rId2551" Type="http://schemas.openxmlformats.org/officeDocument/2006/relationships/hyperlink" Target="out/&#12497;&#12527;&#12503;&#12525;2020%20-%20&#25237;&#29699;&#35299;&#26512;%20-%202020-08-29%2015-50-19-04_out.mp4" TargetMode="External"/><Relationship Id="rId2789" Type="http://schemas.openxmlformats.org/officeDocument/2006/relationships/hyperlink" Target="out/&#25237;&#29699;&#35299;&#26512;%20-%20&#12497;&#12527;&#12503;&#12525;2020%20-%202020-09-08%2023-39-02-03_out.mp4" TargetMode="External"/><Relationship Id="rId109" Type="http://schemas.openxmlformats.org/officeDocument/2006/relationships/hyperlink" Target="out/&#12497;&#12527;&#12503;&#12525;2020%20-%20&#25237;&#29699;&#35299;&#26512;%20-%202020-08-23%2011-16-20-04_out.mp4" TargetMode="External"/><Relationship Id="rId316" Type="http://schemas.openxmlformats.org/officeDocument/2006/relationships/hyperlink" Target="result/&#12497;&#12527;&#12503;&#12525;2020%20-%20&#25237;&#29699;&#35299;&#26512;%20-%202020-08-23%2014-27-07-07_ball.txt" TargetMode="External"/><Relationship Id="rId523" Type="http://schemas.openxmlformats.org/officeDocument/2006/relationships/hyperlink" Target="out/&#12497;&#12527;&#12503;&#12525;2020%20-%20&#25237;&#29699;&#35299;&#26512;%20-%202020-08-23%2016-15-07-02_out.mp4" TargetMode="External"/><Relationship Id="rId968" Type="http://schemas.openxmlformats.org/officeDocument/2006/relationships/hyperlink" Target="result/&#12497;&#12527;&#12503;&#12525;2020%20-%20&#25237;&#29699;&#35299;&#26512;%20-%202020-08-24%2012-28-05-00_ball.txt" TargetMode="External"/><Relationship Id="rId1153" Type="http://schemas.openxmlformats.org/officeDocument/2006/relationships/hyperlink" Target="out/&#12497;&#12527;&#12503;&#12525;2020%20-%20&#25237;&#29699;&#35299;&#26512;%20-%202020-08-24%2012-47-45-04_out.mp4" TargetMode="External"/><Relationship Id="rId1598" Type="http://schemas.openxmlformats.org/officeDocument/2006/relationships/hyperlink" Target="result/&#12497;&#12527;&#12503;&#12525;2020%20-%20&#25237;&#29699;&#35299;&#26512;%20-%202020-08-23%2016-29-37-04_ball.txt" TargetMode="External"/><Relationship Id="rId2204" Type="http://schemas.openxmlformats.org/officeDocument/2006/relationships/hyperlink" Target="result/&#12497;&#12527;&#12503;&#12525;2020%20-%20&#25237;&#29699;&#35299;&#26512;%20-%202020-08-28%2022-34-32-00_ball.txt" TargetMode="External"/><Relationship Id="rId2649" Type="http://schemas.openxmlformats.org/officeDocument/2006/relationships/hyperlink" Target="out/&#12497;&#12527;&#12503;&#12525;2020%20-%20&#25237;&#29699;&#35299;&#26512;%20-%202020-08-29%2015-56-35-03_out.mp4" TargetMode="External"/><Relationship Id="rId97" Type="http://schemas.openxmlformats.org/officeDocument/2006/relationships/hyperlink" Target="out/&#12497;&#12527;&#12503;&#12525;2020%20-%20&#25237;&#29699;&#35299;&#26512;%20-%202020-08-23%2011-15-09-08_out.mp4" TargetMode="External"/><Relationship Id="rId730" Type="http://schemas.openxmlformats.org/officeDocument/2006/relationships/hyperlink" Target="result/&#12497;&#12527;&#12503;&#12525;2020%20-%20&#25237;&#29699;&#35299;&#26512;%20-%202020-08-24%2012-01-04-06_ball.txt" TargetMode="External"/><Relationship Id="rId828" Type="http://schemas.openxmlformats.org/officeDocument/2006/relationships/hyperlink" Target="result/&#12497;&#12527;&#12503;&#12525;2020%20-%20&#25237;&#29699;&#35299;&#26512;%20-%202020-08-24%2012-08-41-06_ball.txt" TargetMode="External"/><Relationship Id="rId1013" Type="http://schemas.openxmlformats.org/officeDocument/2006/relationships/hyperlink" Target="out/&#12497;&#12527;&#12503;&#12525;2020%20-%20&#25237;&#29699;&#35299;&#26512;%20-%202020-08-24%2012-35-33-03_out.mp4" TargetMode="External"/><Relationship Id="rId1360" Type="http://schemas.openxmlformats.org/officeDocument/2006/relationships/hyperlink" Target="result/&#12497;&#12527;&#12503;&#12525;2020%20-%20&#25237;&#29699;&#35299;&#26512;%20-%202020-08-23%2011-08-57-05_ball.txt" TargetMode="External"/><Relationship Id="rId1458" Type="http://schemas.openxmlformats.org/officeDocument/2006/relationships/hyperlink" Target="result/&#12497;&#12527;&#12503;&#12525;2020%20-%20&#25237;&#29699;&#35299;&#26512;%20-%202020-08-23%2015-51-08-05_ball.txt" TargetMode="External"/><Relationship Id="rId1665" Type="http://schemas.openxmlformats.org/officeDocument/2006/relationships/hyperlink" Target="out/&#12497;&#12527;&#12503;&#12525;2020%20-%20&#25237;&#29699;&#35299;&#26512;%20-%202020-08-24%2012-11-18-03_out.mp4" TargetMode="External"/><Relationship Id="rId1872" Type="http://schemas.openxmlformats.org/officeDocument/2006/relationships/hyperlink" Target="result/&#12497;&#12527;&#12503;&#12525;2020%20-%20&#25237;&#29699;&#35299;&#26512;%20-%202020-08-24%2013-20-06-01_ball.txt" TargetMode="External"/><Relationship Id="rId2411" Type="http://schemas.openxmlformats.org/officeDocument/2006/relationships/hyperlink" Target="out/&#12497;&#12527;&#12503;&#12525;2020%20-%20&#25237;&#29699;&#35299;&#26512;%20-%202020-08-29%2009-49-52-05_out.mp4" TargetMode="External"/><Relationship Id="rId2509" Type="http://schemas.openxmlformats.org/officeDocument/2006/relationships/hyperlink" Target="out/&#12497;&#12527;&#12503;&#12525;2020%20-%20&#25237;&#29699;&#35299;&#26512;%20-%202020-08-29%2015-48-09-03_out.mp4" TargetMode="External"/><Relationship Id="rId2716" Type="http://schemas.openxmlformats.org/officeDocument/2006/relationships/hyperlink" Target="result/&#12497;&#12527;&#12503;&#12525;2020%20-%20&#25237;&#29699;&#35299;&#26512;%20-%202020-08-29%2016-00-15-06_ball.txt" TargetMode="External"/><Relationship Id="rId1220" Type="http://schemas.openxmlformats.org/officeDocument/2006/relationships/hyperlink" Target="result/&#12497;&#12527;&#12503;&#12525;2020%20-%20&#25237;&#29699;&#35299;&#26512;%20-%202020-08-24%2012-55-39-00_ball.txt" TargetMode="External"/><Relationship Id="rId1318" Type="http://schemas.openxmlformats.org/officeDocument/2006/relationships/hyperlink" Target="result/&#12497;&#12527;&#12503;&#12525;2020%20-%20&#25237;&#29699;&#35299;&#26512;%20-%202020-08-24%2013-09-18-00_ball.txt" TargetMode="External"/><Relationship Id="rId1525" Type="http://schemas.openxmlformats.org/officeDocument/2006/relationships/hyperlink" Target="out/&#12497;&#12527;&#12503;&#12525;2020%20-%20&#25237;&#29699;&#35299;&#26512;%20-%202020-08-23%2016-04-57-09_out.mp4" TargetMode="External"/><Relationship Id="rId1732" Type="http://schemas.openxmlformats.org/officeDocument/2006/relationships/hyperlink" Target="result/&#12497;&#12527;&#12503;&#12525;2020%20-%20&#25237;&#29699;&#35299;&#26512;%20-%202020-08-24%2012-36-56-03_ball.txt" TargetMode="External"/><Relationship Id="rId24" Type="http://schemas.openxmlformats.org/officeDocument/2006/relationships/hyperlink" Target="result/&#12497;&#12527;&#12503;&#12525;2020%20-%20&#25237;&#29699;&#35299;&#26512;%20-%202020-08-23%2011-11-35-01_ball.txt" TargetMode="External"/><Relationship Id="rId2299" Type="http://schemas.openxmlformats.org/officeDocument/2006/relationships/hyperlink" Target="out/&#12497;&#12527;&#12503;&#12525;2020%20-%20&#25237;&#29699;&#35299;&#26512;%20-%202020-08-29%2009-39-15-08_out.mp4" TargetMode="External"/><Relationship Id="rId173" Type="http://schemas.openxmlformats.org/officeDocument/2006/relationships/hyperlink" Target="out/&#12497;&#12527;&#12503;&#12525;2020%20-%20&#25237;&#29699;&#35299;&#26512;%20-%202020-08-23%2014-06-56-06_out.mp4" TargetMode="External"/><Relationship Id="rId380" Type="http://schemas.openxmlformats.org/officeDocument/2006/relationships/hyperlink" Target="result/&#12497;&#12527;&#12503;&#12525;2020%20-%20&#25237;&#29699;&#35299;&#26512;%20-%202020-08-23%2015-52-13-09_ball.txt" TargetMode="External"/><Relationship Id="rId2061" Type="http://schemas.openxmlformats.org/officeDocument/2006/relationships/hyperlink" Target="out/&#12497;&#12527;&#12503;&#12525;2020%20-%20&#25237;&#29699;&#35299;&#26512;%20-%202020-08-27%2018-17-46-09_out.mp4" TargetMode="External"/><Relationship Id="rId240" Type="http://schemas.openxmlformats.org/officeDocument/2006/relationships/hyperlink" Target="result/&#12497;&#12527;&#12503;&#12525;2020%20-%20&#25237;&#29699;&#35299;&#26512;%20-%202020-08-23%2014-21-04-09_ball.txt" TargetMode="External"/><Relationship Id="rId478" Type="http://schemas.openxmlformats.org/officeDocument/2006/relationships/hyperlink" Target="result/&#12497;&#12527;&#12503;&#12525;2020%20-%20&#25237;&#29699;&#35299;&#26512;%20-%202020-08-23%2016-09-58-09_ball.txt" TargetMode="External"/><Relationship Id="rId685" Type="http://schemas.openxmlformats.org/officeDocument/2006/relationships/hyperlink" Target="out/&#12497;&#12527;&#12503;&#12525;2020%20-%20&#25237;&#29699;&#35299;&#26512;%20-%202020-08-24%2011-24-36-04_out.mp4" TargetMode="External"/><Relationship Id="rId892" Type="http://schemas.openxmlformats.org/officeDocument/2006/relationships/hyperlink" Target="result/&#12497;&#12527;&#12503;&#12525;2020%20-%20&#25237;&#29699;&#35299;&#26512;%20-%202020-08-24%2012-21-33-02_ball.txt" TargetMode="External"/><Relationship Id="rId2159" Type="http://schemas.openxmlformats.org/officeDocument/2006/relationships/hyperlink" Target="out/&#12497;&#12527;&#12503;&#12525;2020%20-%20&#25237;&#29699;&#35299;&#26512;%20-%202020-08-27%2018-26-47-08_out.mp4" TargetMode="External"/><Relationship Id="rId2366" Type="http://schemas.openxmlformats.org/officeDocument/2006/relationships/hyperlink" Target="result/&#12497;&#12527;&#12503;&#12525;2020%20-%20&#25237;&#29699;&#35299;&#26512;%20-%202020-08-29%2009-46-05-02_ball.txt" TargetMode="External"/><Relationship Id="rId2573" Type="http://schemas.openxmlformats.org/officeDocument/2006/relationships/hyperlink" Target="out/&#12497;&#12527;&#12503;&#12525;2020%20-%20&#25237;&#29699;&#35299;&#26512;%20-%202020-08-29%2015-51-26-05_out.mp4" TargetMode="External"/><Relationship Id="rId2780" Type="http://schemas.openxmlformats.org/officeDocument/2006/relationships/hyperlink" Target="result/&#25237;&#29699;&#35299;&#26512;%20-%20&#12497;&#12527;&#12503;&#12525;2020%20-%202020-09-08%2023-37-52-08_ball.txt" TargetMode="External"/><Relationship Id="rId100" Type="http://schemas.openxmlformats.org/officeDocument/2006/relationships/hyperlink" Target="result/&#12497;&#12527;&#12503;&#12525;2020%20-%20&#25237;&#29699;&#35299;&#26512;%20-%202020-08-23%2011-15-09-09_ball.txt" TargetMode="External"/><Relationship Id="rId338" Type="http://schemas.openxmlformats.org/officeDocument/2006/relationships/hyperlink" Target="result/&#12497;&#12527;&#12503;&#12525;2020%20-%20&#25237;&#29699;&#35299;&#26512;%20-%202020-08-23%2015-48-07-08_ball.txt" TargetMode="External"/><Relationship Id="rId545" Type="http://schemas.openxmlformats.org/officeDocument/2006/relationships/hyperlink" Target="out/&#12497;&#12527;&#12503;&#12525;2020%20-%20&#25237;&#29699;&#35299;&#26512;%20-%202020-08-23%2016-25-48-03_out.mp4" TargetMode="External"/><Relationship Id="rId752" Type="http://schemas.openxmlformats.org/officeDocument/2006/relationships/hyperlink" Target="result/&#12497;&#12527;&#12503;&#12525;2020%20-%20&#25237;&#29699;&#35299;&#26512;%20-%202020-08-24%2012-02-12-08_ball.txt" TargetMode="External"/><Relationship Id="rId1175" Type="http://schemas.openxmlformats.org/officeDocument/2006/relationships/hyperlink" Target="out/&#12497;&#12527;&#12503;&#12525;2020%20-%20&#25237;&#29699;&#35299;&#26512;%20-%202020-08-24%2012-50-30-08_out.mp4" TargetMode="External"/><Relationship Id="rId1382" Type="http://schemas.openxmlformats.org/officeDocument/2006/relationships/hyperlink" Target="result/&#12497;&#12527;&#12503;&#12525;2020%20-%20&#25237;&#29699;&#35299;&#26512;%20-%202020-08-23%2014-03-42-06_ball.txt" TargetMode="External"/><Relationship Id="rId2019" Type="http://schemas.openxmlformats.org/officeDocument/2006/relationships/hyperlink" Target="out/&#12497;&#12527;&#12503;&#12525;2020%20-%20&#25237;&#29699;&#35299;&#26512;%20-%202020-08-27%2018-14-40-08_out.mp4" TargetMode="External"/><Relationship Id="rId2226" Type="http://schemas.openxmlformats.org/officeDocument/2006/relationships/hyperlink" Target="result/&#12497;&#12527;&#12503;&#12525;2020%20-%20&#25237;&#29699;&#35299;&#26512;%20-%202020-08-28%2022-36-12-01_ball.txt" TargetMode="External"/><Relationship Id="rId2433" Type="http://schemas.openxmlformats.org/officeDocument/2006/relationships/hyperlink" Target="out/&#12497;&#12527;&#12503;&#12525;2020%20-%20&#25237;&#29699;&#35299;&#26512;%20-%202020-08-29%2015-42-43-06_out.mp4" TargetMode="External"/><Relationship Id="rId2640" Type="http://schemas.openxmlformats.org/officeDocument/2006/relationships/hyperlink" Target="result/&#12497;&#12527;&#12503;&#12525;2020%20-%20&#25237;&#29699;&#35299;&#26512;%20-%202020-08-29%2015-55-24-08_ball.txt" TargetMode="External"/><Relationship Id="rId405" Type="http://schemas.openxmlformats.org/officeDocument/2006/relationships/hyperlink" Target="out/&#12497;&#12527;&#12503;&#12525;2020%20-%20&#25237;&#29699;&#35299;&#26512;%20-%202020-08-23%2016-03-31-03_out.mp4" TargetMode="External"/><Relationship Id="rId612" Type="http://schemas.openxmlformats.org/officeDocument/2006/relationships/hyperlink" Target="result/&#12497;&#12527;&#12503;&#12525;2020%20-%20&#25237;&#29699;&#35299;&#26512;%20-%202020-08-23%2016-30-55-06_ball.txt" TargetMode="External"/><Relationship Id="rId1035" Type="http://schemas.openxmlformats.org/officeDocument/2006/relationships/hyperlink" Target="out/&#12497;&#12527;&#12503;&#12525;2020%20-%20&#25237;&#29699;&#35299;&#26512;%20-%202020-08-24%2012-38-24-03_out.mp4" TargetMode="External"/><Relationship Id="rId1242" Type="http://schemas.openxmlformats.org/officeDocument/2006/relationships/hyperlink" Target="result/&#12497;&#12527;&#12503;&#12525;2020%20-%20&#25237;&#29699;&#35299;&#26512;%20-%202020-08-24%2013-00-20-01_ball.txt" TargetMode="External"/><Relationship Id="rId1687" Type="http://schemas.openxmlformats.org/officeDocument/2006/relationships/hyperlink" Target="out/&#12497;&#12527;&#12503;&#12525;2020%20-%20&#25237;&#29699;&#35299;&#26512;%20-%202020-08-24%2012-22-44-08_out.mp4" TargetMode="External"/><Relationship Id="rId1894" Type="http://schemas.openxmlformats.org/officeDocument/2006/relationships/hyperlink" Target="result/&#12497;&#12527;&#12503;&#12525;2020%20-%20&#25237;&#29699;&#35299;&#26512;%20-%202020-08-26%2021-15-29-02_ball.txt" TargetMode="External"/><Relationship Id="rId2500" Type="http://schemas.openxmlformats.org/officeDocument/2006/relationships/hyperlink" Target="result/&#12497;&#12527;&#12503;&#12525;2020%20-%20&#25237;&#29699;&#35299;&#26512;%20-%202020-08-29%2015-46-34-08_ball.txt" TargetMode="External"/><Relationship Id="rId2738" Type="http://schemas.openxmlformats.org/officeDocument/2006/relationships/hyperlink" Target="result/&#12497;&#12527;&#12503;&#12525;2020%20-%20&#25237;&#29699;&#35299;&#26512;%20-%202020-08-29%2016-01-23-07_ball.txt" TargetMode="External"/><Relationship Id="rId917" Type="http://schemas.openxmlformats.org/officeDocument/2006/relationships/hyperlink" Target="out/&#12497;&#12527;&#12503;&#12525;2020%20-%20&#25237;&#29699;&#35299;&#26512;%20-%202020-08-24%2012-24-03-04_out.mp4" TargetMode="External"/><Relationship Id="rId1102" Type="http://schemas.openxmlformats.org/officeDocument/2006/relationships/hyperlink" Target="result/&#12497;&#12527;&#12503;&#12525;2020%20-%20&#25237;&#29699;&#35299;&#26512;%20-%202020-08-24%2012-44-26-06_ball.txt" TargetMode="External"/><Relationship Id="rId1547" Type="http://schemas.openxmlformats.org/officeDocument/2006/relationships/hyperlink" Target="out/&#12497;&#12527;&#12503;&#12525;2020%20-%20&#25237;&#29699;&#35299;&#26512;%20-%202020-08-23%2016-11-33-00_out.mp4" TargetMode="External"/><Relationship Id="rId1754" Type="http://schemas.openxmlformats.org/officeDocument/2006/relationships/hyperlink" Target="result/&#12497;&#12527;&#12503;&#12525;2020%20-%20&#25237;&#29699;&#35299;&#26512;%20-%202020-08-24%2012-44-26-03_ball.txt" TargetMode="External"/><Relationship Id="rId1961" Type="http://schemas.openxmlformats.org/officeDocument/2006/relationships/hyperlink" Target="out/&#12497;&#12527;&#12503;&#12525;2020%20-%20&#25237;&#29699;&#35299;&#26512;%20-%202020-08-26%2021-20-35-09_out.mp4" TargetMode="External"/><Relationship Id="rId46" Type="http://schemas.openxmlformats.org/officeDocument/2006/relationships/hyperlink" Target="result/&#12497;&#12527;&#12503;&#12525;2020%20-%20&#25237;&#29699;&#35299;&#26512;%20-%202020-08-23%2011-12-45-02_ball.txt" TargetMode="External"/><Relationship Id="rId1407" Type="http://schemas.openxmlformats.org/officeDocument/2006/relationships/hyperlink" Target="out/&#12497;&#12527;&#12503;&#12525;2020%20-%20&#25237;&#29699;&#35299;&#26512;%20-%202020-08-23%2014-18-29-09_out.mp4" TargetMode="External"/><Relationship Id="rId1614" Type="http://schemas.openxmlformats.org/officeDocument/2006/relationships/hyperlink" Target="result/&#12497;&#12527;&#12503;&#12525;2020%20-%20&#25237;&#29699;&#35299;&#26512;%20-%202020-08-24%2011-22-14-01_ball.txt" TargetMode="External"/><Relationship Id="rId1821" Type="http://schemas.openxmlformats.org/officeDocument/2006/relationships/hyperlink" Target="out/&#12497;&#12527;&#12503;&#12525;2020%20-%20&#25237;&#29699;&#35299;&#26512;%20-%202020-08-24%2013-14-19-05_out.mp4" TargetMode="External"/><Relationship Id="rId195" Type="http://schemas.openxmlformats.org/officeDocument/2006/relationships/hyperlink" Target="out/&#12497;&#12527;&#12503;&#12525;2020%20-%20&#25237;&#29699;&#35299;&#26512;%20-%202020-08-23%2014-08-02-07_out.mp4" TargetMode="External"/><Relationship Id="rId1919" Type="http://schemas.openxmlformats.org/officeDocument/2006/relationships/hyperlink" Target="out/&#12497;&#12527;&#12503;&#12525;2020%20-%20&#25237;&#29699;&#35299;&#26512;%20-%202020-08-26%2021-17-48-05_out.mp4" TargetMode="External"/><Relationship Id="rId2083" Type="http://schemas.openxmlformats.org/officeDocument/2006/relationships/hyperlink" Target="out/&#12497;&#12527;&#12503;&#12525;2020%20-%20&#25237;&#29699;&#35299;&#26512;%20-%202020-08-27%2018-21-04-00_out.mp4" TargetMode="External"/><Relationship Id="rId2290" Type="http://schemas.openxmlformats.org/officeDocument/2006/relationships/hyperlink" Target="result/&#12497;&#12527;&#12503;&#12525;2020%20-%20&#25237;&#29699;&#35299;&#26512;%20-%202020-08-29%2009-39-15-03_ball.txt" TargetMode="External"/><Relationship Id="rId2388" Type="http://schemas.openxmlformats.org/officeDocument/2006/relationships/hyperlink" Target="result/&#12497;&#12527;&#12503;&#12525;2020%20-%20&#25237;&#29699;&#35299;&#26512;%20-%202020-08-29%2009-48-04-03_ball.txt" TargetMode="External"/><Relationship Id="rId2595" Type="http://schemas.openxmlformats.org/officeDocument/2006/relationships/hyperlink" Target="out/&#12497;&#12527;&#12503;&#12525;2020%20-%20&#25237;&#29699;&#35299;&#26512;%20-%202020-08-29%2015-52-32-06_out.mp4" TargetMode="External"/><Relationship Id="rId262" Type="http://schemas.openxmlformats.org/officeDocument/2006/relationships/hyperlink" Target="result/&#12497;&#12527;&#12503;&#12525;2020%20-%20&#25237;&#29699;&#35299;&#26512;%20-%202020-08-23%2014-24-49-00_ball.txt" TargetMode="External"/><Relationship Id="rId567" Type="http://schemas.openxmlformats.org/officeDocument/2006/relationships/hyperlink" Target="out/&#12497;&#12527;&#12503;&#12525;2020%20-%20&#25237;&#29699;&#35299;&#26512;%20-%202020-08-23%2016-26-58-04_out.mp4" TargetMode="External"/><Relationship Id="rId1197" Type="http://schemas.openxmlformats.org/officeDocument/2006/relationships/hyperlink" Target="out/&#12497;&#12527;&#12503;&#12525;2020%20-%20&#25237;&#29699;&#35299;&#26512;%20-%202020-08-24%2012-52-05-09_out.mp4" TargetMode="External"/><Relationship Id="rId2150" Type="http://schemas.openxmlformats.org/officeDocument/2006/relationships/hyperlink" Target="result/&#12497;&#12527;&#12503;&#12525;2020%20-%20&#25237;&#29699;&#35299;&#26512;%20-%202020-08-27%2018-26-47-03_ball.txt" TargetMode="External"/><Relationship Id="rId2248" Type="http://schemas.openxmlformats.org/officeDocument/2006/relationships/hyperlink" Target="result/&#12497;&#12527;&#12503;&#12525;2020%20-%20&#25237;&#29699;&#35299;&#26512;%20-%202020-08-28%2022-37-55-02_ball.txt" TargetMode="External"/><Relationship Id="rId122" Type="http://schemas.openxmlformats.org/officeDocument/2006/relationships/hyperlink" Target="result/&#12497;&#12527;&#12503;&#12525;2020%20-%20&#25237;&#29699;&#35299;&#26512;%20-%202020-08-23%2014-04-47-00_ball.txt" TargetMode="External"/><Relationship Id="rId774" Type="http://schemas.openxmlformats.org/officeDocument/2006/relationships/hyperlink" Target="result/&#12497;&#12527;&#12503;&#12525;2020%20-%20&#25237;&#29699;&#35299;&#26512;%20-%202020-08-24%2012-03-33-09_ball.txt" TargetMode="External"/><Relationship Id="rId981" Type="http://schemas.openxmlformats.org/officeDocument/2006/relationships/hyperlink" Target="out/&#12497;&#12527;&#12503;&#12525;2020%20-%20&#25237;&#29699;&#35299;&#26512;%20-%202020-08-24%2012-32-08-07_out.mp4" TargetMode="External"/><Relationship Id="rId1057" Type="http://schemas.openxmlformats.org/officeDocument/2006/relationships/hyperlink" Target="out/&#12497;&#12527;&#12503;&#12525;2020%20-%20&#25237;&#29699;&#35299;&#26512;%20-%202020-08-24%2012-39-57-04_out.mp4" TargetMode="External"/><Relationship Id="rId2010" Type="http://schemas.openxmlformats.org/officeDocument/2006/relationships/hyperlink" Target="result/&#12497;&#12527;&#12503;&#12525;2020%20-%20&#25237;&#29699;&#35299;&#26512;%20-%202020-08-27%2018-14-40-03_ball.txt" TargetMode="External"/><Relationship Id="rId2455" Type="http://schemas.openxmlformats.org/officeDocument/2006/relationships/hyperlink" Target="out/&#12497;&#12527;&#12503;&#12525;2020%20-%20&#25237;&#29699;&#35299;&#26512;%20-%202020-08-29%2015-44-12-07_out.mp4" TargetMode="External"/><Relationship Id="rId2662" Type="http://schemas.openxmlformats.org/officeDocument/2006/relationships/hyperlink" Target="result/&#12497;&#12527;&#12503;&#12525;2020%20-%20&#25237;&#29699;&#35299;&#26512;%20-%202020-08-29%2015-56-35-09_ball.txt" TargetMode="External"/><Relationship Id="rId427" Type="http://schemas.openxmlformats.org/officeDocument/2006/relationships/hyperlink" Target="out/&#12497;&#12527;&#12503;&#12525;2020%20-%20&#25237;&#29699;&#35299;&#26512;%20-%202020-08-23%2016-06-08-04_out.mp4" TargetMode="External"/><Relationship Id="rId634" Type="http://schemas.openxmlformats.org/officeDocument/2006/relationships/hyperlink" Target="result/&#12497;&#12527;&#12503;&#12525;2020%20-%20&#25237;&#29699;&#35299;&#26512;%20-%202020-08-23%2016-32-07-07_ball.txt" TargetMode="External"/><Relationship Id="rId841" Type="http://schemas.openxmlformats.org/officeDocument/2006/relationships/hyperlink" Target="out/&#12497;&#12527;&#12503;&#12525;2020%20-%20&#25237;&#29699;&#35299;&#26512;%20-%202020-08-24%2012-10-03-01_out.mp4" TargetMode="External"/><Relationship Id="rId1264" Type="http://schemas.openxmlformats.org/officeDocument/2006/relationships/hyperlink" Target="result/&#12497;&#12527;&#12503;&#12525;2020%20-%20&#25237;&#29699;&#35299;&#26512;%20-%202020-08-24%2013-02-04-03_ball.txt" TargetMode="External"/><Relationship Id="rId1471" Type="http://schemas.openxmlformats.org/officeDocument/2006/relationships/hyperlink" Target="out/&#12497;&#12527;&#12503;&#12525;2020%20-%20&#25237;&#29699;&#35299;&#26512;%20-%202020-08-23%2015-53-39-02_out.mp4" TargetMode="External"/><Relationship Id="rId1569" Type="http://schemas.openxmlformats.org/officeDocument/2006/relationships/hyperlink" Target="out/&#12497;&#12527;&#12503;&#12525;2020%20-%20&#25237;&#29699;&#35299;&#26512;%20-%202020-08-23%2016-24-41-01_out.mp4" TargetMode="External"/><Relationship Id="rId2108" Type="http://schemas.openxmlformats.org/officeDocument/2006/relationships/hyperlink" Target="result/&#12497;&#12527;&#12503;&#12525;2020%20-%20&#25237;&#29699;&#35299;&#26512;%20-%202020-08-27%2018-22-42-02_ball.txt" TargetMode="External"/><Relationship Id="rId2315" Type="http://schemas.openxmlformats.org/officeDocument/2006/relationships/hyperlink" Target="out/&#12497;&#12527;&#12503;&#12525;2020%20-%20&#25237;&#29699;&#35299;&#26512;%20-%202020-08-29%2009-41-06-06_out.mp4" TargetMode="External"/><Relationship Id="rId2522" Type="http://schemas.openxmlformats.org/officeDocument/2006/relationships/hyperlink" Target="result/&#12497;&#12527;&#12503;&#12525;2020%20-%20&#25237;&#29699;&#35299;&#26512;%20-%202020-08-29%2015-48-09-09_ball.txt" TargetMode="External"/><Relationship Id="rId701" Type="http://schemas.openxmlformats.org/officeDocument/2006/relationships/hyperlink" Target="out/&#12497;&#12527;&#12503;&#12525;2020%20-%20&#25237;&#29699;&#35299;&#26512;%20-%202020-08-24%2011-25-48-02_out.mp4" TargetMode="External"/><Relationship Id="rId939" Type="http://schemas.openxmlformats.org/officeDocument/2006/relationships/hyperlink" Target="out/&#12497;&#12527;&#12503;&#12525;2020%20-%20&#25237;&#29699;&#35299;&#26512;%20-%202020-08-24%2012-25-33-05_out.mp4" TargetMode="External"/><Relationship Id="rId1124" Type="http://schemas.openxmlformats.org/officeDocument/2006/relationships/hyperlink" Target="result/&#12497;&#12527;&#12503;&#12525;2020%20-%20&#25237;&#29699;&#35299;&#26512;%20-%202020-08-24%2012-46-03-04_ball.txt" TargetMode="External"/><Relationship Id="rId1331" Type="http://schemas.openxmlformats.org/officeDocument/2006/relationships/hyperlink" Target="out/&#12497;&#12527;&#12503;&#12525;2020%20-%20&#25237;&#29699;&#35299;&#26512;%20-%202020-08-24%2013-09-18-07_out.mp4" TargetMode="External"/><Relationship Id="rId1776" Type="http://schemas.openxmlformats.org/officeDocument/2006/relationships/hyperlink" Target="result/&#12497;&#12527;&#12503;&#12525;2020%20-%20&#25237;&#29699;&#35299;&#26512;%20-%202020-08-24%2012-50-30-06_ball.txt" TargetMode="External"/><Relationship Id="rId1983" Type="http://schemas.openxmlformats.org/officeDocument/2006/relationships/hyperlink" Target="out/&#12497;&#12527;&#12503;&#12525;2020%20-%20&#25237;&#29699;&#35299;&#26512;%20-%202020-08-26%2021-35-18-00_out.mp4" TargetMode="External"/><Relationship Id="rId68" Type="http://schemas.openxmlformats.org/officeDocument/2006/relationships/hyperlink" Target="result/&#12497;&#12527;&#12503;&#12525;2020%20-%20&#25237;&#29699;&#35299;&#26512;%20-%202020-08-23%2011-13-59-03_ball.txt" TargetMode="External"/><Relationship Id="rId1429" Type="http://schemas.openxmlformats.org/officeDocument/2006/relationships/hyperlink" Target="out/&#12497;&#12527;&#12503;&#12525;2020%20-%20&#25237;&#29699;&#35299;&#26512;%20-%202020-08-23%2015-47-01-01_out.mp4" TargetMode="External"/><Relationship Id="rId1636" Type="http://schemas.openxmlformats.org/officeDocument/2006/relationships/hyperlink" Target="result/&#12497;&#12527;&#12503;&#12525;2020%20-%20&#25237;&#29699;&#35299;&#26512;%20-%202020-08-24%2012-00-01-02_ball.txt" TargetMode="External"/><Relationship Id="rId1843" Type="http://schemas.openxmlformats.org/officeDocument/2006/relationships/hyperlink" Target="out/&#12497;&#12527;&#12503;&#12525;2020%20-%20&#25237;&#29699;&#35299;&#26512;%20-%202020-08-24%2013-16-19-06_out.mp4" TargetMode="External"/><Relationship Id="rId1703" Type="http://schemas.openxmlformats.org/officeDocument/2006/relationships/hyperlink" Target="out/&#12497;&#12527;&#12503;&#12525;2020%20-%20&#25237;&#29699;&#35299;&#26512;%20-%202020-08-24%2012-28-05-03_out.mp4" TargetMode="External"/><Relationship Id="rId1910" Type="http://schemas.openxmlformats.org/officeDocument/2006/relationships/hyperlink" Target="result/&#12497;&#12527;&#12503;&#12525;2020%20-%20&#25237;&#29699;&#35299;&#26512;%20-%202020-08-26%2021-17-48-00_ball.txt" TargetMode="External"/><Relationship Id="rId284" Type="http://schemas.openxmlformats.org/officeDocument/2006/relationships/hyperlink" Target="result/&#12497;&#12527;&#12503;&#12525;2020%20-%20&#25237;&#29699;&#35299;&#26512;%20-%202020-08-23%2014-25-58-01_ball.txt" TargetMode="External"/><Relationship Id="rId491" Type="http://schemas.openxmlformats.org/officeDocument/2006/relationships/hyperlink" Target="out/&#12497;&#12527;&#12503;&#12525;2020%20-%20&#25237;&#29699;&#35299;&#26512;%20-%202020-08-23%2016-12-41-06_out.mp4" TargetMode="External"/><Relationship Id="rId2172" Type="http://schemas.openxmlformats.org/officeDocument/2006/relationships/hyperlink" Target="result/&#12497;&#12527;&#12503;&#12525;2020%20-%20&#25237;&#29699;&#35299;&#26512;%20-%202020-08-28%2022-31-31-04_ball.txt" TargetMode="External"/><Relationship Id="rId144" Type="http://schemas.openxmlformats.org/officeDocument/2006/relationships/hyperlink" Target="result/&#12497;&#12527;&#12503;&#12525;2020%20-%20&#25237;&#29699;&#35299;&#26512;%20-%202020-08-23%2014-05-50-01_ball.txt" TargetMode="External"/><Relationship Id="rId589" Type="http://schemas.openxmlformats.org/officeDocument/2006/relationships/hyperlink" Target="out/&#12497;&#12527;&#12503;&#12525;2020%20-%20&#25237;&#29699;&#35299;&#26512;%20-%202020-08-23%2016-28-07-05_out.mp4" TargetMode="External"/><Relationship Id="rId796" Type="http://schemas.openxmlformats.org/officeDocument/2006/relationships/hyperlink" Target="result/&#12497;&#12527;&#12503;&#12525;2020%20-%20&#25237;&#29699;&#35299;&#26512;%20-%202020-08-24%2012-07-26-00_ball.txt" TargetMode="External"/><Relationship Id="rId2477" Type="http://schemas.openxmlformats.org/officeDocument/2006/relationships/hyperlink" Target="out/&#12497;&#12527;&#12503;&#12525;2020%20-%20&#25237;&#29699;&#35299;&#26512;%20-%202020-08-29%2015-45-22-07_out.mp4" TargetMode="External"/><Relationship Id="rId2684" Type="http://schemas.openxmlformats.org/officeDocument/2006/relationships/hyperlink" Target="result/&#12497;&#12527;&#12503;&#12525;2020%20-%20&#25237;&#29699;&#35299;&#26512;%20-%202020-08-29%2015-58-43-00_ball.txt" TargetMode="External"/><Relationship Id="rId351" Type="http://schemas.openxmlformats.org/officeDocument/2006/relationships/hyperlink" Target="out/&#12497;&#12527;&#12503;&#12525;2020%20-%20&#25237;&#29699;&#35299;&#26512;%20-%202020-08-23%2015-49-19-05_out.mp4" TargetMode="External"/><Relationship Id="rId449" Type="http://schemas.openxmlformats.org/officeDocument/2006/relationships/hyperlink" Target="out/&#12497;&#12527;&#12503;&#12525;2020%20-%20&#25237;&#29699;&#35299;&#26512;%20-%202020-08-23%2016-08-46-05_out.mp4" TargetMode="External"/><Relationship Id="rId656" Type="http://schemas.openxmlformats.org/officeDocument/2006/relationships/hyperlink" Target="result/&#12497;&#12527;&#12503;&#12525;2020%20-%20&#25237;&#29699;&#35299;&#26512;%20-%202020-08-24%2011-22-14-09_ball.txt" TargetMode="External"/><Relationship Id="rId863" Type="http://schemas.openxmlformats.org/officeDocument/2006/relationships/hyperlink" Target="out/&#12497;&#12527;&#12503;&#12525;2020%20-%20&#25237;&#29699;&#35299;&#26512;%20-%202020-08-24%2012-11-18-12_out.mp4" TargetMode="External"/><Relationship Id="rId1079" Type="http://schemas.openxmlformats.org/officeDocument/2006/relationships/hyperlink" Target="out/&#12497;&#12527;&#12503;&#12525;2020%20-%20&#25237;&#29699;&#35299;&#26512;%20-%202020-08-24%2012-41-25-05_out.mp4" TargetMode="External"/><Relationship Id="rId1286" Type="http://schemas.openxmlformats.org/officeDocument/2006/relationships/hyperlink" Target="result/&#12497;&#12527;&#12503;&#12525;2020%20-%20&#25237;&#29699;&#35299;&#26512;%20-%202020-08-24%2013-03-51-04_ball.txt" TargetMode="External"/><Relationship Id="rId1493" Type="http://schemas.openxmlformats.org/officeDocument/2006/relationships/hyperlink" Target="out/&#12497;&#12527;&#12503;&#12525;2020%20-%20&#25237;&#29699;&#35299;&#26512;%20-%202020-08-23%2015-56-09-03_out.mp4" TargetMode="External"/><Relationship Id="rId2032" Type="http://schemas.openxmlformats.org/officeDocument/2006/relationships/hyperlink" Target="result/&#12497;&#12527;&#12503;&#12525;2020%20-%20&#25237;&#29699;&#35299;&#26512;%20-%202020-08-27%2018-16-14-04_ball.txt" TargetMode="External"/><Relationship Id="rId2337" Type="http://schemas.openxmlformats.org/officeDocument/2006/relationships/hyperlink" Target="out/&#12497;&#12527;&#12503;&#12525;2020%20-%20&#25237;&#29699;&#35299;&#26512;%20-%202020-08-29%2009-42-48-07_out.mp4" TargetMode="External"/><Relationship Id="rId2544" Type="http://schemas.openxmlformats.org/officeDocument/2006/relationships/hyperlink" Target="result/&#12497;&#12527;&#12503;&#12525;2020%20-%20&#25237;&#29699;&#35299;&#26512;%20-%202020-08-29%2015-50-19-00_ball.txt" TargetMode="External"/><Relationship Id="rId211" Type="http://schemas.openxmlformats.org/officeDocument/2006/relationships/hyperlink" Target="out/&#12497;&#12527;&#12503;&#12525;2020%20-%20&#25237;&#29699;&#35299;&#26512;%20-%202020-08-23%2014-19-33-05_out.mp4" TargetMode="External"/><Relationship Id="rId309" Type="http://schemas.openxmlformats.org/officeDocument/2006/relationships/hyperlink" Target="out/&#12497;&#12527;&#12503;&#12525;2020%20-%20&#25237;&#29699;&#35299;&#26512;%20-%202020-08-23%2014-27-07-04_out.mp4" TargetMode="External"/><Relationship Id="rId516" Type="http://schemas.openxmlformats.org/officeDocument/2006/relationships/hyperlink" Target="result/&#12497;&#12527;&#12503;&#12525;2020%20-%20&#25237;&#29699;&#35299;&#26512;%20-%202020-08-23%2016-13-55-08_ball.txt" TargetMode="External"/><Relationship Id="rId1146" Type="http://schemas.openxmlformats.org/officeDocument/2006/relationships/hyperlink" Target="result/&#12497;&#12527;&#12503;&#12525;2020%20-%20&#25237;&#29699;&#35299;&#26512;%20-%202020-08-24%2012-47-45-00_ball.txt" TargetMode="External"/><Relationship Id="rId1798" Type="http://schemas.openxmlformats.org/officeDocument/2006/relationships/hyperlink" Target="result/&#12497;&#12527;&#12503;&#12525;2020%20-%20&#25237;&#29699;&#35299;&#26512;%20-%202020-08-24%2013-03-51-07_ball.txt" TargetMode="External"/><Relationship Id="rId2751" Type="http://schemas.openxmlformats.org/officeDocument/2006/relationships/hyperlink" Target="out/&#12497;&#12527;&#12503;&#12525;2020%20-%20&#25237;&#29699;&#35299;&#26512;%20-%202020-08-29%2016-06-51-04_out.mp4" TargetMode="External"/><Relationship Id="rId723" Type="http://schemas.openxmlformats.org/officeDocument/2006/relationships/hyperlink" Target="out/&#12497;&#12527;&#12503;&#12525;2020%20-%20&#25237;&#29699;&#35299;&#26512;%20-%202020-08-24%2012-01-04-03_out.mp4" TargetMode="External"/><Relationship Id="rId930" Type="http://schemas.openxmlformats.org/officeDocument/2006/relationships/hyperlink" Target="result/&#12497;&#12527;&#12503;&#12525;2020%20-%20&#25237;&#29699;&#35299;&#26512;%20-%202020-08-24%2012-25-33-00_ball.txt" TargetMode="External"/><Relationship Id="rId1006" Type="http://schemas.openxmlformats.org/officeDocument/2006/relationships/hyperlink" Target="result/&#12497;&#12527;&#12503;&#12525;2020%20-%20&#25237;&#29699;&#35299;&#26512;%20-%202020-08-24%2012-33-48-09_ball.txt" TargetMode="External"/><Relationship Id="rId1353" Type="http://schemas.openxmlformats.org/officeDocument/2006/relationships/hyperlink" Target="out/&#12497;&#12527;&#12503;&#12525;2020%20-%20&#25237;&#29699;&#35299;&#26512;%20-%202020-08-23%2011-08-57-02_out.mp4" TargetMode="External"/><Relationship Id="rId1560" Type="http://schemas.openxmlformats.org/officeDocument/2006/relationships/hyperlink" Target="result/&#12497;&#12527;&#12503;&#12525;2020%20-%20&#25237;&#29699;&#35299;&#26512;%20-%202020-08-23%2016-11-33-06_ball.txt" TargetMode="External"/><Relationship Id="rId1658" Type="http://schemas.openxmlformats.org/officeDocument/2006/relationships/hyperlink" Target="result/&#12497;&#12527;&#12503;&#12525;2020%20-%20&#25237;&#29699;&#35299;&#26512;%20-%202020-08-24%2012-06-16-04_ball.txt" TargetMode="External"/><Relationship Id="rId1865" Type="http://schemas.openxmlformats.org/officeDocument/2006/relationships/hyperlink" Target="out/&#12497;&#12527;&#12503;&#12525;2020%20-%20&#25237;&#29699;&#35299;&#26512;%20-%202020-08-24%2013-17-56-08_out.mp4" TargetMode="External"/><Relationship Id="rId2404" Type="http://schemas.openxmlformats.org/officeDocument/2006/relationships/hyperlink" Target="result/&#12497;&#12527;&#12503;&#12525;2020%20-%20&#25237;&#29699;&#35299;&#26512;%20-%202020-08-29%2009-49-52-01_ball.txt" TargetMode="External"/><Relationship Id="rId2611" Type="http://schemas.openxmlformats.org/officeDocument/2006/relationships/hyperlink" Target="out/&#12497;&#12527;&#12503;&#12525;2020%20-%20&#25237;&#29699;&#35299;&#26512;%20-%202020-08-29%2015-53-40-04_out.mp4" TargetMode="External"/><Relationship Id="rId2709" Type="http://schemas.openxmlformats.org/officeDocument/2006/relationships/hyperlink" Target="out/&#12497;&#12527;&#12503;&#12525;2020%20-%20&#25237;&#29699;&#35299;&#26512;%20-%202020-08-29%2016-00-15-03_out.mp4" TargetMode="External"/><Relationship Id="rId1213" Type="http://schemas.openxmlformats.org/officeDocument/2006/relationships/hyperlink" Target="out/&#12497;&#12527;&#12503;&#12525;2020%20-%20&#25237;&#29699;&#35299;&#26512;%20-%202020-08-24%2012-53-43-07_out.mp4" TargetMode="External"/><Relationship Id="rId1420" Type="http://schemas.openxmlformats.org/officeDocument/2006/relationships/hyperlink" Target="result/&#12497;&#12527;&#12503;&#12525;2020%20-%20&#25237;&#29699;&#35299;&#26512;%20-%202020-08-23%2014-22-38-05_ball.txt" TargetMode="External"/><Relationship Id="rId1518" Type="http://schemas.openxmlformats.org/officeDocument/2006/relationships/hyperlink" Target="result/&#12497;&#12527;&#12503;&#12525;2020%20-%20&#25237;&#29699;&#35299;&#26512;%20-%202020-08-23%2016-04-57-05_ball.txt" TargetMode="External"/><Relationship Id="rId1725" Type="http://schemas.openxmlformats.org/officeDocument/2006/relationships/hyperlink" Target="out/&#12497;&#12527;&#12503;&#12525;2020%20-%20&#25237;&#29699;&#35299;&#26512;%20-%202020-08-24%2012-36-56-00_out.mp4" TargetMode="External"/><Relationship Id="rId1932" Type="http://schemas.openxmlformats.org/officeDocument/2006/relationships/hyperlink" Target="result/&#12497;&#12527;&#12503;&#12525;2020%20-%20&#25237;&#29699;&#35299;&#26512;%20-%202020-08-26%2021-19-02-04_ball.txt" TargetMode="External"/><Relationship Id="rId17" Type="http://schemas.openxmlformats.org/officeDocument/2006/relationships/hyperlink" Target="out/&#12497;&#12527;&#12503;&#12525;2020%20-%20&#25237;&#29699;&#35299;&#26512;%20-%202020-08-23%2011-10-26-08_out.mp4" TargetMode="External"/><Relationship Id="rId2194" Type="http://schemas.openxmlformats.org/officeDocument/2006/relationships/hyperlink" Target="result/&#12497;&#12527;&#12503;&#12525;2020%20-%20&#25237;&#29699;&#35299;&#26512;%20-%202020-08-28%2022-33-04-05_ball.txt" TargetMode="External"/><Relationship Id="rId166" Type="http://schemas.openxmlformats.org/officeDocument/2006/relationships/hyperlink" Target="result/&#12497;&#12527;&#12503;&#12525;2020%20-%20&#25237;&#29699;&#35299;&#26512;%20-%202020-08-23%2014-06-56-02_ball.txt" TargetMode="External"/><Relationship Id="rId373" Type="http://schemas.openxmlformats.org/officeDocument/2006/relationships/hyperlink" Target="out/&#12497;&#12527;&#12503;&#12525;2020%20-%20&#25237;&#29699;&#35299;&#26512;%20-%202020-08-23%2015-52-13-06_out.mp4" TargetMode="External"/><Relationship Id="rId580" Type="http://schemas.openxmlformats.org/officeDocument/2006/relationships/hyperlink" Target="result/&#12497;&#12527;&#12503;&#12525;2020%20-%20&#25237;&#29699;&#35299;&#26512;%20-%202020-08-23%2016-28-07-00_ball.txt" TargetMode="External"/><Relationship Id="rId2054" Type="http://schemas.openxmlformats.org/officeDocument/2006/relationships/hyperlink" Target="result/&#12497;&#12527;&#12503;&#12525;2020%20-%20&#25237;&#29699;&#35299;&#26512;%20-%202020-08-27%2018-17-46-05_ball.txt" TargetMode="External"/><Relationship Id="rId2261" Type="http://schemas.openxmlformats.org/officeDocument/2006/relationships/hyperlink" Target="out/&#12497;&#12527;&#12503;&#12525;2020%20-%20&#25237;&#29699;&#35299;&#26512;%20-%202020-08-28%2022-37-55-09_out.mp4" TargetMode="External"/><Relationship Id="rId2499" Type="http://schemas.openxmlformats.org/officeDocument/2006/relationships/hyperlink" Target="out/&#12497;&#12527;&#12503;&#12525;2020%20-%20&#25237;&#29699;&#35299;&#26512;%20-%202020-08-29%2015-46-34-08_out.mp4" TargetMode="External"/><Relationship Id="rId1" Type="http://schemas.openxmlformats.org/officeDocument/2006/relationships/hyperlink" Target="out/&#12497;&#12527;&#12503;&#12525;2020%20-%20&#25237;&#29699;&#35299;&#26512;%20-%202020-08-23%2011-10-26-00_out.mp4" TargetMode="External"/><Relationship Id="rId233" Type="http://schemas.openxmlformats.org/officeDocument/2006/relationships/hyperlink" Target="out/&#12497;&#12527;&#12503;&#12525;2020%20-%20&#25237;&#29699;&#35299;&#26512;%20-%202020-08-23%2014-21-04-06_out.mp4" TargetMode="External"/><Relationship Id="rId440" Type="http://schemas.openxmlformats.org/officeDocument/2006/relationships/hyperlink" Target="result/&#12497;&#12527;&#12503;&#12525;2020%20-%20&#25237;&#29699;&#35299;&#26512;%20-%202020-08-23%2016-08-46-00_ball.txt" TargetMode="External"/><Relationship Id="rId678" Type="http://schemas.openxmlformats.org/officeDocument/2006/relationships/hyperlink" Target="result/&#12497;&#12527;&#12503;&#12525;2020%20-%20&#25237;&#29699;&#35299;&#26512;%20-%202020-08-24%2011-24-36-00_ball.txt" TargetMode="External"/><Relationship Id="rId885" Type="http://schemas.openxmlformats.org/officeDocument/2006/relationships/hyperlink" Target="out/&#12497;&#12527;&#12503;&#12525;2020%20-%20&#25237;&#29699;&#35299;&#26512;%20-%202020-08-24%2012-12-56-09_out.mp4" TargetMode="External"/><Relationship Id="rId1070" Type="http://schemas.openxmlformats.org/officeDocument/2006/relationships/hyperlink" Target="result/&#12497;&#12527;&#12503;&#12525;2020%20-%20&#25237;&#29699;&#35299;&#26512;%20-%202020-08-24%2012-41-25-00_ball.txt" TargetMode="External"/><Relationship Id="rId2121" Type="http://schemas.openxmlformats.org/officeDocument/2006/relationships/hyperlink" Target="out/&#12497;&#12527;&#12503;&#12525;2020%20-%20&#25237;&#29699;&#35299;&#26512;%20-%202020-08-27%2018-22-42-09_out.mp4" TargetMode="External"/><Relationship Id="rId2359" Type="http://schemas.openxmlformats.org/officeDocument/2006/relationships/hyperlink" Target="out/&#12497;&#12527;&#12503;&#12525;2020%20-%20&#25237;&#29699;&#35299;&#26512;%20-%202020-08-29%2009-44-23-09_out.mp4" TargetMode="External"/><Relationship Id="rId2566" Type="http://schemas.openxmlformats.org/officeDocument/2006/relationships/hyperlink" Target="result/&#12497;&#12527;&#12503;&#12525;2020%20-%20&#25237;&#29699;&#35299;&#26512;%20-%202020-08-29%2015-51-26-01_ball.txt" TargetMode="External"/><Relationship Id="rId2773" Type="http://schemas.openxmlformats.org/officeDocument/2006/relationships/hyperlink" Target="out/&#25237;&#29699;&#35299;&#26512;%20-%20&#12497;&#12527;&#12503;&#12525;2020%20-%202020-09-08%2023-37-52-05_out.mp4" TargetMode="External"/><Relationship Id="rId300" Type="http://schemas.openxmlformats.org/officeDocument/2006/relationships/hyperlink" Target="result/&#12497;&#12527;&#12503;&#12525;2020%20-%20&#25237;&#29699;&#35299;&#26512;%20-%202020-08-23%2014-25-58-09_ball.txt" TargetMode="External"/><Relationship Id="rId538" Type="http://schemas.openxmlformats.org/officeDocument/2006/relationships/hyperlink" Target="result/&#12497;&#12527;&#12503;&#12525;2020%20-%20&#25237;&#29699;&#35299;&#26512;%20-%202020-08-23%2016-15-07-09_ball.txt" TargetMode="External"/><Relationship Id="rId745" Type="http://schemas.openxmlformats.org/officeDocument/2006/relationships/hyperlink" Target="out/&#12497;&#12527;&#12503;&#12525;2020%20-%20&#25237;&#29699;&#35299;&#26512;%20-%202020-08-24%2012-02-12-05_out.mp4" TargetMode="External"/><Relationship Id="rId952" Type="http://schemas.openxmlformats.org/officeDocument/2006/relationships/hyperlink" Target="result/&#12497;&#12527;&#12503;&#12525;2020%20-%20&#25237;&#29699;&#35299;&#26512;%20-%202020-08-24%2012-26-53-01_ball.txt" TargetMode="External"/><Relationship Id="rId1168" Type="http://schemas.openxmlformats.org/officeDocument/2006/relationships/hyperlink" Target="result/&#12497;&#12527;&#12503;&#12525;2020%20-%20&#25237;&#29699;&#35299;&#26512;%20-%202020-08-24%2012-49-17-01_ball.txt" TargetMode="External"/><Relationship Id="rId1375" Type="http://schemas.openxmlformats.org/officeDocument/2006/relationships/hyperlink" Target="out/&#12497;&#12527;&#12503;&#12525;2020%20-%20&#25237;&#29699;&#35299;&#26512;%20-%202020-08-23%2014-03-42-03_out.mp4" TargetMode="External"/><Relationship Id="rId1582" Type="http://schemas.openxmlformats.org/officeDocument/2006/relationships/hyperlink" Target="result/&#12497;&#12527;&#12503;&#12525;2020%20-%20&#25237;&#29699;&#35299;&#26512;%20-%202020-08-23%2016-24-41-07_ball.txt" TargetMode="External"/><Relationship Id="rId2219" Type="http://schemas.openxmlformats.org/officeDocument/2006/relationships/hyperlink" Target="out/&#12497;&#12527;&#12503;&#12525;2020%20-%20&#25237;&#29699;&#35299;&#26512;%20-%202020-08-28%2022-34-32-08_out.mp4" TargetMode="External"/><Relationship Id="rId2426" Type="http://schemas.openxmlformats.org/officeDocument/2006/relationships/hyperlink" Target="result/&#12497;&#12527;&#12503;&#12525;2020%20-%20&#25237;&#29699;&#35299;&#26512;%20-%202020-08-29%2015-42-43-02_ball.txt" TargetMode="External"/><Relationship Id="rId2633" Type="http://schemas.openxmlformats.org/officeDocument/2006/relationships/hyperlink" Target="out/&#12497;&#12527;&#12503;&#12525;2020%20-%20&#25237;&#29699;&#35299;&#26512;%20-%202020-08-29%2015-55-24-05_out.mp4" TargetMode="External"/><Relationship Id="rId81" Type="http://schemas.openxmlformats.org/officeDocument/2006/relationships/hyperlink" Target="out/&#12497;&#12527;&#12503;&#12525;2020%20-%20&#25237;&#29699;&#35299;&#26512;%20-%202020-08-23%2011-15-09-00_out.mp4" TargetMode="External"/><Relationship Id="rId605" Type="http://schemas.openxmlformats.org/officeDocument/2006/relationships/hyperlink" Target="out/&#12497;&#12527;&#12503;&#12525;2020%20-%20&#25237;&#29699;&#35299;&#26512;%20-%202020-08-23%2016-30-55-03_out.mp4" TargetMode="External"/><Relationship Id="rId812" Type="http://schemas.openxmlformats.org/officeDocument/2006/relationships/hyperlink" Target="result/&#12497;&#12527;&#12503;&#12525;2020%20-%20&#25237;&#29699;&#35299;&#26512;%20-%202020-08-24%2012-07-26-08_ball.txt" TargetMode="External"/><Relationship Id="rId1028" Type="http://schemas.openxmlformats.org/officeDocument/2006/relationships/hyperlink" Target="result/&#12497;&#12527;&#12503;&#12525;2020%20-%20&#25237;&#29699;&#35299;&#26512;%20-%202020-08-24%2012-36-56-09_ball.txt" TargetMode="External"/><Relationship Id="rId1235" Type="http://schemas.openxmlformats.org/officeDocument/2006/relationships/hyperlink" Target="out/&#12497;&#12527;&#12503;&#12525;2020%20-%20&#25237;&#29699;&#35299;&#26512;%20-%202020-08-24%2012-58-52-08_out.mp4" TargetMode="External"/><Relationship Id="rId1442" Type="http://schemas.openxmlformats.org/officeDocument/2006/relationships/hyperlink" Target="result/&#12497;&#12527;&#12503;&#12525;2020%20-%20&#25237;&#29699;&#35299;&#26512;%20-%202020-08-23%2015-47-01-07_ball.txt" TargetMode="External"/><Relationship Id="rId1887" Type="http://schemas.openxmlformats.org/officeDocument/2006/relationships/hyperlink" Target="out/&#12497;&#12527;&#12503;&#12525;2020%20-%20&#25237;&#29699;&#35299;&#26512;%20-%202020-08-24%2013-20-06-09_out.mp4" TargetMode="External"/><Relationship Id="rId1302" Type="http://schemas.openxmlformats.org/officeDocument/2006/relationships/hyperlink" Target="result/&#12497;&#12527;&#12503;&#12525;2020%20-%20&#25237;&#29699;&#35299;&#26512;%20-%202020-08-24%2013-07-27-01_ball.txt" TargetMode="External"/><Relationship Id="rId1747" Type="http://schemas.openxmlformats.org/officeDocument/2006/relationships/hyperlink" Target="out/&#12497;&#12527;&#12503;&#12525;2020%20-%20&#25237;&#29699;&#35299;&#26512;%20-%202020-08-24%2012-44-26-00_out.mp4" TargetMode="External"/><Relationship Id="rId1954" Type="http://schemas.openxmlformats.org/officeDocument/2006/relationships/hyperlink" Target="result/&#12497;&#12527;&#12503;&#12525;2020%20-%20&#25237;&#29699;&#35299;&#26512;%20-%202020-08-26%2021-20-35-05_ball.txt" TargetMode="External"/><Relationship Id="rId2700" Type="http://schemas.openxmlformats.org/officeDocument/2006/relationships/hyperlink" Target="result/&#12497;&#12527;&#12503;&#12525;2020%20-%20&#25237;&#29699;&#35299;&#26512;%20-%202020-08-29%2015-58-43-08_ball.txt" TargetMode="External"/><Relationship Id="rId39" Type="http://schemas.openxmlformats.org/officeDocument/2006/relationships/hyperlink" Target="out/&#12497;&#12527;&#12503;&#12525;2020%20-%20&#25237;&#29699;&#35299;&#26512;%20-%202020-08-23%2011-11-35-09_out.mp4" TargetMode="External"/><Relationship Id="rId1607" Type="http://schemas.openxmlformats.org/officeDocument/2006/relationships/hyperlink" Target="out/&#12497;&#12527;&#12503;&#12525;2020%20-%20&#25237;&#29699;&#35299;&#26512;%20-%202020-08-23%2016-33-27-07_out.mp4" TargetMode="External"/><Relationship Id="rId1814" Type="http://schemas.openxmlformats.org/officeDocument/2006/relationships/hyperlink" Target="result/&#12497;&#12527;&#12503;&#12525;2020%20-%20&#25237;&#29699;&#35299;&#26512;%20-%202020-08-24%2013-05-36-05_ball.txt" TargetMode="External"/><Relationship Id="rId188" Type="http://schemas.openxmlformats.org/officeDocument/2006/relationships/hyperlink" Target="result/&#12497;&#12527;&#12503;&#12525;2020%20-%20&#25237;&#29699;&#35299;&#26512;%20-%202020-08-23%2014-08-02-03_ball.txt" TargetMode="External"/><Relationship Id="rId395" Type="http://schemas.openxmlformats.org/officeDocument/2006/relationships/hyperlink" Target="out/&#12497;&#12527;&#12503;&#12525;2020%20-%20&#25237;&#29699;&#35299;&#26512;%20-%202020-08-23%2015-54-48-07_out.mp4" TargetMode="External"/><Relationship Id="rId2076" Type="http://schemas.openxmlformats.org/officeDocument/2006/relationships/hyperlink" Target="result/&#12497;&#12527;&#12503;&#12525;2020%20-%20&#25237;&#29699;&#35299;&#26512;%20-%202020-08-27%2018-19-19-06_ball.txt" TargetMode="External"/><Relationship Id="rId2283" Type="http://schemas.openxmlformats.org/officeDocument/2006/relationships/hyperlink" Target="out/&#12497;&#12527;&#12503;&#12525;2020%20-%20&#25237;&#29699;&#35299;&#26512;%20-%202020-08-29%2009-39-15-00_out.mp4" TargetMode="External"/><Relationship Id="rId2490" Type="http://schemas.openxmlformats.org/officeDocument/2006/relationships/hyperlink" Target="result/&#12497;&#12527;&#12503;&#12525;2020%20-%20&#25237;&#29699;&#35299;&#26512;%20-%202020-08-29%2015-46-34-03_ball.txt" TargetMode="External"/><Relationship Id="rId2588" Type="http://schemas.openxmlformats.org/officeDocument/2006/relationships/hyperlink" Target="result/&#12497;&#12527;&#12503;&#12525;2020%20-%20&#25237;&#29699;&#35299;&#26512;%20-%202020-08-29%2015-52-32-02_ball.txt" TargetMode="External"/><Relationship Id="rId255" Type="http://schemas.openxmlformats.org/officeDocument/2006/relationships/hyperlink" Target="out/&#12497;&#12527;&#12503;&#12525;2020%20-%20&#25237;&#29699;&#35299;&#26512;%20-%202020-08-23%2014-23-42-07_out.mp4" TargetMode="External"/><Relationship Id="rId462" Type="http://schemas.openxmlformats.org/officeDocument/2006/relationships/hyperlink" Target="result/&#12497;&#12527;&#12503;&#12525;2020%20-%20&#25237;&#29699;&#35299;&#26512;%20-%202020-08-23%2016-09-58-01_ball.txt" TargetMode="External"/><Relationship Id="rId1092" Type="http://schemas.openxmlformats.org/officeDocument/2006/relationships/hyperlink" Target="result/&#12497;&#12527;&#12503;&#12525;2020%20-%20&#25237;&#29699;&#35299;&#26512;%20-%202020-08-24%2012-42-52-01_ball.txt" TargetMode="External"/><Relationship Id="rId1397" Type="http://schemas.openxmlformats.org/officeDocument/2006/relationships/hyperlink" Target="out/&#12497;&#12527;&#12503;&#12525;2020%20-%20&#25237;&#29699;&#35299;&#26512;%20-%202020-08-23%2014-18-29-04_out.mp4" TargetMode="External"/><Relationship Id="rId2143" Type="http://schemas.openxmlformats.org/officeDocument/2006/relationships/hyperlink" Target="out/&#12497;&#12527;&#12503;&#12525;2020%20-%20&#25237;&#29699;&#35299;&#26512;%20-%202020-08-27%2018-26-47-00_out.mp4" TargetMode="External"/><Relationship Id="rId2350" Type="http://schemas.openxmlformats.org/officeDocument/2006/relationships/hyperlink" Target="result/&#12497;&#12527;&#12503;&#12525;2020%20-%20&#25237;&#29699;&#35299;&#26512;%20-%202020-08-29%2009-44-23-04_ball.txt" TargetMode="External"/><Relationship Id="rId2795" Type="http://schemas.openxmlformats.org/officeDocument/2006/relationships/hyperlink" Target="out/&#25237;&#29699;&#35299;&#26512;%20-%20&#12497;&#12527;&#12503;&#12525;2020%20-%202020-09-08%2023-39-02-06_out.mp4" TargetMode="External"/><Relationship Id="rId115" Type="http://schemas.openxmlformats.org/officeDocument/2006/relationships/hyperlink" Target="out/&#12497;&#12527;&#12503;&#12525;2020%20-%20&#25237;&#29699;&#35299;&#26512;%20-%202020-08-23%2011-16-20-07_out.mp4" TargetMode="External"/><Relationship Id="rId322" Type="http://schemas.openxmlformats.org/officeDocument/2006/relationships/hyperlink" Target="result/&#12497;&#12527;&#12503;&#12525;2020%20-%20&#25237;&#29699;&#35299;&#26512;%20-%202020-08-23%2015-48-07-00_ball.txt" TargetMode="External"/><Relationship Id="rId767" Type="http://schemas.openxmlformats.org/officeDocument/2006/relationships/hyperlink" Target="out/&#12497;&#12527;&#12503;&#12525;2020%20-%20&#25237;&#29699;&#35299;&#26512;%20-%202020-08-24%2012-03-33-06_out.mp4" TargetMode="External"/><Relationship Id="rId974" Type="http://schemas.openxmlformats.org/officeDocument/2006/relationships/hyperlink" Target="result/&#12497;&#12527;&#12503;&#12525;2020%20-%20&#25237;&#29699;&#35299;&#26512;%20-%202020-08-24%2012-32-08-03_ball.txt" TargetMode="External"/><Relationship Id="rId2003" Type="http://schemas.openxmlformats.org/officeDocument/2006/relationships/hyperlink" Target="out/&#12497;&#12527;&#12503;&#12525;2020%20-%20&#25237;&#29699;&#35299;&#26512;%20-%202020-08-27%2018-14-40-00_out.mp4" TargetMode="External"/><Relationship Id="rId2210" Type="http://schemas.openxmlformats.org/officeDocument/2006/relationships/hyperlink" Target="result/&#12497;&#12527;&#12503;&#12525;2020%20-%20&#25237;&#29699;&#35299;&#26512;%20-%202020-08-28%2022-34-32-03_ball.txt" TargetMode="External"/><Relationship Id="rId2448" Type="http://schemas.openxmlformats.org/officeDocument/2006/relationships/hyperlink" Target="result/&#12497;&#12527;&#12503;&#12525;2020%20-%20&#25237;&#29699;&#35299;&#26512;%20-%202020-08-29%2015-44-12-03_ball.txt" TargetMode="External"/><Relationship Id="rId2655" Type="http://schemas.openxmlformats.org/officeDocument/2006/relationships/hyperlink" Target="out/&#12497;&#12527;&#12503;&#12525;2020%20-%20&#25237;&#29699;&#35299;&#26512;%20-%202020-08-29%2015-56-35-06_out.mp4" TargetMode="External"/><Relationship Id="rId627" Type="http://schemas.openxmlformats.org/officeDocument/2006/relationships/hyperlink" Target="out/&#12497;&#12527;&#12503;&#12525;2020%20-%20&#25237;&#29699;&#35299;&#26512;%20-%202020-08-23%2016-32-07-04_out.mp4" TargetMode="External"/><Relationship Id="rId834" Type="http://schemas.openxmlformats.org/officeDocument/2006/relationships/hyperlink" Target="result/&#12497;&#12527;&#12503;&#12525;2020%20-%20&#25237;&#29699;&#35299;&#26512;%20-%202020-08-24%2012-08-41-09_ball.txt" TargetMode="External"/><Relationship Id="rId1257" Type="http://schemas.openxmlformats.org/officeDocument/2006/relationships/hyperlink" Target="out/&#12497;&#12527;&#12503;&#12525;2020%20-%20&#25237;&#29699;&#35299;&#26512;%20-%202020-08-24%2013-02-04-00_out.mp4" TargetMode="External"/><Relationship Id="rId1464" Type="http://schemas.openxmlformats.org/officeDocument/2006/relationships/hyperlink" Target="result/&#12497;&#12527;&#12503;&#12525;2020%20-%20&#25237;&#29699;&#35299;&#26512;%20-%202020-08-23%2015-51-08-08_ball.txt" TargetMode="External"/><Relationship Id="rId1671" Type="http://schemas.openxmlformats.org/officeDocument/2006/relationships/hyperlink" Target="out/&#12497;&#12527;&#12503;&#12525;2020%20-%20&#25237;&#29699;&#35299;&#26512;%20-%202020-08-24%2012-11-18-06_out.mp4" TargetMode="External"/><Relationship Id="rId2308" Type="http://schemas.openxmlformats.org/officeDocument/2006/relationships/hyperlink" Target="result/&#12497;&#12527;&#12503;&#12525;2020%20-%20&#25237;&#29699;&#35299;&#26512;%20-%202020-08-29%2009-41-06-02_ball.txt" TargetMode="External"/><Relationship Id="rId2515" Type="http://schemas.openxmlformats.org/officeDocument/2006/relationships/hyperlink" Target="out/&#12497;&#12527;&#12503;&#12525;2020%20-%20&#25237;&#29699;&#35299;&#26512;%20-%202020-08-29%2015-48-09-06_out.mp4" TargetMode="External"/><Relationship Id="rId2722" Type="http://schemas.openxmlformats.org/officeDocument/2006/relationships/hyperlink" Target="result/&#12497;&#12527;&#12503;&#12525;2020%20-%20&#25237;&#29699;&#35299;&#26512;%20-%202020-08-29%2016-00-15-09_ball.txt" TargetMode="External"/><Relationship Id="rId901" Type="http://schemas.openxmlformats.org/officeDocument/2006/relationships/hyperlink" Target="out/&#12497;&#12527;&#12503;&#12525;2020%20-%20&#25237;&#29699;&#35299;&#26512;%20-%202020-08-24%2012-21-33-07_out.mp4" TargetMode="External"/><Relationship Id="rId1117" Type="http://schemas.openxmlformats.org/officeDocument/2006/relationships/hyperlink" Target="out/&#12497;&#12527;&#12503;&#12525;2020%20-%20&#25237;&#29699;&#35299;&#26512;%20-%202020-08-24%2012-46-03-01_out.mp4" TargetMode="External"/><Relationship Id="rId1324" Type="http://schemas.openxmlformats.org/officeDocument/2006/relationships/hyperlink" Target="result/&#12497;&#12527;&#12503;&#12525;2020%20-%20&#25237;&#29699;&#35299;&#26512;%20-%202020-08-24%2013-09-18-03_ball.txt" TargetMode="External"/><Relationship Id="rId1531" Type="http://schemas.openxmlformats.org/officeDocument/2006/relationships/hyperlink" Target="out/&#12497;&#12527;&#12503;&#12525;2020%20-%20&#25237;&#29699;&#35299;&#26512;%20-%202020-08-23%2016-07-35-02_out.mp4" TargetMode="External"/><Relationship Id="rId1769" Type="http://schemas.openxmlformats.org/officeDocument/2006/relationships/hyperlink" Target="out/&#12497;&#12527;&#12503;&#12525;2020%20-%20&#25237;&#29699;&#35299;&#26512;%20-%202020-08-24%2012-50-30-03_out.mp4" TargetMode="External"/><Relationship Id="rId1976" Type="http://schemas.openxmlformats.org/officeDocument/2006/relationships/hyperlink" Target="result/&#12497;&#12527;&#12503;&#12525;2020%20-%20&#25237;&#29699;&#35299;&#26512;%20-%202020-08-26%2021-30-58-06_ball.txt" TargetMode="External"/><Relationship Id="rId30" Type="http://schemas.openxmlformats.org/officeDocument/2006/relationships/hyperlink" Target="result/&#12497;&#12527;&#12503;&#12525;2020%20-%20&#25237;&#29699;&#35299;&#26512;%20-%202020-08-23%2011-11-35-04_ball.txt" TargetMode="External"/><Relationship Id="rId1629" Type="http://schemas.openxmlformats.org/officeDocument/2006/relationships/hyperlink" Target="out/&#12497;&#12527;&#12503;&#12525;2020%20-%20&#25237;&#29699;&#35299;&#26512;%20-%202020-08-24%2011-25-48-09_out.mp4" TargetMode="External"/><Relationship Id="rId1836" Type="http://schemas.openxmlformats.org/officeDocument/2006/relationships/hyperlink" Target="result/&#12497;&#12527;&#12503;&#12525;2020%20-%20&#25237;&#29699;&#35299;&#26512;%20-%202020-08-24%2013-16-19-02_ball.txt" TargetMode="External"/><Relationship Id="rId1903" Type="http://schemas.openxmlformats.org/officeDocument/2006/relationships/hyperlink" Target="out/&#12497;&#12527;&#12503;&#12525;2020%20-%20&#25237;&#29699;&#35299;&#26512;%20-%202020-08-26%2021-15-29-07_out.mp4" TargetMode="External"/><Relationship Id="rId2098" Type="http://schemas.openxmlformats.org/officeDocument/2006/relationships/hyperlink" Target="result/&#12497;&#12527;&#12503;&#12525;2020%20-%20&#25237;&#29699;&#35299;&#26512;%20-%202020-08-27%2018-21-04-07_ball.txt" TargetMode="External"/><Relationship Id="rId277" Type="http://schemas.openxmlformats.org/officeDocument/2006/relationships/hyperlink" Target="out/&#12497;&#12527;&#12503;&#12525;2020%20-%20&#25237;&#29699;&#35299;&#26512;%20-%202020-08-23%2014-24-49-08_out.mp4" TargetMode="External"/><Relationship Id="rId484" Type="http://schemas.openxmlformats.org/officeDocument/2006/relationships/hyperlink" Target="result/&#12497;&#12527;&#12503;&#12525;2020%20-%20&#25237;&#29699;&#35299;&#26512;%20-%202020-08-23%2016-12-41-02_ball.txt" TargetMode="External"/><Relationship Id="rId2165" Type="http://schemas.openxmlformats.org/officeDocument/2006/relationships/hyperlink" Target="out/&#12497;&#12527;&#12503;&#12525;2020%20-%20&#25237;&#29699;&#35299;&#26512;%20-%202020-08-28%2022-31-31-01_out.mp4" TargetMode="External"/><Relationship Id="rId137" Type="http://schemas.openxmlformats.org/officeDocument/2006/relationships/hyperlink" Target="out/&#12497;&#12527;&#12503;&#12525;2020%20-%20&#25237;&#29699;&#35299;&#26512;%20-%202020-08-23%2014-04-47-08_out.mp4" TargetMode="External"/><Relationship Id="rId344" Type="http://schemas.openxmlformats.org/officeDocument/2006/relationships/hyperlink" Target="result/&#12497;&#12527;&#12503;&#12525;2020%20-%20&#25237;&#29699;&#35299;&#26512;%20-%202020-08-23%2015-49-19-01_ball.txt" TargetMode="External"/><Relationship Id="rId691" Type="http://schemas.openxmlformats.org/officeDocument/2006/relationships/hyperlink" Target="out/&#12497;&#12527;&#12503;&#12525;2020%20-%20&#25237;&#29699;&#35299;&#26512;%20-%202020-08-24%2011-24-36-07_out.mp4" TargetMode="External"/><Relationship Id="rId789" Type="http://schemas.openxmlformats.org/officeDocument/2006/relationships/hyperlink" Target="out/&#12497;&#12527;&#12503;&#12525;2020%20-%20&#25237;&#29699;&#35299;&#26512;%20-%202020-08-24%2012-06-16-07_out.mp4" TargetMode="External"/><Relationship Id="rId996" Type="http://schemas.openxmlformats.org/officeDocument/2006/relationships/hyperlink" Target="result/&#12497;&#12527;&#12503;&#12525;2020%20-%20&#25237;&#29699;&#35299;&#26512;%20-%202020-08-24%2012-33-48-04_ball.txt" TargetMode="External"/><Relationship Id="rId2025" Type="http://schemas.openxmlformats.org/officeDocument/2006/relationships/hyperlink" Target="out/&#12497;&#12527;&#12503;&#12525;2020%20-%20&#25237;&#29699;&#35299;&#26512;%20-%202020-08-27%2018-16-14-01_out.mp4" TargetMode="External"/><Relationship Id="rId2372" Type="http://schemas.openxmlformats.org/officeDocument/2006/relationships/hyperlink" Target="result/&#12497;&#12527;&#12503;&#12525;2020%20-%20&#25237;&#29699;&#35299;&#26512;%20-%202020-08-29%2009-46-05-05_ball.txt" TargetMode="External"/><Relationship Id="rId2677" Type="http://schemas.openxmlformats.org/officeDocument/2006/relationships/hyperlink" Target="out/&#12497;&#12527;&#12503;&#12525;2020%20-%20&#25237;&#29699;&#35299;&#26512;%20-%202020-08-29%2015-57-36-07_out.mp4" TargetMode="External"/><Relationship Id="rId551" Type="http://schemas.openxmlformats.org/officeDocument/2006/relationships/hyperlink" Target="out/&#12497;&#12527;&#12503;&#12525;2020%20-%20&#25237;&#29699;&#35299;&#26512;%20-%202020-08-23%2016-25-48-06_out.mp4" TargetMode="External"/><Relationship Id="rId649" Type="http://schemas.openxmlformats.org/officeDocument/2006/relationships/hyperlink" Target="out/&#12497;&#12527;&#12503;&#12525;2020%20-%20&#25237;&#29699;&#35299;&#26512;%20-%202020-08-23%2016-33-27-05_out.mp4" TargetMode="External"/><Relationship Id="rId856" Type="http://schemas.openxmlformats.org/officeDocument/2006/relationships/hyperlink" Target="result/&#12497;&#12527;&#12503;&#12525;2020%20-%20&#25237;&#29699;&#35299;&#26512;%20-%202020-08-24%2012-10-03-08_ball.txt" TargetMode="External"/><Relationship Id="rId1181" Type="http://schemas.openxmlformats.org/officeDocument/2006/relationships/hyperlink" Target="out/&#12497;&#12527;&#12503;&#12525;2020%20-%20&#25237;&#29699;&#35299;&#26512;%20-%202020-08-24%2012-52-05-01_out.mp4" TargetMode="External"/><Relationship Id="rId1279" Type="http://schemas.openxmlformats.org/officeDocument/2006/relationships/hyperlink" Target="out/&#12497;&#12527;&#12503;&#12525;2020%20-%20&#25237;&#29699;&#35299;&#26512;%20-%202020-08-24%2013-03-51-01_out.mp4" TargetMode="External"/><Relationship Id="rId1486" Type="http://schemas.openxmlformats.org/officeDocument/2006/relationships/hyperlink" Target="result/&#12497;&#12527;&#12503;&#12525;2020%20-%20&#25237;&#29699;&#35299;&#26512;%20-%202020-08-23%2015-53-39-09_ball.txt" TargetMode="External"/><Relationship Id="rId2232" Type="http://schemas.openxmlformats.org/officeDocument/2006/relationships/hyperlink" Target="result/&#12497;&#12527;&#12503;&#12525;2020%20-%20&#25237;&#29699;&#35299;&#26512;%20-%202020-08-28%2022-36-12-04_ball.txt" TargetMode="External"/><Relationship Id="rId2537" Type="http://schemas.openxmlformats.org/officeDocument/2006/relationships/hyperlink" Target="out/&#12497;&#12527;&#12503;&#12525;2020%20-%20&#25237;&#29699;&#35299;&#26512;%20-%202020-08-29%2015-49-13-07_out.mp4" TargetMode="External"/><Relationship Id="rId204" Type="http://schemas.openxmlformats.org/officeDocument/2006/relationships/hyperlink" Target="result/&#12497;&#12527;&#12503;&#12525;2020%20-%20&#25237;&#29699;&#35299;&#26512;%20-%202020-08-23%2014-19-33-01_ball.txt" TargetMode="External"/><Relationship Id="rId411" Type="http://schemas.openxmlformats.org/officeDocument/2006/relationships/hyperlink" Target="out/&#12497;&#12527;&#12503;&#12525;2020%20-%20&#25237;&#29699;&#35299;&#26512;%20-%202020-08-23%2016-03-31-06_out.mp4" TargetMode="External"/><Relationship Id="rId509" Type="http://schemas.openxmlformats.org/officeDocument/2006/relationships/hyperlink" Target="out/&#12497;&#12527;&#12503;&#12525;2020%20-%20&#25237;&#29699;&#35299;&#26512;%20-%202020-08-23%2016-13-55-05_out.mp4" TargetMode="External"/><Relationship Id="rId1041" Type="http://schemas.openxmlformats.org/officeDocument/2006/relationships/hyperlink" Target="out/&#12497;&#12527;&#12503;&#12525;2020%20-%20&#25237;&#29699;&#35299;&#26512;%20-%202020-08-24%2012-38-24-06_out.mp4" TargetMode="External"/><Relationship Id="rId1139" Type="http://schemas.openxmlformats.org/officeDocument/2006/relationships/hyperlink" Target="out/&#12497;&#12527;&#12503;&#12525;2020%20-%20&#25237;&#29699;&#35299;&#26512;%20-%202020-08-24%2012-46-03-15_out.mp4" TargetMode="External"/><Relationship Id="rId1346" Type="http://schemas.openxmlformats.org/officeDocument/2006/relationships/hyperlink" Target="result/&#12497;&#12527;&#12503;&#12525;2020%20-%20&#25237;&#29699;&#35299;&#26512;%20-%202020-08-24%2013-14-19-01_ball.txt" TargetMode="External"/><Relationship Id="rId1693" Type="http://schemas.openxmlformats.org/officeDocument/2006/relationships/hyperlink" Target="out/&#12497;&#12527;&#12503;&#12525;2020%20-%20&#25237;&#29699;&#35299;&#26512;%20-%202020-08-24%2012-24-03-01_out.mp4" TargetMode="External"/><Relationship Id="rId1998" Type="http://schemas.openxmlformats.org/officeDocument/2006/relationships/hyperlink" Target="result/&#12497;&#12527;&#12503;&#12525;2020%20-%20&#25237;&#29699;&#35299;&#26512;%20-%202020-08-26%2021-35-18-07_ball.txt" TargetMode="External"/><Relationship Id="rId2744" Type="http://schemas.openxmlformats.org/officeDocument/2006/relationships/hyperlink" Target="result/&#12497;&#12527;&#12503;&#12525;2020%20-%20&#25237;&#29699;&#35299;&#26512;%20-%202020-08-29%2016-06-51-00_ball.txt" TargetMode="External"/><Relationship Id="rId716" Type="http://schemas.openxmlformats.org/officeDocument/2006/relationships/hyperlink" Target="result/&#12497;&#12527;&#12503;&#12525;2020%20-%20&#25237;&#29699;&#35299;&#26512;%20-%202020-08-24%2012-00-01-07_ball.txt" TargetMode="External"/><Relationship Id="rId923" Type="http://schemas.openxmlformats.org/officeDocument/2006/relationships/hyperlink" Target="out/&#12497;&#12527;&#12503;&#12525;2020%20-%20&#25237;&#29699;&#35299;&#26512;%20-%202020-08-24%2012-24-03-07_out.mp4" TargetMode="External"/><Relationship Id="rId1553" Type="http://schemas.openxmlformats.org/officeDocument/2006/relationships/hyperlink" Target="out/&#12497;&#12527;&#12503;&#12525;2020%20-%20&#25237;&#29699;&#35299;&#26512;%20-%202020-08-23%2016-11-33-03_out.mp4" TargetMode="External"/><Relationship Id="rId1760" Type="http://schemas.openxmlformats.org/officeDocument/2006/relationships/hyperlink" Target="result/&#12497;&#12527;&#12503;&#12525;2020%20-%20&#25237;&#29699;&#35299;&#26512;%20-%202020-08-24%2012-49-17-05_ball.txt" TargetMode="External"/><Relationship Id="rId1858" Type="http://schemas.openxmlformats.org/officeDocument/2006/relationships/hyperlink" Target="result/&#12497;&#12527;&#12503;&#12525;2020%20-%20&#25237;&#29699;&#35299;&#26512;%20-%202020-08-24%2013-17-56-04_ball.txt" TargetMode="External"/><Relationship Id="rId2604" Type="http://schemas.openxmlformats.org/officeDocument/2006/relationships/hyperlink" Target="result/&#12497;&#12527;&#12503;&#12525;2020%20-%20&#25237;&#29699;&#35299;&#26512;%20-%202020-08-29%2015-53-40-00_ball.txt" TargetMode="External"/><Relationship Id="rId52" Type="http://schemas.openxmlformats.org/officeDocument/2006/relationships/hyperlink" Target="result/&#12497;&#12527;&#12503;&#12525;2020%20-%20&#25237;&#29699;&#35299;&#26512;%20-%202020-08-23%2011-12-45-05_ball.txt" TargetMode="External"/><Relationship Id="rId1206" Type="http://schemas.openxmlformats.org/officeDocument/2006/relationships/hyperlink" Target="result/&#12497;&#12527;&#12503;&#12525;2020%20-%20&#25237;&#29699;&#35299;&#26512;%20-%202020-08-24%2012-53-43-03_ball.txt" TargetMode="External"/><Relationship Id="rId1413" Type="http://schemas.openxmlformats.org/officeDocument/2006/relationships/hyperlink" Target="out/&#12497;&#12527;&#12503;&#12525;2020%20-%20&#25237;&#29699;&#35299;&#26512;%20-%202020-08-23%2014-22-38-02_out.mp4" TargetMode="External"/><Relationship Id="rId1620" Type="http://schemas.openxmlformats.org/officeDocument/2006/relationships/hyperlink" Target="result/&#12497;&#12527;&#12503;&#12525;2020%20-%20&#25237;&#29699;&#35299;&#26512;%20-%202020-08-24%2011-22-14-04_ball.txt" TargetMode="External"/><Relationship Id="rId1718" Type="http://schemas.openxmlformats.org/officeDocument/2006/relationships/hyperlink" Target="result/&#12497;&#12527;&#12503;&#12525;2020%20-%20&#25237;&#29699;&#35299;&#26512;%20-%202020-08-24%2012-32-08-00_ball.txt" TargetMode="External"/><Relationship Id="rId1925" Type="http://schemas.openxmlformats.org/officeDocument/2006/relationships/hyperlink" Target="out/&#12497;&#12527;&#12503;&#12525;2020%20-%20&#25237;&#29699;&#35299;&#26512;%20-%202020-08-26%2021-19-02-01_out.mp4" TargetMode="External"/><Relationship Id="rId299" Type="http://schemas.openxmlformats.org/officeDocument/2006/relationships/hyperlink" Target="out/&#12497;&#12527;&#12503;&#12525;2020%20-%20&#25237;&#29699;&#35299;&#26512;%20-%202020-08-23%2014-25-58-09_out.mp4" TargetMode="External"/><Relationship Id="rId2187" Type="http://schemas.openxmlformats.org/officeDocument/2006/relationships/hyperlink" Target="out/&#12497;&#12527;&#12503;&#12525;2020%20-%20&#25237;&#29699;&#35299;&#26512;%20-%202020-08-28%2022-33-04-02_out.mp4" TargetMode="External"/><Relationship Id="rId2394" Type="http://schemas.openxmlformats.org/officeDocument/2006/relationships/hyperlink" Target="result/&#12497;&#12527;&#12503;&#12525;2020%20-%20&#25237;&#29699;&#35299;&#26512;%20-%202020-08-29%2009-48-04-06_ball.txt" TargetMode="External"/><Relationship Id="rId159" Type="http://schemas.openxmlformats.org/officeDocument/2006/relationships/hyperlink" Target="out/&#12497;&#12527;&#12503;&#12525;2020%20-%20&#25237;&#29699;&#35299;&#26512;%20-%202020-08-23%2014-05-50-09_out.mp4" TargetMode="External"/><Relationship Id="rId366" Type="http://schemas.openxmlformats.org/officeDocument/2006/relationships/hyperlink" Target="result/&#12497;&#12527;&#12503;&#12525;2020%20-%20&#25237;&#29699;&#35299;&#26512;%20-%202020-08-23%2015-52-13-02_ball.txt" TargetMode="External"/><Relationship Id="rId573" Type="http://schemas.openxmlformats.org/officeDocument/2006/relationships/hyperlink" Target="out/&#12497;&#12527;&#12503;&#12525;2020%20-%20&#25237;&#29699;&#35299;&#26512;%20-%202020-08-23%2016-26-58-07_out.mp4" TargetMode="External"/><Relationship Id="rId780" Type="http://schemas.openxmlformats.org/officeDocument/2006/relationships/hyperlink" Target="result/&#12497;&#12527;&#12503;&#12525;2020%20-%20&#25237;&#29699;&#35299;&#26512;%20-%202020-08-24%2012-04-51-02_ball.txt" TargetMode="External"/><Relationship Id="rId2047" Type="http://schemas.openxmlformats.org/officeDocument/2006/relationships/hyperlink" Target="out/&#12497;&#12527;&#12503;&#12525;2020%20-%20&#25237;&#29699;&#35299;&#26512;%20-%202020-08-27%2018-17-46-02_out.mp4" TargetMode="External"/><Relationship Id="rId2254" Type="http://schemas.openxmlformats.org/officeDocument/2006/relationships/hyperlink" Target="result/&#12497;&#12527;&#12503;&#12525;2020%20-%20&#25237;&#29699;&#35299;&#26512;%20-%202020-08-28%2022-37-55-05_ball.txt" TargetMode="External"/><Relationship Id="rId2461" Type="http://schemas.openxmlformats.org/officeDocument/2006/relationships/hyperlink" Target="out/&#12497;&#12527;&#12503;&#12525;2020%20-%20&#25237;&#29699;&#35299;&#26512;%20-%202020-08-29%2015-44-12-10_out.mp4" TargetMode="External"/><Relationship Id="rId2699" Type="http://schemas.openxmlformats.org/officeDocument/2006/relationships/hyperlink" Target="out/&#12497;&#12527;&#12503;&#12525;2020%20-%20&#25237;&#29699;&#35299;&#26512;%20-%202020-08-29%2015-58-43-08_out.mp4" TargetMode="External"/><Relationship Id="rId226" Type="http://schemas.openxmlformats.org/officeDocument/2006/relationships/hyperlink" Target="result/&#12497;&#12527;&#12503;&#12525;2020%20-%20&#25237;&#29699;&#35299;&#26512;%20-%202020-08-23%2014-21-04-02_ball.txt" TargetMode="External"/><Relationship Id="rId433" Type="http://schemas.openxmlformats.org/officeDocument/2006/relationships/hyperlink" Target="out/&#12497;&#12527;&#12503;&#12525;2020%20-%20&#25237;&#29699;&#35299;&#26512;%20-%202020-08-23%2016-06-08-07_out.mp4" TargetMode="External"/><Relationship Id="rId878" Type="http://schemas.openxmlformats.org/officeDocument/2006/relationships/hyperlink" Target="result/&#12497;&#12527;&#12503;&#12525;2020%20-%20&#25237;&#29699;&#35299;&#26512;%20-%202020-08-24%2012-12-56-05_ball.txt" TargetMode="External"/><Relationship Id="rId1063" Type="http://schemas.openxmlformats.org/officeDocument/2006/relationships/hyperlink" Target="out/&#12497;&#12527;&#12503;&#12525;2020%20-%20&#25237;&#29699;&#35299;&#26512;%20-%202020-08-24%2012-39-57-07_out.mp4" TargetMode="External"/><Relationship Id="rId1270" Type="http://schemas.openxmlformats.org/officeDocument/2006/relationships/hyperlink" Target="result/&#12497;&#12527;&#12503;&#12525;2020%20-%20&#25237;&#29699;&#35299;&#26512;%20-%202020-08-24%2013-02-04-06_ball.txt" TargetMode="External"/><Relationship Id="rId2114" Type="http://schemas.openxmlformats.org/officeDocument/2006/relationships/hyperlink" Target="result/&#12497;&#12527;&#12503;&#12525;2020%20-%20&#25237;&#29699;&#35299;&#26512;%20-%202020-08-27%2018-22-42-05_ball.txt" TargetMode="External"/><Relationship Id="rId2559" Type="http://schemas.openxmlformats.org/officeDocument/2006/relationships/hyperlink" Target="out/&#12497;&#12527;&#12503;&#12525;2020%20-%20&#25237;&#29699;&#35299;&#26512;%20-%202020-08-29%2015-50-19-08_out.mp4" TargetMode="External"/><Relationship Id="rId2766" Type="http://schemas.openxmlformats.org/officeDocument/2006/relationships/hyperlink" Target="result/&#25237;&#29699;&#35299;&#26512;%20-%20&#12497;&#12527;&#12503;&#12525;2020%20-%202020-09-08%2023-37-52-01_ball.txt" TargetMode="External"/><Relationship Id="rId640" Type="http://schemas.openxmlformats.org/officeDocument/2006/relationships/hyperlink" Target="result/&#12497;&#12527;&#12503;&#12525;2020%20-%20&#25237;&#29699;&#35299;&#26512;%20-%202020-08-23%2016-33-27-00_ball.txt" TargetMode="External"/><Relationship Id="rId738" Type="http://schemas.openxmlformats.org/officeDocument/2006/relationships/hyperlink" Target="result/&#12497;&#12527;&#12503;&#12525;2020%20-%20&#25237;&#29699;&#35299;&#26512;%20-%202020-08-24%2012-02-12-01_ball.txt" TargetMode="External"/><Relationship Id="rId945" Type="http://schemas.openxmlformats.org/officeDocument/2006/relationships/hyperlink" Target="out/&#12497;&#12527;&#12503;&#12525;2020%20-%20&#25237;&#29699;&#35299;&#26512;%20-%202020-08-24%2012-25-33-08_out.mp4" TargetMode="External"/><Relationship Id="rId1368" Type="http://schemas.openxmlformats.org/officeDocument/2006/relationships/hyperlink" Target="result/&#12497;&#12527;&#12503;&#12525;2020%20-%20&#25237;&#29699;&#35299;&#26512;%20-%202020-08-23%2011-08-57-09_ball.txt" TargetMode="External"/><Relationship Id="rId1575" Type="http://schemas.openxmlformats.org/officeDocument/2006/relationships/hyperlink" Target="out/&#12497;&#12527;&#12503;&#12525;2020%20-%20&#25237;&#29699;&#35299;&#26512;%20-%202020-08-23%2016-24-41-04_out.mp4" TargetMode="External"/><Relationship Id="rId1782" Type="http://schemas.openxmlformats.org/officeDocument/2006/relationships/hyperlink" Target="result/&#12497;&#12527;&#12503;&#12525;2020%20-%20&#25237;&#29699;&#35299;&#26512;%20-%202020-08-24%2012-55-39-08_ball.txt" TargetMode="External"/><Relationship Id="rId2321" Type="http://schemas.openxmlformats.org/officeDocument/2006/relationships/hyperlink" Target="out/&#12497;&#12527;&#12503;&#12525;2020%20-%20&#25237;&#29699;&#35299;&#26512;%20-%202020-08-29%2009-41-06-09_out.mp4" TargetMode="External"/><Relationship Id="rId2419" Type="http://schemas.openxmlformats.org/officeDocument/2006/relationships/hyperlink" Target="out/&#12497;&#12527;&#12503;&#12525;2020%20-%20&#25237;&#29699;&#35299;&#26512;%20-%202020-08-29%2009-49-52-09_out.mp4" TargetMode="External"/><Relationship Id="rId2626" Type="http://schemas.openxmlformats.org/officeDocument/2006/relationships/hyperlink" Target="result/&#12497;&#12527;&#12503;&#12525;2020%20-%20&#25237;&#29699;&#35299;&#26512;%20-%202020-08-29%2015-55-24-01_ball.txt" TargetMode="External"/><Relationship Id="rId74" Type="http://schemas.openxmlformats.org/officeDocument/2006/relationships/hyperlink" Target="result/&#12497;&#12527;&#12503;&#12525;2020%20-%20&#25237;&#29699;&#35299;&#26512;%20-%202020-08-23%2011-13-59-06_ball.txt" TargetMode="External"/><Relationship Id="rId500" Type="http://schemas.openxmlformats.org/officeDocument/2006/relationships/hyperlink" Target="result/&#12497;&#12527;&#12503;&#12525;2020%20-%20&#25237;&#29699;&#35299;&#26512;%20-%202020-08-23%2016-13-55-00_ball.txt" TargetMode="External"/><Relationship Id="rId805" Type="http://schemas.openxmlformats.org/officeDocument/2006/relationships/hyperlink" Target="out/&#12497;&#12527;&#12503;&#12525;2020%20-%20&#25237;&#29699;&#35299;&#26512;%20-%202020-08-24%2012-07-26-05_out.mp4" TargetMode="External"/><Relationship Id="rId1130" Type="http://schemas.openxmlformats.org/officeDocument/2006/relationships/hyperlink" Target="result/&#12497;&#12527;&#12503;&#12525;2020%20-%20&#25237;&#29699;&#35299;&#26512;%20-%202020-08-24%2012-46-03-07_ball.txt" TargetMode="External"/><Relationship Id="rId1228" Type="http://schemas.openxmlformats.org/officeDocument/2006/relationships/hyperlink" Target="result/&#12497;&#12527;&#12503;&#12525;2020%20-%20&#25237;&#29699;&#35299;&#26512;%20-%202020-08-24%2012-55-39-04_ball.txt" TargetMode="External"/><Relationship Id="rId1435" Type="http://schemas.openxmlformats.org/officeDocument/2006/relationships/hyperlink" Target="out/&#12497;&#12527;&#12503;&#12525;2020%20-%20&#25237;&#29699;&#35299;&#26512;%20-%202020-08-23%2015-47-01-04_out.mp4" TargetMode="External"/><Relationship Id="rId1642" Type="http://schemas.openxmlformats.org/officeDocument/2006/relationships/hyperlink" Target="result/&#12497;&#12527;&#12503;&#12525;2020%20-%20&#25237;&#29699;&#35299;&#26512;%20-%202020-08-24%2012-00-01-05_ball.txt" TargetMode="External"/><Relationship Id="rId1947" Type="http://schemas.openxmlformats.org/officeDocument/2006/relationships/hyperlink" Target="out/&#12497;&#12527;&#12503;&#12525;2020%20-%20&#25237;&#29699;&#35299;&#26512;%20-%202020-08-26%2021-20-35-02_out.mp4" TargetMode="External"/><Relationship Id="rId1502" Type="http://schemas.openxmlformats.org/officeDocument/2006/relationships/hyperlink" Target="result/&#12497;&#12527;&#12503;&#12525;2020%20-%20&#25237;&#29699;&#35299;&#26512;%20-%202020-08-23%2015-56-09-07_ball.txt" TargetMode="External"/><Relationship Id="rId1807" Type="http://schemas.openxmlformats.org/officeDocument/2006/relationships/hyperlink" Target="out/&#12497;&#12527;&#12503;&#12525;2020%20-%20&#25237;&#29699;&#35299;&#26512;%20-%202020-08-24%2013-05-36-02_out.mp4" TargetMode="External"/><Relationship Id="rId290" Type="http://schemas.openxmlformats.org/officeDocument/2006/relationships/hyperlink" Target="result/&#12497;&#12527;&#12503;&#12525;2020%20-%20&#25237;&#29699;&#35299;&#26512;%20-%202020-08-23%2014-25-58-04_ball.txt" TargetMode="External"/><Relationship Id="rId388" Type="http://schemas.openxmlformats.org/officeDocument/2006/relationships/hyperlink" Target="result/&#12497;&#12527;&#12503;&#12525;2020%20-%20&#25237;&#29699;&#35299;&#26512;%20-%202020-08-23%2015-54-48-03_ball.txt" TargetMode="External"/><Relationship Id="rId2069" Type="http://schemas.openxmlformats.org/officeDocument/2006/relationships/hyperlink" Target="out/&#12497;&#12527;&#12503;&#12525;2020%20-%20&#25237;&#29699;&#35299;&#26512;%20-%202020-08-27%2018-19-19-03_out.mp4" TargetMode="External"/><Relationship Id="rId150" Type="http://schemas.openxmlformats.org/officeDocument/2006/relationships/hyperlink" Target="result/&#12497;&#12527;&#12503;&#12525;2020%20-%20&#25237;&#29699;&#35299;&#26512;%20-%202020-08-23%2014-05-50-04_ball.txt" TargetMode="External"/><Relationship Id="rId595" Type="http://schemas.openxmlformats.org/officeDocument/2006/relationships/hyperlink" Target="out/&#12497;&#12527;&#12503;&#12525;2020%20-%20&#25237;&#29699;&#35299;&#26512;%20-%202020-08-23%2016-28-07-08_out.mp4" TargetMode="External"/><Relationship Id="rId2276" Type="http://schemas.openxmlformats.org/officeDocument/2006/relationships/hyperlink" Target="result/&#12497;&#12527;&#12503;&#12525;2020%20-%20&#25237;&#29699;&#35299;&#26512;%20-%202020-08-29%2009-37-40-06_ball.txt" TargetMode="External"/><Relationship Id="rId2483" Type="http://schemas.openxmlformats.org/officeDocument/2006/relationships/hyperlink" Target="out/&#12497;&#12527;&#12503;&#12525;2020%20-%20&#25237;&#29699;&#35299;&#26512;%20-%202020-08-29%2015-46-34-00_out.mp4" TargetMode="External"/><Relationship Id="rId2690" Type="http://schemas.openxmlformats.org/officeDocument/2006/relationships/hyperlink" Target="result/&#12497;&#12527;&#12503;&#12525;2020%20-%20&#25237;&#29699;&#35299;&#26512;%20-%202020-08-29%2015-58-43-03_ball.txt" TargetMode="External"/><Relationship Id="rId248" Type="http://schemas.openxmlformats.org/officeDocument/2006/relationships/hyperlink" Target="result/&#12497;&#12527;&#12503;&#12525;2020%20-%20&#25237;&#29699;&#35299;&#26512;%20-%202020-08-23%2014-23-42-03_ball.txt" TargetMode="External"/><Relationship Id="rId455" Type="http://schemas.openxmlformats.org/officeDocument/2006/relationships/hyperlink" Target="out/&#12497;&#12527;&#12503;&#12525;2020%20-%20&#25237;&#29699;&#35299;&#26512;%20-%202020-08-23%2016-08-46-08_out.mp4" TargetMode="External"/><Relationship Id="rId662" Type="http://schemas.openxmlformats.org/officeDocument/2006/relationships/hyperlink" Target="result/&#12497;&#12527;&#12503;&#12525;2020%20-%20&#25237;&#29699;&#35299;&#26512;%20-%202020-08-24%2011-23-23-02_ball.txt" TargetMode="External"/><Relationship Id="rId1085" Type="http://schemas.openxmlformats.org/officeDocument/2006/relationships/hyperlink" Target="out/&#12497;&#12527;&#12503;&#12525;2020%20-%20&#25237;&#29699;&#35299;&#26512;%20-%202020-08-24%2012-41-25-08_out.mp4" TargetMode="External"/><Relationship Id="rId1292" Type="http://schemas.openxmlformats.org/officeDocument/2006/relationships/hyperlink" Target="result/&#12497;&#12527;&#12503;&#12525;2020%20-%20&#25237;&#29699;&#35299;&#26512;%20-%202020-08-24%2013-05-36-07_ball.txt" TargetMode="External"/><Relationship Id="rId2136" Type="http://schemas.openxmlformats.org/officeDocument/2006/relationships/hyperlink" Target="result/&#12497;&#12527;&#12503;&#12525;2020%20-%20&#25237;&#29699;&#35299;&#26512;%20-%202020-08-27%2018-24-30-06_ball.txt" TargetMode="External"/><Relationship Id="rId2343" Type="http://schemas.openxmlformats.org/officeDocument/2006/relationships/hyperlink" Target="out/&#12497;&#12527;&#12503;&#12525;2020%20-%20&#25237;&#29699;&#35299;&#26512;%20-%202020-08-29%2009-44-23-01_out.mp4" TargetMode="External"/><Relationship Id="rId2550" Type="http://schemas.openxmlformats.org/officeDocument/2006/relationships/hyperlink" Target="result/&#12497;&#12527;&#12503;&#12525;2020%20-%20&#25237;&#29699;&#35299;&#26512;%20-%202020-08-29%2015-50-19-03_ball.txt" TargetMode="External"/><Relationship Id="rId2788" Type="http://schemas.openxmlformats.org/officeDocument/2006/relationships/hyperlink" Target="result/&#25237;&#29699;&#35299;&#26512;%20-%20&#12497;&#12527;&#12503;&#12525;2020%20-%202020-09-08%2023-39-02-02_ball.txt" TargetMode="External"/><Relationship Id="rId108" Type="http://schemas.openxmlformats.org/officeDocument/2006/relationships/hyperlink" Target="result/&#12497;&#12527;&#12503;&#12525;2020%20-%20&#25237;&#29699;&#35299;&#26512;%20-%202020-08-23%2011-16-20-03_ball.txt" TargetMode="External"/><Relationship Id="rId315" Type="http://schemas.openxmlformats.org/officeDocument/2006/relationships/hyperlink" Target="out/&#12497;&#12527;&#12503;&#12525;2020%20-%20&#25237;&#29699;&#35299;&#26512;%20-%202020-08-23%2014-27-07-07_out.mp4" TargetMode="External"/><Relationship Id="rId522" Type="http://schemas.openxmlformats.org/officeDocument/2006/relationships/hyperlink" Target="result/&#12497;&#12527;&#12503;&#12525;2020%20-%20&#25237;&#29699;&#35299;&#26512;%20-%202020-08-23%2016-15-07-01_ball.txt" TargetMode="External"/><Relationship Id="rId967" Type="http://schemas.openxmlformats.org/officeDocument/2006/relationships/hyperlink" Target="out/&#12497;&#12527;&#12503;&#12525;2020%20-%20&#25237;&#29699;&#35299;&#26512;%20-%202020-08-24%2012-28-05-00_out.mp4" TargetMode="External"/><Relationship Id="rId1152" Type="http://schemas.openxmlformats.org/officeDocument/2006/relationships/hyperlink" Target="result/&#12497;&#12527;&#12503;&#12525;2020%20-%20&#25237;&#29699;&#35299;&#26512;%20-%202020-08-24%2012-47-45-03_ball.txt" TargetMode="External"/><Relationship Id="rId1597" Type="http://schemas.openxmlformats.org/officeDocument/2006/relationships/hyperlink" Target="out/&#12497;&#12527;&#12503;&#12525;2020%20-%20&#25237;&#29699;&#35299;&#26512;%20-%202020-08-23%2016-29-37-04_out.mp4" TargetMode="External"/><Relationship Id="rId2203" Type="http://schemas.openxmlformats.org/officeDocument/2006/relationships/hyperlink" Target="out/&#12497;&#12527;&#12503;&#12525;2020%20-%20&#25237;&#29699;&#35299;&#26512;%20-%202020-08-28%2022-34-32-00_out.mp4" TargetMode="External"/><Relationship Id="rId2410" Type="http://schemas.openxmlformats.org/officeDocument/2006/relationships/hyperlink" Target="result/&#12497;&#12527;&#12503;&#12525;2020%20-%20&#25237;&#29699;&#35299;&#26512;%20-%202020-08-29%2009-49-52-04_ball.txt" TargetMode="External"/><Relationship Id="rId2648" Type="http://schemas.openxmlformats.org/officeDocument/2006/relationships/hyperlink" Target="result/&#12497;&#12527;&#12503;&#12525;2020%20-%20&#25237;&#29699;&#35299;&#26512;%20-%202020-08-29%2015-56-35-02_ball.txt" TargetMode="External"/><Relationship Id="rId96" Type="http://schemas.openxmlformats.org/officeDocument/2006/relationships/hyperlink" Target="result/&#12497;&#12527;&#12503;&#12525;2020%20-%20&#25237;&#29699;&#35299;&#26512;%20-%202020-08-23%2011-15-09-07_ball.txt" TargetMode="External"/><Relationship Id="rId827" Type="http://schemas.openxmlformats.org/officeDocument/2006/relationships/hyperlink" Target="out/&#12497;&#12527;&#12503;&#12525;2020%20-%20&#25237;&#29699;&#35299;&#26512;%20-%202020-08-24%2012-08-41-06_out.mp4" TargetMode="External"/><Relationship Id="rId1012" Type="http://schemas.openxmlformats.org/officeDocument/2006/relationships/hyperlink" Target="result/&#12497;&#12527;&#12503;&#12525;2020%20-%20&#25237;&#29699;&#35299;&#26512;%20-%202020-08-24%2012-35-33-02_ball.txt" TargetMode="External"/><Relationship Id="rId1457" Type="http://schemas.openxmlformats.org/officeDocument/2006/relationships/hyperlink" Target="out/&#12497;&#12527;&#12503;&#12525;2020%20-%20&#25237;&#29699;&#35299;&#26512;%20-%202020-08-23%2015-51-08-05_out.mp4" TargetMode="External"/><Relationship Id="rId1664" Type="http://schemas.openxmlformats.org/officeDocument/2006/relationships/hyperlink" Target="result/&#12497;&#12527;&#12503;&#12525;2020%20-%20&#25237;&#29699;&#35299;&#26512;%20-%202020-08-24%2012-11-18-02_ball.txt" TargetMode="External"/><Relationship Id="rId1871" Type="http://schemas.openxmlformats.org/officeDocument/2006/relationships/hyperlink" Target="out/&#12497;&#12527;&#12503;&#12525;2020%20-%20&#25237;&#29699;&#35299;&#26512;%20-%202020-08-24%2013-20-06-01_out.mp4" TargetMode="External"/><Relationship Id="rId2508" Type="http://schemas.openxmlformats.org/officeDocument/2006/relationships/hyperlink" Target="result/&#12497;&#12527;&#12503;&#12525;2020%20-%20&#25237;&#29699;&#35299;&#26512;%20-%202020-08-29%2015-48-09-02_ball.txt" TargetMode="External"/><Relationship Id="rId2715" Type="http://schemas.openxmlformats.org/officeDocument/2006/relationships/hyperlink" Target="out/&#12497;&#12527;&#12503;&#12525;2020%20-%20&#25237;&#29699;&#35299;&#26512;%20-%202020-08-29%2016-00-15-06_out.mp4" TargetMode="External"/><Relationship Id="rId1317" Type="http://schemas.openxmlformats.org/officeDocument/2006/relationships/hyperlink" Target="out/&#12497;&#12527;&#12503;&#12525;2020%20-%20&#25237;&#29699;&#35299;&#26512;%20-%202020-08-24%2013-09-18-00_out.mp4" TargetMode="External"/><Relationship Id="rId1524" Type="http://schemas.openxmlformats.org/officeDocument/2006/relationships/hyperlink" Target="result/&#12497;&#12527;&#12503;&#12525;2020%20-%20&#25237;&#29699;&#35299;&#26512;%20-%202020-08-23%2016-04-57-08_ball.txt" TargetMode="External"/><Relationship Id="rId1731" Type="http://schemas.openxmlformats.org/officeDocument/2006/relationships/hyperlink" Target="out/&#12497;&#12527;&#12503;&#12525;2020%20-%20&#25237;&#29699;&#35299;&#26512;%20-%202020-08-24%2012-36-56-03_out.mp4" TargetMode="External"/><Relationship Id="rId1969" Type="http://schemas.openxmlformats.org/officeDocument/2006/relationships/hyperlink" Target="out/&#12497;&#12527;&#12503;&#12525;2020%20-%20&#25237;&#29699;&#35299;&#26512;%20-%202020-08-26%2021-30-58-03_out.mp4" TargetMode="External"/><Relationship Id="rId23" Type="http://schemas.openxmlformats.org/officeDocument/2006/relationships/hyperlink" Target="out/&#12497;&#12527;&#12503;&#12525;2020%20-%20&#25237;&#29699;&#35299;&#26512;%20-%202020-08-23%2011-11-35-01_out.mp4" TargetMode="External"/><Relationship Id="rId1829" Type="http://schemas.openxmlformats.org/officeDocument/2006/relationships/hyperlink" Target="out/&#12497;&#12527;&#12503;&#12525;2020%20-%20&#25237;&#29699;&#35299;&#26512;%20-%202020-08-24%2013-14-19-09_out.mp4" TargetMode="External"/><Relationship Id="rId2298" Type="http://schemas.openxmlformats.org/officeDocument/2006/relationships/hyperlink" Target="result/&#12497;&#12527;&#12503;&#12525;2020%20-%20&#25237;&#29699;&#35299;&#26512;%20-%202020-08-29%2009-39-15-07_ball.txt" TargetMode="External"/><Relationship Id="rId172" Type="http://schemas.openxmlformats.org/officeDocument/2006/relationships/hyperlink" Target="result/&#12497;&#12527;&#12503;&#12525;2020%20-%20&#25237;&#29699;&#35299;&#26512;%20-%202020-08-23%2014-06-56-05_ball.txt" TargetMode="External"/><Relationship Id="rId477" Type="http://schemas.openxmlformats.org/officeDocument/2006/relationships/hyperlink" Target="out/&#12497;&#12527;&#12503;&#12525;2020%20-%20&#25237;&#29699;&#35299;&#26512;%20-%202020-08-23%2016-09-58-09_out.mp4" TargetMode="External"/><Relationship Id="rId684" Type="http://schemas.openxmlformats.org/officeDocument/2006/relationships/hyperlink" Target="result/&#12497;&#12527;&#12503;&#12525;2020%20-%20&#25237;&#29699;&#35299;&#26512;%20-%202020-08-24%2011-24-36-03_ball.txt" TargetMode="External"/><Relationship Id="rId2060" Type="http://schemas.openxmlformats.org/officeDocument/2006/relationships/hyperlink" Target="result/&#12497;&#12527;&#12503;&#12525;2020%20-%20&#25237;&#29699;&#35299;&#26512;%20-%202020-08-27%2018-17-46-08_ball.txt" TargetMode="External"/><Relationship Id="rId2158" Type="http://schemas.openxmlformats.org/officeDocument/2006/relationships/hyperlink" Target="result/&#12497;&#12527;&#12503;&#12525;2020%20-%20&#25237;&#29699;&#35299;&#26512;%20-%202020-08-27%2018-26-47-07_ball.txt" TargetMode="External"/><Relationship Id="rId2365" Type="http://schemas.openxmlformats.org/officeDocument/2006/relationships/hyperlink" Target="out/&#12497;&#12527;&#12503;&#12525;2020%20-%20&#25237;&#29699;&#35299;&#26512;%20-%202020-08-29%2009-46-05-02_out.mp4" TargetMode="External"/><Relationship Id="rId337" Type="http://schemas.openxmlformats.org/officeDocument/2006/relationships/hyperlink" Target="out/&#12497;&#12527;&#12503;&#12525;2020%20-%20&#25237;&#29699;&#35299;&#26512;%20-%202020-08-23%2015-48-07-08_out.mp4" TargetMode="External"/><Relationship Id="rId891" Type="http://schemas.openxmlformats.org/officeDocument/2006/relationships/hyperlink" Target="out/&#12497;&#12527;&#12503;&#12525;2020%20-%20&#25237;&#29699;&#35299;&#26512;%20-%202020-08-24%2012-21-33-02_out.mp4" TargetMode="External"/><Relationship Id="rId989" Type="http://schemas.openxmlformats.org/officeDocument/2006/relationships/hyperlink" Target="out/&#12497;&#12527;&#12503;&#12525;2020%20-%20&#25237;&#29699;&#35299;&#26512;%20-%202020-08-24%2012-33-48-01_out.mp4" TargetMode="External"/><Relationship Id="rId2018" Type="http://schemas.openxmlformats.org/officeDocument/2006/relationships/hyperlink" Target="result/&#12497;&#12527;&#12503;&#12525;2020%20-%20&#25237;&#29699;&#35299;&#26512;%20-%202020-08-27%2018-14-40-07_ball.txt" TargetMode="External"/><Relationship Id="rId2572" Type="http://schemas.openxmlformats.org/officeDocument/2006/relationships/hyperlink" Target="result/&#12497;&#12527;&#12503;&#12525;2020%20-%20&#25237;&#29699;&#35299;&#26512;%20-%202020-08-29%2015-51-26-04_ball.txt" TargetMode="External"/><Relationship Id="rId544" Type="http://schemas.openxmlformats.org/officeDocument/2006/relationships/hyperlink" Target="result/&#12497;&#12527;&#12503;&#12525;2020%20-%20&#25237;&#29699;&#35299;&#26512;%20-%202020-08-23%2016-25-48-02_ball.txt" TargetMode="External"/><Relationship Id="rId751" Type="http://schemas.openxmlformats.org/officeDocument/2006/relationships/hyperlink" Target="out/&#12497;&#12527;&#12503;&#12525;2020%20-%20&#25237;&#29699;&#35299;&#26512;%20-%202020-08-24%2012-02-12-08_out.mp4" TargetMode="External"/><Relationship Id="rId849" Type="http://schemas.openxmlformats.org/officeDocument/2006/relationships/hyperlink" Target="out/&#12497;&#12527;&#12503;&#12525;2020%20-%20&#25237;&#29699;&#35299;&#26512;%20-%202020-08-24%2012-10-03-05_out.mp4" TargetMode="External"/><Relationship Id="rId1174" Type="http://schemas.openxmlformats.org/officeDocument/2006/relationships/hyperlink" Target="result/&#12497;&#12527;&#12503;&#12525;2020%20-%20&#25237;&#29699;&#35299;&#26512;%20-%202020-08-24%2012-50-30-07_ball.txt" TargetMode="External"/><Relationship Id="rId1381" Type="http://schemas.openxmlformats.org/officeDocument/2006/relationships/hyperlink" Target="out/&#12497;&#12527;&#12503;&#12525;2020%20-%20&#25237;&#29699;&#35299;&#26512;%20-%202020-08-23%2014-03-42-06_out.mp4" TargetMode="External"/><Relationship Id="rId1479" Type="http://schemas.openxmlformats.org/officeDocument/2006/relationships/hyperlink" Target="out/&#12497;&#12527;&#12503;&#12525;2020%20-%20&#25237;&#29699;&#35299;&#26512;%20-%202020-08-23%2015-53-39-06_out.mp4" TargetMode="External"/><Relationship Id="rId1686" Type="http://schemas.openxmlformats.org/officeDocument/2006/relationships/hyperlink" Target="result/&#12497;&#12527;&#12503;&#12525;2020%20-%20&#25237;&#29699;&#35299;&#26512;%20-%202020-08-24%2012-22-44-07_ball.txt" TargetMode="External"/><Relationship Id="rId2225" Type="http://schemas.openxmlformats.org/officeDocument/2006/relationships/hyperlink" Target="out/&#12497;&#12527;&#12503;&#12525;2020%20-%20&#25237;&#29699;&#35299;&#26512;%20-%202020-08-28%2022-36-12-01_out.mp4" TargetMode="External"/><Relationship Id="rId2432" Type="http://schemas.openxmlformats.org/officeDocument/2006/relationships/hyperlink" Target="result/&#12497;&#12527;&#12503;&#12525;2020%20-%20&#25237;&#29699;&#35299;&#26512;%20-%202020-08-29%2015-42-43-05_ball.txt" TargetMode="External"/><Relationship Id="rId404" Type="http://schemas.openxmlformats.org/officeDocument/2006/relationships/hyperlink" Target="result/&#12497;&#12527;&#12503;&#12525;2020%20-%20&#25237;&#29699;&#35299;&#26512;%20-%202020-08-23%2016-03-31-02_ball.txt" TargetMode="External"/><Relationship Id="rId611" Type="http://schemas.openxmlformats.org/officeDocument/2006/relationships/hyperlink" Target="out/&#12497;&#12527;&#12503;&#12525;2020%20-%20&#25237;&#29699;&#35299;&#26512;%20-%202020-08-23%2016-30-55-06_out.mp4" TargetMode="External"/><Relationship Id="rId1034" Type="http://schemas.openxmlformats.org/officeDocument/2006/relationships/hyperlink" Target="result/&#12497;&#12527;&#12503;&#12525;2020%20-%20&#25237;&#29699;&#35299;&#26512;%20-%202020-08-24%2012-38-24-02_ball.txt" TargetMode="External"/><Relationship Id="rId1241" Type="http://schemas.openxmlformats.org/officeDocument/2006/relationships/hyperlink" Target="out/&#12497;&#12527;&#12503;&#12525;2020%20-%20&#25237;&#29699;&#35299;&#26512;%20-%202020-08-24%2013-00-20-01_out.mp4" TargetMode="External"/><Relationship Id="rId1339" Type="http://schemas.openxmlformats.org/officeDocument/2006/relationships/hyperlink" Target="out/&#12497;&#12527;&#12503;&#12525;2020%20-%20&#25237;&#29699;&#35299;&#26512;%20-%202020-08-24%2013-09-18-11_out.mp4" TargetMode="External"/><Relationship Id="rId1893" Type="http://schemas.openxmlformats.org/officeDocument/2006/relationships/hyperlink" Target="out/&#12497;&#12527;&#12503;&#12525;2020%20-%20&#25237;&#29699;&#35299;&#26512;%20-%202020-08-26%2021-15-29-02_out.mp4" TargetMode="External"/><Relationship Id="rId2737" Type="http://schemas.openxmlformats.org/officeDocument/2006/relationships/hyperlink" Target="out/&#12497;&#12527;&#12503;&#12525;2020%20-%20&#25237;&#29699;&#35299;&#26512;%20-%202020-08-29%2016-01-23-07_out.mp4" TargetMode="External"/><Relationship Id="rId709" Type="http://schemas.openxmlformats.org/officeDocument/2006/relationships/hyperlink" Target="out/&#12497;&#12527;&#12503;&#12525;2020%20-%20&#25237;&#29699;&#35299;&#26512;%20-%202020-08-24%2011-25-48-06_out.mp4" TargetMode="External"/><Relationship Id="rId916" Type="http://schemas.openxmlformats.org/officeDocument/2006/relationships/hyperlink" Target="result/&#12497;&#12527;&#12503;&#12525;2020%20-%20&#25237;&#29699;&#35299;&#26512;%20-%202020-08-24%2012-22-44-04_ball.txt" TargetMode="External"/><Relationship Id="rId1101" Type="http://schemas.openxmlformats.org/officeDocument/2006/relationships/hyperlink" Target="out/&#12497;&#12527;&#12503;&#12525;2020%20-%20&#25237;&#29699;&#35299;&#26512;%20-%202020-08-24%2012-44-26-06_out.mp4" TargetMode="External"/><Relationship Id="rId1546" Type="http://schemas.openxmlformats.org/officeDocument/2006/relationships/hyperlink" Target="result/&#12497;&#12527;&#12503;&#12525;2020%20-%20&#25237;&#29699;&#35299;&#26512;%20-%202020-08-23%2016-07-35-09_ball.txt" TargetMode="External"/><Relationship Id="rId1753" Type="http://schemas.openxmlformats.org/officeDocument/2006/relationships/hyperlink" Target="out/&#12497;&#12527;&#12503;&#12525;2020%20-%20&#25237;&#29699;&#35299;&#26512;%20-%202020-08-24%2012-44-26-03_out.mp4" TargetMode="External"/><Relationship Id="rId1960" Type="http://schemas.openxmlformats.org/officeDocument/2006/relationships/hyperlink" Target="result/&#12497;&#12527;&#12503;&#12525;2020%20-%20&#25237;&#29699;&#35299;&#26512;%20-%202020-08-26%2021-20-35-08_ball.txt" TargetMode="External"/><Relationship Id="rId45" Type="http://schemas.openxmlformats.org/officeDocument/2006/relationships/hyperlink" Target="out/&#12497;&#12527;&#12503;&#12525;2020%20-%20&#25237;&#29699;&#35299;&#26512;%20-%202020-08-23%2011-12-45-02_out.mp4" TargetMode="External"/><Relationship Id="rId1406" Type="http://schemas.openxmlformats.org/officeDocument/2006/relationships/hyperlink" Target="result/&#12497;&#12527;&#12503;&#12525;2020%20-%20&#25237;&#29699;&#35299;&#26512;%20-%202020-08-23%2014-18-29-08_ball.txt" TargetMode="External"/><Relationship Id="rId1613" Type="http://schemas.openxmlformats.org/officeDocument/2006/relationships/hyperlink" Target="out/&#12497;&#12527;&#12503;&#12525;2020%20-%20&#25237;&#29699;&#35299;&#26512;%20-%202020-08-24%2011-22-14-01_out.mp4" TargetMode="External"/><Relationship Id="rId1820" Type="http://schemas.openxmlformats.org/officeDocument/2006/relationships/hyperlink" Target="result/&#12497;&#12527;&#12503;&#12525;2020%20-%20&#25237;&#29699;&#35299;&#26512;%20-%202020-08-24%2013-14-19-04_ball.txt" TargetMode="External"/><Relationship Id="rId194" Type="http://schemas.openxmlformats.org/officeDocument/2006/relationships/hyperlink" Target="result/&#12497;&#12527;&#12503;&#12525;2020%20-%20&#25237;&#29699;&#35299;&#26512;%20-%202020-08-23%2014-08-02-06_ball.txt" TargetMode="External"/><Relationship Id="rId1918" Type="http://schemas.openxmlformats.org/officeDocument/2006/relationships/hyperlink" Target="result/&#12497;&#12527;&#12503;&#12525;2020%20-%20&#25237;&#29699;&#35299;&#26512;%20-%202020-08-26%2021-17-48-04_ball.txt" TargetMode="External"/><Relationship Id="rId2082" Type="http://schemas.openxmlformats.org/officeDocument/2006/relationships/hyperlink" Target="result/&#12497;&#12527;&#12503;&#12525;2020%20-%20&#25237;&#29699;&#35299;&#26512;%20-%202020-08-27%2018-19-19-09_ball.txt" TargetMode="External"/><Relationship Id="rId261" Type="http://schemas.openxmlformats.org/officeDocument/2006/relationships/hyperlink" Target="out/&#12497;&#12527;&#12503;&#12525;2020%20-%20&#25237;&#29699;&#35299;&#26512;%20-%202020-08-23%2014-24-49-00_out.mp4" TargetMode="External"/><Relationship Id="rId499" Type="http://schemas.openxmlformats.org/officeDocument/2006/relationships/hyperlink" Target="out/&#12497;&#12527;&#12503;&#12525;2020%20-%20&#25237;&#29699;&#35299;&#26512;%20-%202020-08-23%2016-13-55-00_out.mp4" TargetMode="External"/><Relationship Id="rId2387" Type="http://schemas.openxmlformats.org/officeDocument/2006/relationships/hyperlink" Target="out/&#12497;&#12527;&#12503;&#12525;2020%20-%20&#25237;&#29699;&#35299;&#26512;%20-%202020-08-29%2009-48-04-03_out.mp4" TargetMode="External"/><Relationship Id="rId2594" Type="http://schemas.openxmlformats.org/officeDocument/2006/relationships/hyperlink" Target="result/&#12497;&#12527;&#12503;&#12525;2020%20-%20&#25237;&#29699;&#35299;&#26512;%20-%202020-08-29%2015-52-32-05_ball.txt" TargetMode="External"/><Relationship Id="rId359" Type="http://schemas.openxmlformats.org/officeDocument/2006/relationships/hyperlink" Target="out/&#12497;&#12527;&#12503;&#12525;2020%20-%20&#25237;&#29699;&#35299;&#26512;%20-%202020-08-23%2015-49-19-09_out.mp4" TargetMode="External"/><Relationship Id="rId566" Type="http://schemas.openxmlformats.org/officeDocument/2006/relationships/hyperlink" Target="result/&#12497;&#12527;&#12503;&#12525;2020%20-%20&#25237;&#29699;&#35299;&#26512;%20-%202020-08-23%2016-26-58-03_ball.txt" TargetMode="External"/><Relationship Id="rId773" Type="http://schemas.openxmlformats.org/officeDocument/2006/relationships/hyperlink" Target="out/&#12497;&#12527;&#12503;&#12525;2020%20-%20&#25237;&#29699;&#35299;&#26512;%20-%202020-08-24%2012-03-33-09_out.mp4" TargetMode="External"/><Relationship Id="rId1196" Type="http://schemas.openxmlformats.org/officeDocument/2006/relationships/hyperlink" Target="result/&#12497;&#12527;&#12503;&#12525;2020%20-%20&#25237;&#29699;&#35299;&#26512;%20-%202020-08-24%2012-52-05-08_ball.txt" TargetMode="External"/><Relationship Id="rId2247" Type="http://schemas.openxmlformats.org/officeDocument/2006/relationships/hyperlink" Target="out/&#12497;&#12527;&#12503;&#12525;2020%20-%20&#25237;&#29699;&#35299;&#26512;%20-%202020-08-28%2022-37-55-02_out.mp4" TargetMode="External"/><Relationship Id="rId2454" Type="http://schemas.openxmlformats.org/officeDocument/2006/relationships/hyperlink" Target="result/&#12497;&#12527;&#12503;&#12525;2020%20-%20&#25237;&#29699;&#35299;&#26512;%20-%202020-08-29%2015-44-12-06_ball.txt" TargetMode="External"/><Relationship Id="rId121" Type="http://schemas.openxmlformats.org/officeDocument/2006/relationships/hyperlink" Target="out/&#12497;&#12527;&#12503;&#12525;2020%20-%20&#25237;&#29699;&#35299;&#26512;%20-%202020-08-23%2014-04-47-00_out.mp4" TargetMode="External"/><Relationship Id="rId219" Type="http://schemas.openxmlformats.org/officeDocument/2006/relationships/hyperlink" Target="out/&#12497;&#12527;&#12503;&#12525;2020%20-%20&#25237;&#29699;&#35299;&#26512;%20-%202020-08-23%2014-19-33-09_out.mp4" TargetMode="External"/><Relationship Id="rId426" Type="http://schemas.openxmlformats.org/officeDocument/2006/relationships/hyperlink" Target="result/&#12497;&#12527;&#12503;&#12525;2020%20-%20&#25237;&#29699;&#35299;&#26512;%20-%202020-08-23%2016-06-08-03_ball.txt" TargetMode="External"/><Relationship Id="rId633" Type="http://schemas.openxmlformats.org/officeDocument/2006/relationships/hyperlink" Target="out/&#12497;&#12527;&#12503;&#12525;2020%20-%20&#25237;&#29699;&#35299;&#26512;%20-%202020-08-23%2016-32-07-07_out.mp4" TargetMode="External"/><Relationship Id="rId980" Type="http://schemas.openxmlformats.org/officeDocument/2006/relationships/hyperlink" Target="result/&#12497;&#12527;&#12503;&#12525;2020%20-%20&#25237;&#29699;&#35299;&#26512;%20-%202020-08-24%2012-32-08-06_ball.txt" TargetMode="External"/><Relationship Id="rId1056" Type="http://schemas.openxmlformats.org/officeDocument/2006/relationships/hyperlink" Target="result/&#12497;&#12527;&#12503;&#12525;2020%20-%20&#25237;&#29699;&#35299;&#26512;%20-%202020-08-24%2012-39-57-03_ball.txt" TargetMode="External"/><Relationship Id="rId1263" Type="http://schemas.openxmlformats.org/officeDocument/2006/relationships/hyperlink" Target="out/&#12497;&#12527;&#12503;&#12525;2020%20-%20&#25237;&#29699;&#35299;&#26512;%20-%202020-08-24%2013-02-04-03_out.mp4" TargetMode="External"/><Relationship Id="rId2107" Type="http://schemas.openxmlformats.org/officeDocument/2006/relationships/hyperlink" Target="out/&#12497;&#12527;&#12503;&#12525;2020%20-%20&#25237;&#29699;&#35299;&#26512;%20-%202020-08-27%2018-22-42-02_out.mp4" TargetMode="External"/><Relationship Id="rId2314" Type="http://schemas.openxmlformats.org/officeDocument/2006/relationships/hyperlink" Target="result/&#12497;&#12527;&#12503;&#12525;2020%20-%20&#25237;&#29699;&#35299;&#26512;%20-%202020-08-29%2009-41-06-05_ball.txt" TargetMode="External"/><Relationship Id="rId2661" Type="http://schemas.openxmlformats.org/officeDocument/2006/relationships/hyperlink" Target="out/&#12497;&#12527;&#12503;&#12525;2020%20-%20&#25237;&#29699;&#35299;&#26512;%20-%202020-08-29%2015-56-35-09_out.mp4" TargetMode="External"/><Relationship Id="rId2759" Type="http://schemas.openxmlformats.org/officeDocument/2006/relationships/hyperlink" Target="out/&#12497;&#12527;&#12503;&#12525;2020%20-%20&#25237;&#29699;&#35299;&#26512;%20-%202020-08-29%2016-06-51-08_out.mp4" TargetMode="External"/><Relationship Id="rId840" Type="http://schemas.openxmlformats.org/officeDocument/2006/relationships/hyperlink" Target="result/&#12497;&#12527;&#12503;&#12525;2020%20-%20&#25237;&#29699;&#35299;&#26512;%20-%202020-08-24%2012-10-03-00_ball.txt" TargetMode="External"/><Relationship Id="rId938" Type="http://schemas.openxmlformats.org/officeDocument/2006/relationships/hyperlink" Target="result/&#12497;&#12527;&#12503;&#12525;2020%20-%20&#25237;&#29699;&#35299;&#26512;%20-%202020-08-24%2012-25-33-04_ball.txt" TargetMode="External"/><Relationship Id="rId1470" Type="http://schemas.openxmlformats.org/officeDocument/2006/relationships/hyperlink" Target="result/&#12497;&#12527;&#12503;&#12525;2020%20-%20&#25237;&#29699;&#35299;&#26512;%20-%202020-08-23%2015-53-39-01_ball.txt" TargetMode="External"/><Relationship Id="rId1568" Type="http://schemas.openxmlformats.org/officeDocument/2006/relationships/hyperlink" Target="result/&#12497;&#12527;&#12503;&#12525;2020%20-%20&#25237;&#29699;&#35299;&#26512;%20-%202020-08-23%2016-24-41-00_ball.txt" TargetMode="External"/><Relationship Id="rId1775" Type="http://schemas.openxmlformats.org/officeDocument/2006/relationships/hyperlink" Target="out/&#12497;&#12527;&#12503;&#12525;2020%20-%20&#25237;&#29699;&#35299;&#26512;%20-%202020-08-24%2012-50-30-06_out.mp4" TargetMode="External"/><Relationship Id="rId2521" Type="http://schemas.openxmlformats.org/officeDocument/2006/relationships/hyperlink" Target="out/&#12497;&#12527;&#12503;&#12525;2020%20-%20&#25237;&#29699;&#35299;&#26512;%20-%202020-08-29%2015-48-09-09_out.mp4" TargetMode="External"/><Relationship Id="rId2619" Type="http://schemas.openxmlformats.org/officeDocument/2006/relationships/hyperlink" Target="out/&#12497;&#12527;&#12503;&#12525;2020%20-%20&#25237;&#29699;&#35299;&#26512;%20-%202020-08-29%2015-53-40-08_out.mp4" TargetMode="External"/><Relationship Id="rId67" Type="http://schemas.openxmlformats.org/officeDocument/2006/relationships/hyperlink" Target="out/&#12497;&#12527;&#12503;&#12525;2020%20-%20&#25237;&#29699;&#35299;&#26512;%20-%202020-08-23%2011-13-59-03_out.mp4" TargetMode="External"/><Relationship Id="rId700" Type="http://schemas.openxmlformats.org/officeDocument/2006/relationships/hyperlink" Target="result/&#12497;&#12527;&#12503;&#12525;2020%20-%20&#25237;&#29699;&#35299;&#26512;%20-%202020-08-24%2011-25-48-01_ball.txt" TargetMode="External"/><Relationship Id="rId1123" Type="http://schemas.openxmlformats.org/officeDocument/2006/relationships/hyperlink" Target="out/&#12497;&#12527;&#12503;&#12525;2020%20-%20&#25237;&#29699;&#35299;&#26512;%20-%202020-08-24%2012-46-03-04_out.mp4" TargetMode="External"/><Relationship Id="rId1330" Type="http://schemas.openxmlformats.org/officeDocument/2006/relationships/hyperlink" Target="result/&#12497;&#12527;&#12503;&#12525;2020%20-%20&#25237;&#29699;&#35299;&#26512;%20-%202020-08-24%2013-09-18-06_ball.txt" TargetMode="External"/><Relationship Id="rId1428" Type="http://schemas.openxmlformats.org/officeDocument/2006/relationships/hyperlink" Target="result/&#12497;&#12527;&#12503;&#12525;2020%20-%20&#25237;&#29699;&#35299;&#26512;%20-%202020-08-23%2015-47-01-00_ball.txt" TargetMode="External"/><Relationship Id="rId1635" Type="http://schemas.openxmlformats.org/officeDocument/2006/relationships/hyperlink" Target="out/&#12497;&#12527;&#12503;&#12525;2020%20-%20&#25237;&#29699;&#35299;&#26512;%20-%202020-08-24%2012-00-01-02_out.mp4" TargetMode="External"/><Relationship Id="rId1982" Type="http://schemas.openxmlformats.org/officeDocument/2006/relationships/hyperlink" Target="result/&#12497;&#12527;&#12503;&#12525;2020%20-%20&#25237;&#29699;&#35299;&#26512;%20-%202020-08-26%2021-30-58-09_ball.txt" TargetMode="External"/><Relationship Id="rId1842" Type="http://schemas.openxmlformats.org/officeDocument/2006/relationships/hyperlink" Target="result/&#12497;&#12527;&#12503;&#12525;2020%20-%20&#25237;&#29699;&#35299;&#26512;%20-%202020-08-24%2013-16-19-05_ball.txt" TargetMode="External"/><Relationship Id="rId1702" Type="http://schemas.openxmlformats.org/officeDocument/2006/relationships/hyperlink" Target="result/&#12497;&#12527;&#12503;&#12525;2020%20-%20&#25237;&#29699;&#35299;&#26512;%20-%202020-08-24%2012-28-05-02_ball.txt" TargetMode="External"/><Relationship Id="rId283" Type="http://schemas.openxmlformats.org/officeDocument/2006/relationships/hyperlink" Target="out/&#12497;&#12527;&#12503;&#12525;2020%20-%20&#25237;&#29699;&#35299;&#26512;%20-%202020-08-23%2014-25-58-01_out.mp4" TargetMode="External"/><Relationship Id="rId490" Type="http://schemas.openxmlformats.org/officeDocument/2006/relationships/hyperlink" Target="result/&#12497;&#12527;&#12503;&#12525;2020%20-%20&#25237;&#29699;&#35299;&#26512;%20-%202020-08-23%2016-12-41-05_ball.txt" TargetMode="External"/><Relationship Id="rId2171" Type="http://schemas.openxmlformats.org/officeDocument/2006/relationships/hyperlink" Target="out/&#12497;&#12527;&#12503;&#12525;2020%20-%20&#25237;&#29699;&#35299;&#26512;%20-%202020-08-28%2022-31-31-04_out.mp4" TargetMode="External"/><Relationship Id="rId143" Type="http://schemas.openxmlformats.org/officeDocument/2006/relationships/hyperlink" Target="out/&#12497;&#12527;&#12503;&#12525;2020%20-%20&#25237;&#29699;&#35299;&#26512;%20-%202020-08-23%2014-05-50-01_out.mp4" TargetMode="External"/><Relationship Id="rId350" Type="http://schemas.openxmlformats.org/officeDocument/2006/relationships/hyperlink" Target="result/&#12497;&#12527;&#12503;&#12525;2020%20-%20&#25237;&#29699;&#35299;&#26512;%20-%202020-08-23%2015-49-19-04_ball.txt" TargetMode="External"/><Relationship Id="rId588" Type="http://schemas.openxmlformats.org/officeDocument/2006/relationships/hyperlink" Target="result/&#12497;&#12527;&#12503;&#12525;2020%20-%20&#25237;&#29699;&#35299;&#26512;%20-%202020-08-23%2016-28-07-04_ball.txt" TargetMode="External"/><Relationship Id="rId795" Type="http://schemas.openxmlformats.org/officeDocument/2006/relationships/hyperlink" Target="out/&#12497;&#12527;&#12503;&#12525;2020%20-%20&#25237;&#29699;&#35299;&#26512;%20-%202020-08-24%2012-07-26-00_out.mp4" TargetMode="External"/><Relationship Id="rId2031" Type="http://schemas.openxmlformats.org/officeDocument/2006/relationships/hyperlink" Target="out/&#12497;&#12527;&#12503;&#12525;2020%20-%20&#25237;&#29699;&#35299;&#26512;%20-%202020-08-27%2018-16-14-04_out.mp4" TargetMode="External"/><Relationship Id="rId2269" Type="http://schemas.openxmlformats.org/officeDocument/2006/relationships/hyperlink" Target="out/&#12497;&#12527;&#12503;&#12525;2020%20-%20&#25237;&#29699;&#35299;&#26512;%20-%202020-08-29%2009-37-40-03_out.mp4" TargetMode="External"/><Relationship Id="rId2476" Type="http://schemas.openxmlformats.org/officeDocument/2006/relationships/hyperlink" Target="result/&#12497;&#12527;&#12503;&#12525;2020%20-%20&#25237;&#29699;&#35299;&#26512;%20-%202020-08-29%2015-45-22-06_ball.txt" TargetMode="External"/><Relationship Id="rId2683" Type="http://schemas.openxmlformats.org/officeDocument/2006/relationships/hyperlink" Target="out/&#12497;&#12527;&#12503;&#12525;2020%20-%20&#25237;&#29699;&#35299;&#26512;%20-%202020-08-29%2015-58-43-00_out.mp4" TargetMode="External"/><Relationship Id="rId9" Type="http://schemas.openxmlformats.org/officeDocument/2006/relationships/hyperlink" Target="out/&#12497;&#12527;&#12503;&#12525;2020%20-%20&#25237;&#29699;&#35299;&#26512;%20-%202020-08-23%2011-10-26-04_out.mp4" TargetMode="External"/><Relationship Id="rId210" Type="http://schemas.openxmlformats.org/officeDocument/2006/relationships/hyperlink" Target="result/&#12497;&#12527;&#12503;&#12525;2020%20-%20&#25237;&#29699;&#35299;&#26512;%20-%202020-08-23%2014-19-33-04_ball.txt" TargetMode="External"/><Relationship Id="rId448" Type="http://schemas.openxmlformats.org/officeDocument/2006/relationships/hyperlink" Target="result/&#12497;&#12527;&#12503;&#12525;2020%20-%20&#25237;&#29699;&#35299;&#26512;%20-%202020-08-23%2016-08-46-04_ball.txt" TargetMode="External"/><Relationship Id="rId655" Type="http://schemas.openxmlformats.org/officeDocument/2006/relationships/hyperlink" Target="out/&#12497;&#12527;&#12503;&#12525;2020%20-%20&#25237;&#29699;&#35299;&#26512;%20-%202020-08-24%2011-22-14-09_out.mp4" TargetMode="External"/><Relationship Id="rId862" Type="http://schemas.openxmlformats.org/officeDocument/2006/relationships/hyperlink" Target="result/&#12497;&#12527;&#12503;&#12525;2020%20-%20&#25237;&#29699;&#35299;&#26512;%20-%202020-08-24%2012-11-18-01_ball.txt" TargetMode="External"/><Relationship Id="rId1078" Type="http://schemas.openxmlformats.org/officeDocument/2006/relationships/hyperlink" Target="result/&#12497;&#12527;&#12503;&#12525;2020%20-%20&#25237;&#29699;&#35299;&#26512;%20-%202020-08-24%2012-41-25-04_ball.txt" TargetMode="External"/><Relationship Id="rId1285" Type="http://schemas.openxmlformats.org/officeDocument/2006/relationships/hyperlink" Target="out/&#12497;&#12527;&#12503;&#12525;2020%20-%20&#25237;&#29699;&#35299;&#26512;%20-%202020-08-24%2013-03-51-04_out.mp4" TargetMode="External"/><Relationship Id="rId1492" Type="http://schemas.openxmlformats.org/officeDocument/2006/relationships/hyperlink" Target="result/&#12497;&#12527;&#12503;&#12525;2020%20-%20&#25237;&#29699;&#35299;&#26512;%20-%202020-08-23%2015-56-09-02_ball.txt" TargetMode="External"/><Relationship Id="rId2129" Type="http://schemas.openxmlformats.org/officeDocument/2006/relationships/hyperlink" Target="out/&#12497;&#12527;&#12503;&#12525;2020%20-%20&#25237;&#29699;&#35299;&#26512;%20-%202020-08-27%2018-24-30-03_out.mp4" TargetMode="External"/><Relationship Id="rId2336" Type="http://schemas.openxmlformats.org/officeDocument/2006/relationships/hyperlink" Target="result/&#12497;&#12527;&#12503;&#12525;2020%20-%20&#25237;&#29699;&#35299;&#26512;%20-%202020-08-29%2009-42-48-06_ball.txt" TargetMode="External"/><Relationship Id="rId2543" Type="http://schemas.openxmlformats.org/officeDocument/2006/relationships/hyperlink" Target="out/&#12497;&#12527;&#12503;&#12525;2020%20-%20&#25237;&#29699;&#35299;&#26512;%20-%202020-08-29%2015-50-19-00_out.mp4" TargetMode="External"/><Relationship Id="rId2750" Type="http://schemas.openxmlformats.org/officeDocument/2006/relationships/hyperlink" Target="result/&#12497;&#12527;&#12503;&#12525;2020%20-%20&#25237;&#29699;&#35299;&#26512;%20-%202020-08-29%2016-06-51-03_ball.txt" TargetMode="External"/><Relationship Id="rId308" Type="http://schemas.openxmlformats.org/officeDocument/2006/relationships/hyperlink" Target="result/&#12497;&#12527;&#12503;&#12525;2020%20-%20&#25237;&#29699;&#35299;&#26512;%20-%202020-08-23%2014-27-07-03_ball.txt" TargetMode="External"/><Relationship Id="rId515" Type="http://schemas.openxmlformats.org/officeDocument/2006/relationships/hyperlink" Target="out/&#12497;&#12527;&#12503;&#12525;2020%20-%20&#25237;&#29699;&#35299;&#26512;%20-%202020-08-23%2016-13-55-08_out.mp4" TargetMode="External"/><Relationship Id="rId722" Type="http://schemas.openxmlformats.org/officeDocument/2006/relationships/hyperlink" Target="result/&#12497;&#12527;&#12503;&#12525;2020%20-%20&#25237;&#29699;&#35299;&#26512;%20-%202020-08-24%2012-01-04-02_ball.txt" TargetMode="External"/><Relationship Id="rId1145" Type="http://schemas.openxmlformats.org/officeDocument/2006/relationships/hyperlink" Target="out/&#12497;&#12527;&#12503;&#12525;2020%20-%20&#25237;&#29699;&#35299;&#26512;%20-%202020-08-24%2012-47-45-00_out.mp4" TargetMode="External"/><Relationship Id="rId1352" Type="http://schemas.openxmlformats.org/officeDocument/2006/relationships/hyperlink" Target="result/&#12497;&#12527;&#12503;&#12525;2020%20-%20&#25237;&#29699;&#35299;&#26512;%20-%202020-08-23%2011-08-57-01_ball.txt" TargetMode="External"/><Relationship Id="rId1797" Type="http://schemas.openxmlformats.org/officeDocument/2006/relationships/hyperlink" Target="out/&#12497;&#12527;&#12503;&#12525;2020%20-%20&#25237;&#29699;&#35299;&#26512;%20-%202020-08-24%2013-03-51-07_out.mp4" TargetMode="External"/><Relationship Id="rId2403" Type="http://schemas.openxmlformats.org/officeDocument/2006/relationships/hyperlink" Target="out/&#12497;&#12527;&#12503;&#12525;2020%20-%20&#25237;&#29699;&#35299;&#26512;%20-%202020-08-29%2009-49-52-01_out.mp4" TargetMode="External"/><Relationship Id="rId89" Type="http://schemas.openxmlformats.org/officeDocument/2006/relationships/hyperlink" Target="out/&#12497;&#12527;&#12503;&#12525;2020%20-%20&#25237;&#29699;&#35299;&#26512;%20-%202020-08-23%2011-15-09-04_out.mp4" TargetMode="External"/><Relationship Id="rId1005" Type="http://schemas.openxmlformats.org/officeDocument/2006/relationships/hyperlink" Target="out/&#12497;&#12527;&#12503;&#12525;2020%20-%20&#25237;&#29699;&#35299;&#26512;%20-%202020-08-24%2012-33-48-09_out.mp4" TargetMode="External"/><Relationship Id="rId1212" Type="http://schemas.openxmlformats.org/officeDocument/2006/relationships/hyperlink" Target="result/&#12497;&#12527;&#12503;&#12525;2020%20-%20&#25237;&#29699;&#35299;&#26512;%20-%202020-08-24%2012-53-43-06_ball.txt" TargetMode="External"/><Relationship Id="rId1657" Type="http://schemas.openxmlformats.org/officeDocument/2006/relationships/hyperlink" Target="out/&#12497;&#12527;&#12503;&#12525;2020%20-%20&#25237;&#29699;&#35299;&#26512;%20-%202020-08-24%2012-06-16-04_out.mp4" TargetMode="External"/><Relationship Id="rId1864" Type="http://schemas.openxmlformats.org/officeDocument/2006/relationships/hyperlink" Target="result/&#12497;&#12527;&#12503;&#12525;2020%20-%20&#25237;&#29699;&#35299;&#26512;%20-%202020-08-24%2013-17-56-07_ball.txt" TargetMode="External"/><Relationship Id="rId2610" Type="http://schemas.openxmlformats.org/officeDocument/2006/relationships/hyperlink" Target="result/&#12497;&#12527;&#12503;&#12525;2020%20-%20&#25237;&#29699;&#35299;&#26512;%20-%202020-08-29%2015-53-40-03_ball.txt" TargetMode="External"/><Relationship Id="rId2708" Type="http://schemas.openxmlformats.org/officeDocument/2006/relationships/hyperlink" Target="result/&#12497;&#12527;&#12503;&#12525;2020%20-%20&#25237;&#29699;&#35299;&#26512;%20-%202020-08-29%2016-00-15-02_ball.txt" TargetMode="External"/><Relationship Id="rId1517" Type="http://schemas.openxmlformats.org/officeDocument/2006/relationships/hyperlink" Target="out/&#12497;&#12527;&#12503;&#12525;2020%20-%20&#25237;&#29699;&#35299;&#26512;%20-%202020-08-23%2016-04-57-05_out.mp4" TargetMode="External"/><Relationship Id="rId1724" Type="http://schemas.openxmlformats.org/officeDocument/2006/relationships/hyperlink" Target="result/&#12497;&#12527;&#12503;&#12525;2020%20-%20&#25237;&#29699;&#35299;&#26512;%20-%202020-08-24%2012-35-33-09_ball.txt" TargetMode="External"/><Relationship Id="rId16" Type="http://schemas.openxmlformats.org/officeDocument/2006/relationships/hyperlink" Target="result/&#12497;&#12527;&#12503;&#12525;2020%20-%20&#25237;&#29699;&#35299;&#26512;%20-%202020-08-23%2011-10-26-07_ball.txt" TargetMode="External"/><Relationship Id="rId1931" Type="http://schemas.openxmlformats.org/officeDocument/2006/relationships/hyperlink" Target="out/&#12497;&#12527;&#12503;&#12525;2020%20-%20&#25237;&#29699;&#35299;&#26512;%20-%202020-08-26%2021-19-02-04_out.mp4" TargetMode="External"/><Relationship Id="rId2193" Type="http://schemas.openxmlformats.org/officeDocument/2006/relationships/hyperlink" Target="out/&#12497;&#12527;&#12503;&#12525;2020%20-%20&#25237;&#29699;&#35299;&#26512;%20-%202020-08-28%2022-33-04-05_out.mp4" TargetMode="External"/><Relationship Id="rId2498" Type="http://schemas.openxmlformats.org/officeDocument/2006/relationships/hyperlink" Target="result/&#12497;&#12527;&#12503;&#12525;2020%20-%20&#25237;&#29699;&#35299;&#26512;%20-%202020-08-29%2015-46-34-07_ball.txt" TargetMode="External"/><Relationship Id="rId165" Type="http://schemas.openxmlformats.org/officeDocument/2006/relationships/hyperlink" Target="out/&#12497;&#12527;&#12503;&#12525;2020%20-%20&#25237;&#29699;&#35299;&#26512;%20-%202020-08-23%2014-06-56-02_out.mp4" TargetMode="External"/><Relationship Id="rId372" Type="http://schemas.openxmlformats.org/officeDocument/2006/relationships/hyperlink" Target="result/&#12497;&#12527;&#12503;&#12525;2020%20-%20&#25237;&#29699;&#35299;&#26512;%20-%202020-08-23%2015-52-13-05_ball.txt" TargetMode="External"/><Relationship Id="rId677" Type="http://schemas.openxmlformats.org/officeDocument/2006/relationships/hyperlink" Target="out/&#12497;&#12527;&#12503;&#12525;2020%20-%20&#25237;&#29699;&#35299;&#26512;%20-%202020-08-24%2011-24-36-00_out.mp4" TargetMode="External"/><Relationship Id="rId2053" Type="http://schemas.openxmlformats.org/officeDocument/2006/relationships/hyperlink" Target="out/&#12497;&#12527;&#12503;&#12525;2020%20-%20&#25237;&#29699;&#35299;&#26512;%20-%202020-08-27%2018-17-46-05_out.mp4" TargetMode="External"/><Relationship Id="rId2260" Type="http://schemas.openxmlformats.org/officeDocument/2006/relationships/hyperlink" Target="result/&#12497;&#12527;&#12503;&#12525;2020%20-%20&#25237;&#29699;&#35299;&#26512;%20-%202020-08-28%2022-37-55-08_ball.txt" TargetMode="External"/><Relationship Id="rId2358" Type="http://schemas.openxmlformats.org/officeDocument/2006/relationships/hyperlink" Target="result/&#12497;&#12527;&#12503;&#12525;2020%20-%20&#25237;&#29699;&#35299;&#26512;%20-%202020-08-29%2009-44-23-08_ball.txt" TargetMode="External"/><Relationship Id="rId232" Type="http://schemas.openxmlformats.org/officeDocument/2006/relationships/hyperlink" Target="result/&#12497;&#12527;&#12503;&#12525;2020%20-%20&#25237;&#29699;&#35299;&#26512;%20-%202020-08-23%2014-21-04-05_ball.txt" TargetMode="External"/><Relationship Id="rId884" Type="http://schemas.openxmlformats.org/officeDocument/2006/relationships/hyperlink" Target="result/&#12497;&#12527;&#12503;&#12525;2020%20-%20&#25237;&#29699;&#35299;&#26512;%20-%202020-08-24%2012-12-56-08_ball.txt" TargetMode="External"/><Relationship Id="rId2120" Type="http://schemas.openxmlformats.org/officeDocument/2006/relationships/hyperlink" Target="result/&#12497;&#12527;&#12503;&#12525;2020%20-%20&#25237;&#29699;&#35299;&#26512;%20-%202020-08-27%2018-22-42-08_ball.txt" TargetMode="External"/><Relationship Id="rId2565" Type="http://schemas.openxmlformats.org/officeDocument/2006/relationships/hyperlink" Target="out/&#12497;&#12527;&#12503;&#12525;2020%20-%20&#25237;&#29699;&#35299;&#26512;%20-%202020-08-29%2015-51-26-01_out.mp4" TargetMode="External"/><Relationship Id="rId2772" Type="http://schemas.openxmlformats.org/officeDocument/2006/relationships/hyperlink" Target="result/&#25237;&#29699;&#35299;&#26512;%20-%20&#12497;&#12527;&#12503;&#12525;2020%20-%202020-09-08%2023-37-52-04_ball.txt" TargetMode="External"/><Relationship Id="rId537" Type="http://schemas.openxmlformats.org/officeDocument/2006/relationships/hyperlink" Target="out/&#12497;&#12527;&#12503;&#12525;2020%20-%20&#25237;&#29699;&#35299;&#26512;%20-%202020-08-23%2016-15-07-09_out.mp4" TargetMode="External"/><Relationship Id="rId744" Type="http://schemas.openxmlformats.org/officeDocument/2006/relationships/hyperlink" Target="result/&#12497;&#12527;&#12503;&#12525;2020%20-%20&#25237;&#29699;&#35299;&#26512;%20-%202020-08-24%2012-02-12-04_ball.txt" TargetMode="External"/><Relationship Id="rId951" Type="http://schemas.openxmlformats.org/officeDocument/2006/relationships/hyperlink" Target="out/&#12497;&#12527;&#12503;&#12525;2020%20-%20&#25237;&#29699;&#35299;&#26512;%20-%202020-08-24%2012-26-53-01_out.mp4" TargetMode="External"/><Relationship Id="rId1167" Type="http://schemas.openxmlformats.org/officeDocument/2006/relationships/hyperlink" Target="out/&#12497;&#12527;&#12503;&#12525;2020%20-%20&#25237;&#29699;&#35299;&#26512;%20-%202020-08-24%2012-49-17-01_out.mp4" TargetMode="External"/><Relationship Id="rId1374" Type="http://schemas.openxmlformats.org/officeDocument/2006/relationships/hyperlink" Target="result/&#12497;&#12527;&#12503;&#12525;2020%20-%20&#25237;&#29699;&#35299;&#26512;%20-%202020-08-23%2014-03-42-02_ball.txt" TargetMode="External"/><Relationship Id="rId1581" Type="http://schemas.openxmlformats.org/officeDocument/2006/relationships/hyperlink" Target="out/&#12497;&#12527;&#12503;&#12525;2020%20-%20&#25237;&#29699;&#35299;&#26512;%20-%202020-08-23%2016-24-41-07_out.mp4" TargetMode="External"/><Relationship Id="rId1679" Type="http://schemas.openxmlformats.org/officeDocument/2006/relationships/hyperlink" Target="out/&#12497;&#12527;&#12503;&#12525;2020%20-%20&#25237;&#29699;&#35299;&#26512;%20-%202020-08-24%2012-11-18-11_out.mp4" TargetMode="External"/><Relationship Id="rId2218" Type="http://schemas.openxmlformats.org/officeDocument/2006/relationships/hyperlink" Target="result/&#12497;&#12527;&#12503;&#12525;2020%20-%20&#25237;&#29699;&#35299;&#26512;%20-%202020-08-28%2022-34-32-07_ball.txt" TargetMode="External"/><Relationship Id="rId2425" Type="http://schemas.openxmlformats.org/officeDocument/2006/relationships/hyperlink" Target="out/&#12497;&#12527;&#12503;&#12525;2020%20-%20&#25237;&#29699;&#35299;&#26512;%20-%202020-08-29%2015-42-43-02_out.mp4" TargetMode="External"/><Relationship Id="rId2632" Type="http://schemas.openxmlformats.org/officeDocument/2006/relationships/hyperlink" Target="result/&#12497;&#12527;&#12503;&#12525;2020%20-%20&#25237;&#29699;&#35299;&#26512;%20-%202020-08-29%2015-55-24-04_ball.txt" TargetMode="External"/><Relationship Id="rId80" Type="http://schemas.openxmlformats.org/officeDocument/2006/relationships/hyperlink" Target="result/&#12497;&#12527;&#12503;&#12525;2020%20-%20&#25237;&#29699;&#35299;&#26512;%20-%202020-08-23%2011-13-59-09_ball.txt" TargetMode="External"/><Relationship Id="rId604" Type="http://schemas.openxmlformats.org/officeDocument/2006/relationships/hyperlink" Target="result/&#12497;&#12527;&#12503;&#12525;2020%20-%20&#25237;&#29699;&#35299;&#26512;%20-%202020-08-23%2016-30-55-02_ball.txt" TargetMode="External"/><Relationship Id="rId811" Type="http://schemas.openxmlformats.org/officeDocument/2006/relationships/hyperlink" Target="out/&#12497;&#12527;&#12503;&#12525;2020%20-%20&#25237;&#29699;&#35299;&#26512;%20-%202020-08-24%2012-07-26-08_out.mp4" TargetMode="External"/><Relationship Id="rId1027" Type="http://schemas.openxmlformats.org/officeDocument/2006/relationships/hyperlink" Target="out/&#12497;&#12527;&#12503;&#12525;2020%20-%20&#25237;&#29699;&#35299;&#26512;%20-%202020-08-24%2012-36-56-09_out.mp4" TargetMode="External"/><Relationship Id="rId1234" Type="http://schemas.openxmlformats.org/officeDocument/2006/relationships/hyperlink" Target="result/&#12497;&#12527;&#12503;&#12525;2020%20-%20&#25237;&#29699;&#35299;&#26512;%20-%202020-08-24%2012-58-52-07_ball.txt" TargetMode="External"/><Relationship Id="rId1441" Type="http://schemas.openxmlformats.org/officeDocument/2006/relationships/hyperlink" Target="out/&#12497;&#12527;&#12503;&#12525;2020%20-%20&#25237;&#29699;&#35299;&#26512;%20-%202020-08-23%2015-47-01-07_out.mp4" TargetMode="External"/><Relationship Id="rId1886" Type="http://schemas.openxmlformats.org/officeDocument/2006/relationships/hyperlink" Target="result/&#12497;&#12527;&#12503;&#12525;2020%20-%20&#25237;&#29699;&#35299;&#26512;%20-%202020-08-24%2013-20-06-08_ball.txt" TargetMode="External"/><Relationship Id="rId909" Type="http://schemas.openxmlformats.org/officeDocument/2006/relationships/hyperlink" Target="out/&#12497;&#12527;&#12503;&#12525;2020%20-%20&#25237;&#29699;&#35299;&#26512;%20-%202020-08-24%2012-22-44-01_out.mp4" TargetMode="External"/><Relationship Id="rId1301" Type="http://schemas.openxmlformats.org/officeDocument/2006/relationships/hyperlink" Target="out/&#12497;&#12527;&#12503;&#12525;2020%20-%20&#25237;&#29699;&#35299;&#26512;%20-%202020-08-24%2013-07-27-01_out.mp4" TargetMode="External"/><Relationship Id="rId1539" Type="http://schemas.openxmlformats.org/officeDocument/2006/relationships/hyperlink" Target="out/&#12497;&#12527;&#12503;&#12525;2020%20-%20&#25237;&#29699;&#35299;&#26512;%20-%202020-08-23%2016-07-35-06_out.mp4" TargetMode="External"/><Relationship Id="rId1746" Type="http://schemas.openxmlformats.org/officeDocument/2006/relationships/hyperlink" Target="result/&#12497;&#12527;&#12503;&#12525;2020%20-%20&#25237;&#29699;&#35299;&#26512;%20-%202020-08-24%2012-42-52-09_ball.txt" TargetMode="External"/><Relationship Id="rId1953" Type="http://schemas.openxmlformats.org/officeDocument/2006/relationships/hyperlink" Target="out/&#12497;&#12527;&#12503;&#12525;2020%20-%20&#25237;&#29699;&#35299;&#26512;%20-%202020-08-26%2021-20-35-05_out.mp4" TargetMode="External"/><Relationship Id="rId38" Type="http://schemas.openxmlformats.org/officeDocument/2006/relationships/hyperlink" Target="result/&#12497;&#12527;&#12503;&#12525;2020%20-%20&#25237;&#29699;&#35299;&#26512;%20-%202020-08-23%2011-11-35-08_ball.txt" TargetMode="External"/><Relationship Id="rId1606" Type="http://schemas.openxmlformats.org/officeDocument/2006/relationships/hyperlink" Target="result/&#12497;&#12527;&#12503;&#12525;2020%20-%20&#25237;&#29699;&#35299;&#26512;%20-%202020-08-23%2016-29-37-08_ball.txt" TargetMode="External"/><Relationship Id="rId1813" Type="http://schemas.openxmlformats.org/officeDocument/2006/relationships/hyperlink" Target="out/&#12497;&#12527;&#12503;&#12525;2020%20-%20&#25237;&#29699;&#35299;&#26512;%20-%202020-08-24%2013-05-36-05_out.mp4" TargetMode="External"/><Relationship Id="rId187" Type="http://schemas.openxmlformats.org/officeDocument/2006/relationships/hyperlink" Target="out/&#12497;&#12527;&#12503;&#12525;2020%20-%20&#25237;&#29699;&#35299;&#26512;%20-%202020-08-23%2014-08-02-03_out.mp4" TargetMode="External"/><Relationship Id="rId394" Type="http://schemas.openxmlformats.org/officeDocument/2006/relationships/hyperlink" Target="result/&#12497;&#12527;&#12503;&#12525;2020%20-%20&#25237;&#29699;&#35299;&#26512;%20-%202020-08-23%2015-54-48-06_ball.txt" TargetMode="External"/><Relationship Id="rId2075" Type="http://schemas.openxmlformats.org/officeDocument/2006/relationships/hyperlink" Target="out/&#12497;&#12527;&#12503;&#12525;2020%20-%20&#25237;&#29699;&#35299;&#26512;%20-%202020-08-27%2018-19-19-06_out.mp4" TargetMode="External"/><Relationship Id="rId2282" Type="http://schemas.openxmlformats.org/officeDocument/2006/relationships/hyperlink" Target="result/&#12497;&#12527;&#12503;&#12525;2020%20-%20&#25237;&#29699;&#35299;&#26512;%20-%202020-08-29%2009-37-40-09_ball.txt" TargetMode="External"/><Relationship Id="rId254" Type="http://schemas.openxmlformats.org/officeDocument/2006/relationships/hyperlink" Target="result/&#12497;&#12527;&#12503;&#12525;2020%20-%20&#25237;&#29699;&#35299;&#26512;%20-%202020-08-23%2014-23-42-06_ball.txt" TargetMode="External"/><Relationship Id="rId699" Type="http://schemas.openxmlformats.org/officeDocument/2006/relationships/hyperlink" Target="out/&#12497;&#12527;&#12503;&#12525;2020%20-%20&#25237;&#29699;&#35299;&#26512;%20-%202020-08-24%2011-25-48-01_out.mp4" TargetMode="External"/><Relationship Id="rId1091" Type="http://schemas.openxmlformats.org/officeDocument/2006/relationships/hyperlink" Target="out/&#12497;&#12527;&#12503;&#12525;2020%20-%20&#25237;&#29699;&#35299;&#26512;%20-%202020-08-24%2012-42-52-01_out.mp4" TargetMode="External"/><Relationship Id="rId2587" Type="http://schemas.openxmlformats.org/officeDocument/2006/relationships/hyperlink" Target="out/&#12497;&#12527;&#12503;&#12525;2020%20-%20&#25237;&#29699;&#35299;&#26512;%20-%202020-08-29%2015-52-32-02_out.mp4" TargetMode="External"/><Relationship Id="rId2794" Type="http://schemas.openxmlformats.org/officeDocument/2006/relationships/hyperlink" Target="result/&#25237;&#29699;&#35299;&#26512;%20-%20&#12497;&#12527;&#12503;&#12525;2020%20-%202020-09-08%2023-39-02-05_ball.txt" TargetMode="External"/><Relationship Id="rId114" Type="http://schemas.openxmlformats.org/officeDocument/2006/relationships/hyperlink" Target="result/&#12497;&#12527;&#12503;&#12525;2020%20-%20&#25237;&#29699;&#35299;&#26512;%20-%202020-08-23%2011-16-20-06_ball.txt" TargetMode="External"/><Relationship Id="rId461" Type="http://schemas.openxmlformats.org/officeDocument/2006/relationships/hyperlink" Target="out/&#12497;&#12527;&#12503;&#12525;2020%20-%20&#25237;&#29699;&#35299;&#26512;%20-%202020-08-23%2016-09-58-01_out.mp4" TargetMode="External"/><Relationship Id="rId559" Type="http://schemas.openxmlformats.org/officeDocument/2006/relationships/hyperlink" Target="out/&#12497;&#12527;&#12503;&#12525;2020%20-%20&#25237;&#29699;&#35299;&#26512;%20-%202020-08-23%2016-26-58-00_out.mp4" TargetMode="External"/><Relationship Id="rId766" Type="http://schemas.openxmlformats.org/officeDocument/2006/relationships/hyperlink" Target="result/&#12497;&#12527;&#12503;&#12525;2020%20-%20&#25237;&#29699;&#35299;&#26512;%20-%202020-08-24%2012-03-33-05_ball.txt" TargetMode="External"/><Relationship Id="rId1189" Type="http://schemas.openxmlformats.org/officeDocument/2006/relationships/hyperlink" Target="out/&#12497;&#12527;&#12503;&#12525;2020%20-%20&#25237;&#29699;&#35299;&#26512;%20-%202020-08-24%2012-52-05-05_out.mp4" TargetMode="External"/><Relationship Id="rId1396" Type="http://schemas.openxmlformats.org/officeDocument/2006/relationships/hyperlink" Target="result/&#12497;&#12527;&#12503;&#12525;2020%20-%20&#25237;&#29699;&#35299;&#26512;%20-%202020-08-23%2014-18-29-03_ball.txt" TargetMode="External"/><Relationship Id="rId2142" Type="http://schemas.openxmlformats.org/officeDocument/2006/relationships/hyperlink" Target="result/&#12497;&#12527;&#12503;&#12525;2020%20-%20&#25237;&#29699;&#35299;&#26512;%20-%202020-08-27%2018-24-30-09_ball.txt" TargetMode="External"/><Relationship Id="rId2447" Type="http://schemas.openxmlformats.org/officeDocument/2006/relationships/hyperlink" Target="out/&#12497;&#12527;&#12503;&#12525;2020%20-%20&#25237;&#29699;&#35299;&#26512;%20-%202020-08-29%2015-44-12-03_out.mp4" TargetMode="External"/><Relationship Id="rId321" Type="http://schemas.openxmlformats.org/officeDocument/2006/relationships/hyperlink" Target="out/&#12497;&#12527;&#12503;&#12525;2020%20-%20&#25237;&#29699;&#35299;&#26512;%20-%202020-08-23%2015-48-07-00_out.mp4" TargetMode="External"/><Relationship Id="rId419" Type="http://schemas.openxmlformats.org/officeDocument/2006/relationships/hyperlink" Target="out/&#12497;&#12527;&#12503;&#12525;2020%20-%20&#25237;&#29699;&#35299;&#26512;%20-%202020-08-23%2016-06-08-00_out.mp4" TargetMode="External"/><Relationship Id="rId626" Type="http://schemas.openxmlformats.org/officeDocument/2006/relationships/hyperlink" Target="result/&#12497;&#12527;&#12503;&#12525;2020%20-%20&#25237;&#29699;&#35299;&#26512;%20-%202020-08-23%2016-32-07-03_ball.txt" TargetMode="External"/><Relationship Id="rId973" Type="http://schemas.openxmlformats.org/officeDocument/2006/relationships/hyperlink" Target="out/&#12497;&#12527;&#12503;&#12525;2020%20-%20&#25237;&#29699;&#35299;&#26512;%20-%202020-08-24%2012-32-08-03_out.mp4" TargetMode="External"/><Relationship Id="rId1049" Type="http://schemas.openxmlformats.org/officeDocument/2006/relationships/hyperlink" Target="out/&#12497;&#12527;&#12503;&#12525;2020%20-%20&#25237;&#29699;&#35299;&#26512;%20-%202020-08-24%2012-39-57-00_out.mp4" TargetMode="External"/><Relationship Id="rId1256" Type="http://schemas.openxmlformats.org/officeDocument/2006/relationships/hyperlink" Target="result/&#12497;&#12527;&#12503;&#12525;2020%20-%20&#25237;&#29699;&#35299;&#26512;%20-%202020-08-24%2013-00-20-08_ball.txt" TargetMode="External"/><Relationship Id="rId2002" Type="http://schemas.openxmlformats.org/officeDocument/2006/relationships/hyperlink" Target="result/&#12497;&#12527;&#12503;&#12525;2020%20-%20&#25237;&#29699;&#35299;&#26512;%20-%202020-08-26%2021-35-18-09_ball.txt" TargetMode="External"/><Relationship Id="rId2307" Type="http://schemas.openxmlformats.org/officeDocument/2006/relationships/hyperlink" Target="out/&#12497;&#12527;&#12503;&#12525;2020%20-%20&#25237;&#29699;&#35299;&#26512;%20-%202020-08-29%2009-41-06-02_out.mp4" TargetMode="External"/><Relationship Id="rId2654" Type="http://schemas.openxmlformats.org/officeDocument/2006/relationships/hyperlink" Target="result/&#12497;&#12527;&#12503;&#12525;2020%20-%20&#25237;&#29699;&#35299;&#26512;%20-%202020-08-29%2015-56-35-05_ball.txt" TargetMode="External"/><Relationship Id="rId833" Type="http://schemas.openxmlformats.org/officeDocument/2006/relationships/hyperlink" Target="out/&#12497;&#12527;&#12503;&#12525;2020%20-%20&#25237;&#29699;&#35299;&#26512;%20-%202020-08-24%2012-08-41-09_out.mp4" TargetMode="External"/><Relationship Id="rId1116" Type="http://schemas.openxmlformats.org/officeDocument/2006/relationships/hyperlink" Target="result/&#12497;&#12527;&#12503;&#12525;2020%20-%20&#25237;&#29699;&#35299;&#26512;%20-%202020-08-24%2012-46-03-00_ball.txt" TargetMode="External"/><Relationship Id="rId1463" Type="http://schemas.openxmlformats.org/officeDocument/2006/relationships/hyperlink" Target="out/&#12497;&#12527;&#12503;&#12525;2020%20-%20&#25237;&#29699;&#35299;&#26512;%20-%202020-08-23%2015-51-08-08_out.mp4" TargetMode="External"/><Relationship Id="rId1670" Type="http://schemas.openxmlformats.org/officeDocument/2006/relationships/hyperlink" Target="result/&#12497;&#12527;&#12503;&#12525;2020%20-%20&#25237;&#29699;&#35299;&#26512;%20-%202020-08-24%2012-11-18-05_ball.txt" TargetMode="External"/><Relationship Id="rId1768" Type="http://schemas.openxmlformats.org/officeDocument/2006/relationships/hyperlink" Target="result/&#12497;&#12527;&#12503;&#12525;2020%20-%20&#25237;&#29699;&#35299;&#26512;%20-%202020-08-24%2012-50-30-02_ball.txt" TargetMode="External"/><Relationship Id="rId2514" Type="http://schemas.openxmlformats.org/officeDocument/2006/relationships/hyperlink" Target="result/&#12497;&#12527;&#12503;&#12525;2020%20-%20&#25237;&#29699;&#35299;&#26512;%20-%202020-08-29%2015-48-09-05_ball.txt" TargetMode="External"/><Relationship Id="rId2721" Type="http://schemas.openxmlformats.org/officeDocument/2006/relationships/hyperlink" Target="out/&#12497;&#12527;&#12503;&#12525;2020%20-%20&#25237;&#29699;&#35299;&#26512;%20-%202020-08-29%2016-00-15-09_out.mp4" TargetMode="External"/><Relationship Id="rId900" Type="http://schemas.openxmlformats.org/officeDocument/2006/relationships/hyperlink" Target="result/&#12497;&#12527;&#12503;&#12525;2020%20-%20&#25237;&#29699;&#35299;&#26512;%20-%202020-08-24%2012-21-33-06_ball.txt" TargetMode="External"/><Relationship Id="rId1323" Type="http://schemas.openxmlformats.org/officeDocument/2006/relationships/hyperlink" Target="out/&#12497;&#12527;&#12503;&#12525;2020%20-%20&#25237;&#29699;&#35299;&#26512;%20-%202020-08-24%2013-09-18-03_out.mp4" TargetMode="External"/><Relationship Id="rId1530" Type="http://schemas.openxmlformats.org/officeDocument/2006/relationships/hyperlink" Target="result/&#12497;&#12527;&#12503;&#12525;2020%20-%20&#25237;&#29699;&#35299;&#26512;%20-%202020-08-23%2016-07-35-01_ball.txt" TargetMode="External"/><Relationship Id="rId1628" Type="http://schemas.openxmlformats.org/officeDocument/2006/relationships/hyperlink" Target="result/&#12497;&#12527;&#12503;&#12525;2020%20-%20&#25237;&#29699;&#35299;&#26512;%20-%202020-08-24%2011-25-48-08_ball.txt" TargetMode="External"/><Relationship Id="rId1975" Type="http://schemas.openxmlformats.org/officeDocument/2006/relationships/hyperlink" Target="out/&#12497;&#12527;&#12503;&#12525;2020%20-%20&#25237;&#29699;&#35299;&#26512;%20-%202020-08-26%2021-30-58-06_out.mp4" TargetMode="External"/><Relationship Id="rId1835" Type="http://schemas.openxmlformats.org/officeDocument/2006/relationships/hyperlink" Target="out/&#12497;&#12527;&#12503;&#12525;2020%20-%20&#25237;&#29699;&#35299;&#26512;%20-%202020-08-24%2013-16-19-02_out.mp4" TargetMode="External"/><Relationship Id="rId1902" Type="http://schemas.openxmlformats.org/officeDocument/2006/relationships/hyperlink" Target="result/&#12497;&#12527;&#12503;&#12525;2020%20-%20&#25237;&#29699;&#35299;&#26512;%20-%202020-08-26%2021-15-29-06_ball.txt" TargetMode="External"/><Relationship Id="rId2097" Type="http://schemas.openxmlformats.org/officeDocument/2006/relationships/hyperlink" Target="out/&#12497;&#12527;&#12503;&#12525;2020%20-%20&#25237;&#29699;&#35299;&#26512;%20-%202020-08-27%2018-21-04-07_out.mp4" TargetMode="External"/><Relationship Id="rId276" Type="http://schemas.openxmlformats.org/officeDocument/2006/relationships/hyperlink" Target="result/&#12497;&#12527;&#12503;&#12525;2020%20-%20&#25237;&#29699;&#35299;&#26512;%20-%202020-08-23%2014-24-49-07_ball.txt" TargetMode="External"/><Relationship Id="rId483" Type="http://schemas.openxmlformats.org/officeDocument/2006/relationships/hyperlink" Target="out/&#12497;&#12527;&#12503;&#12525;2020%20-%20&#25237;&#29699;&#35299;&#26512;%20-%202020-08-23%2016-12-41-02_out.mp4" TargetMode="External"/><Relationship Id="rId690" Type="http://schemas.openxmlformats.org/officeDocument/2006/relationships/hyperlink" Target="result/&#12497;&#12527;&#12503;&#12525;2020%20-%20&#25237;&#29699;&#35299;&#26512;%20-%202020-08-24%2011-24-36-06_ball.txt" TargetMode="External"/><Relationship Id="rId2164" Type="http://schemas.openxmlformats.org/officeDocument/2006/relationships/hyperlink" Target="result/&#12497;&#12527;&#12503;&#12525;2020%20-%20&#25237;&#29699;&#35299;&#26512;%20-%202020-08-28%2022-31-31-00_ball.txt" TargetMode="External"/><Relationship Id="rId2371" Type="http://schemas.openxmlformats.org/officeDocument/2006/relationships/hyperlink" Target="out/&#12497;&#12527;&#12503;&#12525;2020%20-%20&#25237;&#29699;&#35299;&#26512;%20-%202020-08-29%2009-46-05-05_out.mp4" TargetMode="External"/><Relationship Id="rId136" Type="http://schemas.openxmlformats.org/officeDocument/2006/relationships/hyperlink" Target="result/&#12497;&#12527;&#12503;&#12525;2020%20-%20&#25237;&#29699;&#35299;&#26512;%20-%202020-08-23%2014-04-47-07_ball.txt" TargetMode="External"/><Relationship Id="rId343" Type="http://schemas.openxmlformats.org/officeDocument/2006/relationships/hyperlink" Target="out/&#12497;&#12527;&#12503;&#12525;2020%20-%20&#25237;&#29699;&#35299;&#26512;%20-%202020-08-23%2015-49-19-01_out.mp4" TargetMode="External"/><Relationship Id="rId550" Type="http://schemas.openxmlformats.org/officeDocument/2006/relationships/hyperlink" Target="result/&#12497;&#12527;&#12503;&#12525;2020%20-%20&#25237;&#29699;&#35299;&#26512;%20-%202020-08-23%2016-25-48-05_ball.txt" TargetMode="External"/><Relationship Id="rId788" Type="http://schemas.openxmlformats.org/officeDocument/2006/relationships/hyperlink" Target="result/&#12497;&#12527;&#12503;&#12525;2020%20-%20&#25237;&#29699;&#35299;&#26512;%20-%202020-08-24%2012-04-51-06_ball.txt" TargetMode="External"/><Relationship Id="rId995" Type="http://schemas.openxmlformats.org/officeDocument/2006/relationships/hyperlink" Target="out/&#12497;&#12527;&#12503;&#12525;2020%20-%20&#25237;&#29699;&#35299;&#26512;%20-%202020-08-24%2012-33-48-04_out.mp4" TargetMode="External"/><Relationship Id="rId1180" Type="http://schemas.openxmlformats.org/officeDocument/2006/relationships/hyperlink" Target="result/&#12497;&#12527;&#12503;&#12525;2020%20-%20&#25237;&#29699;&#35299;&#26512;%20-%202020-08-24%2012-52-05-00_ball.txt" TargetMode="External"/><Relationship Id="rId2024" Type="http://schemas.openxmlformats.org/officeDocument/2006/relationships/hyperlink" Target="result/&#12497;&#12527;&#12503;&#12525;2020%20-%20&#25237;&#29699;&#35299;&#26512;%20-%202020-08-27%2018-16-14-00_ball.txt" TargetMode="External"/><Relationship Id="rId2231" Type="http://schemas.openxmlformats.org/officeDocument/2006/relationships/hyperlink" Target="out/&#12497;&#12527;&#12503;&#12525;2020%20-%20&#25237;&#29699;&#35299;&#26512;%20-%202020-08-28%2022-36-12-04_out.mp4" TargetMode="External"/><Relationship Id="rId2469" Type="http://schemas.openxmlformats.org/officeDocument/2006/relationships/hyperlink" Target="out/&#12497;&#12527;&#12503;&#12525;2020%20-%20&#25237;&#29699;&#35299;&#26512;%20-%202020-08-29%2015-45-22-03_out.mp4" TargetMode="External"/><Relationship Id="rId2676" Type="http://schemas.openxmlformats.org/officeDocument/2006/relationships/hyperlink" Target="result/&#12497;&#12527;&#12503;&#12525;2020%20-%20&#25237;&#29699;&#35299;&#26512;%20-%202020-08-29%2015-57-36-06_ball.txt" TargetMode="External"/><Relationship Id="rId203" Type="http://schemas.openxmlformats.org/officeDocument/2006/relationships/hyperlink" Target="out/&#12497;&#12527;&#12503;&#12525;2020%20-%20&#25237;&#29699;&#35299;&#26512;%20-%202020-08-23%2014-19-33-01_out.mp4" TargetMode="External"/><Relationship Id="rId648" Type="http://schemas.openxmlformats.org/officeDocument/2006/relationships/hyperlink" Target="result/&#12497;&#12527;&#12503;&#12525;2020%20-%20&#25237;&#29699;&#35299;&#26512;%20-%202020-08-23%2016-33-27-04_ball.txt" TargetMode="External"/><Relationship Id="rId855" Type="http://schemas.openxmlformats.org/officeDocument/2006/relationships/hyperlink" Target="out/&#12497;&#12527;&#12503;&#12525;2020%20-%20&#25237;&#29699;&#35299;&#26512;%20-%202020-08-24%2012-10-03-08_out.mp4" TargetMode="External"/><Relationship Id="rId1040" Type="http://schemas.openxmlformats.org/officeDocument/2006/relationships/hyperlink" Target="result/&#12497;&#12527;&#12503;&#12525;2020%20-%20&#25237;&#29699;&#35299;&#26512;%20-%202020-08-24%2012-38-24-05_ball.txt" TargetMode="External"/><Relationship Id="rId1278" Type="http://schemas.openxmlformats.org/officeDocument/2006/relationships/hyperlink" Target="result/&#12497;&#12527;&#12503;&#12525;2020%20-%20&#25237;&#29699;&#35299;&#26512;%20-%202020-08-24%2013-03-51-00_ball.txt" TargetMode="External"/><Relationship Id="rId1485" Type="http://schemas.openxmlformats.org/officeDocument/2006/relationships/hyperlink" Target="out/&#12497;&#12527;&#12503;&#12525;2020%20-%20&#25237;&#29699;&#35299;&#26512;%20-%202020-08-23%2015-53-39-09_out.mp4" TargetMode="External"/><Relationship Id="rId1692" Type="http://schemas.openxmlformats.org/officeDocument/2006/relationships/hyperlink" Target="result/&#12497;&#12527;&#12503;&#12525;2020%20-%20&#25237;&#29699;&#35299;&#26512;%20-%202020-08-24%2012-24-03-00_ball.txt" TargetMode="External"/><Relationship Id="rId2329" Type="http://schemas.openxmlformats.org/officeDocument/2006/relationships/hyperlink" Target="out/&#12497;&#12527;&#12503;&#12525;2020%20-%20&#25237;&#29699;&#35299;&#26512;%20-%202020-08-29%2009-42-48-03_out.mp4" TargetMode="External"/><Relationship Id="rId2536" Type="http://schemas.openxmlformats.org/officeDocument/2006/relationships/hyperlink" Target="result/&#12497;&#12527;&#12503;&#12525;2020%20-%20&#25237;&#29699;&#35299;&#26512;%20-%202020-08-29%2015-49-13-06_ball.txt" TargetMode="External"/><Relationship Id="rId2743" Type="http://schemas.openxmlformats.org/officeDocument/2006/relationships/hyperlink" Target="out/&#12497;&#12527;&#12503;&#12525;2020%20-%20&#25237;&#29699;&#35299;&#26512;%20-%202020-08-29%2016-06-51-00_out.mp4" TargetMode="External"/><Relationship Id="rId410" Type="http://schemas.openxmlformats.org/officeDocument/2006/relationships/hyperlink" Target="result/&#12497;&#12527;&#12503;&#12525;2020%20-%20&#25237;&#29699;&#35299;&#26512;%20-%202020-08-23%2016-03-31-05_ball.txt" TargetMode="External"/><Relationship Id="rId508" Type="http://schemas.openxmlformats.org/officeDocument/2006/relationships/hyperlink" Target="result/&#12497;&#12527;&#12503;&#12525;2020%20-%20&#25237;&#29699;&#35299;&#26512;%20-%202020-08-23%2016-13-55-04_ball.txt" TargetMode="External"/><Relationship Id="rId715" Type="http://schemas.openxmlformats.org/officeDocument/2006/relationships/hyperlink" Target="out/&#12497;&#12527;&#12503;&#12525;2020%20-%20&#25237;&#29699;&#35299;&#26512;%20-%202020-08-24%2012-00-01-07_out.mp4" TargetMode="External"/><Relationship Id="rId922" Type="http://schemas.openxmlformats.org/officeDocument/2006/relationships/hyperlink" Target="result/&#12497;&#12527;&#12503;&#12525;2020%20-%20&#25237;&#29699;&#35299;&#26512;%20-%202020-08-24%2012-24-03-06_ball.txt" TargetMode="External"/><Relationship Id="rId1138" Type="http://schemas.openxmlformats.org/officeDocument/2006/relationships/hyperlink" Target="result/&#12497;&#12527;&#12503;&#12525;2020%20-%20&#25237;&#29699;&#35299;&#26512;%20-%202020-08-24%2012-46-03-11_ball.txt" TargetMode="External"/><Relationship Id="rId1345" Type="http://schemas.openxmlformats.org/officeDocument/2006/relationships/hyperlink" Target="out/&#12497;&#12527;&#12503;&#12525;2020%20-%20&#25237;&#29699;&#35299;&#26512;%20-%202020-08-24%2013-14-19-01_out.mp4" TargetMode="External"/><Relationship Id="rId1552" Type="http://schemas.openxmlformats.org/officeDocument/2006/relationships/hyperlink" Target="result/&#12497;&#12527;&#12503;&#12525;2020%20-%20&#25237;&#29699;&#35299;&#26512;%20-%202020-08-23%2016-11-33-02_ball.txt" TargetMode="External"/><Relationship Id="rId1997" Type="http://schemas.openxmlformats.org/officeDocument/2006/relationships/hyperlink" Target="out/&#12497;&#12527;&#12503;&#12525;2020%20-%20&#25237;&#29699;&#35299;&#26512;%20-%202020-08-26%2021-35-18-07_out.mp4" TargetMode="External"/><Relationship Id="rId2603" Type="http://schemas.openxmlformats.org/officeDocument/2006/relationships/hyperlink" Target="out/&#12497;&#12527;&#12503;&#12525;2020%20-%20&#25237;&#29699;&#35299;&#26512;%20-%202020-08-29%2015-53-40-00_out.mp4" TargetMode="External"/><Relationship Id="rId1205" Type="http://schemas.openxmlformats.org/officeDocument/2006/relationships/hyperlink" Target="out/&#12497;&#12527;&#12503;&#12525;2020%20-%20&#25237;&#29699;&#35299;&#26512;%20-%202020-08-24%2012-53-43-03_out.mp4" TargetMode="External"/><Relationship Id="rId1857" Type="http://schemas.openxmlformats.org/officeDocument/2006/relationships/hyperlink" Target="out/&#12497;&#12527;&#12503;&#12525;2020%20-%20&#25237;&#29699;&#35299;&#26512;%20-%202020-08-24%2013-17-56-04_out.mp4" TargetMode="External"/><Relationship Id="rId51" Type="http://schemas.openxmlformats.org/officeDocument/2006/relationships/hyperlink" Target="out/&#12497;&#12527;&#12503;&#12525;2020%20-%20&#25237;&#29699;&#35299;&#26512;%20-%202020-08-23%2011-12-45-05_out.mp4" TargetMode="External"/><Relationship Id="rId1412" Type="http://schemas.openxmlformats.org/officeDocument/2006/relationships/hyperlink" Target="result/&#12497;&#12527;&#12503;&#12525;2020%20-%20&#25237;&#29699;&#35299;&#26512;%20-%202020-08-23%2014-22-38-01_ball.txt" TargetMode="External"/><Relationship Id="rId1717" Type="http://schemas.openxmlformats.org/officeDocument/2006/relationships/hyperlink" Target="out/&#12497;&#12527;&#12503;&#12525;2020%20-%20&#25237;&#29699;&#35299;&#26512;%20-%202020-08-24%2012-32-08-00_out.mp4" TargetMode="External"/><Relationship Id="rId1924" Type="http://schemas.openxmlformats.org/officeDocument/2006/relationships/hyperlink" Target="result/&#12497;&#12527;&#12503;&#12525;2020%20-%20&#25237;&#29699;&#35299;&#26512;%20-%202020-08-26%2021-19-02-00_ball.txt" TargetMode="External"/><Relationship Id="rId298" Type="http://schemas.openxmlformats.org/officeDocument/2006/relationships/hyperlink" Target="result/&#12497;&#12527;&#12503;&#12525;2020%20-%20&#25237;&#29699;&#35299;&#26512;%20-%202020-08-23%2014-25-58-08_ball.txt" TargetMode="External"/><Relationship Id="rId158" Type="http://schemas.openxmlformats.org/officeDocument/2006/relationships/hyperlink" Target="result/&#12497;&#12527;&#12503;&#12525;2020%20-%20&#25237;&#29699;&#35299;&#26512;%20-%202020-08-23%2014-05-50-08_ball.txt" TargetMode="External"/><Relationship Id="rId2186" Type="http://schemas.openxmlformats.org/officeDocument/2006/relationships/hyperlink" Target="result/&#12497;&#12527;&#12503;&#12525;2020%20-%20&#25237;&#29699;&#35299;&#26512;%20-%202020-08-28%2022-33-04-01_ball.txt" TargetMode="External"/><Relationship Id="rId2393" Type="http://schemas.openxmlformats.org/officeDocument/2006/relationships/hyperlink" Target="out/&#12497;&#12527;&#12503;&#12525;2020%20-%20&#25237;&#29699;&#35299;&#26512;%20-%202020-08-29%2009-48-04-06_out.mp4" TargetMode="External"/><Relationship Id="rId2698" Type="http://schemas.openxmlformats.org/officeDocument/2006/relationships/hyperlink" Target="result/&#12497;&#12527;&#12503;&#12525;2020%20-%20&#25237;&#29699;&#35299;&#26512;%20-%202020-08-29%2015-58-43-07_ball.txt" TargetMode="External"/><Relationship Id="rId365" Type="http://schemas.openxmlformats.org/officeDocument/2006/relationships/hyperlink" Target="out/&#12497;&#12527;&#12503;&#12525;2020%20-%20&#25237;&#29699;&#35299;&#26512;%20-%202020-08-23%2015-52-13-02_out.mp4" TargetMode="External"/><Relationship Id="rId572" Type="http://schemas.openxmlformats.org/officeDocument/2006/relationships/hyperlink" Target="result/&#12497;&#12527;&#12503;&#12525;2020%20-%20&#25237;&#29699;&#35299;&#26512;%20-%202020-08-23%2016-26-58-06_ball.txt" TargetMode="External"/><Relationship Id="rId2046" Type="http://schemas.openxmlformats.org/officeDocument/2006/relationships/hyperlink" Target="result/&#12497;&#12527;&#12503;&#12525;2020%20-%20&#25237;&#29699;&#35299;&#26512;%20-%202020-08-27%2018-17-46-01_ball.txt" TargetMode="External"/><Relationship Id="rId2253" Type="http://schemas.openxmlformats.org/officeDocument/2006/relationships/hyperlink" Target="out/&#12497;&#12527;&#12503;&#12525;2020%20-%20&#25237;&#29699;&#35299;&#26512;%20-%202020-08-28%2022-37-55-05_out.mp4" TargetMode="External"/><Relationship Id="rId2460" Type="http://schemas.openxmlformats.org/officeDocument/2006/relationships/hyperlink" Target="result/&#12497;&#12527;&#12503;&#12525;2020%20-%20&#25237;&#29699;&#35299;&#26512;%20-%202020-08-29%2015-44-12-09_ball.txt" TargetMode="External"/><Relationship Id="rId225" Type="http://schemas.openxmlformats.org/officeDocument/2006/relationships/hyperlink" Target="out/&#12497;&#12527;&#12503;&#12525;2020%20-%20&#25237;&#29699;&#35299;&#26512;%20-%202020-08-23%2014-21-04-02_out.mp4" TargetMode="External"/><Relationship Id="rId432" Type="http://schemas.openxmlformats.org/officeDocument/2006/relationships/hyperlink" Target="result/&#12497;&#12527;&#12503;&#12525;2020%20-%20&#25237;&#29699;&#35299;&#26512;%20-%202020-08-23%2016-06-08-06_ball.txt" TargetMode="External"/><Relationship Id="rId877" Type="http://schemas.openxmlformats.org/officeDocument/2006/relationships/hyperlink" Target="out/&#12497;&#12527;&#12503;&#12525;2020%20-%20&#25237;&#29699;&#35299;&#26512;%20-%202020-08-24%2012-12-56-05_out.mp4" TargetMode="External"/><Relationship Id="rId1062" Type="http://schemas.openxmlformats.org/officeDocument/2006/relationships/hyperlink" Target="result/&#12497;&#12527;&#12503;&#12525;2020%20-%20&#25237;&#29699;&#35299;&#26512;%20-%202020-08-24%2012-39-57-06_ball.txt" TargetMode="External"/><Relationship Id="rId2113" Type="http://schemas.openxmlformats.org/officeDocument/2006/relationships/hyperlink" Target="out/&#12497;&#12527;&#12503;&#12525;2020%20-%20&#25237;&#29699;&#35299;&#26512;%20-%202020-08-27%2018-22-42-05_out.mp4" TargetMode="External"/><Relationship Id="rId2320" Type="http://schemas.openxmlformats.org/officeDocument/2006/relationships/hyperlink" Target="result/&#12497;&#12527;&#12503;&#12525;2020%20-%20&#25237;&#29699;&#35299;&#26512;%20-%202020-08-29%2009-41-06-08_ball.txt" TargetMode="External"/><Relationship Id="rId2558" Type="http://schemas.openxmlformats.org/officeDocument/2006/relationships/hyperlink" Target="result/&#12497;&#12527;&#12503;&#12525;2020%20-%20&#25237;&#29699;&#35299;&#26512;%20-%202020-08-29%2015-50-19-07_ball.txt" TargetMode="External"/><Relationship Id="rId2765" Type="http://schemas.openxmlformats.org/officeDocument/2006/relationships/hyperlink" Target="out/&#25237;&#29699;&#35299;&#26512;%20-%20&#12497;&#12527;&#12503;&#12525;2020%20-%202020-09-08%2023-37-52-01_out.mp4" TargetMode="External"/><Relationship Id="rId737" Type="http://schemas.openxmlformats.org/officeDocument/2006/relationships/hyperlink" Target="out/&#12497;&#12527;&#12503;&#12525;2020%20-%20&#25237;&#29699;&#35299;&#26512;%20-%202020-08-24%2012-02-12-01_out.mp4" TargetMode="External"/><Relationship Id="rId944" Type="http://schemas.openxmlformats.org/officeDocument/2006/relationships/hyperlink" Target="result/&#12497;&#12527;&#12503;&#12525;2020%20-%20&#25237;&#29699;&#35299;&#26512;%20-%202020-08-24%2012-25-33-07_ball.txt" TargetMode="External"/><Relationship Id="rId1367" Type="http://schemas.openxmlformats.org/officeDocument/2006/relationships/hyperlink" Target="out/&#12497;&#12527;&#12503;&#12525;2020%20-%20&#25237;&#29699;&#35299;&#26512;%20-%202020-08-23%2011-08-57-09_out.mp4" TargetMode="External"/><Relationship Id="rId1574" Type="http://schemas.openxmlformats.org/officeDocument/2006/relationships/hyperlink" Target="result/&#12497;&#12527;&#12503;&#12525;2020%20-%20&#25237;&#29699;&#35299;&#26512;%20-%202020-08-23%2016-24-41-03_ball.txt" TargetMode="External"/><Relationship Id="rId1781" Type="http://schemas.openxmlformats.org/officeDocument/2006/relationships/hyperlink" Target="out/&#12497;&#12527;&#12503;&#12525;2020%20-%20&#25237;&#29699;&#35299;&#26512;%20-%202020-08-24%2012-55-39-08_out.mp4" TargetMode="External"/><Relationship Id="rId2418" Type="http://schemas.openxmlformats.org/officeDocument/2006/relationships/hyperlink" Target="result/&#12497;&#12527;&#12503;&#12525;2020%20-%20&#25237;&#29699;&#35299;&#26512;%20-%202020-08-29%2009-49-52-08_ball.txt" TargetMode="External"/><Relationship Id="rId2625" Type="http://schemas.openxmlformats.org/officeDocument/2006/relationships/hyperlink" Target="out/&#12497;&#12527;&#12503;&#12525;2020%20-%20&#25237;&#29699;&#35299;&#26512;%20-%202020-08-29%2015-55-24-01_out.mp4" TargetMode="External"/><Relationship Id="rId73" Type="http://schemas.openxmlformats.org/officeDocument/2006/relationships/hyperlink" Target="out/&#12497;&#12527;&#12503;&#12525;2020%20-%20&#25237;&#29699;&#35299;&#26512;%20-%202020-08-23%2011-13-59-06_out.mp4" TargetMode="External"/><Relationship Id="rId804" Type="http://schemas.openxmlformats.org/officeDocument/2006/relationships/hyperlink" Target="result/&#12497;&#12527;&#12503;&#12525;2020%20-%20&#25237;&#29699;&#35299;&#26512;%20-%202020-08-24%2012-07-26-04_ball.txt" TargetMode="External"/><Relationship Id="rId1227" Type="http://schemas.openxmlformats.org/officeDocument/2006/relationships/hyperlink" Target="out/&#12497;&#12527;&#12503;&#12525;2020%20-%20&#25237;&#29699;&#35299;&#26512;%20-%202020-08-24%2012-55-39-04_out.mp4" TargetMode="External"/><Relationship Id="rId1434" Type="http://schemas.openxmlformats.org/officeDocument/2006/relationships/hyperlink" Target="result/&#12497;&#12527;&#12503;&#12525;2020%20-%20&#25237;&#29699;&#35299;&#26512;%20-%202020-08-23%2015-47-01-03_ball.txt" TargetMode="External"/><Relationship Id="rId1641" Type="http://schemas.openxmlformats.org/officeDocument/2006/relationships/hyperlink" Target="out/&#12497;&#12527;&#12503;&#12525;2020%20-%20&#25237;&#29699;&#35299;&#26512;%20-%202020-08-24%2012-00-01-05_out.mp4" TargetMode="External"/><Relationship Id="rId1879" Type="http://schemas.openxmlformats.org/officeDocument/2006/relationships/hyperlink" Target="out/&#12497;&#12527;&#12503;&#12525;2020%20-%20&#25237;&#29699;&#35299;&#26512;%20-%202020-08-24%2013-20-06-05_out.mp4" TargetMode="External"/><Relationship Id="rId1501" Type="http://schemas.openxmlformats.org/officeDocument/2006/relationships/hyperlink" Target="out/&#12497;&#12527;&#12503;&#12525;2020%20-%20&#25237;&#29699;&#35299;&#26512;%20-%202020-08-23%2015-56-09-07_out.mp4" TargetMode="External"/><Relationship Id="rId1739" Type="http://schemas.openxmlformats.org/officeDocument/2006/relationships/hyperlink" Target="out/&#12497;&#12527;&#12503;&#12525;2020%20-%20&#25237;&#29699;&#35299;&#26512;%20-%202020-08-24%2012-42-52-06_out.mp4" TargetMode="External"/><Relationship Id="rId1946" Type="http://schemas.openxmlformats.org/officeDocument/2006/relationships/hyperlink" Target="result/&#12497;&#12527;&#12503;&#12525;2020%20-%20&#25237;&#29699;&#35299;&#26512;%20-%202020-08-26%2021-20-35-01_ball.txt" TargetMode="External"/><Relationship Id="rId1806" Type="http://schemas.openxmlformats.org/officeDocument/2006/relationships/hyperlink" Target="result/&#12497;&#12527;&#12503;&#12525;2020%20-%20&#25237;&#29699;&#35299;&#26512;%20-%202020-08-24%2013-05-36-01_ball.txt" TargetMode="External"/><Relationship Id="rId387" Type="http://schemas.openxmlformats.org/officeDocument/2006/relationships/hyperlink" Target="out/&#12497;&#12527;&#12503;&#12525;2020%20-%20&#25237;&#29699;&#35299;&#26512;%20-%202020-08-23%2015-54-48-03_out.mp4" TargetMode="External"/><Relationship Id="rId594" Type="http://schemas.openxmlformats.org/officeDocument/2006/relationships/hyperlink" Target="result/&#12497;&#12527;&#12503;&#12525;2020%20-%20&#25237;&#29699;&#35299;&#26512;%20-%202020-08-23%2016-28-07-07_ball.txt" TargetMode="External"/><Relationship Id="rId2068" Type="http://schemas.openxmlformats.org/officeDocument/2006/relationships/hyperlink" Target="result/&#12497;&#12527;&#12503;&#12525;2020%20-%20&#25237;&#29699;&#35299;&#26512;%20-%202020-08-27%2018-19-19-02_ball.txt" TargetMode="External"/><Relationship Id="rId2275" Type="http://schemas.openxmlformats.org/officeDocument/2006/relationships/hyperlink" Target="out/&#12497;&#12527;&#12503;&#12525;2020%20-%20&#25237;&#29699;&#35299;&#26512;%20-%202020-08-29%2009-37-40-06_out.mp4" TargetMode="External"/><Relationship Id="rId247" Type="http://schemas.openxmlformats.org/officeDocument/2006/relationships/hyperlink" Target="out/&#12497;&#12527;&#12503;&#12525;2020%20-%20&#25237;&#29699;&#35299;&#26512;%20-%202020-08-23%2014-23-42-03_out.mp4" TargetMode="External"/><Relationship Id="rId899" Type="http://schemas.openxmlformats.org/officeDocument/2006/relationships/hyperlink" Target="out/&#12497;&#12527;&#12503;&#12525;2020%20-%20&#25237;&#29699;&#35299;&#26512;%20-%202020-08-24%2012-21-33-06_out.mp4" TargetMode="External"/><Relationship Id="rId1084" Type="http://schemas.openxmlformats.org/officeDocument/2006/relationships/hyperlink" Target="result/&#12497;&#12527;&#12503;&#12525;2020%20-%20&#25237;&#29699;&#35299;&#26512;%20-%202020-08-24%2012-41-25-07_ball.txt" TargetMode="External"/><Relationship Id="rId2482" Type="http://schemas.openxmlformats.org/officeDocument/2006/relationships/hyperlink" Target="result/&#12497;&#12527;&#12503;&#12525;2020%20-%20&#25237;&#29699;&#35299;&#26512;%20-%202020-08-29%2015-45-22-09_ball.txt" TargetMode="External"/><Relationship Id="rId2787" Type="http://schemas.openxmlformats.org/officeDocument/2006/relationships/hyperlink" Target="out/&#25237;&#29699;&#35299;&#26512;%20-%20&#12497;&#12527;&#12503;&#12525;2020%20-%202020-09-08%2023-39-02-02_out.mp4" TargetMode="External"/><Relationship Id="rId107" Type="http://schemas.openxmlformats.org/officeDocument/2006/relationships/hyperlink" Target="out/&#12497;&#12527;&#12503;&#12525;2020%20-%20&#25237;&#29699;&#35299;&#26512;%20-%202020-08-23%2011-16-20-03_out.mp4" TargetMode="External"/><Relationship Id="rId454" Type="http://schemas.openxmlformats.org/officeDocument/2006/relationships/hyperlink" Target="result/&#12497;&#12527;&#12503;&#12525;2020%20-%20&#25237;&#29699;&#35299;&#26512;%20-%202020-08-23%2016-08-46-07_ball.txt" TargetMode="External"/><Relationship Id="rId661" Type="http://schemas.openxmlformats.org/officeDocument/2006/relationships/hyperlink" Target="out/&#12497;&#12527;&#12503;&#12525;2020%20-%20&#25237;&#29699;&#35299;&#26512;%20-%202020-08-24%2011-23-23-02_out.mp4" TargetMode="External"/><Relationship Id="rId759" Type="http://schemas.openxmlformats.org/officeDocument/2006/relationships/hyperlink" Target="out/&#12497;&#12527;&#12503;&#12525;2020%20-%20&#25237;&#29699;&#35299;&#26512;%20-%202020-08-24%2012-03-33-02_out.mp4" TargetMode="External"/><Relationship Id="rId966" Type="http://schemas.openxmlformats.org/officeDocument/2006/relationships/hyperlink" Target="result/&#12497;&#12527;&#12503;&#12525;2020%20-%20&#25237;&#29699;&#35299;&#26512;%20-%202020-08-24%2012-26-53-08_ball.txt" TargetMode="External"/><Relationship Id="rId1291" Type="http://schemas.openxmlformats.org/officeDocument/2006/relationships/hyperlink" Target="out/&#12497;&#12527;&#12503;&#12525;2020%20-%20&#25237;&#29699;&#35299;&#26512;%20-%202020-08-24%2013-05-36-07_out.mp4" TargetMode="External"/><Relationship Id="rId1389" Type="http://schemas.openxmlformats.org/officeDocument/2006/relationships/hyperlink" Target="out/&#12497;&#12527;&#12503;&#12525;2020%20-%20&#25237;&#29699;&#35299;&#26512;%20-%202020-08-23%2014-18-29-00_out.mp4" TargetMode="External"/><Relationship Id="rId1596" Type="http://schemas.openxmlformats.org/officeDocument/2006/relationships/hyperlink" Target="result/&#12497;&#12527;&#12503;&#12525;2020%20-%20&#25237;&#29699;&#35299;&#26512;%20-%202020-08-23%2016-29-37-03_ball.txt" TargetMode="External"/><Relationship Id="rId2135" Type="http://schemas.openxmlformats.org/officeDocument/2006/relationships/hyperlink" Target="out/&#12497;&#12527;&#12503;&#12525;2020%20-%20&#25237;&#29699;&#35299;&#26512;%20-%202020-08-27%2018-24-30-06_out.mp4" TargetMode="External"/><Relationship Id="rId2342" Type="http://schemas.openxmlformats.org/officeDocument/2006/relationships/hyperlink" Target="result/&#12497;&#12527;&#12503;&#12525;2020%20-%20&#25237;&#29699;&#35299;&#26512;%20-%202020-08-29%2009-44-23-00_ball.txt" TargetMode="External"/><Relationship Id="rId2647" Type="http://schemas.openxmlformats.org/officeDocument/2006/relationships/hyperlink" Target="out/&#12497;&#12527;&#12503;&#12525;2020%20-%20&#25237;&#29699;&#35299;&#26512;%20-%202020-08-29%2015-56-35-02_out.mp4" TargetMode="External"/><Relationship Id="rId314" Type="http://schemas.openxmlformats.org/officeDocument/2006/relationships/hyperlink" Target="result/&#12497;&#12527;&#12503;&#12525;2020%20-%20&#25237;&#29699;&#35299;&#26512;%20-%202020-08-23%2014-27-07-06_ball.txt" TargetMode="External"/><Relationship Id="rId521" Type="http://schemas.openxmlformats.org/officeDocument/2006/relationships/hyperlink" Target="out/&#12497;&#12527;&#12503;&#12525;2020%20-%20&#25237;&#29699;&#35299;&#26512;%20-%202020-08-23%2016-15-07-01_out.mp4" TargetMode="External"/><Relationship Id="rId619" Type="http://schemas.openxmlformats.org/officeDocument/2006/relationships/hyperlink" Target="out/&#12497;&#12527;&#12503;&#12525;2020%20-%20&#25237;&#29699;&#35299;&#26512;%20-%202020-08-23%2016-32-07-00_out.mp4" TargetMode="External"/><Relationship Id="rId1151" Type="http://schemas.openxmlformats.org/officeDocument/2006/relationships/hyperlink" Target="out/&#12497;&#12527;&#12503;&#12525;2020%20-%20&#25237;&#29699;&#35299;&#26512;%20-%202020-08-24%2012-47-45-03_out.mp4" TargetMode="External"/><Relationship Id="rId1249" Type="http://schemas.openxmlformats.org/officeDocument/2006/relationships/hyperlink" Target="out/&#12497;&#12527;&#12503;&#12525;2020%20-%20&#25237;&#29699;&#35299;&#26512;%20-%202020-08-24%2013-00-20-05_out.mp4" TargetMode="External"/><Relationship Id="rId2202" Type="http://schemas.openxmlformats.org/officeDocument/2006/relationships/hyperlink" Target="result/&#12497;&#12527;&#12503;&#12525;2020%20-%20&#25237;&#29699;&#35299;&#26512;%20-%202020-08-28%2022-33-04-09_ball.txt" TargetMode="External"/><Relationship Id="rId95" Type="http://schemas.openxmlformats.org/officeDocument/2006/relationships/hyperlink" Target="out/&#12497;&#12527;&#12503;&#12525;2020%20-%20&#25237;&#29699;&#35299;&#26512;%20-%202020-08-23%2011-15-09-07_out.mp4" TargetMode="External"/><Relationship Id="rId826" Type="http://schemas.openxmlformats.org/officeDocument/2006/relationships/hyperlink" Target="result/&#12497;&#12527;&#12503;&#12525;2020%20-%20&#25237;&#29699;&#35299;&#26512;%20-%202020-08-24%2012-08-41-05_ball.txt" TargetMode="External"/><Relationship Id="rId1011" Type="http://schemas.openxmlformats.org/officeDocument/2006/relationships/hyperlink" Target="out/&#12497;&#12527;&#12503;&#12525;2020%20-%20&#25237;&#29699;&#35299;&#26512;%20-%202020-08-24%2012-35-33-02_out.mp4" TargetMode="External"/><Relationship Id="rId1109" Type="http://schemas.openxmlformats.org/officeDocument/2006/relationships/hyperlink" Target="out/&#12497;&#12527;&#12503;&#12525;2020%20-%20&#25237;&#29699;&#35299;&#26512;%20-%202020-08-24%2012-44-26-10_out.mp4" TargetMode="External"/><Relationship Id="rId1456" Type="http://schemas.openxmlformats.org/officeDocument/2006/relationships/hyperlink" Target="result/&#12497;&#12527;&#12503;&#12525;2020%20-%20&#25237;&#29699;&#35299;&#26512;%20-%202020-08-23%2015-51-08-04_ball.txt" TargetMode="External"/><Relationship Id="rId1663" Type="http://schemas.openxmlformats.org/officeDocument/2006/relationships/hyperlink" Target="out/&#12497;&#12527;&#12503;&#12525;2020%20-%20&#25237;&#29699;&#35299;&#26512;%20-%202020-08-24%2012-11-18-02_out.mp4" TargetMode="External"/><Relationship Id="rId1870" Type="http://schemas.openxmlformats.org/officeDocument/2006/relationships/hyperlink" Target="result/&#12497;&#12527;&#12503;&#12525;2020%20-%20&#25237;&#29699;&#35299;&#26512;%20-%202020-08-24%2013-20-06-00_ball.txt" TargetMode="External"/><Relationship Id="rId1968" Type="http://schemas.openxmlformats.org/officeDocument/2006/relationships/hyperlink" Target="result/&#12497;&#12527;&#12503;&#12525;2020%20-%20&#25237;&#29699;&#35299;&#26512;%20-%202020-08-26%2021-30-58-02_ball.txt" TargetMode="External"/><Relationship Id="rId2507" Type="http://schemas.openxmlformats.org/officeDocument/2006/relationships/hyperlink" Target="out/&#12497;&#12527;&#12503;&#12525;2020%20-%20&#25237;&#29699;&#35299;&#26512;%20-%202020-08-29%2015-48-09-02_out.mp4" TargetMode="External"/><Relationship Id="rId2714" Type="http://schemas.openxmlformats.org/officeDocument/2006/relationships/hyperlink" Target="result/&#12497;&#12527;&#12503;&#12525;2020%20-%20&#25237;&#29699;&#35299;&#26512;%20-%202020-08-29%2016-00-15-05_ball.txt" TargetMode="External"/><Relationship Id="rId1316" Type="http://schemas.openxmlformats.org/officeDocument/2006/relationships/hyperlink" Target="result/&#12497;&#12527;&#12503;&#12525;2020%20-%20&#25237;&#29699;&#35299;&#26512;%20-%202020-08-24%2013-07-27-08_ball.txt" TargetMode="External"/><Relationship Id="rId1523" Type="http://schemas.openxmlformats.org/officeDocument/2006/relationships/hyperlink" Target="out/&#12497;&#12527;&#12503;&#12525;2020%20-%20&#25237;&#29699;&#35299;&#26512;%20-%202020-08-23%2016-04-57-08_out.mp4" TargetMode="External"/><Relationship Id="rId1730" Type="http://schemas.openxmlformats.org/officeDocument/2006/relationships/hyperlink" Target="result/&#12497;&#12527;&#12503;&#12525;2020%20-%20&#25237;&#29699;&#35299;&#26512;%20-%202020-08-24%2012-36-56-02_ball.txt" TargetMode="External"/><Relationship Id="rId22" Type="http://schemas.openxmlformats.org/officeDocument/2006/relationships/hyperlink" Target="result/&#12497;&#12527;&#12503;&#12525;2020%20-%20&#25237;&#29699;&#35299;&#26512;%20-%202020-08-23%2011-11-35-00_ball.txt" TargetMode="External"/><Relationship Id="rId1828" Type="http://schemas.openxmlformats.org/officeDocument/2006/relationships/hyperlink" Target="result/&#12497;&#12527;&#12503;&#12525;2020%20-%20&#25237;&#29699;&#35299;&#26512;%20-%202020-08-24%2013-14-19-08_ball.txt" TargetMode="External"/><Relationship Id="rId171" Type="http://schemas.openxmlformats.org/officeDocument/2006/relationships/hyperlink" Target="out/&#12497;&#12527;&#12503;&#12525;2020%20-%20&#25237;&#29699;&#35299;&#26512;%20-%202020-08-23%2014-06-56-05_out.mp4" TargetMode="External"/><Relationship Id="rId2297" Type="http://schemas.openxmlformats.org/officeDocument/2006/relationships/hyperlink" Target="out/&#12497;&#12527;&#12503;&#12525;2020%20-%20&#25237;&#29699;&#35299;&#26512;%20-%202020-08-29%2009-39-15-07_out.mp4" TargetMode="External"/><Relationship Id="rId269" Type="http://schemas.openxmlformats.org/officeDocument/2006/relationships/hyperlink" Target="out/&#12497;&#12527;&#12503;&#12525;2020%20-%20&#25237;&#29699;&#35299;&#26512;%20-%202020-08-23%2014-24-49-04_out.mp4" TargetMode="External"/><Relationship Id="rId476" Type="http://schemas.openxmlformats.org/officeDocument/2006/relationships/hyperlink" Target="result/&#12497;&#12527;&#12503;&#12525;2020%20-%20&#25237;&#29699;&#35299;&#26512;%20-%202020-08-23%2016-09-58-08_ball.txt" TargetMode="External"/><Relationship Id="rId683" Type="http://schemas.openxmlformats.org/officeDocument/2006/relationships/hyperlink" Target="out/&#12497;&#12527;&#12503;&#12525;2020%20-%20&#25237;&#29699;&#35299;&#26512;%20-%202020-08-24%2011-24-36-03_out.mp4" TargetMode="External"/><Relationship Id="rId890" Type="http://schemas.openxmlformats.org/officeDocument/2006/relationships/hyperlink" Target="result/&#12497;&#12527;&#12503;&#12525;2020%20-%20&#25237;&#29699;&#35299;&#26512;%20-%202020-08-24%2012-21-33-01_ball.txt" TargetMode="External"/><Relationship Id="rId2157" Type="http://schemas.openxmlformats.org/officeDocument/2006/relationships/hyperlink" Target="out/&#12497;&#12527;&#12503;&#12525;2020%20-%20&#25237;&#29699;&#35299;&#26512;%20-%202020-08-27%2018-26-47-07_out.mp4" TargetMode="External"/><Relationship Id="rId2364" Type="http://schemas.openxmlformats.org/officeDocument/2006/relationships/hyperlink" Target="result/&#12497;&#12527;&#12503;&#12525;2020%20-%20&#25237;&#29699;&#35299;&#26512;%20-%202020-08-29%2009-46-05-01_ball.txt" TargetMode="External"/><Relationship Id="rId2571" Type="http://schemas.openxmlformats.org/officeDocument/2006/relationships/hyperlink" Target="out/&#12497;&#12527;&#12503;&#12525;2020%20-%20&#25237;&#29699;&#35299;&#26512;%20-%202020-08-29%2015-51-26-04_out.mp4" TargetMode="External"/><Relationship Id="rId129" Type="http://schemas.openxmlformats.org/officeDocument/2006/relationships/hyperlink" Target="out/&#12497;&#12527;&#12503;&#12525;2020%20-%20&#25237;&#29699;&#35299;&#26512;%20-%202020-08-23%2014-04-47-04_out.mp4" TargetMode="External"/><Relationship Id="rId336" Type="http://schemas.openxmlformats.org/officeDocument/2006/relationships/hyperlink" Target="result/&#12497;&#12527;&#12503;&#12525;2020%20-%20&#25237;&#29699;&#35299;&#26512;%20-%202020-08-23%2015-48-07-07_ball.txt" TargetMode="External"/><Relationship Id="rId543" Type="http://schemas.openxmlformats.org/officeDocument/2006/relationships/hyperlink" Target="out/&#12497;&#12527;&#12503;&#12525;2020%20-%20&#25237;&#29699;&#35299;&#26512;%20-%202020-08-23%2016-25-48-02_out.mp4" TargetMode="External"/><Relationship Id="rId988" Type="http://schemas.openxmlformats.org/officeDocument/2006/relationships/hyperlink" Target="result/&#12497;&#12527;&#12503;&#12525;2020%20-%20&#25237;&#29699;&#35299;&#26512;%20-%202020-08-24%2012-33-48-00_ball.txt" TargetMode="External"/><Relationship Id="rId1173" Type="http://schemas.openxmlformats.org/officeDocument/2006/relationships/hyperlink" Target="out/&#12497;&#12527;&#12503;&#12525;2020%20-%20&#25237;&#29699;&#35299;&#26512;%20-%202020-08-24%2012-50-30-07_out.mp4" TargetMode="External"/><Relationship Id="rId1380" Type="http://schemas.openxmlformats.org/officeDocument/2006/relationships/hyperlink" Target="result/&#12497;&#12527;&#12503;&#12525;2020%20-%20&#25237;&#29699;&#35299;&#26512;%20-%202020-08-23%2014-03-42-05_ball.txt" TargetMode="External"/><Relationship Id="rId2017" Type="http://schemas.openxmlformats.org/officeDocument/2006/relationships/hyperlink" Target="out/&#12497;&#12527;&#12503;&#12525;2020%20-%20&#25237;&#29699;&#35299;&#26512;%20-%202020-08-27%2018-14-40-07_out.mp4" TargetMode="External"/><Relationship Id="rId2224" Type="http://schemas.openxmlformats.org/officeDocument/2006/relationships/hyperlink" Target="result/&#12497;&#12527;&#12503;&#12525;2020%20-%20&#25237;&#29699;&#35299;&#26512;%20-%202020-08-28%2022-36-12-00_ball.txt" TargetMode="External"/><Relationship Id="rId2669" Type="http://schemas.openxmlformats.org/officeDocument/2006/relationships/hyperlink" Target="out/&#12497;&#12527;&#12503;&#12525;2020%20-%20&#25237;&#29699;&#35299;&#26512;%20-%202020-08-29%2015-57-36-03_out.mp4" TargetMode="External"/><Relationship Id="rId403" Type="http://schemas.openxmlformats.org/officeDocument/2006/relationships/hyperlink" Target="out/&#12497;&#12527;&#12503;&#12525;2020%20-%20&#25237;&#29699;&#35299;&#26512;%20-%202020-08-23%2016-03-31-02_out.mp4" TargetMode="External"/><Relationship Id="rId750" Type="http://schemas.openxmlformats.org/officeDocument/2006/relationships/hyperlink" Target="result/&#12497;&#12527;&#12503;&#12525;2020%20-%20&#25237;&#29699;&#35299;&#26512;%20-%202020-08-24%2012-02-12-07_ball.txt" TargetMode="External"/><Relationship Id="rId848" Type="http://schemas.openxmlformats.org/officeDocument/2006/relationships/hyperlink" Target="result/&#12497;&#12527;&#12503;&#12525;2020%20-%20&#25237;&#29699;&#35299;&#26512;%20-%202020-08-24%2012-10-03-04_ball.txt" TargetMode="External"/><Relationship Id="rId1033" Type="http://schemas.openxmlformats.org/officeDocument/2006/relationships/hyperlink" Target="out/&#12497;&#12527;&#12503;&#12525;2020%20-%20&#25237;&#29699;&#35299;&#26512;%20-%202020-08-24%2012-38-24-02_out.mp4" TargetMode="External"/><Relationship Id="rId1478" Type="http://schemas.openxmlformats.org/officeDocument/2006/relationships/hyperlink" Target="result/&#12497;&#12527;&#12503;&#12525;2020%20-%20&#25237;&#29699;&#35299;&#26512;%20-%202020-08-23%2015-53-39-05_ball.txt" TargetMode="External"/><Relationship Id="rId1685" Type="http://schemas.openxmlformats.org/officeDocument/2006/relationships/hyperlink" Target="out/&#12497;&#12527;&#12503;&#12525;2020%20-%20&#25237;&#29699;&#35299;&#26512;%20-%202020-08-24%2012-22-44-07_out.mp4" TargetMode="External"/><Relationship Id="rId1892" Type="http://schemas.openxmlformats.org/officeDocument/2006/relationships/hyperlink" Target="result/&#12497;&#12527;&#12503;&#12525;2020%20-%20&#25237;&#29699;&#35299;&#26512;%20-%202020-08-26%2021-15-29-01_ball.txt" TargetMode="External"/><Relationship Id="rId2431" Type="http://schemas.openxmlformats.org/officeDocument/2006/relationships/hyperlink" Target="out/&#12497;&#12527;&#12503;&#12525;2020%20-%20&#25237;&#29699;&#35299;&#26512;%20-%202020-08-29%2015-42-43-05_out.mp4" TargetMode="External"/><Relationship Id="rId2529" Type="http://schemas.openxmlformats.org/officeDocument/2006/relationships/hyperlink" Target="out/&#12497;&#12527;&#12503;&#12525;2020%20-%20&#25237;&#29699;&#35299;&#26512;%20-%202020-08-29%2015-49-13-03_out.mp4" TargetMode="External"/><Relationship Id="rId2736" Type="http://schemas.openxmlformats.org/officeDocument/2006/relationships/hyperlink" Target="result/&#12497;&#12527;&#12503;&#12525;2020%20-%20&#25237;&#29699;&#35299;&#26512;%20-%202020-08-29%2016-01-23-06_ball.txt" TargetMode="External"/><Relationship Id="rId610" Type="http://schemas.openxmlformats.org/officeDocument/2006/relationships/hyperlink" Target="result/&#12497;&#12527;&#12503;&#12525;2020%20-%20&#25237;&#29699;&#35299;&#26512;%20-%202020-08-23%2016-30-55-05_ball.txt" TargetMode="External"/><Relationship Id="rId708" Type="http://schemas.openxmlformats.org/officeDocument/2006/relationships/hyperlink" Target="result/&#12497;&#12527;&#12503;&#12525;2020%20-%20&#25237;&#29699;&#35299;&#26512;%20-%202020-08-24%2011-25-48-05_ball.txt" TargetMode="External"/><Relationship Id="rId915" Type="http://schemas.openxmlformats.org/officeDocument/2006/relationships/hyperlink" Target="out/&#12497;&#12527;&#12503;&#12525;2020%20-%20&#25237;&#29699;&#35299;&#26512;%20-%202020-08-24%2012-22-44-04_out.mp4" TargetMode="External"/><Relationship Id="rId1240" Type="http://schemas.openxmlformats.org/officeDocument/2006/relationships/hyperlink" Target="result/&#12497;&#12527;&#12503;&#12525;2020%20-%20&#25237;&#29699;&#35299;&#26512;%20-%202020-08-24%2013-00-20-00_ball.txt" TargetMode="External"/><Relationship Id="rId1338" Type="http://schemas.openxmlformats.org/officeDocument/2006/relationships/hyperlink" Target="result/&#12497;&#12527;&#12503;&#12525;2020%20-%20&#25237;&#29699;&#35299;&#26512;%20-%202020-08-24%2013-09-18-10_ball.txt" TargetMode="External"/><Relationship Id="rId1545" Type="http://schemas.openxmlformats.org/officeDocument/2006/relationships/hyperlink" Target="out/&#12497;&#12527;&#12503;&#12525;2020%20-%20&#25237;&#29699;&#35299;&#26512;%20-%202020-08-23%2016-07-35-09_out.mp4" TargetMode="External"/><Relationship Id="rId1100" Type="http://schemas.openxmlformats.org/officeDocument/2006/relationships/hyperlink" Target="result/&#12497;&#12527;&#12503;&#12525;2020%20-%20&#25237;&#29699;&#35299;&#26512;%20-%202020-08-24%2012-44-26-05_ball.txt" TargetMode="External"/><Relationship Id="rId1405" Type="http://schemas.openxmlformats.org/officeDocument/2006/relationships/hyperlink" Target="out/&#12497;&#12527;&#12503;&#12525;2020%20-%20&#25237;&#29699;&#35299;&#26512;%20-%202020-08-23%2014-18-29-08_out.mp4" TargetMode="External"/><Relationship Id="rId1752" Type="http://schemas.openxmlformats.org/officeDocument/2006/relationships/hyperlink" Target="result/&#12497;&#12527;&#12503;&#12525;2020%20-%20&#25237;&#29699;&#35299;&#26512;%20-%202020-08-24%2012-44-26-02_ball.txt" TargetMode="External"/><Relationship Id="rId2803" Type="http://schemas.openxmlformats.org/officeDocument/2006/relationships/printerSettings" Target="../printerSettings/printerSettings1.bin"/><Relationship Id="rId44" Type="http://schemas.openxmlformats.org/officeDocument/2006/relationships/hyperlink" Target="result/&#12497;&#12527;&#12503;&#12525;2020%20-%20&#25237;&#29699;&#35299;&#26512;%20-%202020-08-23%2011-12-45-01_ball.txt" TargetMode="External"/><Relationship Id="rId1612" Type="http://schemas.openxmlformats.org/officeDocument/2006/relationships/hyperlink" Target="result/&#12497;&#12527;&#12503;&#12525;2020%20-%20&#25237;&#29699;&#35299;&#26512;%20-%202020-08-24%2011-22-14-00_ball.txt" TargetMode="External"/><Relationship Id="rId1917" Type="http://schemas.openxmlformats.org/officeDocument/2006/relationships/hyperlink" Target="out/&#12497;&#12527;&#12503;&#12525;2020%20-%20&#25237;&#29699;&#35299;&#26512;%20-%202020-08-26%2021-17-48-04_out.mp4" TargetMode="External"/><Relationship Id="rId193" Type="http://schemas.openxmlformats.org/officeDocument/2006/relationships/hyperlink" Target="out/&#12497;&#12527;&#12503;&#12525;2020%20-%20&#25237;&#29699;&#35299;&#26512;%20-%202020-08-23%2014-08-02-06_out.mp4" TargetMode="External"/><Relationship Id="rId498" Type="http://schemas.openxmlformats.org/officeDocument/2006/relationships/hyperlink" Target="result/&#12497;&#12527;&#12503;&#12525;2020%20-%20&#25237;&#29699;&#35299;&#26512;%20-%202020-08-23%2016-12-41-09_ball.txt" TargetMode="External"/><Relationship Id="rId2081" Type="http://schemas.openxmlformats.org/officeDocument/2006/relationships/hyperlink" Target="out/&#12497;&#12527;&#12503;&#12525;2020%20-%20&#25237;&#29699;&#35299;&#26512;%20-%202020-08-27%2018-19-19-09_out.mp4" TargetMode="External"/><Relationship Id="rId2179" Type="http://schemas.openxmlformats.org/officeDocument/2006/relationships/hyperlink" Target="out/&#12497;&#12527;&#12503;&#12525;2020%20-%20&#25237;&#29699;&#35299;&#26512;%20-%202020-08-28%2022-31-31-08_out.mp4" TargetMode="External"/><Relationship Id="rId260" Type="http://schemas.openxmlformats.org/officeDocument/2006/relationships/hyperlink" Target="result/&#12497;&#12527;&#12503;&#12525;2020%20-%20&#25237;&#29699;&#35299;&#26512;%20-%202020-08-23%2014-23-42-09_ball.txt" TargetMode="External"/><Relationship Id="rId2386" Type="http://schemas.openxmlformats.org/officeDocument/2006/relationships/hyperlink" Target="result/&#12497;&#12527;&#12503;&#12525;2020%20-%20&#25237;&#29699;&#35299;&#26512;%20-%202020-08-29%2009-48-04-02_ball.txt" TargetMode="External"/><Relationship Id="rId2593" Type="http://schemas.openxmlformats.org/officeDocument/2006/relationships/hyperlink" Target="out/&#12497;&#12527;&#12503;&#12525;2020%20-%20&#25237;&#29699;&#35299;&#26512;%20-%202020-08-29%2015-52-32-05_out.mp4" TargetMode="External"/><Relationship Id="rId120" Type="http://schemas.openxmlformats.org/officeDocument/2006/relationships/hyperlink" Target="result/&#12497;&#12527;&#12503;&#12525;2020%20-%20&#25237;&#29699;&#35299;&#26512;%20-%202020-08-23%2011-16-20-09_ball.txt" TargetMode="External"/><Relationship Id="rId358" Type="http://schemas.openxmlformats.org/officeDocument/2006/relationships/hyperlink" Target="result/&#12497;&#12527;&#12503;&#12525;2020%20-%20&#25237;&#29699;&#35299;&#26512;%20-%202020-08-23%2015-49-19-08_ball.txt" TargetMode="External"/><Relationship Id="rId565" Type="http://schemas.openxmlformats.org/officeDocument/2006/relationships/hyperlink" Target="out/&#12497;&#12527;&#12503;&#12525;2020%20-%20&#25237;&#29699;&#35299;&#26512;%20-%202020-08-23%2016-26-58-03_out.mp4" TargetMode="External"/><Relationship Id="rId772" Type="http://schemas.openxmlformats.org/officeDocument/2006/relationships/hyperlink" Target="result/&#12497;&#12527;&#12503;&#12525;2020%20-%20&#25237;&#29699;&#35299;&#26512;%20-%202020-08-24%2012-03-33-08_ball.txt" TargetMode="External"/><Relationship Id="rId1195" Type="http://schemas.openxmlformats.org/officeDocument/2006/relationships/hyperlink" Target="out/&#12497;&#12527;&#12503;&#12525;2020%20-%20&#25237;&#29699;&#35299;&#26512;%20-%202020-08-24%2012-52-05-08_out.mp4" TargetMode="External"/><Relationship Id="rId2039" Type="http://schemas.openxmlformats.org/officeDocument/2006/relationships/hyperlink" Target="out/&#12497;&#12527;&#12503;&#12525;2020%20-%20&#25237;&#29699;&#35299;&#26512;%20-%202020-08-27%2018-16-14-08_out.mp4" TargetMode="External"/><Relationship Id="rId2246" Type="http://schemas.openxmlformats.org/officeDocument/2006/relationships/hyperlink" Target="result/&#12497;&#12527;&#12503;&#12525;2020%20-%20&#25237;&#29699;&#35299;&#26512;%20-%202020-08-28%2022-37-55-01_ball.txt" TargetMode="External"/><Relationship Id="rId2453" Type="http://schemas.openxmlformats.org/officeDocument/2006/relationships/hyperlink" Target="out/&#12497;&#12527;&#12503;&#12525;2020%20-%20&#25237;&#29699;&#35299;&#26512;%20-%202020-08-29%2015-44-12-06_out.mp4" TargetMode="External"/><Relationship Id="rId2660" Type="http://schemas.openxmlformats.org/officeDocument/2006/relationships/hyperlink" Target="result/&#12497;&#12527;&#12503;&#12525;2020%20-%20&#25237;&#29699;&#35299;&#26512;%20-%202020-08-29%2015-56-35-08_ball.txt" TargetMode="External"/><Relationship Id="rId218" Type="http://schemas.openxmlformats.org/officeDocument/2006/relationships/hyperlink" Target="result/&#12497;&#12527;&#12503;&#12525;2020%20-%20&#25237;&#29699;&#35299;&#26512;%20-%202020-08-23%2014-19-33-08_ball.txt" TargetMode="External"/><Relationship Id="rId425" Type="http://schemas.openxmlformats.org/officeDocument/2006/relationships/hyperlink" Target="out/&#12497;&#12527;&#12503;&#12525;2020%20-%20&#25237;&#29699;&#35299;&#26512;%20-%202020-08-23%2016-06-08-03_out.mp4" TargetMode="External"/><Relationship Id="rId632" Type="http://schemas.openxmlformats.org/officeDocument/2006/relationships/hyperlink" Target="result/&#12497;&#12527;&#12503;&#12525;2020%20-%20&#25237;&#29699;&#35299;&#26512;%20-%202020-08-23%2016-32-07-06_ball.txt" TargetMode="External"/><Relationship Id="rId1055" Type="http://schemas.openxmlformats.org/officeDocument/2006/relationships/hyperlink" Target="out/&#12497;&#12527;&#12503;&#12525;2020%20-%20&#25237;&#29699;&#35299;&#26512;%20-%202020-08-24%2012-39-57-03_out.mp4" TargetMode="External"/><Relationship Id="rId1262" Type="http://schemas.openxmlformats.org/officeDocument/2006/relationships/hyperlink" Target="result/&#12497;&#12527;&#12503;&#12525;2020%20-%20&#25237;&#29699;&#35299;&#26512;%20-%202020-08-24%2013-02-04-02_ball.txt" TargetMode="External"/><Relationship Id="rId2106" Type="http://schemas.openxmlformats.org/officeDocument/2006/relationships/hyperlink" Target="result/&#12497;&#12527;&#12503;&#12525;2020%20-%20&#25237;&#29699;&#35299;&#26512;%20-%202020-08-27%2018-22-42-01_ball.txt" TargetMode="External"/><Relationship Id="rId2313" Type="http://schemas.openxmlformats.org/officeDocument/2006/relationships/hyperlink" Target="out/&#12497;&#12527;&#12503;&#12525;2020%20-%20&#25237;&#29699;&#35299;&#26512;%20-%202020-08-29%2009-41-06-05_out.mp4" TargetMode="External"/><Relationship Id="rId2520" Type="http://schemas.openxmlformats.org/officeDocument/2006/relationships/hyperlink" Target="result/&#12497;&#12527;&#12503;&#12525;2020%20-%20&#25237;&#29699;&#35299;&#26512;%20-%202020-08-29%2015-48-09-08_ball.txt" TargetMode="External"/><Relationship Id="rId2758" Type="http://schemas.openxmlformats.org/officeDocument/2006/relationships/hyperlink" Target="result/&#12497;&#12527;&#12503;&#12525;2020%20-%20&#25237;&#29699;&#35299;&#26512;%20-%202020-08-29%2016-06-51-07_ball.txt" TargetMode="External"/><Relationship Id="rId937" Type="http://schemas.openxmlformats.org/officeDocument/2006/relationships/hyperlink" Target="out/&#12497;&#12527;&#12503;&#12525;2020%20-%20&#25237;&#29699;&#35299;&#26512;%20-%202020-08-24%2012-25-33-04_out.mp4" TargetMode="External"/><Relationship Id="rId1122" Type="http://schemas.openxmlformats.org/officeDocument/2006/relationships/hyperlink" Target="result/&#12497;&#12527;&#12503;&#12525;2020%20-%20&#25237;&#29699;&#35299;&#26512;%20-%202020-08-24%2012-46-03-03_ball.txt" TargetMode="External"/><Relationship Id="rId1567" Type="http://schemas.openxmlformats.org/officeDocument/2006/relationships/hyperlink" Target="out/&#12497;&#12527;&#12503;&#12525;2020%20-%20&#25237;&#29699;&#35299;&#26512;%20-%202020-08-23%2016-24-41-00_out.mp4" TargetMode="External"/><Relationship Id="rId1774" Type="http://schemas.openxmlformats.org/officeDocument/2006/relationships/hyperlink" Target="result/&#12497;&#12527;&#12503;&#12525;2020%20-%20&#25237;&#29699;&#35299;&#26512;%20-%202020-08-24%2012-50-30-05_ball.txt" TargetMode="External"/><Relationship Id="rId1981" Type="http://schemas.openxmlformats.org/officeDocument/2006/relationships/hyperlink" Target="out/&#12497;&#12527;&#12503;&#12525;2020%20-%20&#25237;&#29699;&#35299;&#26512;%20-%202020-08-26%2021-30-58-09_out.mp4" TargetMode="External"/><Relationship Id="rId2618" Type="http://schemas.openxmlformats.org/officeDocument/2006/relationships/hyperlink" Target="result/&#12497;&#12527;&#12503;&#12525;2020%20-%20&#25237;&#29699;&#35299;&#26512;%20-%202020-08-29%2015-53-40-07_ball.txt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110569-99F1-4BAD-8F51-58048D6DFDCE}">
  <sheetPr codeName="Sheet5" filterMode="1"/>
  <dimension ref="A1:X3121"/>
  <sheetViews>
    <sheetView tabSelected="1" topLeftCell="B1" zoomScale="90" zoomScaleNormal="90" workbookViewId="0">
      <pane ySplit="1" topLeftCell="A2" activePane="bottomLeft" state="frozen"/>
      <selection activeCell="D1" sqref="D1"/>
      <selection pane="bottomLeft" activeCell="J20" sqref="J20"/>
    </sheetView>
  </sheetViews>
  <sheetFormatPr defaultRowHeight="18" x14ac:dyDescent="0.55000000000000004"/>
  <cols>
    <col min="1" max="1" width="45.75" customWidth="1"/>
    <col min="6" max="6" width="12.58203125" customWidth="1"/>
    <col min="7" max="7" width="8.58203125" style="10"/>
    <col min="10" max="10" width="8.58203125" style="2"/>
    <col min="12" max="12" width="11.58203125" customWidth="1"/>
    <col min="13" max="13" width="12.5" customWidth="1"/>
    <col min="14" max="14" width="13.83203125" customWidth="1"/>
    <col min="15" max="15" width="3.75" customWidth="1"/>
    <col min="16" max="16" width="7.25" customWidth="1"/>
    <col min="17" max="17" width="6.83203125" customWidth="1"/>
    <col min="19" max="19" width="12.58203125" customWidth="1"/>
    <col min="20" max="20" width="13.33203125" customWidth="1"/>
    <col min="21" max="21" width="17.33203125" customWidth="1"/>
    <col min="22" max="22" width="18.58203125" customWidth="1"/>
  </cols>
  <sheetData>
    <row r="1" spans="1:24" s="5" customFormat="1" ht="36" customHeight="1" x14ac:dyDescent="0.55000000000000004">
      <c r="G1" s="9"/>
      <c r="J1" s="6" t="s">
        <v>413</v>
      </c>
      <c r="K1" s="5" t="s">
        <v>2</v>
      </c>
      <c r="L1" s="7" t="s">
        <v>227</v>
      </c>
      <c r="M1" s="7" t="s">
        <v>222</v>
      </c>
      <c r="N1" s="5" t="s">
        <v>12</v>
      </c>
      <c r="O1" s="5" t="s">
        <v>340</v>
      </c>
      <c r="P1" s="5" t="s">
        <v>339</v>
      </c>
      <c r="Q1" s="5" t="s">
        <v>118</v>
      </c>
      <c r="R1" s="5" t="s">
        <v>13</v>
      </c>
      <c r="S1" s="7" t="s">
        <v>225</v>
      </c>
      <c r="T1" s="7" t="s">
        <v>226</v>
      </c>
      <c r="U1" s="7" t="s">
        <v>223</v>
      </c>
      <c r="V1" s="7" t="s">
        <v>224</v>
      </c>
      <c r="X1" s="5" t="s">
        <v>50</v>
      </c>
    </row>
    <row r="2" spans="1:24" hidden="1" x14ac:dyDescent="0.55000000000000004">
      <c r="A2" s="1" t="s">
        <v>1906</v>
      </c>
      <c r="B2" s="1" t="s">
        <v>17</v>
      </c>
      <c r="C2" t="s">
        <v>17</v>
      </c>
      <c r="D2" t="s">
        <v>17</v>
      </c>
      <c r="E2" t="s">
        <v>17</v>
      </c>
      <c r="F2" t="s">
        <v>1281</v>
      </c>
      <c r="G2" s="10" t="s">
        <v>1281</v>
      </c>
      <c r="I2" t="s">
        <v>1281</v>
      </c>
      <c r="J2" t="e">
        <f ca="1">VLOOKUP(G2,INDIRECT("球速変換!A$1:B$" &amp; Prams!$B$8),2,)</f>
        <v>#N/A</v>
      </c>
      <c r="K2" t="e">
        <f ca="1">VLOOKUP(I2,INDIRECT("投手名変換!A$1:B$" &amp; Prams!$B$9),2,)</f>
        <v>#N/A</v>
      </c>
      <c r="L2" t="e">
        <f t="shared" ref="L2:L33" si="0">B2-H2</f>
        <v>#VALUE!</v>
      </c>
      <c r="M2" t="e">
        <f ca="1">(B2-VLOOKUP(K2,INDIRECT("投手データ!B1:D"&amp;Prams!$B$1),3,FALSE)*2)</f>
        <v>#VALUE!</v>
      </c>
      <c r="N2" t="e">
        <f ca="1">VLOOKUP(F2,INDIRECT("球種変換表!A$1:B$" &amp; Prams!$B$2),2,)</f>
        <v>#N/A</v>
      </c>
      <c r="O2" t="e">
        <f ca="1">VLOOKUP(N2,球種情報!A:B,2,FALSE)</f>
        <v>#N/A</v>
      </c>
      <c r="P2" t="e">
        <f ca="1">VLOOKUP(K2,投手データ!B:AI,output!O2+6,FALSE)</f>
        <v>#N/A</v>
      </c>
      <c r="R2" t="e">
        <f ca="1">1/J2</f>
        <v>#N/A</v>
      </c>
      <c r="S2" t="e">
        <f>(L2-(D2-600)/24)*2/120</f>
        <v>#VALUE!</v>
      </c>
      <c r="T2" t="e">
        <f>Prams!B$5/(S2-Prams!B$6)</f>
        <v>#VALUE!</v>
      </c>
      <c r="U2" t="e">
        <f ca="1">(M2-(D2-600)/24)*2/120</f>
        <v>#VALUE!</v>
      </c>
      <c r="V2" t="e">
        <f ca="1">Prams!C$5/(U2-Prams!C$6)</f>
        <v>#VALUE!</v>
      </c>
      <c r="W2" t="e">
        <f ca="1">V2/J2</f>
        <v>#VALUE!</v>
      </c>
      <c r="X2" t="s">
        <v>1888</v>
      </c>
    </row>
    <row r="3" spans="1:24" hidden="1" x14ac:dyDescent="0.55000000000000004">
      <c r="A3" s="1" t="s">
        <v>1907</v>
      </c>
      <c r="B3" s="1">
        <v>129</v>
      </c>
      <c r="C3">
        <v>641.95001000000002</v>
      </c>
      <c r="D3">
        <v>602.5</v>
      </c>
      <c r="E3">
        <v>10.062519999999999</v>
      </c>
      <c r="F3" t="s">
        <v>0</v>
      </c>
      <c r="G3" s="10" t="s">
        <v>584</v>
      </c>
      <c r="H3">
        <v>99</v>
      </c>
      <c r="I3" t="s">
        <v>3</v>
      </c>
      <c r="J3">
        <f ca="1">VLOOKUP(G3,INDIRECT("球速変換!A$1:B$" &amp; Prams!$B$8),2,)</f>
        <v>141</v>
      </c>
      <c r="K3" t="str">
        <f ca="1">VLOOKUP(I3,INDIRECT("投手名変換!A$1:B$" &amp; Prams!$B$9),2,)</f>
        <v>パワプロ</v>
      </c>
      <c r="L3">
        <f t="shared" si="0"/>
        <v>30</v>
      </c>
      <c r="M3">
        <f ca="1">(B3-VLOOKUP(K3,INDIRECT("投手データ!B1:D"&amp;Prams!$B$1),3,FALSE)*2)</f>
        <v>35</v>
      </c>
      <c r="N3" t="str">
        <f ca="1">VLOOKUP(F3,INDIRECT("球種変換表!A$1:B$" &amp; Prams!$B$2),2,)</f>
        <v>ストレート</v>
      </c>
      <c r="O3">
        <f ca="1">VLOOKUP(N3,球種情報!A:B,2,FALSE)</f>
        <v>1</v>
      </c>
      <c r="P3">
        <f ca="1">VLOOKUP(K3,投手データ!B:AI,output!O3+6,FALSE)</f>
        <v>0</v>
      </c>
      <c r="R3">
        <f ca="1">1/J3</f>
        <v>7.0921985815602835E-3</v>
      </c>
      <c r="S3">
        <f>(L3-(D3-600)/24)*2/120</f>
        <v>0.4982638888888889</v>
      </c>
      <c r="T3">
        <f>Prams!B$5/(S3-Prams!B$6)</f>
        <v>141.16003983078261</v>
      </c>
      <c r="U3">
        <f ca="1">(M3-(D3-600)/24)*2/120</f>
        <v>0.58159722222222221</v>
      </c>
      <c r="V3">
        <f ca="1">Prams!C$5/(U3-Prams!C$6)</f>
        <v>141.14929698945326</v>
      </c>
      <c r="W3">
        <f ca="1">V3/J3</f>
        <v>1.0010588438968318</v>
      </c>
    </row>
    <row r="4" spans="1:24" hidden="1" x14ac:dyDescent="0.55000000000000004">
      <c r="A4" s="1" t="s">
        <v>1908</v>
      </c>
      <c r="B4" s="1">
        <v>129</v>
      </c>
      <c r="C4">
        <v>639.5</v>
      </c>
      <c r="D4">
        <v>601.5</v>
      </c>
      <c r="E4">
        <v>10.512</v>
      </c>
      <c r="F4" t="s">
        <v>0</v>
      </c>
      <c r="G4" s="10" t="s">
        <v>582</v>
      </c>
      <c r="H4">
        <v>99</v>
      </c>
      <c r="I4" t="s">
        <v>3</v>
      </c>
      <c r="J4">
        <f ca="1">VLOOKUP(G4,INDIRECT("球速変換!A$1:B$" &amp; Prams!$B$8),2,)</f>
        <v>140</v>
      </c>
      <c r="K4" t="str">
        <f ca="1">VLOOKUP(I4,INDIRECT("投手名変換!A$1:B$" &amp; Prams!$B$9),2,)</f>
        <v>パワプロ</v>
      </c>
      <c r="L4">
        <f t="shared" si="0"/>
        <v>30</v>
      </c>
      <c r="M4">
        <f ca="1">(B4-VLOOKUP(K4,INDIRECT("投手データ!B1:D"&amp;Prams!$B$1),3,FALSE)*2)</f>
        <v>35</v>
      </c>
      <c r="N4" t="str">
        <f ca="1">VLOOKUP(F4,INDIRECT("球種変換表!A$1:B$" &amp; Prams!$B$2),2,)</f>
        <v>ストレート</v>
      </c>
      <c r="O4">
        <f ca="1">VLOOKUP(N4,球種情報!A:B,2,FALSE)</f>
        <v>1</v>
      </c>
      <c r="P4">
        <f ca="1">VLOOKUP(K4,投手データ!B:AI,output!O4+6,FALSE)</f>
        <v>0</v>
      </c>
      <c r="R4">
        <f ca="1">1/J4</f>
        <v>7.1428571428571426E-3</v>
      </c>
      <c r="S4">
        <f>(L4-(D4-600)/24)*2/120</f>
        <v>0.49895833333333334</v>
      </c>
      <c r="T4">
        <f>Prams!B$5/(S4-Prams!B$6)</f>
        <v>140.93656794391993</v>
      </c>
      <c r="U4">
        <f ca="1">(M4-(D4-600)/24)*2/120</f>
        <v>0.58229166666666665</v>
      </c>
      <c r="V4">
        <f ca="1">Prams!C$5/(U4-Prams!C$6)</f>
        <v>140.92585908857779</v>
      </c>
      <c r="W4">
        <f ca="1">V4/J4</f>
        <v>1.0066132792041271</v>
      </c>
    </row>
    <row r="5" spans="1:24" hidden="1" x14ac:dyDescent="0.55000000000000004">
      <c r="A5" s="1" t="s">
        <v>1909</v>
      </c>
      <c r="B5" s="1">
        <v>129</v>
      </c>
      <c r="C5">
        <v>638</v>
      </c>
      <c r="D5">
        <v>608</v>
      </c>
      <c r="E5">
        <v>10.0001</v>
      </c>
      <c r="F5" t="s">
        <v>0</v>
      </c>
      <c r="G5" s="10" t="s">
        <v>1099</v>
      </c>
      <c r="H5">
        <v>99</v>
      </c>
      <c r="I5" t="s">
        <v>3</v>
      </c>
      <c r="J5">
        <f ca="1">VLOOKUP(G5,INDIRECT("球速変換!A$1:B$" &amp; Prams!$B$8),2,)</f>
        <v>142</v>
      </c>
      <c r="K5" t="str">
        <f ca="1">VLOOKUP(I5,INDIRECT("投手名変換!A$1:B$" &amp; Prams!$B$9),2,)</f>
        <v>パワプロ</v>
      </c>
      <c r="L5">
        <f t="shared" si="0"/>
        <v>30</v>
      </c>
      <c r="M5">
        <f ca="1">(B5-VLOOKUP(K5,INDIRECT("投手データ!B1:D"&amp;Prams!$B$1),3,FALSE)*2)</f>
        <v>35</v>
      </c>
      <c r="N5" t="str">
        <f ca="1">VLOOKUP(F5,INDIRECT("球種変換表!A$1:B$" &amp; Prams!$B$2),2,)</f>
        <v>ストレート</v>
      </c>
      <c r="O5">
        <f ca="1">VLOOKUP(N5,球種情報!A:B,2,FALSE)</f>
        <v>1</v>
      </c>
      <c r="P5">
        <f ca="1">VLOOKUP(K5,投手データ!B:AI,output!O5+6,FALSE)</f>
        <v>0</v>
      </c>
      <c r="R5">
        <f t="shared" ref="R5:R68" ca="1" si="1">1/J5</f>
        <v>7.0422535211267607E-3</v>
      </c>
      <c r="S5">
        <f t="shared" ref="S5:S68" si="2">(L5-(D5-600)/24)*2/120</f>
        <v>0.49444444444444446</v>
      </c>
      <c r="T5">
        <f>Prams!B$5/(S5-Prams!B$6)</f>
        <v>142.40191436541858</v>
      </c>
      <c r="U5">
        <f t="shared" ref="U5:U68" ca="1" si="3">(M5-(D5-600)/24)*2/120</f>
        <v>0.57777777777777772</v>
      </c>
      <c r="V5">
        <f ca="1">Prams!C$5/(U5-Prams!C$6)</f>
        <v>142.39098167673254</v>
      </c>
      <c r="W5">
        <f t="shared" ref="W5:W68" ca="1" si="4">V5/J5</f>
        <v>1.0027533920896659</v>
      </c>
    </row>
    <row r="6" spans="1:24" hidden="1" x14ac:dyDescent="0.55000000000000004">
      <c r="A6" s="1" t="s">
        <v>1910</v>
      </c>
      <c r="B6" s="1">
        <v>130</v>
      </c>
      <c r="C6">
        <v>640</v>
      </c>
      <c r="D6">
        <v>618.5</v>
      </c>
      <c r="E6">
        <v>11.01146</v>
      </c>
      <c r="F6" t="s">
        <v>0</v>
      </c>
      <c r="G6" s="10" t="s">
        <v>814</v>
      </c>
      <c r="H6">
        <v>99</v>
      </c>
      <c r="I6" t="s">
        <v>3</v>
      </c>
      <c r="J6">
        <f ca="1">VLOOKUP(G6,INDIRECT("球速変換!A$1:B$" &amp; Prams!$B$8),2,)</f>
        <v>139</v>
      </c>
      <c r="K6" t="str">
        <f ca="1">VLOOKUP(I6,INDIRECT("投手名変換!A$1:B$" &amp; Prams!$B$9),2,)</f>
        <v>パワプロ</v>
      </c>
      <c r="L6">
        <f t="shared" si="0"/>
        <v>31</v>
      </c>
      <c r="M6">
        <f ca="1">(B6-VLOOKUP(K6,INDIRECT("投手データ!B1:D"&amp;Prams!$B$1),3,FALSE)*2)</f>
        <v>36</v>
      </c>
      <c r="N6" t="str">
        <f ca="1">VLOOKUP(F6,INDIRECT("球種変換表!A$1:B$" &amp; Prams!$B$2),2,)</f>
        <v>ストレート</v>
      </c>
      <c r="O6">
        <f ca="1">VLOOKUP(N6,球種情報!A:B,2,FALSE)</f>
        <v>1</v>
      </c>
      <c r="P6">
        <f ca="1">VLOOKUP(K6,投手データ!B:AI,output!O6+6,FALSE)</f>
        <v>0</v>
      </c>
      <c r="R6">
        <f t="shared" ca="1" si="1"/>
        <v>7.1942446043165471E-3</v>
      </c>
      <c r="S6">
        <f t="shared" si="2"/>
        <v>0.50381944444444449</v>
      </c>
      <c r="T6">
        <f>Prams!B$5/(S6-Prams!B$6)</f>
        <v>139.39185930718307</v>
      </c>
      <c r="U6">
        <f t="shared" ca="1" si="3"/>
        <v>0.58715277777777775</v>
      </c>
      <c r="V6">
        <f ca="1">Prams!C$5/(U6-Prams!C$6)</f>
        <v>139.3813839014523</v>
      </c>
      <c r="W6">
        <f t="shared" ca="1" si="4"/>
        <v>1.0027437690751964</v>
      </c>
    </row>
    <row r="7" spans="1:24" hidden="1" x14ac:dyDescent="0.55000000000000004">
      <c r="A7" s="1" t="s">
        <v>1911</v>
      </c>
      <c r="B7" s="1">
        <v>129</v>
      </c>
      <c r="C7">
        <v>641.44739000000004</v>
      </c>
      <c r="D7">
        <v>609.5</v>
      </c>
      <c r="E7">
        <v>9.5657899999999998</v>
      </c>
      <c r="F7" t="s">
        <v>0</v>
      </c>
      <c r="G7" s="10" t="s">
        <v>581</v>
      </c>
      <c r="H7">
        <v>99</v>
      </c>
      <c r="I7" t="s">
        <v>3</v>
      </c>
      <c r="J7">
        <f ca="1">VLOOKUP(G7,INDIRECT("球速変換!A$1:B$" &amp; Prams!$B$8),2,)</f>
        <v>142</v>
      </c>
      <c r="K7" t="str">
        <f ca="1">VLOOKUP(I7,INDIRECT("投手名変換!A$1:B$" &amp; Prams!$B$9),2,)</f>
        <v>パワプロ</v>
      </c>
      <c r="L7">
        <f t="shared" si="0"/>
        <v>30</v>
      </c>
      <c r="M7">
        <f ca="1">(B7-VLOOKUP(K7,INDIRECT("投手データ!B1:D"&amp;Prams!$B$1),3,FALSE)*2)</f>
        <v>35</v>
      </c>
      <c r="N7" t="str">
        <f ca="1">VLOOKUP(F7,INDIRECT("球種変換表!A$1:B$" &amp; Prams!$B$2),2,)</f>
        <v>ストレート</v>
      </c>
      <c r="O7">
        <f ca="1">VLOOKUP(N7,球種情報!A:B,2,FALSE)</f>
        <v>1</v>
      </c>
      <c r="P7">
        <f ca="1">VLOOKUP(K7,投手データ!B:AI,output!O7+6,FALSE)</f>
        <v>0</v>
      </c>
      <c r="R7">
        <f t="shared" ca="1" si="1"/>
        <v>7.0422535211267607E-3</v>
      </c>
      <c r="S7">
        <f t="shared" si="2"/>
        <v>0.4934027777777778</v>
      </c>
      <c r="T7">
        <f>Prams!B$5/(S7-Prams!B$6)</f>
        <v>142.74440888421404</v>
      </c>
      <c r="U7">
        <f t="shared" ca="1" si="3"/>
        <v>0.57673611111111112</v>
      </c>
      <c r="V7">
        <f ca="1">Prams!C$5/(U7-Prams!C$6)</f>
        <v>142.73342354533153</v>
      </c>
      <c r="W7">
        <f t="shared" ca="1" si="4"/>
        <v>1.0051649545445882</v>
      </c>
    </row>
    <row r="8" spans="1:24" hidden="1" x14ac:dyDescent="0.55000000000000004">
      <c r="A8" s="1" t="s">
        <v>1913</v>
      </c>
      <c r="B8" s="1">
        <v>129</v>
      </c>
      <c r="C8">
        <v>632.5</v>
      </c>
      <c r="D8">
        <v>600.5</v>
      </c>
      <c r="E8">
        <v>10.512</v>
      </c>
      <c r="F8" t="s">
        <v>0</v>
      </c>
      <c r="G8" s="10" t="s">
        <v>2416</v>
      </c>
      <c r="H8">
        <v>99</v>
      </c>
      <c r="I8" t="s">
        <v>3</v>
      </c>
      <c r="J8">
        <f ca="1">VLOOKUP(G8,INDIRECT("球速変換!A$1:B$" &amp; Prams!$B$8),2,)</f>
        <v>140</v>
      </c>
      <c r="K8" t="str">
        <f ca="1">VLOOKUP(I8,INDIRECT("投手名変換!A$1:B$" &amp; Prams!$B$9),2,)</f>
        <v>パワプロ</v>
      </c>
      <c r="L8">
        <f t="shared" si="0"/>
        <v>30</v>
      </c>
      <c r="M8">
        <f ca="1">(B8-VLOOKUP(K8,INDIRECT("投手データ!B1:D"&amp;Prams!$B$1),3,FALSE)*2)</f>
        <v>35</v>
      </c>
      <c r="N8" t="str">
        <f ca="1">VLOOKUP(F8,INDIRECT("球種変換表!A$1:B$" &amp; Prams!$B$2),2,)</f>
        <v>ストレート</v>
      </c>
      <c r="O8">
        <f ca="1">VLOOKUP(N8,球種情報!A:B,2,FALSE)</f>
        <v>1</v>
      </c>
      <c r="P8">
        <f ca="1">VLOOKUP(K8,投手データ!B:AI,output!O8+6,FALSE)</f>
        <v>0</v>
      </c>
      <c r="R8">
        <f t="shared" ca="1" si="1"/>
        <v>7.1428571428571426E-3</v>
      </c>
      <c r="S8">
        <f t="shared" si="2"/>
        <v>0.49965277777777778</v>
      </c>
      <c r="T8">
        <f>Prams!B$5/(S8-Prams!B$6)</f>
        <v>140.71380249988937</v>
      </c>
      <c r="U8">
        <f t="shared" ca="1" si="3"/>
        <v>0.58298611111111109</v>
      </c>
      <c r="V8">
        <f ca="1">Prams!C$5/(U8-Prams!C$6)</f>
        <v>140.7031274695124</v>
      </c>
      <c r="W8">
        <f t="shared" ca="1" si="4"/>
        <v>1.0050223390679456</v>
      </c>
    </row>
    <row r="9" spans="1:24" hidden="1" x14ac:dyDescent="0.55000000000000004">
      <c r="A9" s="1" t="s">
        <v>1915</v>
      </c>
      <c r="B9" s="1">
        <v>130</v>
      </c>
      <c r="C9">
        <v>642</v>
      </c>
      <c r="D9">
        <v>618</v>
      </c>
      <c r="E9">
        <v>10.04998</v>
      </c>
      <c r="F9" t="s">
        <v>0</v>
      </c>
      <c r="G9" s="10" t="s">
        <v>2417</v>
      </c>
      <c r="H9">
        <v>99</v>
      </c>
      <c r="I9" t="s">
        <v>3</v>
      </c>
      <c r="J9">
        <f ca="1">VLOOKUP(G9,INDIRECT("球速変換!A$1:B$" &amp; Prams!$B$8),2,)</f>
        <v>139</v>
      </c>
      <c r="K9" t="str">
        <f ca="1">VLOOKUP(I9,INDIRECT("投手名変換!A$1:B$" &amp; Prams!$B$9),2,)</f>
        <v>パワプロ</v>
      </c>
      <c r="L9">
        <f t="shared" si="0"/>
        <v>31</v>
      </c>
      <c r="M9">
        <f ca="1">(B9-VLOOKUP(K9,INDIRECT("投手データ!B1:D"&amp;Prams!$B$1),3,FALSE)*2)</f>
        <v>36</v>
      </c>
      <c r="N9" t="str">
        <f ca="1">VLOOKUP(F9,INDIRECT("球種変換表!A$1:B$" &amp; Prams!$B$2),2,)</f>
        <v>ストレート</v>
      </c>
      <c r="O9">
        <f ca="1">VLOOKUP(N9,球種情報!A:B,2,FALSE)</f>
        <v>1</v>
      </c>
      <c r="P9">
        <f ca="1">VLOOKUP(K9,投手データ!B:AI,output!O9+6,FALSE)</f>
        <v>0</v>
      </c>
      <c r="R9">
        <f t="shared" ca="1" si="1"/>
        <v>7.1942446043165471E-3</v>
      </c>
      <c r="S9">
        <f t="shared" si="2"/>
        <v>0.50416666666666665</v>
      </c>
      <c r="T9">
        <f>Prams!B$5/(S9-Prams!B$6)</f>
        <v>139.28281766296186</v>
      </c>
      <c r="U9">
        <f t="shared" ca="1" si="3"/>
        <v>0.58750000000000002</v>
      </c>
      <c r="V9">
        <f ca="1">Prams!C$5/(U9-Prams!C$6)</f>
        <v>139.27235863933319</v>
      </c>
      <c r="W9">
        <f t="shared" ca="1" si="4"/>
        <v>1.0019594146714619</v>
      </c>
    </row>
    <row r="10" spans="1:24" hidden="1" x14ac:dyDescent="0.55000000000000004">
      <c r="A10" s="1" t="s">
        <v>1916</v>
      </c>
      <c r="B10" s="1">
        <v>129</v>
      </c>
      <c r="C10">
        <v>633.95001000000002</v>
      </c>
      <c r="D10">
        <v>602.5</v>
      </c>
      <c r="E10">
        <v>10.062519999999999</v>
      </c>
      <c r="F10" t="s">
        <v>0</v>
      </c>
      <c r="G10" s="10" t="s">
        <v>2416</v>
      </c>
      <c r="H10">
        <v>99</v>
      </c>
      <c r="I10" t="s">
        <v>3</v>
      </c>
      <c r="J10">
        <f ca="1">VLOOKUP(G10,INDIRECT("球速変換!A$1:B$" &amp; Prams!$B$8),2,)</f>
        <v>140</v>
      </c>
      <c r="K10" t="str">
        <f ca="1">VLOOKUP(I10,INDIRECT("投手名変換!A$1:B$" &amp; Prams!$B$9),2,)</f>
        <v>パワプロ</v>
      </c>
      <c r="L10">
        <f t="shared" si="0"/>
        <v>30</v>
      </c>
      <c r="M10">
        <f ca="1">(B10-VLOOKUP(K10,INDIRECT("投手データ!B1:D"&amp;Prams!$B$1),3,FALSE)*2)</f>
        <v>35</v>
      </c>
      <c r="N10" t="str">
        <f ca="1">VLOOKUP(F10,INDIRECT("球種変換表!A$1:B$" &amp; Prams!$B$2),2,)</f>
        <v>ストレート</v>
      </c>
      <c r="O10">
        <f ca="1">VLOOKUP(N10,球種情報!A:B,2,FALSE)</f>
        <v>1</v>
      </c>
      <c r="P10">
        <f ca="1">VLOOKUP(K10,投手データ!B:AI,output!O10+6,FALSE)</f>
        <v>0</v>
      </c>
      <c r="R10">
        <f t="shared" ca="1" si="1"/>
        <v>7.1428571428571426E-3</v>
      </c>
      <c r="S10">
        <f t="shared" si="2"/>
        <v>0.4982638888888889</v>
      </c>
      <c r="T10">
        <f>Prams!B$5/(S10-Prams!B$6)</f>
        <v>141.16003983078261</v>
      </c>
      <c r="U10">
        <f t="shared" ca="1" si="3"/>
        <v>0.58159722222222221</v>
      </c>
      <c r="V10">
        <f ca="1">Prams!C$5/(U10-Prams!C$6)</f>
        <v>141.14929698945326</v>
      </c>
      <c r="W10">
        <f t="shared" ca="1" si="4"/>
        <v>1.0082092642103804</v>
      </c>
    </row>
    <row r="11" spans="1:24" hidden="1" x14ac:dyDescent="0.55000000000000004">
      <c r="A11" s="1" t="s">
        <v>1917</v>
      </c>
      <c r="B11" s="1">
        <v>130</v>
      </c>
      <c r="C11">
        <v>636.54760999999996</v>
      </c>
      <c r="D11">
        <v>617.5</v>
      </c>
      <c r="E11">
        <v>10.55958</v>
      </c>
      <c r="F11" t="s">
        <v>0</v>
      </c>
      <c r="G11" s="10" t="s">
        <v>2417</v>
      </c>
      <c r="H11">
        <v>99</v>
      </c>
      <c r="I11" t="s">
        <v>3</v>
      </c>
      <c r="J11">
        <f ca="1">VLOOKUP(G11,INDIRECT("球速変換!A$1:B$" &amp; Prams!$B$8),2,)</f>
        <v>139</v>
      </c>
      <c r="K11" t="str">
        <f ca="1">VLOOKUP(I11,INDIRECT("投手名変換!A$1:B$" &amp; Prams!$B$9),2,)</f>
        <v>パワプロ</v>
      </c>
      <c r="L11">
        <f t="shared" si="0"/>
        <v>31</v>
      </c>
      <c r="M11">
        <f ca="1">(B11-VLOOKUP(K11,INDIRECT("投手データ!B1:D"&amp;Prams!$B$1),3,FALSE)*2)</f>
        <v>36</v>
      </c>
      <c r="N11" t="str">
        <f ca="1">VLOOKUP(F11,INDIRECT("球種変換表!A$1:B$" &amp; Prams!$B$2),2,)</f>
        <v>ストレート</v>
      </c>
      <c r="O11">
        <f ca="1">VLOOKUP(N11,球種情報!A:B,2,FALSE)</f>
        <v>1</v>
      </c>
      <c r="P11">
        <f ca="1">VLOOKUP(K11,投手データ!B:AI,output!O11+6,FALSE)</f>
        <v>0</v>
      </c>
      <c r="R11">
        <f t="shared" ca="1" si="1"/>
        <v>7.1942446043165471E-3</v>
      </c>
      <c r="S11">
        <f t="shared" si="2"/>
        <v>0.50451388888888882</v>
      </c>
      <c r="T11">
        <f>Prams!B$5/(S11-Prams!B$6)</f>
        <v>139.17394648473899</v>
      </c>
      <c r="U11">
        <f t="shared" ca="1" si="3"/>
        <v>0.5878472222222223</v>
      </c>
      <c r="V11">
        <f ca="1">Prams!C$5/(U11-Prams!C$6)</f>
        <v>139.16350380481336</v>
      </c>
      <c r="W11">
        <f t="shared" ca="1" si="4"/>
        <v>1.0011762863655638</v>
      </c>
    </row>
    <row r="12" spans="1:24" x14ac:dyDescent="0.55000000000000004">
      <c r="A12" s="1" t="s">
        <v>353</v>
      </c>
      <c r="B12" s="1">
        <v>125</v>
      </c>
      <c r="C12">
        <v>637.97497999999996</v>
      </c>
      <c r="D12">
        <v>606</v>
      </c>
      <c r="E12">
        <v>10.025119999999999</v>
      </c>
      <c r="F12" t="s">
        <v>343</v>
      </c>
      <c r="G12" s="10" t="s">
        <v>581</v>
      </c>
      <c r="H12">
        <v>98</v>
      </c>
      <c r="I12" t="s">
        <v>3</v>
      </c>
      <c r="J12">
        <f ca="1">VLOOKUP(G12,INDIRECT("球速変換!A$1:B$" &amp; Prams!$B$8),2,)</f>
        <v>142</v>
      </c>
      <c r="K12" t="str">
        <f ca="1">VLOOKUP(I12,INDIRECT("投手名変換!A$1:B$" &amp; Prams!$B$9),2,)</f>
        <v>パワプロ</v>
      </c>
      <c r="L12">
        <f t="shared" si="0"/>
        <v>27</v>
      </c>
      <c r="M12">
        <f ca="1">(B12-VLOOKUP(K12,INDIRECT("投手データ!B1:D"&amp;Prams!$B$1),3,FALSE)*2)</f>
        <v>31</v>
      </c>
      <c r="N12" t="str">
        <f ca="1">VLOOKUP(F12,INDIRECT("球種変換表!A$1:B$" &amp; Prams!$B$2),2,)</f>
        <v>全力ストレート</v>
      </c>
      <c r="O12">
        <f ca="1">VLOOKUP(N12,球種情報!A:B,2,FALSE)</f>
        <v>2</v>
      </c>
      <c r="P12">
        <f ca="1">VLOOKUP(K12,投手データ!B:AI,output!O12+6,FALSE)</f>
        <v>0</v>
      </c>
      <c r="R12">
        <f t="shared" ca="1" si="1"/>
        <v>7.0422535211267607E-3</v>
      </c>
      <c r="S12">
        <f>(L12-(D12-600)/24)*2/120</f>
        <v>0.44583333333333336</v>
      </c>
      <c r="T12">
        <f>Prams!B$5/(S12-Prams!B$6)</f>
        <v>160.3570810997752</v>
      </c>
      <c r="U12">
        <f t="shared" ca="1" si="3"/>
        <v>0.51249999999999996</v>
      </c>
      <c r="V12">
        <f ca="1">Prams!C$5/(U12-Prams!C$6)</f>
        <v>167.58742206560046</v>
      </c>
      <c r="W12">
        <f t="shared" ca="1" si="4"/>
        <v>1.1801931131380314</v>
      </c>
    </row>
    <row r="13" spans="1:24" x14ac:dyDescent="0.55000000000000004">
      <c r="A13" s="1" t="s">
        <v>354</v>
      </c>
      <c r="B13" s="1">
        <v>125</v>
      </c>
      <c r="C13">
        <v>638</v>
      </c>
      <c r="D13">
        <v>605.5</v>
      </c>
      <c r="E13">
        <v>10.111969999999999</v>
      </c>
      <c r="F13" t="s">
        <v>343</v>
      </c>
      <c r="G13" s="10" t="s">
        <v>581</v>
      </c>
      <c r="H13">
        <v>98</v>
      </c>
      <c r="I13" t="s">
        <v>3</v>
      </c>
      <c r="J13">
        <f ca="1">VLOOKUP(G13,INDIRECT("球速変換!A$1:B$" &amp; Prams!$B$8),2,)</f>
        <v>142</v>
      </c>
      <c r="K13" t="str">
        <f ca="1">VLOOKUP(I13,INDIRECT("投手名変換!A$1:B$" &amp; Prams!$B$9),2,)</f>
        <v>パワプロ</v>
      </c>
      <c r="L13">
        <f t="shared" si="0"/>
        <v>27</v>
      </c>
      <c r="M13">
        <f ca="1">(B13-VLOOKUP(K13,INDIRECT("投手データ!B1:D"&amp;Prams!$B$1),3,FALSE)*2)</f>
        <v>31</v>
      </c>
      <c r="N13" t="str">
        <f ca="1">VLOOKUP(F13,INDIRECT("球種変換表!A$1:B$" &amp; Prams!$B$2),2,)</f>
        <v>全力ストレート</v>
      </c>
      <c r="O13">
        <f ca="1">VLOOKUP(N13,球種情報!A:B,2,FALSE)</f>
        <v>2</v>
      </c>
      <c r="P13">
        <f ca="1">VLOOKUP(K13,投手データ!B:AI,output!O13+6,FALSE)</f>
        <v>0</v>
      </c>
      <c r="R13">
        <f t="shared" ca="1" si="1"/>
        <v>7.0422535211267607E-3</v>
      </c>
      <c r="S13">
        <f t="shared" si="2"/>
        <v>0.44618055555555552</v>
      </c>
      <c r="T13">
        <f>Prams!B$5/(S13-Prams!B$6)</f>
        <v>160.21278893152029</v>
      </c>
      <c r="U13">
        <f t="shared" ca="1" si="3"/>
        <v>0.51284722222222223</v>
      </c>
      <c r="V13">
        <f ca="1">Prams!C$5/(U13-Prams!C$6)</f>
        <v>167.42983096239345</v>
      </c>
      <c r="W13">
        <f t="shared" ca="1" si="4"/>
        <v>1.1790833166365735</v>
      </c>
    </row>
    <row r="14" spans="1:24" x14ac:dyDescent="0.55000000000000004">
      <c r="A14" s="1" t="s">
        <v>355</v>
      </c>
      <c r="B14" s="1">
        <v>126</v>
      </c>
      <c r="C14">
        <v>641.5</v>
      </c>
      <c r="D14">
        <v>618.5</v>
      </c>
      <c r="E14">
        <v>10.512</v>
      </c>
      <c r="F14" t="s">
        <v>343</v>
      </c>
      <c r="G14" s="10" t="s">
        <v>603</v>
      </c>
      <c r="H14">
        <v>98</v>
      </c>
      <c r="I14" t="s">
        <v>3</v>
      </c>
      <c r="J14">
        <v>140</v>
      </c>
      <c r="K14" t="str">
        <f ca="1">VLOOKUP(I14,INDIRECT("投手名変換!A$1:B$" &amp; Prams!$B$9),2,)</f>
        <v>パワプロ</v>
      </c>
      <c r="L14">
        <f t="shared" si="0"/>
        <v>28</v>
      </c>
      <c r="M14">
        <f ca="1">(B14-VLOOKUP(K14,INDIRECT("投手データ!B1:D"&amp;Prams!$B$1),3,FALSE)*2)</f>
        <v>32</v>
      </c>
      <c r="N14" t="str">
        <f ca="1">VLOOKUP(F14,INDIRECT("球種変換表!A$1:B$" &amp; Prams!$B$2),2,)</f>
        <v>全力ストレート</v>
      </c>
      <c r="O14">
        <f ca="1">VLOOKUP(N14,球種情報!A:B,2,FALSE)</f>
        <v>2</v>
      </c>
      <c r="P14">
        <f ca="1">VLOOKUP(K14,投手データ!B:AI,output!O14+6,FALSE)</f>
        <v>0</v>
      </c>
      <c r="R14">
        <f t="shared" si="1"/>
        <v>7.1428571428571426E-3</v>
      </c>
      <c r="S14">
        <f t="shared" si="2"/>
        <v>0.45381944444444444</v>
      </c>
      <c r="T14">
        <f>Prams!B$5/(S14-Prams!B$6)</f>
        <v>157.10278328756874</v>
      </c>
      <c r="U14">
        <f t="shared" ca="1" si="3"/>
        <v>0.52048611111111109</v>
      </c>
      <c r="V14">
        <f ca="1">Prams!C$5/(U14-Prams!C$6)</f>
        <v>164.03629154106383</v>
      </c>
      <c r="W14">
        <f t="shared" ca="1" si="4"/>
        <v>1.1716877967218846</v>
      </c>
    </row>
    <row r="15" spans="1:24" x14ac:dyDescent="0.55000000000000004">
      <c r="A15" s="1" t="s">
        <v>356</v>
      </c>
      <c r="B15" s="1">
        <v>125</v>
      </c>
      <c r="C15">
        <v>637.04998999999998</v>
      </c>
      <c r="D15">
        <v>604.5</v>
      </c>
      <c r="E15">
        <v>10.06254</v>
      </c>
      <c r="F15" t="s">
        <v>343</v>
      </c>
      <c r="G15" s="10" t="s">
        <v>1417</v>
      </c>
      <c r="H15">
        <v>98</v>
      </c>
      <c r="I15" t="s">
        <v>3</v>
      </c>
      <c r="J15">
        <f ca="1">VLOOKUP(G15,INDIRECT("球速変換!A$1:B$" &amp; Prams!$B$8),2,)</f>
        <v>141</v>
      </c>
      <c r="K15" t="str">
        <f ca="1">VLOOKUP(I15,INDIRECT("投手名変換!A$1:B$" &amp; Prams!$B$9),2,)</f>
        <v>パワプロ</v>
      </c>
      <c r="L15">
        <f t="shared" si="0"/>
        <v>27</v>
      </c>
      <c r="M15">
        <f ca="1">(B15-VLOOKUP(K15,INDIRECT("投手データ!B1:D"&amp;Prams!$B$1),3,FALSE)*2)</f>
        <v>31</v>
      </c>
      <c r="N15" t="str">
        <f ca="1">VLOOKUP(F15,INDIRECT("球種変換表!A$1:B$" &amp; Prams!$B$2),2,)</f>
        <v>全力ストレート</v>
      </c>
      <c r="O15">
        <f ca="1">VLOOKUP(N15,球種情報!A:B,2,FALSE)</f>
        <v>2</v>
      </c>
      <c r="P15">
        <f ca="1">VLOOKUP(K15,投手データ!B:AI,output!O15+6,FALSE)</f>
        <v>0</v>
      </c>
      <c r="R15">
        <f t="shared" ca="1" si="1"/>
        <v>7.0921985815602835E-3</v>
      </c>
      <c r="S15">
        <f t="shared" si="2"/>
        <v>0.44687500000000002</v>
      </c>
      <c r="T15">
        <f>Prams!B$5/(S15-Prams!B$6)</f>
        <v>159.92498221561146</v>
      </c>
      <c r="U15">
        <f t="shared" ca="1" si="3"/>
        <v>0.51354166666666667</v>
      </c>
      <c r="V15">
        <f ca="1">Prams!C$5/(U15-Prams!C$6)</f>
        <v>167.11553623318991</v>
      </c>
      <c r="W15">
        <f t="shared" ca="1" si="4"/>
        <v>1.1852165690297156</v>
      </c>
    </row>
    <row r="16" spans="1:24" x14ac:dyDescent="0.55000000000000004">
      <c r="A16" s="1" t="s">
        <v>357</v>
      </c>
      <c r="B16" s="1">
        <v>126</v>
      </c>
      <c r="C16">
        <v>641</v>
      </c>
      <c r="D16">
        <v>617.5</v>
      </c>
      <c r="E16">
        <v>11.01146</v>
      </c>
      <c r="F16" t="s">
        <v>343</v>
      </c>
      <c r="G16" s="10" t="s">
        <v>2416</v>
      </c>
      <c r="H16">
        <v>98</v>
      </c>
      <c r="I16" t="s">
        <v>3</v>
      </c>
      <c r="J16">
        <f ca="1">VLOOKUP(G16,INDIRECT("球速変換!A$1:B$" &amp; Prams!$B$8),2,)</f>
        <v>140</v>
      </c>
      <c r="K16" t="str">
        <f ca="1">VLOOKUP(I16,INDIRECT("投手名変換!A$1:B$" &amp; Prams!$B$9),2,)</f>
        <v>パワプロ</v>
      </c>
      <c r="L16">
        <f t="shared" si="0"/>
        <v>28</v>
      </c>
      <c r="M16">
        <f ca="1">(B16-VLOOKUP(K16,INDIRECT("投手データ!B1:D"&amp;Prams!$B$1),3,FALSE)*2)</f>
        <v>32</v>
      </c>
      <c r="N16" t="str">
        <f ca="1">VLOOKUP(F16,INDIRECT("球種変換表!A$1:B$" &amp; Prams!$B$2),2,)</f>
        <v>全力ストレート</v>
      </c>
      <c r="O16">
        <f ca="1">VLOOKUP(N16,球種情報!A:B,2,FALSE)</f>
        <v>2</v>
      </c>
      <c r="P16">
        <f ca="1">VLOOKUP(K16,投手データ!B:AI,output!O16+6,FALSE)</f>
        <v>0</v>
      </c>
      <c r="R16">
        <f t="shared" ca="1" si="1"/>
        <v>7.1428571428571426E-3</v>
      </c>
      <c r="S16">
        <f t="shared" si="2"/>
        <v>0.45451388888888888</v>
      </c>
      <c r="T16">
        <f>Prams!B$5/(S16-Prams!B$6)</f>
        <v>156.82603211736438</v>
      </c>
      <c r="U16">
        <f t="shared" ca="1" si="3"/>
        <v>0.52118055555555554</v>
      </c>
      <c r="V16">
        <f ca="1">Prams!C$5/(U16-Prams!C$6)</f>
        <v>163.73459673800295</v>
      </c>
      <c r="W16">
        <f t="shared" ca="1" si="4"/>
        <v>1.1695328338428783</v>
      </c>
    </row>
    <row r="17" spans="1:23" x14ac:dyDescent="0.55000000000000004">
      <c r="A17" s="1" t="s">
        <v>358</v>
      </c>
      <c r="B17" s="1">
        <v>125</v>
      </c>
      <c r="C17">
        <v>637.57892000000004</v>
      </c>
      <c r="D17">
        <v>607</v>
      </c>
      <c r="E17">
        <v>9.6311300000000006</v>
      </c>
      <c r="F17" t="s">
        <v>343</v>
      </c>
      <c r="G17" s="10" t="s">
        <v>584</v>
      </c>
      <c r="H17">
        <v>98</v>
      </c>
      <c r="I17" t="s">
        <v>3</v>
      </c>
      <c r="J17">
        <f ca="1">VLOOKUP(G17,INDIRECT("球速変換!A$1:B$" &amp; Prams!$B$8),2,)</f>
        <v>141</v>
      </c>
      <c r="K17" t="str">
        <f ca="1">VLOOKUP(I17,INDIRECT("投手名変換!A$1:B$" &amp; Prams!$B$9),2,)</f>
        <v>パワプロ</v>
      </c>
      <c r="L17">
        <f t="shared" si="0"/>
        <v>27</v>
      </c>
      <c r="M17">
        <f ca="1">(B17-VLOOKUP(K17,INDIRECT("投手データ!B1:D"&amp;Prams!$B$1),3,FALSE)*2)</f>
        <v>31</v>
      </c>
      <c r="N17" t="str">
        <f ca="1">VLOOKUP(F17,INDIRECT("球種変換表!A$1:B$" &amp; Prams!$B$2),2,)</f>
        <v>全力ストレート</v>
      </c>
      <c r="O17">
        <f ca="1">VLOOKUP(N17,球種情報!A:B,2,FALSE)</f>
        <v>2</v>
      </c>
      <c r="P17">
        <f ca="1">VLOOKUP(K17,投手データ!B:AI,output!O17+6,FALSE)</f>
        <v>0</v>
      </c>
      <c r="R17">
        <f t="shared" ca="1" si="1"/>
        <v>7.0921985815602835E-3</v>
      </c>
      <c r="S17">
        <f t="shared" si="2"/>
        <v>0.44513888888888886</v>
      </c>
      <c r="T17">
        <f>Prams!B$5/(S17-Prams!B$6)</f>
        <v>160.64644656494062</v>
      </c>
      <c r="U17">
        <f t="shared" ca="1" si="3"/>
        <v>0.51180555555555551</v>
      </c>
      <c r="V17">
        <f ca="1">Prams!C$5/(U17-Prams!C$6)</f>
        <v>167.9034959337327</v>
      </c>
      <c r="W17">
        <f t="shared" ca="1" si="4"/>
        <v>1.1908049357002319</v>
      </c>
    </row>
    <row r="18" spans="1:23" x14ac:dyDescent="0.55000000000000004">
      <c r="A18" s="1" t="s">
        <v>359</v>
      </c>
      <c r="B18" s="1">
        <v>125</v>
      </c>
      <c r="C18">
        <v>637.60528999999997</v>
      </c>
      <c r="D18">
        <v>607</v>
      </c>
      <c r="E18">
        <v>9.60534</v>
      </c>
      <c r="F18" t="s">
        <v>1517</v>
      </c>
      <c r="G18" s="10" t="s">
        <v>584</v>
      </c>
      <c r="H18">
        <v>98</v>
      </c>
      <c r="I18" t="s">
        <v>3</v>
      </c>
      <c r="J18">
        <f ca="1">VLOOKUP(G18,INDIRECT("球速変換!A$1:B$" &amp; Prams!$B$8),2,)</f>
        <v>141</v>
      </c>
      <c r="K18" t="str">
        <f ca="1">VLOOKUP(I18,INDIRECT("投手名変換!A$1:B$" &amp; Prams!$B$9),2,)</f>
        <v>パワプロ</v>
      </c>
      <c r="L18">
        <f t="shared" si="0"/>
        <v>27</v>
      </c>
      <c r="M18">
        <f ca="1">(B18-VLOOKUP(K18,INDIRECT("投手データ!B1:D"&amp;Prams!$B$1),3,FALSE)*2)</f>
        <v>31</v>
      </c>
      <c r="N18" t="str">
        <f ca="1">VLOOKUP(F18,INDIRECT("球種変換表!A$1:B$" &amp; Prams!$B$2),2,)</f>
        <v>全力ストレート</v>
      </c>
      <c r="O18">
        <f ca="1">VLOOKUP(N18,球種情報!A:B,2,FALSE)</f>
        <v>2</v>
      </c>
      <c r="P18">
        <f ca="1">VLOOKUP(K18,投手データ!B:AI,output!O18+6,FALSE)</f>
        <v>0</v>
      </c>
      <c r="R18">
        <f t="shared" ca="1" si="1"/>
        <v>7.0921985815602835E-3</v>
      </c>
      <c r="S18">
        <f t="shared" si="2"/>
        <v>0.44513888888888886</v>
      </c>
      <c r="T18">
        <f>Prams!B$5/(S18-Prams!B$6)</f>
        <v>160.64644656494062</v>
      </c>
      <c r="U18">
        <f t="shared" ca="1" si="3"/>
        <v>0.51180555555555551</v>
      </c>
      <c r="V18">
        <f ca="1">Prams!C$5/(U18-Prams!C$6)</f>
        <v>167.9034959337327</v>
      </c>
      <c r="W18">
        <f t="shared" ca="1" si="4"/>
        <v>1.1908049357002319</v>
      </c>
    </row>
    <row r="19" spans="1:23" x14ac:dyDescent="0.55000000000000004">
      <c r="A19" s="1" t="s">
        <v>360</v>
      </c>
      <c r="B19" s="1">
        <v>125</v>
      </c>
      <c r="C19">
        <v>638</v>
      </c>
      <c r="D19">
        <v>606.5</v>
      </c>
      <c r="E19">
        <v>11.01146</v>
      </c>
      <c r="F19" t="s">
        <v>343</v>
      </c>
      <c r="G19" s="10" t="s">
        <v>1099</v>
      </c>
      <c r="H19">
        <v>98</v>
      </c>
      <c r="I19" t="s">
        <v>3</v>
      </c>
      <c r="J19">
        <f ca="1">VLOOKUP(G19,INDIRECT("球速変換!A$1:B$" &amp; Prams!$B$8),2,)</f>
        <v>142</v>
      </c>
      <c r="K19" t="str">
        <f ca="1">VLOOKUP(I19,INDIRECT("投手名変換!A$1:B$" &amp; Prams!$B$9),2,)</f>
        <v>パワプロ</v>
      </c>
      <c r="L19">
        <f t="shared" si="0"/>
        <v>27</v>
      </c>
      <c r="M19">
        <f ca="1">(B19-VLOOKUP(K19,INDIRECT("投手データ!B1:D"&amp;Prams!$B$1),3,FALSE)*2)</f>
        <v>31</v>
      </c>
      <c r="N19" t="str">
        <f ca="1">VLOOKUP(F19,INDIRECT("球種変換表!A$1:B$" &amp; Prams!$B$2),2,)</f>
        <v>全力ストレート</v>
      </c>
      <c r="O19">
        <f ca="1">VLOOKUP(N19,球種情報!A:B,2,FALSE)</f>
        <v>2</v>
      </c>
      <c r="P19">
        <f ca="1">VLOOKUP(K19,投手データ!B:AI,output!O19+6,FALSE)</f>
        <v>0</v>
      </c>
      <c r="R19">
        <f t="shared" ca="1" si="1"/>
        <v>7.0422535211267607E-3</v>
      </c>
      <c r="S19">
        <f t="shared" si="2"/>
        <v>0.44548611111111114</v>
      </c>
      <c r="T19">
        <f>Prams!B$5/(S19-Prams!B$6)</f>
        <v>160.50163340953506</v>
      </c>
      <c r="U19">
        <f t="shared" ca="1" si="3"/>
        <v>0.51215277777777779</v>
      </c>
      <c r="V19">
        <f ca="1">Prams!C$5/(U19-Prams!C$6)</f>
        <v>167.7453101093617</v>
      </c>
      <c r="W19">
        <f t="shared" ca="1" si="4"/>
        <v>1.1813050007701529</v>
      </c>
    </row>
    <row r="20" spans="1:23" x14ac:dyDescent="0.55000000000000004">
      <c r="A20" s="1" t="s">
        <v>361</v>
      </c>
      <c r="B20" s="1">
        <v>125</v>
      </c>
      <c r="C20">
        <v>637.57892000000004</v>
      </c>
      <c r="D20">
        <v>607</v>
      </c>
      <c r="E20">
        <v>9.6311300000000006</v>
      </c>
      <c r="F20" t="s">
        <v>343</v>
      </c>
      <c r="G20" s="10" t="s">
        <v>584</v>
      </c>
      <c r="H20">
        <v>98</v>
      </c>
      <c r="I20" t="s">
        <v>3</v>
      </c>
      <c r="J20">
        <f ca="1">VLOOKUP(G20,INDIRECT("球速変換!A$1:B$" &amp; Prams!$B$8),2,)</f>
        <v>141</v>
      </c>
      <c r="K20" t="str">
        <f ca="1">VLOOKUP(I20,INDIRECT("投手名変換!A$1:B$" &amp; Prams!$B$9),2,)</f>
        <v>パワプロ</v>
      </c>
      <c r="L20">
        <f t="shared" si="0"/>
        <v>27</v>
      </c>
      <c r="M20">
        <f ca="1">(B20-VLOOKUP(K20,INDIRECT("投手データ!B1:D"&amp;Prams!$B$1),3,FALSE)*2)</f>
        <v>31</v>
      </c>
      <c r="N20" t="str">
        <f ca="1">VLOOKUP(F20,INDIRECT("球種変換表!A$1:B$" &amp; Prams!$B$2),2,)</f>
        <v>全力ストレート</v>
      </c>
      <c r="O20">
        <f ca="1">VLOOKUP(N20,球種情報!A:B,2,FALSE)</f>
        <v>2</v>
      </c>
      <c r="P20">
        <f ca="1">VLOOKUP(K20,投手データ!B:AI,output!O20+6,FALSE)</f>
        <v>0</v>
      </c>
      <c r="R20">
        <f t="shared" ca="1" si="1"/>
        <v>7.0921985815602835E-3</v>
      </c>
      <c r="S20">
        <f t="shared" si="2"/>
        <v>0.44513888888888886</v>
      </c>
      <c r="T20">
        <f>Prams!B$5/(S20-Prams!B$6)</f>
        <v>160.64644656494062</v>
      </c>
      <c r="U20">
        <f t="shared" ca="1" si="3"/>
        <v>0.51180555555555551</v>
      </c>
      <c r="V20">
        <f ca="1">Prams!C$5/(U20-Prams!C$6)</f>
        <v>167.9034959337327</v>
      </c>
      <c r="W20">
        <f t="shared" ca="1" si="4"/>
        <v>1.1908049357002319</v>
      </c>
    </row>
    <row r="21" spans="1:23" x14ac:dyDescent="0.55000000000000004">
      <c r="A21" s="1" t="s">
        <v>362</v>
      </c>
      <c r="B21" s="1">
        <v>126</v>
      </c>
      <c r="C21">
        <v>640.5</v>
      </c>
      <c r="D21">
        <v>614.5</v>
      </c>
      <c r="E21">
        <v>11.510960000000001</v>
      </c>
      <c r="F21" t="s">
        <v>92</v>
      </c>
      <c r="G21" s="10" t="s">
        <v>583</v>
      </c>
      <c r="H21">
        <v>98</v>
      </c>
      <c r="I21" t="s">
        <v>3</v>
      </c>
      <c r="J21">
        <f ca="1">VLOOKUP(G21,INDIRECT("球速変換!A$1:B$" &amp; Prams!$B$8),2,)</f>
        <v>139</v>
      </c>
      <c r="K21" t="str">
        <f ca="1">VLOOKUP(I21,INDIRECT("投手名変換!A$1:B$" &amp; Prams!$B$9),2,)</f>
        <v>パワプロ</v>
      </c>
      <c r="L21">
        <f t="shared" si="0"/>
        <v>28</v>
      </c>
      <c r="M21">
        <f ca="1">(B21-VLOOKUP(K21,INDIRECT("投手データ!B1:D"&amp;Prams!$B$1),3,FALSE)*2)</f>
        <v>32</v>
      </c>
      <c r="N21" t="str">
        <f ca="1">VLOOKUP(F21,INDIRECT("球種変換表!A$1:B$" &amp; Prams!$B$2),2,)</f>
        <v>全力ストレート</v>
      </c>
      <c r="O21">
        <f ca="1">VLOOKUP(N21,球種情報!A:B,2,FALSE)</f>
        <v>2</v>
      </c>
      <c r="P21">
        <f ca="1">VLOOKUP(K21,投手データ!B:AI,output!O21+6,FALSE)</f>
        <v>0</v>
      </c>
      <c r="R21">
        <f t="shared" ca="1" si="1"/>
        <v>7.1942446043165471E-3</v>
      </c>
      <c r="S21">
        <f t="shared" si="2"/>
        <v>0.45659722222222221</v>
      </c>
      <c r="T21">
        <f>Prams!B$5/(S21-Prams!B$6)</f>
        <v>156.0015981271072</v>
      </c>
      <c r="U21">
        <f t="shared" ca="1" si="3"/>
        <v>0.52326388888888886</v>
      </c>
      <c r="V21">
        <f ca="1">Prams!C$5/(U21-Prams!C$6)</f>
        <v>162.83613430007537</v>
      </c>
      <c r="W21">
        <f t="shared" ca="1" si="4"/>
        <v>1.1714829805760818</v>
      </c>
    </row>
    <row r="22" spans="1:23" hidden="1" x14ac:dyDescent="0.55000000000000004">
      <c r="A22" s="1" t="s">
        <v>363</v>
      </c>
      <c r="B22" s="1">
        <v>135</v>
      </c>
      <c r="C22">
        <v>670.5</v>
      </c>
      <c r="D22">
        <v>611.5</v>
      </c>
      <c r="E22">
        <v>10.512</v>
      </c>
      <c r="F22" t="s">
        <v>9</v>
      </c>
      <c r="G22" s="10" t="s">
        <v>2418</v>
      </c>
      <c r="H22">
        <v>101</v>
      </c>
      <c r="I22" t="s">
        <v>3</v>
      </c>
      <c r="J22">
        <f ca="1">VLOOKUP(G22,INDIRECT("球速変換!A$1:B$" &amp; Prams!$B$8),2,)</f>
        <v>129</v>
      </c>
      <c r="K22" t="str">
        <f ca="1">VLOOKUP(I22,INDIRECT("投手名変換!A$1:B$" &amp; Prams!$B$9),2,)</f>
        <v>パワプロ</v>
      </c>
      <c r="L22">
        <f t="shared" si="0"/>
        <v>34</v>
      </c>
      <c r="M22">
        <f ca="1">(B22-VLOOKUP(K22,INDIRECT("投手データ!B1:D"&amp;Prams!$B$1),3,FALSE)*2)</f>
        <v>41</v>
      </c>
      <c r="N22" t="str">
        <f ca="1">VLOOKUP(F22,INDIRECT("球種変換表!A$1:B$" &amp; Prams!$B$2),2,)</f>
        <v>スライダー</v>
      </c>
      <c r="O22">
        <f ca="1">VLOOKUP(N22,球種情報!A:B,2,FALSE)</f>
        <v>6</v>
      </c>
      <c r="P22">
        <f ca="1">VLOOKUP(K22,投手データ!B:AI,output!O22+6,FALSE)</f>
        <v>0</v>
      </c>
      <c r="R22">
        <f t="shared" ca="1" si="1"/>
        <v>7.7519379844961239E-3</v>
      </c>
      <c r="S22">
        <f t="shared" si="2"/>
        <v>0.55868055555555562</v>
      </c>
      <c r="T22">
        <f>Prams!B$5/(S22-Prams!B$6)</f>
        <v>124.04777696650818</v>
      </c>
      <c r="U22">
        <f t="shared" ca="1" si="3"/>
        <v>0.67534722222222221</v>
      </c>
      <c r="V22">
        <f ca="1">Prams!C$5/(U22-Prams!C$6)</f>
        <v>116.26388896144265</v>
      </c>
      <c r="W22">
        <f t="shared" ca="1" si="4"/>
        <v>0.90127045706544684</v>
      </c>
    </row>
    <row r="23" spans="1:23" hidden="1" x14ac:dyDescent="0.55000000000000004">
      <c r="A23" s="1" t="s">
        <v>364</v>
      </c>
      <c r="B23" s="1">
        <v>136</v>
      </c>
      <c r="C23">
        <v>663</v>
      </c>
      <c r="D23">
        <v>616</v>
      </c>
      <c r="E23">
        <v>11.0001</v>
      </c>
      <c r="F23" t="s">
        <v>9</v>
      </c>
      <c r="G23" s="10" t="s">
        <v>2419</v>
      </c>
      <c r="H23">
        <v>101</v>
      </c>
      <c r="I23" t="s">
        <v>3</v>
      </c>
      <c r="J23">
        <f ca="1">VLOOKUP(G23,INDIRECT("球速変換!A$1:B$" &amp; Prams!$B$8),2,)</f>
        <v>126</v>
      </c>
      <c r="K23" t="str">
        <f ca="1">VLOOKUP(I23,INDIRECT("投手名変換!A$1:B$" &amp; Prams!$B$9),2,)</f>
        <v>パワプロ</v>
      </c>
      <c r="L23">
        <f t="shared" si="0"/>
        <v>35</v>
      </c>
      <c r="M23">
        <f ca="1">(B23-VLOOKUP(K23,INDIRECT("投手データ!B1:D"&amp;Prams!$B$1),3,FALSE)*2)</f>
        <v>42</v>
      </c>
      <c r="N23" t="str">
        <f ca="1">VLOOKUP(F23,INDIRECT("球種変換表!A$1:B$" &amp; Prams!$B$2),2,)</f>
        <v>スライダー</v>
      </c>
      <c r="O23">
        <f ca="1">VLOOKUP(N23,球種情報!A:B,2,FALSE)</f>
        <v>6</v>
      </c>
      <c r="P23">
        <f ca="1">VLOOKUP(K23,投手データ!B:AI,output!O23+6,FALSE)</f>
        <v>0</v>
      </c>
      <c r="R23">
        <f t="shared" ca="1" si="1"/>
        <v>7.9365079365079361E-3</v>
      </c>
      <c r="S23">
        <f t="shared" si="2"/>
        <v>0.5722222222222223</v>
      </c>
      <c r="T23">
        <f>Prams!B$5/(S23-Prams!B$6)</f>
        <v>120.76639246413299</v>
      </c>
      <c r="U23">
        <f t="shared" ca="1" si="3"/>
        <v>0.68888888888888888</v>
      </c>
      <c r="V23">
        <f ca="1">Prams!C$5/(U23-Prams!C$6)</f>
        <v>113.37659955986632</v>
      </c>
      <c r="W23">
        <f t="shared" ca="1" si="4"/>
        <v>0.89981428222116133</v>
      </c>
    </row>
    <row r="24" spans="1:23" hidden="1" x14ac:dyDescent="0.55000000000000004">
      <c r="A24" s="1" t="s">
        <v>365</v>
      </c>
      <c r="B24" s="1">
        <v>135</v>
      </c>
      <c r="C24">
        <v>652.5</v>
      </c>
      <c r="D24">
        <v>601</v>
      </c>
      <c r="E24">
        <v>10.547610000000001</v>
      </c>
      <c r="F24" t="s">
        <v>9</v>
      </c>
      <c r="G24" s="10" t="s">
        <v>2420</v>
      </c>
      <c r="H24">
        <v>101</v>
      </c>
      <c r="I24" t="s">
        <v>3</v>
      </c>
      <c r="J24">
        <f ca="1">VLOOKUP(G24,INDIRECT("球速変換!A$1:B$" &amp; Prams!$B$8),2,)</f>
        <v>127</v>
      </c>
      <c r="K24" t="str">
        <f ca="1">VLOOKUP(I24,INDIRECT("投手名変換!A$1:B$" &amp; Prams!$B$9),2,)</f>
        <v>パワプロ</v>
      </c>
      <c r="L24">
        <f t="shared" si="0"/>
        <v>34</v>
      </c>
      <c r="M24">
        <f ca="1">(B24-VLOOKUP(K24,INDIRECT("投手データ!B1:D"&amp;Prams!$B$1),3,FALSE)*2)</f>
        <v>41</v>
      </c>
      <c r="N24" t="str">
        <f ca="1">VLOOKUP(F24,INDIRECT("球種変換表!A$1:B$" &amp; Prams!$B$2),2,)</f>
        <v>スライダー</v>
      </c>
      <c r="O24">
        <f ca="1">VLOOKUP(N24,球種情報!A:B,2,FALSE)</f>
        <v>6</v>
      </c>
      <c r="P24">
        <f ca="1">VLOOKUP(K24,投手データ!B:AI,output!O24+6,FALSE)</f>
        <v>0</v>
      </c>
      <c r="R24">
        <f t="shared" ca="1" si="1"/>
        <v>7.874015748031496E-3</v>
      </c>
      <c r="S24">
        <f t="shared" si="2"/>
        <v>0.56597222222222221</v>
      </c>
      <c r="T24">
        <f>Prams!B$5/(S24-Prams!B$6)</f>
        <v>122.25903912283979</v>
      </c>
      <c r="U24">
        <f t="shared" ca="1" si="3"/>
        <v>0.68263888888888891</v>
      </c>
      <c r="V24">
        <f ca="1">Prams!C$5/(U24-Prams!C$6)</f>
        <v>114.69116843765138</v>
      </c>
      <c r="W24">
        <f t="shared" ca="1" si="4"/>
        <v>0.90308006643819982</v>
      </c>
    </row>
    <row r="25" spans="1:23" hidden="1" x14ac:dyDescent="0.55000000000000004">
      <c r="A25" s="1" t="s">
        <v>366</v>
      </c>
      <c r="B25" s="1">
        <v>135</v>
      </c>
      <c r="C25">
        <v>658</v>
      </c>
      <c r="D25">
        <v>602</v>
      </c>
      <c r="E25">
        <v>10.04998</v>
      </c>
      <c r="F25" t="s">
        <v>9</v>
      </c>
      <c r="G25" s="10" t="s">
        <v>2420</v>
      </c>
      <c r="H25">
        <v>101</v>
      </c>
      <c r="I25" t="s">
        <v>3</v>
      </c>
      <c r="J25">
        <f ca="1">VLOOKUP(G25,INDIRECT("球速変換!A$1:B$" &amp; Prams!$B$8),2,)</f>
        <v>127</v>
      </c>
      <c r="K25" t="str">
        <f ca="1">VLOOKUP(I25,INDIRECT("投手名変換!A$1:B$" &amp; Prams!$B$9),2,)</f>
        <v>パワプロ</v>
      </c>
      <c r="L25">
        <f t="shared" si="0"/>
        <v>34</v>
      </c>
      <c r="M25">
        <f ca="1">(B25-VLOOKUP(K25,INDIRECT("投手データ!B1:D"&amp;Prams!$B$1),3,FALSE)*2)</f>
        <v>41</v>
      </c>
      <c r="N25" t="str">
        <f ca="1">VLOOKUP(F25,INDIRECT("球種変換表!A$1:B$" &amp; Prams!$B$2),2,)</f>
        <v>スライダー</v>
      </c>
      <c r="O25">
        <f ca="1">VLOOKUP(N25,球種情報!A:B,2,FALSE)</f>
        <v>6</v>
      </c>
      <c r="P25">
        <f ca="1">VLOOKUP(K25,投手データ!B:AI,output!O25+6,FALSE)</f>
        <v>0</v>
      </c>
      <c r="R25">
        <f t="shared" ca="1" si="1"/>
        <v>7.874015748031496E-3</v>
      </c>
      <c r="S25">
        <f t="shared" si="2"/>
        <v>0.56527777777777777</v>
      </c>
      <c r="T25">
        <f>Prams!B$5/(S25-Prams!B$6)</f>
        <v>122.42716951240979</v>
      </c>
      <c r="U25">
        <f t="shared" ca="1" si="3"/>
        <v>0.68194444444444435</v>
      </c>
      <c r="V25">
        <f ca="1">Prams!C$5/(U25-Prams!C$6)</f>
        <v>114.8391158077233</v>
      </c>
      <c r="W25">
        <f t="shared" ca="1" si="4"/>
        <v>0.90424500636002603</v>
      </c>
    </row>
    <row r="26" spans="1:23" hidden="1" x14ac:dyDescent="0.55000000000000004">
      <c r="A26" s="1" t="s">
        <v>367</v>
      </c>
      <c r="B26" s="1">
        <v>135</v>
      </c>
      <c r="C26">
        <v>667</v>
      </c>
      <c r="D26">
        <v>602.5</v>
      </c>
      <c r="E26">
        <v>11.01146</v>
      </c>
      <c r="F26" t="s">
        <v>9</v>
      </c>
      <c r="G26" s="10" t="s">
        <v>629</v>
      </c>
      <c r="H26">
        <v>101</v>
      </c>
      <c r="I26" t="s">
        <v>3</v>
      </c>
      <c r="J26">
        <f ca="1">VLOOKUP(G26,INDIRECT("球速変換!A$1:B$" &amp; Prams!$B$8),2,)</f>
        <v>121</v>
      </c>
      <c r="K26" t="str">
        <f ca="1">VLOOKUP(I26,INDIRECT("投手名変換!A$1:B$" &amp; Prams!$B$9),2,)</f>
        <v>パワプロ</v>
      </c>
      <c r="L26">
        <f t="shared" si="0"/>
        <v>34</v>
      </c>
      <c r="M26">
        <f ca="1">(B26-VLOOKUP(K26,INDIRECT("投手データ!B1:D"&amp;Prams!$B$1),3,FALSE)*2)</f>
        <v>41</v>
      </c>
      <c r="N26" t="str">
        <f ca="1">VLOOKUP(F26,INDIRECT("球種変換表!A$1:B$" &amp; Prams!$B$2),2,)</f>
        <v>スライダー</v>
      </c>
      <c r="O26">
        <f ca="1">VLOOKUP(N26,球種情報!A:B,2,FALSE)</f>
        <v>6</v>
      </c>
      <c r="P26">
        <f ca="1">VLOOKUP(K26,投手データ!B:AI,output!O26+6,FALSE)</f>
        <v>0</v>
      </c>
      <c r="R26">
        <f t="shared" ca="1" si="1"/>
        <v>8.2644628099173556E-3</v>
      </c>
      <c r="S26">
        <f t="shared" si="2"/>
        <v>0.5649305555555556</v>
      </c>
      <c r="T26">
        <f>Prams!B$5/(S26-Prams!B$6)</f>
        <v>122.51140823594818</v>
      </c>
      <c r="U26">
        <f t="shared" ca="1" si="3"/>
        <v>0.6815972222222223</v>
      </c>
      <c r="V26">
        <f ca="1">Prams!C$5/(U26-Prams!C$6)</f>
        <v>114.91323272011937</v>
      </c>
      <c r="W26">
        <f t="shared" ca="1" si="4"/>
        <v>0.94969613818280474</v>
      </c>
    </row>
    <row r="27" spans="1:23" hidden="1" x14ac:dyDescent="0.55000000000000004">
      <c r="A27" s="1" t="s">
        <v>368</v>
      </c>
      <c r="B27" s="1">
        <v>136</v>
      </c>
      <c r="C27">
        <v>668.52380000000005</v>
      </c>
      <c r="D27">
        <v>618</v>
      </c>
      <c r="E27">
        <v>10.52392</v>
      </c>
      <c r="F27" t="s">
        <v>9</v>
      </c>
      <c r="G27" s="10" t="s">
        <v>2419</v>
      </c>
      <c r="H27">
        <v>101</v>
      </c>
      <c r="I27" t="s">
        <v>3</v>
      </c>
      <c r="J27">
        <f ca="1">VLOOKUP(G27,INDIRECT("球速変換!A$1:B$" &amp; Prams!$B$8),2,)</f>
        <v>126</v>
      </c>
      <c r="K27" t="str">
        <f ca="1">VLOOKUP(I27,INDIRECT("投手名変換!A$1:B$" &amp; Prams!$B$9),2,)</f>
        <v>パワプロ</v>
      </c>
      <c r="L27">
        <f t="shared" si="0"/>
        <v>35</v>
      </c>
      <c r="M27">
        <f ca="1">(B27-VLOOKUP(K27,INDIRECT("投手データ!B1:D"&amp;Prams!$B$1),3,FALSE)*2)</f>
        <v>42</v>
      </c>
      <c r="N27" t="str">
        <f ca="1">VLOOKUP(F27,INDIRECT("球種変換表!A$1:B$" &amp; Prams!$B$2),2,)</f>
        <v>スライダー</v>
      </c>
      <c r="O27">
        <f ca="1">VLOOKUP(N27,球種情報!A:B,2,FALSE)</f>
        <v>6</v>
      </c>
      <c r="P27">
        <f ca="1">VLOOKUP(K27,投手データ!B:AI,output!O27+6,FALSE)</f>
        <v>0</v>
      </c>
      <c r="R27">
        <f t="shared" ca="1" si="1"/>
        <v>7.9365079365079361E-3</v>
      </c>
      <c r="S27">
        <f t="shared" si="2"/>
        <v>0.5708333333333333</v>
      </c>
      <c r="T27">
        <f>Prams!B$5/(S27-Prams!B$6)</f>
        <v>121.09493340297729</v>
      </c>
      <c r="U27">
        <f t="shared" ca="1" si="3"/>
        <v>0.6875</v>
      </c>
      <c r="V27">
        <f ca="1">Prams!C$5/(U27-Prams!C$6)</f>
        <v>113.66611509468652</v>
      </c>
      <c r="W27">
        <f t="shared" ca="1" si="4"/>
        <v>0.90211202456100414</v>
      </c>
    </row>
    <row r="28" spans="1:23" hidden="1" x14ac:dyDescent="0.55000000000000004">
      <c r="A28" s="1" t="s">
        <v>369</v>
      </c>
      <c r="B28" s="1">
        <v>136</v>
      </c>
      <c r="C28">
        <v>664.5</v>
      </c>
      <c r="D28">
        <v>617</v>
      </c>
      <c r="E28">
        <v>10.547610000000001</v>
      </c>
      <c r="F28" t="s">
        <v>9</v>
      </c>
      <c r="G28" s="10" t="s">
        <v>2419</v>
      </c>
      <c r="H28">
        <v>101</v>
      </c>
      <c r="I28" t="s">
        <v>3</v>
      </c>
      <c r="J28">
        <f ca="1">VLOOKUP(G28,INDIRECT("球速変換!A$1:B$" &amp; Prams!$B$8),2,)</f>
        <v>126</v>
      </c>
      <c r="K28" t="str">
        <f ca="1">VLOOKUP(I28,INDIRECT("投手名変換!A$1:B$" &amp; Prams!$B$9),2,)</f>
        <v>パワプロ</v>
      </c>
      <c r="L28">
        <f t="shared" si="0"/>
        <v>35</v>
      </c>
      <c r="M28">
        <f ca="1">(B28-VLOOKUP(K28,INDIRECT("投手データ!B1:D"&amp;Prams!$B$1),3,FALSE)*2)</f>
        <v>42</v>
      </c>
      <c r="N28" t="str">
        <f ca="1">VLOOKUP(F28,INDIRECT("球種変換表!A$1:B$" &amp; Prams!$B$2),2,)</f>
        <v>スライダー</v>
      </c>
      <c r="O28">
        <f ca="1">VLOOKUP(N28,球種情報!A:B,2,FALSE)</f>
        <v>6</v>
      </c>
      <c r="P28">
        <f ca="1">VLOOKUP(K28,投手データ!B:AI,output!O28+6,FALSE)</f>
        <v>0</v>
      </c>
      <c r="R28">
        <f t="shared" ca="1" si="1"/>
        <v>7.9365079365079361E-3</v>
      </c>
      <c r="S28">
        <f t="shared" si="2"/>
        <v>0.57152777777777775</v>
      </c>
      <c r="T28">
        <f>Prams!B$5/(S28-Prams!B$6)</f>
        <v>120.9304397909173</v>
      </c>
      <c r="U28">
        <f t="shared" ca="1" si="3"/>
        <v>0.68819444444444444</v>
      </c>
      <c r="V28">
        <f ca="1">Prams!C$5/(U28-Prams!C$6)</f>
        <v>113.52117273812318</v>
      </c>
      <c r="W28">
        <f t="shared" ca="1" si="4"/>
        <v>0.900961688397803</v>
      </c>
    </row>
    <row r="29" spans="1:23" hidden="1" x14ac:dyDescent="0.55000000000000004">
      <c r="A29" s="1" t="s">
        <v>370</v>
      </c>
      <c r="B29" s="1">
        <v>135</v>
      </c>
      <c r="C29">
        <v>669</v>
      </c>
      <c r="D29">
        <v>606</v>
      </c>
      <c r="E29">
        <v>10.04998</v>
      </c>
      <c r="F29" t="s">
        <v>9</v>
      </c>
      <c r="G29" s="10" t="s">
        <v>624</v>
      </c>
      <c r="H29">
        <v>101</v>
      </c>
      <c r="I29" t="s">
        <v>3</v>
      </c>
      <c r="J29">
        <f ca="1">VLOOKUP(G29,INDIRECT("球速変換!A$1:B$" &amp; Prams!$B$8),2,)</f>
        <v>128</v>
      </c>
      <c r="K29" t="str">
        <f ca="1">VLOOKUP(I29,INDIRECT("投手名変換!A$1:B$" &amp; Prams!$B$9),2,)</f>
        <v>パワプロ</v>
      </c>
      <c r="L29">
        <f t="shared" si="0"/>
        <v>34</v>
      </c>
      <c r="M29">
        <f ca="1">(B29-VLOOKUP(K29,INDIRECT("投手データ!B1:D"&amp;Prams!$B$1),3,FALSE)*2)</f>
        <v>41</v>
      </c>
      <c r="N29" t="str">
        <f ca="1">VLOOKUP(F29,INDIRECT("球種変換表!A$1:B$" &amp; Prams!$B$2),2,)</f>
        <v>スライダー</v>
      </c>
      <c r="O29">
        <f ca="1">VLOOKUP(N29,球種情報!A:B,2,FALSE)</f>
        <v>6</v>
      </c>
      <c r="P29">
        <f ca="1">VLOOKUP(K29,投手データ!B:AI,output!O29+6,FALSE)</f>
        <v>0</v>
      </c>
      <c r="R29">
        <f t="shared" ca="1" si="1"/>
        <v>7.8125E-3</v>
      </c>
      <c r="S29">
        <f t="shared" si="2"/>
        <v>0.5625</v>
      </c>
      <c r="T29">
        <f>Prams!B$5/(S29-Prams!B$6)</f>
        <v>123.10434090003983</v>
      </c>
      <c r="U29">
        <f t="shared" ca="1" si="3"/>
        <v>0.6791666666666667</v>
      </c>
      <c r="V29">
        <f ca="1">Prams!C$5/(U29-Prams!C$6)</f>
        <v>115.43474201780045</v>
      </c>
      <c r="W29">
        <f t="shared" ca="1" si="4"/>
        <v>0.90183392201406598</v>
      </c>
    </row>
    <row r="30" spans="1:23" hidden="1" x14ac:dyDescent="0.55000000000000004">
      <c r="A30" s="1" t="s">
        <v>371</v>
      </c>
      <c r="B30" s="1">
        <v>135</v>
      </c>
      <c r="C30">
        <v>665.44739000000004</v>
      </c>
      <c r="D30">
        <v>600.5</v>
      </c>
      <c r="E30">
        <v>9.5657899999999998</v>
      </c>
      <c r="F30" t="s">
        <v>9</v>
      </c>
      <c r="G30" s="10" t="s">
        <v>2419</v>
      </c>
      <c r="H30">
        <v>101</v>
      </c>
      <c r="I30" t="s">
        <v>3</v>
      </c>
      <c r="J30">
        <f ca="1">VLOOKUP(G30,INDIRECT("球速変換!A$1:B$" &amp; Prams!$B$8),2,)</f>
        <v>126</v>
      </c>
      <c r="K30" t="str">
        <f ca="1">VLOOKUP(I30,INDIRECT("投手名変換!A$1:B$" &amp; Prams!$B$9),2,)</f>
        <v>パワプロ</v>
      </c>
      <c r="L30">
        <f t="shared" si="0"/>
        <v>34</v>
      </c>
      <c r="M30">
        <f ca="1">(B30-VLOOKUP(K30,INDIRECT("投手データ!B1:D"&amp;Prams!$B$1),3,FALSE)*2)</f>
        <v>41</v>
      </c>
      <c r="N30" t="str">
        <f ca="1">VLOOKUP(F30,INDIRECT("球種変換表!A$1:B$" &amp; Prams!$B$2),2,)</f>
        <v>スライダー</v>
      </c>
      <c r="O30">
        <f ca="1">VLOOKUP(N30,球種情報!A:B,2,FALSE)</f>
        <v>6</v>
      </c>
      <c r="P30">
        <f ca="1">VLOOKUP(K30,投手データ!B:AI,output!O30+6,FALSE)</f>
        <v>0</v>
      </c>
      <c r="R30">
        <f t="shared" ca="1" si="1"/>
        <v>7.9365079365079361E-3</v>
      </c>
      <c r="S30">
        <f t="shared" si="2"/>
        <v>0.56631944444444438</v>
      </c>
      <c r="T30">
        <f>Prams!B$5/(S30-Prams!B$6)</f>
        <v>122.17514698051789</v>
      </c>
      <c r="U30">
        <f t="shared" ca="1" si="3"/>
        <v>0.68298611111111107</v>
      </c>
      <c r="V30">
        <f ca="1">Prams!C$5/(U30-Prams!C$6)</f>
        <v>114.6173376111732</v>
      </c>
      <c r="W30">
        <f t="shared" ca="1" si="4"/>
        <v>0.90966140961248565</v>
      </c>
    </row>
    <row r="31" spans="1:23" hidden="1" x14ac:dyDescent="0.55000000000000004">
      <c r="A31" s="1" t="s">
        <v>372</v>
      </c>
      <c r="B31" s="1">
        <v>136</v>
      </c>
      <c r="C31">
        <v>666.40479000000005</v>
      </c>
      <c r="D31">
        <v>616</v>
      </c>
      <c r="E31">
        <v>10.59531</v>
      </c>
      <c r="F31" t="s">
        <v>9</v>
      </c>
      <c r="G31" s="10" t="s">
        <v>2419</v>
      </c>
      <c r="H31">
        <v>101</v>
      </c>
      <c r="I31" t="s">
        <v>3</v>
      </c>
      <c r="J31">
        <f ca="1">VLOOKUP(G31,INDIRECT("球速変換!A$1:B$" &amp; Prams!$B$8),2,)</f>
        <v>126</v>
      </c>
      <c r="K31" t="str">
        <f ca="1">VLOOKUP(I31,INDIRECT("投手名変換!A$1:B$" &amp; Prams!$B$9),2,)</f>
        <v>パワプロ</v>
      </c>
      <c r="L31">
        <f t="shared" si="0"/>
        <v>35</v>
      </c>
      <c r="M31">
        <f ca="1">(B31-VLOOKUP(K31,INDIRECT("投手データ!B1:D"&amp;Prams!$B$1),3,FALSE)*2)</f>
        <v>42</v>
      </c>
      <c r="N31" t="str">
        <f ca="1">VLOOKUP(F31,INDIRECT("球種変換表!A$1:B$" &amp; Prams!$B$2),2,)</f>
        <v>スライダー</v>
      </c>
      <c r="O31">
        <f ca="1">VLOOKUP(N31,球種情報!A:B,2,FALSE)</f>
        <v>6</v>
      </c>
      <c r="P31">
        <f ca="1">VLOOKUP(K31,投手データ!B:AI,output!O31+6,FALSE)</f>
        <v>0</v>
      </c>
      <c r="R31">
        <f t="shared" ca="1" si="1"/>
        <v>7.9365079365079361E-3</v>
      </c>
      <c r="S31">
        <f t="shared" si="2"/>
        <v>0.5722222222222223</v>
      </c>
      <c r="T31">
        <f>Prams!B$5/(S31-Prams!B$6)</f>
        <v>120.76639246413299</v>
      </c>
      <c r="U31">
        <f t="shared" ca="1" si="3"/>
        <v>0.68888888888888888</v>
      </c>
      <c r="V31">
        <f ca="1">Prams!C$5/(U31-Prams!C$6)</f>
        <v>113.37659955986632</v>
      </c>
      <c r="W31">
        <f t="shared" ca="1" si="4"/>
        <v>0.89981428222116133</v>
      </c>
    </row>
    <row r="32" spans="1:23" hidden="1" x14ac:dyDescent="0.55000000000000004">
      <c r="A32" s="1" t="s">
        <v>373</v>
      </c>
      <c r="B32" s="1">
        <v>146</v>
      </c>
      <c r="C32">
        <v>649.95001000000002</v>
      </c>
      <c r="D32">
        <v>604.5</v>
      </c>
      <c r="E32">
        <v>10.062519999999999</v>
      </c>
      <c r="F32" t="s">
        <v>345</v>
      </c>
      <c r="G32" s="10" t="s">
        <v>2421</v>
      </c>
      <c r="H32">
        <v>101</v>
      </c>
      <c r="I32" t="s">
        <v>3</v>
      </c>
      <c r="J32">
        <f ca="1">VLOOKUP(G32,INDIRECT("球速変換!A$1:B$" &amp; Prams!$B$8),2,)</f>
        <v>114</v>
      </c>
      <c r="K32" t="str">
        <f ca="1">VLOOKUP(I32,INDIRECT("投手名変換!A$1:B$" &amp; Prams!$B$9),2,)</f>
        <v>パワプロ</v>
      </c>
      <c r="L32">
        <f t="shared" si="0"/>
        <v>45</v>
      </c>
      <c r="M32">
        <f ca="1">(B32-VLOOKUP(K32,INDIRECT("投手データ!B1:D"&amp;Prams!$B$1),3,FALSE)*2)</f>
        <v>52</v>
      </c>
      <c r="N32" t="str">
        <f ca="1">VLOOKUP(F32,INDIRECT("球種変換表!A$1:B$" &amp; Prams!$B$2),2,)</f>
        <v>カーブ</v>
      </c>
      <c r="O32">
        <f ca="1">VLOOKUP(N32,球種情報!A:B,2,FALSE)</f>
        <v>9</v>
      </c>
      <c r="P32">
        <f ca="1">VLOOKUP(K32,投手データ!B:AI,output!O32+6,FALSE)</f>
        <v>0</v>
      </c>
      <c r="R32">
        <f t="shared" ca="1" si="1"/>
        <v>8.771929824561403E-3</v>
      </c>
      <c r="S32">
        <f t="shared" si="2"/>
        <v>0.74687499999999996</v>
      </c>
      <c r="T32">
        <f>Prams!B$5/(S32-Prams!B$6)</f>
        <v>90.045515784874198</v>
      </c>
      <c r="U32">
        <f t="shared" ca="1" si="3"/>
        <v>0.86354166666666665</v>
      </c>
      <c r="V32">
        <f ca="1">Prams!C$5/(U32-Prams!C$6)</f>
        <v>85.872235019040886</v>
      </c>
      <c r="W32">
        <f t="shared" ca="1" si="4"/>
        <v>0.75326521946527092</v>
      </c>
    </row>
    <row r="33" spans="1:24" hidden="1" x14ac:dyDescent="0.55000000000000004">
      <c r="A33" s="1" t="s">
        <v>374</v>
      </c>
      <c r="B33" s="1">
        <v>146</v>
      </c>
      <c r="C33">
        <v>650.45239000000004</v>
      </c>
      <c r="D33">
        <v>612.5</v>
      </c>
      <c r="E33">
        <v>10.55955</v>
      </c>
      <c r="F33" t="s">
        <v>346</v>
      </c>
      <c r="G33" s="10" t="s">
        <v>2422</v>
      </c>
      <c r="H33">
        <v>101</v>
      </c>
      <c r="I33" t="s">
        <v>3</v>
      </c>
      <c r="J33">
        <f ca="1">VLOOKUP(G33,INDIRECT("球速変換!A$1:B$" &amp; Prams!$B$8),2,)</f>
        <v>115</v>
      </c>
      <c r="K33" t="str">
        <f ca="1">VLOOKUP(I33,INDIRECT("投手名変換!A$1:B$" &amp; Prams!$B$9),2,)</f>
        <v>パワプロ</v>
      </c>
      <c r="L33">
        <f t="shared" si="0"/>
        <v>45</v>
      </c>
      <c r="M33">
        <f ca="1">(B33-VLOOKUP(K33,INDIRECT("投手データ!B1:D"&amp;Prams!$B$1),3,FALSE)*2)</f>
        <v>52</v>
      </c>
      <c r="N33" t="str">
        <f ca="1">VLOOKUP(F33,INDIRECT("球種変換表!A$1:B$" &amp; Prams!$B$2),2,)</f>
        <v>カーブ</v>
      </c>
      <c r="O33">
        <f ca="1">VLOOKUP(N33,球種情報!A:B,2,FALSE)</f>
        <v>9</v>
      </c>
      <c r="P33">
        <f ca="1">VLOOKUP(K33,投手データ!B:AI,output!O33+6,FALSE)</f>
        <v>0</v>
      </c>
      <c r="R33">
        <f t="shared" ca="1" si="1"/>
        <v>8.6956521739130436E-3</v>
      </c>
      <c r="S33">
        <f t="shared" si="2"/>
        <v>0.74131944444444442</v>
      </c>
      <c r="T33">
        <f>Prams!B$5/(S33-Prams!B$6)</f>
        <v>90.780080516545866</v>
      </c>
      <c r="U33">
        <f t="shared" ca="1" si="3"/>
        <v>0.85798611111111112</v>
      </c>
      <c r="V33">
        <f ca="1">Prams!C$5/(U33-Prams!C$6)</f>
        <v>86.540036317117639</v>
      </c>
      <c r="W33">
        <f t="shared" ca="1" si="4"/>
        <v>0.75252205493145774</v>
      </c>
    </row>
    <row r="34" spans="1:24" hidden="1" x14ac:dyDescent="0.55000000000000004">
      <c r="A34" s="1" t="s">
        <v>375</v>
      </c>
      <c r="B34" s="1">
        <v>146</v>
      </c>
      <c r="C34">
        <v>658</v>
      </c>
      <c r="D34">
        <v>609.5</v>
      </c>
      <c r="E34">
        <v>10.111969999999999</v>
      </c>
      <c r="F34" t="s">
        <v>347</v>
      </c>
      <c r="G34" s="10" t="s">
        <v>1684</v>
      </c>
      <c r="H34">
        <v>101</v>
      </c>
      <c r="I34" t="s">
        <v>3</v>
      </c>
      <c r="J34">
        <f ca="1">VLOOKUP(G34,INDIRECT("球速変換!A$1:B$" &amp; Prams!$B$8),2,)</f>
        <v>95</v>
      </c>
      <c r="K34" t="str">
        <f ca="1">VLOOKUP(I34,INDIRECT("投手名変換!A$1:B$" &amp; Prams!$B$9),2,)</f>
        <v>パワプロ</v>
      </c>
      <c r="L34">
        <f t="shared" ref="L34:L65" si="5">B34-H34</f>
        <v>45</v>
      </c>
      <c r="M34">
        <f ca="1">(B34-VLOOKUP(K34,INDIRECT("投手データ!B1:D"&amp;Prams!$B$1),3,FALSE)*2)</f>
        <v>52</v>
      </c>
      <c r="N34" t="str">
        <f ca="1">VLOOKUP(F34,INDIRECT("球種変換表!A$1:B$" &amp; Prams!$B$2),2,)</f>
        <v>カーブ</v>
      </c>
      <c r="O34">
        <f ca="1">VLOOKUP(N34,球種情報!A:B,2,FALSE)</f>
        <v>9</v>
      </c>
      <c r="P34">
        <f ca="1">VLOOKUP(K34,投手データ!B:AI,output!O34+6,FALSE)</f>
        <v>0</v>
      </c>
      <c r="R34">
        <f t="shared" ca="1" si="1"/>
        <v>1.0526315789473684E-2</v>
      </c>
      <c r="S34">
        <f t="shared" si="2"/>
        <v>0.74340277777777775</v>
      </c>
      <c r="T34">
        <f>Prams!B$5/(S34-Prams!B$6)</f>
        <v>90.503218565613608</v>
      </c>
      <c r="U34">
        <f t="shared" ca="1" si="3"/>
        <v>0.86006944444444444</v>
      </c>
      <c r="V34">
        <f ca="1">Prams!C$5/(U34-Prams!C$6)</f>
        <v>86.288397194576817</v>
      </c>
      <c r="W34">
        <f t="shared" ca="1" si="4"/>
        <v>0.90829891783765071</v>
      </c>
    </row>
    <row r="35" spans="1:24" hidden="1" x14ac:dyDescent="0.55000000000000004">
      <c r="A35" s="1" t="s">
        <v>376</v>
      </c>
      <c r="B35" s="1">
        <v>146</v>
      </c>
      <c r="C35">
        <v>649.95001000000002</v>
      </c>
      <c r="D35">
        <v>607.5</v>
      </c>
      <c r="E35">
        <v>10.062519999999999</v>
      </c>
      <c r="F35" t="s">
        <v>346</v>
      </c>
      <c r="G35" s="10" t="s">
        <v>1518</v>
      </c>
      <c r="H35">
        <v>101</v>
      </c>
      <c r="I35" t="s">
        <v>3</v>
      </c>
      <c r="J35">
        <f ca="1">VLOOKUP(G35,INDIRECT("球速変換!A$1:B$" &amp; Prams!$B$8),2,)</f>
        <v>115</v>
      </c>
      <c r="K35" t="str">
        <f ca="1">VLOOKUP(I35,INDIRECT("投手名変換!A$1:B$" &amp; Prams!$B$9),2,)</f>
        <v>パワプロ</v>
      </c>
      <c r="L35">
        <f t="shared" si="5"/>
        <v>45</v>
      </c>
      <c r="M35">
        <f ca="1">(B35-VLOOKUP(K35,INDIRECT("投手データ!B1:D"&amp;Prams!$B$1),3,FALSE)*2)</f>
        <v>52</v>
      </c>
      <c r="N35" t="str">
        <f ca="1">VLOOKUP(F35,INDIRECT("球種変換表!A$1:B$" &amp; Prams!$B$2),2,)</f>
        <v>カーブ</v>
      </c>
      <c r="O35">
        <f ca="1">VLOOKUP(N35,球種情報!A:B,2,FALSE)</f>
        <v>9</v>
      </c>
      <c r="P35">
        <f ca="1">VLOOKUP(K35,投手データ!B:AI,output!O35+6,FALSE)</f>
        <v>0</v>
      </c>
      <c r="R35">
        <f t="shared" ca="1" si="1"/>
        <v>8.6956521739130436E-3</v>
      </c>
      <c r="S35">
        <f t="shared" si="2"/>
        <v>0.74479166666666663</v>
      </c>
      <c r="T35">
        <f>Prams!B$5/(S35-Prams!B$6)</f>
        <v>90.319580223767034</v>
      </c>
      <c r="U35">
        <f t="shared" ca="1" si="3"/>
        <v>0.86145833333333333</v>
      </c>
      <c r="V35">
        <f ca="1">Prams!C$5/(U35-Prams!C$6)</f>
        <v>86.121449218160507</v>
      </c>
      <c r="W35">
        <f t="shared" ca="1" si="4"/>
        <v>0.74888216711443922</v>
      </c>
    </row>
    <row r="36" spans="1:24" hidden="1" x14ac:dyDescent="0.55000000000000004">
      <c r="A36" s="1" t="s">
        <v>377</v>
      </c>
      <c r="B36" s="1">
        <v>147</v>
      </c>
      <c r="C36">
        <v>652.5</v>
      </c>
      <c r="D36">
        <v>610.5</v>
      </c>
      <c r="E36">
        <v>10.512</v>
      </c>
      <c r="F36" t="s">
        <v>346</v>
      </c>
      <c r="G36" s="10" t="s">
        <v>1519</v>
      </c>
      <c r="H36">
        <v>101</v>
      </c>
      <c r="I36" t="s">
        <v>3</v>
      </c>
      <c r="J36">
        <f ca="1">VLOOKUP(G36,INDIRECT("球速変換!A$1:B$" &amp; Prams!$B$8),2,)</f>
        <v>113</v>
      </c>
      <c r="K36" t="str">
        <f ca="1">VLOOKUP(I36,INDIRECT("投手名変換!A$1:B$" &amp; Prams!$B$9),2,)</f>
        <v>パワプロ</v>
      </c>
      <c r="L36">
        <f t="shared" si="5"/>
        <v>46</v>
      </c>
      <c r="M36">
        <f ca="1">(B36-VLOOKUP(K36,INDIRECT("投手データ!B1:D"&amp;Prams!$B$1),3,FALSE)*2)</f>
        <v>53</v>
      </c>
      <c r="N36" t="str">
        <f ca="1">VLOOKUP(F36,INDIRECT("球種変換表!A$1:B$" &amp; Prams!$B$2),2,)</f>
        <v>カーブ</v>
      </c>
      <c r="O36">
        <f ca="1">VLOOKUP(N36,球種情報!A:B,2,FALSE)</f>
        <v>9</v>
      </c>
      <c r="P36">
        <f ca="1">VLOOKUP(K36,投手データ!B:AI,output!O36+6,FALSE)</f>
        <v>0</v>
      </c>
      <c r="R36">
        <f t="shared" ca="1" si="1"/>
        <v>8.8495575221238937E-3</v>
      </c>
      <c r="S36">
        <f t="shared" si="2"/>
        <v>0.75937500000000002</v>
      </c>
      <c r="T36">
        <f>Prams!B$5/(S36-Prams!B$6)</f>
        <v>88.43543253585095</v>
      </c>
      <c r="U36">
        <f t="shared" ca="1" si="3"/>
        <v>0.87604166666666672</v>
      </c>
      <c r="V36">
        <f ca="1">Prams!C$5/(U36-Prams!C$6)</f>
        <v>84.406721809472884</v>
      </c>
      <c r="W36">
        <f t="shared" ca="1" si="4"/>
        <v>0.74696213990683968</v>
      </c>
    </row>
    <row r="37" spans="1:24" hidden="1" x14ac:dyDescent="0.55000000000000004">
      <c r="A37" s="1" t="s">
        <v>378</v>
      </c>
      <c r="B37" s="1">
        <v>146</v>
      </c>
      <c r="C37">
        <v>652.5</v>
      </c>
      <c r="D37">
        <v>600.5</v>
      </c>
      <c r="E37">
        <v>10.512</v>
      </c>
      <c r="F37" t="s">
        <v>346</v>
      </c>
      <c r="G37" s="10" t="s">
        <v>594</v>
      </c>
      <c r="H37">
        <v>101</v>
      </c>
      <c r="I37" t="s">
        <v>3</v>
      </c>
      <c r="J37">
        <f ca="1">VLOOKUP(G37,INDIRECT("球速変換!A$1:B$" &amp; Prams!$B$8),2,)</f>
        <v>113</v>
      </c>
      <c r="K37" t="str">
        <f ca="1">VLOOKUP(I37,INDIRECT("投手名変換!A$1:B$" &amp; Prams!$B$9),2,)</f>
        <v>パワプロ</v>
      </c>
      <c r="L37">
        <f t="shared" si="5"/>
        <v>45</v>
      </c>
      <c r="M37">
        <f ca="1">(B37-VLOOKUP(K37,INDIRECT("投手データ!B1:D"&amp;Prams!$B$1),3,FALSE)*2)</f>
        <v>52</v>
      </c>
      <c r="N37" t="str">
        <f ca="1">VLOOKUP(F37,INDIRECT("球種変換表!A$1:B$" &amp; Prams!$B$2),2,)</f>
        <v>カーブ</v>
      </c>
      <c r="O37">
        <f ca="1">VLOOKUP(N37,球種情報!A:B,2,FALSE)</f>
        <v>9</v>
      </c>
      <c r="P37">
        <f ca="1">VLOOKUP(K37,投手データ!B:AI,output!O37+6,FALSE)</f>
        <v>0</v>
      </c>
      <c r="R37">
        <f t="shared" ca="1" si="1"/>
        <v>8.8495575221238937E-3</v>
      </c>
      <c r="S37">
        <f t="shared" si="2"/>
        <v>0.74965277777777772</v>
      </c>
      <c r="T37">
        <f>Prams!B$5/(S37-Prams!B$6)</f>
        <v>89.682673361083474</v>
      </c>
      <c r="U37">
        <f t="shared" ca="1" si="3"/>
        <v>0.86631944444444442</v>
      </c>
      <c r="V37">
        <f ca="1">Prams!C$5/(U37-Prams!C$6)</f>
        <v>85.542184419188331</v>
      </c>
      <c r="W37">
        <f t="shared" ca="1" si="4"/>
        <v>0.75701048158573747</v>
      </c>
    </row>
    <row r="38" spans="1:24" hidden="1" x14ac:dyDescent="0.55000000000000004">
      <c r="A38" s="1" t="s">
        <v>379</v>
      </c>
      <c r="B38" s="1">
        <v>147</v>
      </c>
      <c r="C38">
        <v>653.5</v>
      </c>
      <c r="D38">
        <v>612.5</v>
      </c>
      <c r="E38">
        <v>10.512</v>
      </c>
      <c r="F38" t="s">
        <v>346</v>
      </c>
      <c r="G38" s="10" t="s">
        <v>2423</v>
      </c>
      <c r="H38">
        <v>101</v>
      </c>
      <c r="I38" t="s">
        <v>3</v>
      </c>
      <c r="J38">
        <f ca="1">VLOOKUP(G38,INDIRECT("球速変換!A$1:B$" &amp; Prams!$B$8),2,)</f>
        <v>113</v>
      </c>
      <c r="K38" t="str">
        <f ca="1">VLOOKUP(I38,INDIRECT("投手名変換!A$1:B$" &amp; Prams!$B$9),2,)</f>
        <v>パワプロ</v>
      </c>
      <c r="L38">
        <f t="shared" si="5"/>
        <v>46</v>
      </c>
      <c r="M38">
        <f ca="1">(B38-VLOOKUP(K38,INDIRECT("投手データ!B1:D"&amp;Prams!$B$1),3,FALSE)*2)</f>
        <v>53</v>
      </c>
      <c r="N38" t="str">
        <f ca="1">VLOOKUP(F38,INDIRECT("球種変換表!A$1:B$" &amp; Prams!$B$2),2,)</f>
        <v>カーブ</v>
      </c>
      <c r="O38">
        <f ca="1">VLOOKUP(N38,球種情報!A:B,2,FALSE)</f>
        <v>9</v>
      </c>
      <c r="P38">
        <f ca="1">VLOOKUP(K38,投手データ!B:AI,output!O38+6,FALSE)</f>
        <v>0</v>
      </c>
      <c r="R38">
        <f t="shared" ca="1" si="1"/>
        <v>8.8495575221238937E-3</v>
      </c>
      <c r="S38">
        <f t="shared" si="2"/>
        <v>0.75798611111111103</v>
      </c>
      <c r="T38">
        <f>Prams!B$5/(S38-Prams!B$6)</f>
        <v>88.611481603873131</v>
      </c>
      <c r="U38">
        <f t="shared" ca="1" si="3"/>
        <v>0.87465277777777772</v>
      </c>
      <c r="V38">
        <f ca="1">Prams!C$5/(U38-Prams!C$6)</f>
        <v>84.567081720046048</v>
      </c>
      <c r="W38">
        <f t="shared" ca="1" si="4"/>
        <v>0.74838125415969958</v>
      </c>
    </row>
    <row r="39" spans="1:24" hidden="1" x14ac:dyDescent="0.55000000000000004">
      <c r="A39" s="1" t="s">
        <v>380</v>
      </c>
      <c r="B39" s="1">
        <v>147</v>
      </c>
      <c r="C39">
        <v>644.02270999999996</v>
      </c>
      <c r="D39">
        <v>610</v>
      </c>
      <c r="E39">
        <v>11.02285</v>
      </c>
      <c r="F39" t="s">
        <v>346</v>
      </c>
      <c r="G39" s="10" t="s">
        <v>2423</v>
      </c>
      <c r="H39">
        <v>101</v>
      </c>
      <c r="I39" t="s">
        <v>3</v>
      </c>
      <c r="J39">
        <f ca="1">VLOOKUP(G39,INDIRECT("球速変換!A$1:B$" &amp; Prams!$B$8),2,)</f>
        <v>113</v>
      </c>
      <c r="K39" t="str">
        <f ca="1">VLOOKUP(I39,INDIRECT("投手名変換!A$1:B$" &amp; Prams!$B$9),2,)</f>
        <v>パワプロ</v>
      </c>
      <c r="L39">
        <f t="shared" si="5"/>
        <v>46</v>
      </c>
      <c r="M39">
        <f ca="1">(B39-VLOOKUP(K39,INDIRECT("投手データ!B1:D"&amp;Prams!$B$1),3,FALSE)*2)</f>
        <v>53</v>
      </c>
      <c r="N39" t="str">
        <f ca="1">VLOOKUP(F39,INDIRECT("球種変換表!A$1:B$" &amp; Prams!$B$2),2,)</f>
        <v>カーブ</v>
      </c>
      <c r="O39">
        <f ca="1">VLOOKUP(N39,球種情報!A:B,2,FALSE)</f>
        <v>9</v>
      </c>
      <c r="P39">
        <f ca="1">VLOOKUP(K39,投手データ!B:AI,output!O39+6,FALSE)</f>
        <v>0</v>
      </c>
      <c r="R39">
        <f t="shared" ca="1" si="1"/>
        <v>8.8495575221238937E-3</v>
      </c>
      <c r="S39">
        <f t="shared" si="2"/>
        <v>0.7597222222222223</v>
      </c>
      <c r="T39">
        <f>Prams!B$5/(S39-Prams!B$6)</f>
        <v>88.391529516426246</v>
      </c>
      <c r="U39">
        <f t="shared" ca="1" si="3"/>
        <v>0.87638888888888888</v>
      </c>
      <c r="V39">
        <f ca="1">Prams!C$5/(U39-Prams!C$6)</f>
        <v>84.366726812330356</v>
      </c>
      <c r="W39">
        <f t="shared" ca="1" si="4"/>
        <v>0.74660820187902965</v>
      </c>
    </row>
    <row r="40" spans="1:24" hidden="1" x14ac:dyDescent="0.55000000000000004">
      <c r="A40" s="1" t="s">
        <v>381</v>
      </c>
      <c r="B40" s="1">
        <v>147</v>
      </c>
      <c r="C40">
        <v>652.54760999999996</v>
      </c>
      <c r="D40">
        <v>610.5</v>
      </c>
      <c r="E40">
        <v>10.55958</v>
      </c>
      <c r="F40" t="s">
        <v>347</v>
      </c>
      <c r="G40" s="10" t="s">
        <v>1520</v>
      </c>
      <c r="H40">
        <v>101</v>
      </c>
      <c r="I40" t="s">
        <v>3</v>
      </c>
      <c r="J40">
        <f ca="1">VLOOKUP(G40,INDIRECT("球速変換!A$1:B$" &amp; Prams!$B$8),2,)</f>
        <v>113</v>
      </c>
      <c r="K40" t="str">
        <f ca="1">VLOOKUP(I40,INDIRECT("投手名変換!A$1:B$" &amp; Prams!$B$9),2,)</f>
        <v>パワプロ</v>
      </c>
      <c r="L40">
        <f t="shared" si="5"/>
        <v>46</v>
      </c>
      <c r="M40">
        <f ca="1">(B40-VLOOKUP(K40,INDIRECT("投手データ!B1:D"&amp;Prams!$B$1),3,FALSE)*2)</f>
        <v>53</v>
      </c>
      <c r="N40" t="str">
        <f ca="1">VLOOKUP(F40,INDIRECT("球種変換表!A$1:B$" &amp; Prams!$B$2),2,)</f>
        <v>カーブ</v>
      </c>
      <c r="O40">
        <f ca="1">VLOOKUP(N40,球種情報!A:B,2,FALSE)</f>
        <v>9</v>
      </c>
      <c r="P40">
        <f ca="1">VLOOKUP(K40,投手データ!B:AI,output!O40+6,FALSE)</f>
        <v>0</v>
      </c>
      <c r="R40">
        <f t="shared" ca="1" si="1"/>
        <v>8.8495575221238937E-3</v>
      </c>
      <c r="S40">
        <f t="shared" si="2"/>
        <v>0.75937500000000002</v>
      </c>
      <c r="T40">
        <f>Prams!B$5/(S40-Prams!B$6)</f>
        <v>88.43543253585095</v>
      </c>
      <c r="U40">
        <f t="shared" ca="1" si="3"/>
        <v>0.87604166666666672</v>
      </c>
      <c r="V40">
        <f ca="1">Prams!C$5/(U40-Prams!C$6)</f>
        <v>84.406721809472884</v>
      </c>
      <c r="W40">
        <f t="shared" ca="1" si="4"/>
        <v>0.74696213990683968</v>
      </c>
    </row>
    <row r="41" spans="1:24" hidden="1" x14ac:dyDescent="0.55000000000000004">
      <c r="A41" s="1" t="s">
        <v>382</v>
      </c>
      <c r="B41" s="1">
        <v>146</v>
      </c>
      <c r="C41">
        <v>654.5</v>
      </c>
      <c r="D41">
        <v>610.5</v>
      </c>
      <c r="E41">
        <v>10.512</v>
      </c>
      <c r="F41" t="s">
        <v>347</v>
      </c>
      <c r="G41" s="10" t="s">
        <v>2422</v>
      </c>
      <c r="H41">
        <v>101</v>
      </c>
      <c r="I41" t="s">
        <v>3</v>
      </c>
      <c r="J41">
        <f ca="1">VLOOKUP(G41,INDIRECT("球速変換!A$1:B$" &amp; Prams!$B$8),2,)</f>
        <v>115</v>
      </c>
      <c r="K41" t="str">
        <f ca="1">VLOOKUP(I41,INDIRECT("投手名変換!A$1:B$" &amp; Prams!$B$9),2,)</f>
        <v>パワプロ</v>
      </c>
      <c r="L41">
        <f t="shared" si="5"/>
        <v>45</v>
      </c>
      <c r="M41">
        <f ca="1">(B41-VLOOKUP(K41,INDIRECT("投手データ!B1:D"&amp;Prams!$B$1),3,FALSE)*2)</f>
        <v>52</v>
      </c>
      <c r="N41" t="str">
        <f ca="1">VLOOKUP(F41,INDIRECT("球種変換表!A$1:B$" &amp; Prams!$B$2),2,)</f>
        <v>カーブ</v>
      </c>
      <c r="O41">
        <f ca="1">VLOOKUP(N41,球種情報!A:B,2,FALSE)</f>
        <v>9</v>
      </c>
      <c r="P41">
        <f ca="1">VLOOKUP(K41,投手データ!B:AI,output!O41+6,FALSE)</f>
        <v>0</v>
      </c>
      <c r="R41">
        <f t="shared" ca="1" si="1"/>
        <v>8.6956521739130436E-3</v>
      </c>
      <c r="S41">
        <f t="shared" si="2"/>
        <v>0.7427083333333333</v>
      </c>
      <c r="T41">
        <f>Prams!B$5/(S41-Prams!B$6)</f>
        <v>90.595318052485695</v>
      </c>
      <c r="U41">
        <f t="shared" ca="1" si="3"/>
        <v>0.859375</v>
      </c>
      <c r="V41">
        <f ca="1">Prams!C$5/(U41-Prams!C$6)</f>
        <v>86.372114142013899</v>
      </c>
      <c r="W41">
        <f t="shared" ca="1" si="4"/>
        <v>0.75106186210446868</v>
      </c>
    </row>
    <row r="42" spans="1:24" hidden="1" x14ac:dyDescent="0.55000000000000004">
      <c r="A42" s="1" t="s">
        <v>383</v>
      </c>
      <c r="B42" s="1">
        <v>135</v>
      </c>
      <c r="C42">
        <v>629.04998999999998</v>
      </c>
      <c r="D42">
        <v>601.5</v>
      </c>
      <c r="E42">
        <v>10.06254</v>
      </c>
      <c r="F42" t="s">
        <v>6</v>
      </c>
      <c r="G42" s="10" t="s">
        <v>2424</v>
      </c>
      <c r="H42">
        <v>100</v>
      </c>
      <c r="I42" t="s">
        <v>3</v>
      </c>
      <c r="J42">
        <f ca="1">VLOOKUP(G42,INDIRECT("球速変換!A$1:B$" &amp; Prams!$B$8),2,)</f>
        <v>123</v>
      </c>
      <c r="K42" t="str">
        <f ca="1">VLOOKUP(I42,INDIRECT("投手名変換!A$1:B$" &amp; Prams!$B$9),2,)</f>
        <v>パワプロ</v>
      </c>
      <c r="L42">
        <f t="shared" si="5"/>
        <v>35</v>
      </c>
      <c r="M42">
        <f ca="1">(B42-VLOOKUP(K42,INDIRECT("投手データ!B1:D"&amp;Prams!$B$1),3,FALSE)*2)</f>
        <v>41</v>
      </c>
      <c r="N42" t="str">
        <f ca="1">VLOOKUP(F42,INDIRECT("球種変換表!A$1:B$" &amp; Prams!$B$2),2,)</f>
        <v>フォーク</v>
      </c>
      <c r="O42">
        <f ca="1">VLOOKUP(N42,球種情報!A:B,2,FALSE)</f>
        <v>16</v>
      </c>
      <c r="P42">
        <f ca="1">VLOOKUP(K42,投手データ!B:AI,output!O42+6,FALSE)</f>
        <v>0</v>
      </c>
      <c r="R42">
        <f t="shared" ca="1" si="1"/>
        <v>8.130081300813009E-3</v>
      </c>
      <c r="S42">
        <f t="shared" si="2"/>
        <v>0.58229166666666665</v>
      </c>
      <c r="T42">
        <f>Prams!B$5/(S42-Prams!B$6)</f>
        <v>118.43675665320329</v>
      </c>
      <c r="U42">
        <f t="shared" ca="1" si="3"/>
        <v>0.68229166666666663</v>
      </c>
      <c r="V42">
        <f ca="1">Prams!C$5/(U42-Prams!C$6)</f>
        <v>114.76509444178026</v>
      </c>
      <c r="W42">
        <f t="shared" ca="1" si="4"/>
        <v>0.93304954830715658</v>
      </c>
      <c r="X42" t="s">
        <v>2738</v>
      </c>
    </row>
    <row r="43" spans="1:24" hidden="1" x14ac:dyDescent="0.55000000000000004">
      <c r="A43" s="1" t="s">
        <v>384</v>
      </c>
      <c r="B43" s="1">
        <v>134</v>
      </c>
      <c r="C43">
        <v>647.5</v>
      </c>
      <c r="D43">
        <v>612.5</v>
      </c>
      <c r="E43">
        <v>10.512</v>
      </c>
      <c r="F43" t="s">
        <v>6</v>
      </c>
      <c r="G43" s="10" t="s">
        <v>598</v>
      </c>
      <c r="H43">
        <v>98</v>
      </c>
      <c r="I43" t="s">
        <v>3</v>
      </c>
      <c r="J43">
        <f ca="1">VLOOKUP(G43,INDIRECT("球速変換!A$1:B$" &amp; Prams!$B$8),2,)</f>
        <v>122</v>
      </c>
      <c r="K43" t="str">
        <f ca="1">VLOOKUP(I43,INDIRECT("投手名変換!A$1:B$" &amp; Prams!$B$9),2,)</f>
        <v>パワプロ</v>
      </c>
      <c r="L43">
        <f t="shared" si="5"/>
        <v>36</v>
      </c>
      <c r="M43">
        <f ca="1">(B43-VLOOKUP(K43,INDIRECT("投手データ!B1:D"&amp;Prams!$B$1),3,FALSE)*2)</f>
        <v>40</v>
      </c>
      <c r="N43" t="str">
        <f ca="1">VLOOKUP(F43,INDIRECT("球種変換表!A$1:B$" &amp; Prams!$B$2),2,)</f>
        <v>フォーク</v>
      </c>
      <c r="O43">
        <f ca="1">VLOOKUP(N43,球種情報!A:B,2,FALSE)</f>
        <v>16</v>
      </c>
      <c r="P43">
        <f ca="1">VLOOKUP(K43,投手データ!B:AI,output!O43+6,FALSE)</f>
        <v>0</v>
      </c>
      <c r="R43">
        <f t="shared" ca="1" si="1"/>
        <v>8.1967213114754103E-3</v>
      </c>
      <c r="S43">
        <f t="shared" si="2"/>
        <v>0.5913194444444444</v>
      </c>
      <c r="T43">
        <f>Prams!B$5/(S43-Prams!B$6)</f>
        <v>116.42323204318738</v>
      </c>
      <c r="U43">
        <f t="shared" ca="1" si="3"/>
        <v>0.65798611111111105</v>
      </c>
      <c r="V43">
        <f ca="1">Prams!C$5/(U43-Prams!C$6)</f>
        <v>120.18792627673767</v>
      </c>
      <c r="W43">
        <f t="shared" ca="1" si="4"/>
        <v>0.9851469366945711</v>
      </c>
    </row>
    <row r="44" spans="1:24" hidden="1" x14ac:dyDescent="0.55000000000000004">
      <c r="A44" s="1" t="s">
        <v>385</v>
      </c>
      <c r="B44" s="1">
        <v>134</v>
      </c>
      <c r="C44">
        <v>645.5</v>
      </c>
      <c r="D44">
        <v>614.5</v>
      </c>
      <c r="E44">
        <v>10.512</v>
      </c>
      <c r="F44" t="s">
        <v>6</v>
      </c>
      <c r="G44" s="10" t="s">
        <v>1521</v>
      </c>
      <c r="H44">
        <v>98</v>
      </c>
      <c r="I44" t="s">
        <v>3</v>
      </c>
      <c r="J44">
        <f ca="1">VLOOKUP(G44,INDIRECT("球速変換!A$1:B$" &amp; Prams!$B$8),2,)</f>
        <v>122</v>
      </c>
      <c r="K44" t="str">
        <f ca="1">VLOOKUP(I44,INDIRECT("投手名変換!A$1:B$" &amp; Prams!$B$9),2,)</f>
        <v>パワプロ</v>
      </c>
      <c r="L44">
        <f t="shared" si="5"/>
        <v>36</v>
      </c>
      <c r="M44">
        <f ca="1">(B44-VLOOKUP(K44,INDIRECT("投手データ!B1:D"&amp;Prams!$B$1),3,FALSE)*2)</f>
        <v>40</v>
      </c>
      <c r="N44" t="str">
        <f ca="1">VLOOKUP(F44,INDIRECT("球種変換表!A$1:B$" &amp; Prams!$B$2),2,)</f>
        <v>フォーク</v>
      </c>
      <c r="O44">
        <f ca="1">VLOOKUP(N44,球種情報!A:B,2,FALSE)</f>
        <v>16</v>
      </c>
      <c r="P44">
        <f ca="1">VLOOKUP(K44,投手データ!B:AI,output!O44+6,FALSE)</f>
        <v>0</v>
      </c>
      <c r="R44">
        <f t="shared" ca="1" si="1"/>
        <v>8.1967213114754103E-3</v>
      </c>
      <c r="S44">
        <f t="shared" si="2"/>
        <v>0.58993055555555562</v>
      </c>
      <c r="T44">
        <f>Prams!B$5/(S44-Prams!B$6)</f>
        <v>116.72853718787204</v>
      </c>
      <c r="U44">
        <f t="shared" ca="1" si="3"/>
        <v>0.65659722222222228</v>
      </c>
      <c r="V44">
        <f ca="1">Prams!C$5/(U44-Prams!C$6)</f>
        <v>120.5133231174091</v>
      </c>
      <c r="W44">
        <f t="shared" ca="1" si="4"/>
        <v>0.98781412391318935</v>
      </c>
    </row>
    <row r="45" spans="1:24" hidden="1" x14ac:dyDescent="0.55000000000000004">
      <c r="A45" s="1" t="s">
        <v>386</v>
      </c>
      <c r="B45" s="1">
        <v>133</v>
      </c>
      <c r="C45">
        <v>642.5</v>
      </c>
      <c r="D45">
        <v>601</v>
      </c>
      <c r="E45">
        <v>10.547610000000001</v>
      </c>
      <c r="F45" t="s">
        <v>6</v>
      </c>
      <c r="G45" s="10" t="s">
        <v>591</v>
      </c>
      <c r="H45">
        <v>98</v>
      </c>
      <c r="I45" t="s">
        <v>3</v>
      </c>
      <c r="J45">
        <v>123</v>
      </c>
      <c r="K45" t="str">
        <f ca="1">VLOOKUP(I45,INDIRECT("投手名変換!A$1:B$" &amp; Prams!$B$9),2,)</f>
        <v>パワプロ</v>
      </c>
      <c r="L45">
        <f t="shared" si="5"/>
        <v>35</v>
      </c>
      <c r="M45">
        <f ca="1">(B45-VLOOKUP(K45,INDIRECT("投手データ!B1:D"&amp;Prams!$B$1),3,FALSE)*2)</f>
        <v>39</v>
      </c>
      <c r="N45" t="str">
        <f ca="1">VLOOKUP(F45,INDIRECT("球種変換表!A$1:B$" &amp; Prams!$B$2),2,)</f>
        <v>フォーク</v>
      </c>
      <c r="O45">
        <f ca="1">VLOOKUP(N45,球種情報!A:B,2,FALSE)</f>
        <v>16</v>
      </c>
      <c r="P45">
        <f ca="1">VLOOKUP(K45,投手データ!B:AI,output!O45+6,FALSE)</f>
        <v>0</v>
      </c>
      <c r="R45">
        <f t="shared" si="1"/>
        <v>8.130081300813009E-3</v>
      </c>
      <c r="S45">
        <f t="shared" si="2"/>
        <v>0.58263888888888893</v>
      </c>
      <c r="T45">
        <f>Prams!B$5/(S45-Prams!B$6)</f>
        <v>118.35802639835781</v>
      </c>
      <c r="U45">
        <f t="shared" ca="1" si="3"/>
        <v>0.64930555555555558</v>
      </c>
      <c r="V45">
        <f ca="1">Prams!C$5/(U45-Prams!C$6)</f>
        <v>122.2509804783196</v>
      </c>
      <c r="W45">
        <f t="shared" ca="1" si="4"/>
        <v>0.99391041039284234</v>
      </c>
    </row>
    <row r="46" spans="1:24" hidden="1" x14ac:dyDescent="0.55000000000000004">
      <c r="A46" s="1" t="s">
        <v>387</v>
      </c>
      <c r="B46" s="1">
        <v>134</v>
      </c>
      <c r="C46">
        <v>646.5</v>
      </c>
      <c r="D46">
        <v>617.5</v>
      </c>
      <c r="E46">
        <v>11.510960000000001</v>
      </c>
      <c r="F46" t="s">
        <v>6</v>
      </c>
      <c r="G46" s="10" t="s">
        <v>591</v>
      </c>
      <c r="H46">
        <v>98</v>
      </c>
      <c r="I46" t="s">
        <v>3</v>
      </c>
      <c r="J46">
        <v>123</v>
      </c>
      <c r="K46" t="str">
        <f ca="1">VLOOKUP(I46,INDIRECT("投手名変換!A$1:B$" &amp; Prams!$B$9),2,)</f>
        <v>パワプロ</v>
      </c>
      <c r="L46">
        <f t="shared" si="5"/>
        <v>36</v>
      </c>
      <c r="M46">
        <f ca="1">(B46-VLOOKUP(K46,INDIRECT("投手データ!B1:D"&amp;Prams!$B$1),3,FALSE)*2)</f>
        <v>40</v>
      </c>
      <c r="N46" t="str">
        <f ca="1">VLOOKUP(F46,INDIRECT("球種変換表!A$1:B$" &amp; Prams!$B$2),2,)</f>
        <v>フォーク</v>
      </c>
      <c r="O46">
        <f ca="1">VLOOKUP(N46,球種情報!A:B,2,FALSE)</f>
        <v>16</v>
      </c>
      <c r="P46">
        <f ca="1">VLOOKUP(K46,投手データ!B:AI,output!O46+6,FALSE)</f>
        <v>0</v>
      </c>
      <c r="R46">
        <f t="shared" si="1"/>
        <v>8.130081300813009E-3</v>
      </c>
      <c r="S46">
        <f t="shared" si="2"/>
        <v>0.5878472222222223</v>
      </c>
      <c r="T46">
        <f>Prams!B$5/(S46-Prams!B$6)</f>
        <v>117.18950910134426</v>
      </c>
      <c r="U46">
        <f t="shared" ca="1" si="3"/>
        <v>0.65451388888888895</v>
      </c>
      <c r="V46">
        <f ca="1">Prams!C$5/(U46-Prams!C$6)</f>
        <v>121.00473552294636</v>
      </c>
      <c r="W46">
        <f t="shared" ca="1" si="4"/>
        <v>0.98377833758492972</v>
      </c>
    </row>
    <row r="47" spans="1:24" hidden="1" x14ac:dyDescent="0.55000000000000004">
      <c r="A47" s="1" t="s">
        <v>388</v>
      </c>
      <c r="B47" s="1">
        <v>134</v>
      </c>
      <c r="C47">
        <v>642.45239000000004</v>
      </c>
      <c r="D47">
        <v>617.5</v>
      </c>
      <c r="E47">
        <v>10.55955</v>
      </c>
      <c r="F47" t="s">
        <v>6</v>
      </c>
      <c r="G47" s="10" t="s">
        <v>2424</v>
      </c>
      <c r="H47">
        <v>98</v>
      </c>
      <c r="I47" t="s">
        <v>3</v>
      </c>
      <c r="J47">
        <f ca="1">VLOOKUP(G47,INDIRECT("球速変換!A$1:B$" &amp; Prams!$B$8),2,)</f>
        <v>123</v>
      </c>
      <c r="K47" t="str">
        <f ca="1">VLOOKUP(I47,INDIRECT("投手名変換!A$1:B$" &amp; Prams!$B$9),2,)</f>
        <v>パワプロ</v>
      </c>
      <c r="L47">
        <f t="shared" si="5"/>
        <v>36</v>
      </c>
      <c r="M47">
        <f ca="1">(B47-VLOOKUP(K47,INDIRECT("投手データ!B1:D"&amp;Prams!$B$1),3,FALSE)*2)</f>
        <v>40</v>
      </c>
      <c r="N47" t="str">
        <f ca="1">VLOOKUP(F47,INDIRECT("球種変換表!A$1:B$" &amp; Prams!$B$2),2,)</f>
        <v>フォーク</v>
      </c>
      <c r="O47">
        <f ca="1">VLOOKUP(N47,球種情報!A:B,2,FALSE)</f>
        <v>16</v>
      </c>
      <c r="P47">
        <f ca="1">VLOOKUP(K47,投手データ!B:AI,output!O47+6,FALSE)</f>
        <v>0</v>
      </c>
      <c r="R47">
        <f t="shared" ca="1" si="1"/>
        <v>8.130081300813009E-3</v>
      </c>
      <c r="S47">
        <f t="shared" si="2"/>
        <v>0.5878472222222223</v>
      </c>
      <c r="T47">
        <f>Prams!B$5/(S47-Prams!B$6)</f>
        <v>117.18950910134426</v>
      </c>
      <c r="U47">
        <f t="shared" ca="1" si="3"/>
        <v>0.65451388888888895</v>
      </c>
      <c r="V47">
        <f ca="1">Prams!C$5/(U47-Prams!C$6)</f>
        <v>121.00473552294636</v>
      </c>
      <c r="W47">
        <f t="shared" ca="1" si="4"/>
        <v>0.98377833758492972</v>
      </c>
    </row>
    <row r="48" spans="1:24" hidden="1" x14ac:dyDescent="0.55000000000000004">
      <c r="A48" s="1" t="s">
        <v>389</v>
      </c>
      <c r="B48" s="1">
        <v>133</v>
      </c>
      <c r="C48">
        <v>636.5</v>
      </c>
      <c r="D48">
        <v>601.5</v>
      </c>
      <c r="E48">
        <v>10.512</v>
      </c>
      <c r="F48" t="s">
        <v>6</v>
      </c>
      <c r="G48" s="10" t="s">
        <v>591</v>
      </c>
      <c r="H48">
        <v>98</v>
      </c>
      <c r="I48" t="s">
        <v>3</v>
      </c>
      <c r="J48">
        <v>123</v>
      </c>
      <c r="K48" t="str">
        <f ca="1">VLOOKUP(I48,INDIRECT("投手名変換!A$1:B$" &amp; Prams!$B$9),2,)</f>
        <v>パワプロ</v>
      </c>
      <c r="L48">
        <f t="shared" si="5"/>
        <v>35</v>
      </c>
      <c r="M48">
        <f ca="1">(B48-VLOOKUP(K48,INDIRECT("投手データ!B1:D"&amp;Prams!$B$1),3,FALSE)*2)</f>
        <v>39</v>
      </c>
      <c r="N48" t="str">
        <f ca="1">VLOOKUP(F48,INDIRECT("球種変換表!A$1:B$" &amp; Prams!$B$2),2,)</f>
        <v>フォーク</v>
      </c>
      <c r="O48">
        <f ca="1">VLOOKUP(N48,球種情報!A:B,2,FALSE)</f>
        <v>16</v>
      </c>
      <c r="P48">
        <f ca="1">VLOOKUP(K48,投手データ!B:AI,output!O48+6,FALSE)</f>
        <v>0</v>
      </c>
      <c r="R48">
        <f t="shared" si="1"/>
        <v>8.130081300813009E-3</v>
      </c>
      <c r="S48">
        <f t="shared" si="2"/>
        <v>0.58229166666666665</v>
      </c>
      <c r="T48">
        <f>Prams!B$5/(S48-Prams!B$6)</f>
        <v>118.43675665320329</v>
      </c>
      <c r="U48">
        <f t="shared" ca="1" si="3"/>
        <v>0.6489583333333333</v>
      </c>
      <c r="V48">
        <f ca="1">Prams!C$5/(U48-Prams!C$6)</f>
        <v>122.33497683162112</v>
      </c>
      <c r="W48">
        <f t="shared" ca="1" si="4"/>
        <v>0.99459330757415543</v>
      </c>
    </row>
    <row r="49" spans="1:23" hidden="1" x14ac:dyDescent="0.55000000000000004">
      <c r="A49" s="1" t="s">
        <v>390</v>
      </c>
      <c r="B49" s="1">
        <v>133</v>
      </c>
      <c r="C49">
        <v>634.5</v>
      </c>
      <c r="D49">
        <v>606</v>
      </c>
      <c r="E49">
        <v>10.547610000000001</v>
      </c>
      <c r="F49" t="s">
        <v>6</v>
      </c>
      <c r="G49" s="10" t="s">
        <v>2425</v>
      </c>
      <c r="H49">
        <v>98</v>
      </c>
      <c r="I49" t="s">
        <v>3</v>
      </c>
      <c r="J49">
        <f ca="1">VLOOKUP(G49,INDIRECT("球速変換!A$1:B$" &amp; Prams!$B$8),2,)</f>
        <v>124</v>
      </c>
      <c r="K49" t="str">
        <f ca="1">VLOOKUP(I49,INDIRECT("投手名変換!A$1:B$" &amp; Prams!$B$9),2,)</f>
        <v>パワプロ</v>
      </c>
      <c r="L49">
        <f t="shared" si="5"/>
        <v>35</v>
      </c>
      <c r="M49">
        <f ca="1">(B49-VLOOKUP(K49,INDIRECT("投手データ!B1:D"&amp;Prams!$B$1),3,FALSE)*2)</f>
        <v>39</v>
      </c>
      <c r="N49" t="str">
        <f ca="1">VLOOKUP(F49,INDIRECT("球種変換表!A$1:B$" &amp; Prams!$B$2),2,)</f>
        <v>フォーク</v>
      </c>
      <c r="O49">
        <f ca="1">VLOOKUP(N49,球種情報!A:B,2,FALSE)</f>
        <v>16</v>
      </c>
      <c r="P49">
        <f ca="1">VLOOKUP(K49,投手データ!B:AI,output!O49+6,FALSE)</f>
        <v>0</v>
      </c>
      <c r="R49">
        <f t="shared" ca="1" si="1"/>
        <v>8.0645161290322578E-3</v>
      </c>
      <c r="S49">
        <f t="shared" si="2"/>
        <v>0.57916666666666672</v>
      </c>
      <c r="T49">
        <f>Prams!B$5/(S49-Prams!B$6)</f>
        <v>119.15007066683798</v>
      </c>
      <c r="U49">
        <f t="shared" ca="1" si="3"/>
        <v>0.64583333333333337</v>
      </c>
      <c r="V49">
        <f ca="1">Prams!C$5/(U49-Prams!C$6)</f>
        <v>123.09617043870712</v>
      </c>
      <c r="W49">
        <f t="shared" ca="1" si="4"/>
        <v>0.99271105192505738</v>
      </c>
    </row>
    <row r="50" spans="1:23" hidden="1" x14ac:dyDescent="0.55000000000000004">
      <c r="A50" s="1" t="s">
        <v>391</v>
      </c>
      <c r="B50" s="1">
        <v>134</v>
      </c>
      <c r="C50">
        <v>635</v>
      </c>
      <c r="D50">
        <v>610.5</v>
      </c>
      <c r="E50">
        <v>11.01146</v>
      </c>
      <c r="F50" t="s">
        <v>6</v>
      </c>
      <c r="G50" s="10" t="s">
        <v>2426</v>
      </c>
      <c r="H50">
        <v>98</v>
      </c>
      <c r="I50" t="s">
        <v>3</v>
      </c>
      <c r="J50">
        <f ca="1">VLOOKUP(G50,INDIRECT("球速変換!A$1:B$" &amp; Prams!$B$8),2,)</f>
        <v>121</v>
      </c>
      <c r="K50" t="str">
        <f ca="1">VLOOKUP(I50,INDIRECT("投手名変換!A$1:B$" &amp; Prams!$B$9),2,)</f>
        <v>パワプロ</v>
      </c>
      <c r="L50">
        <f t="shared" si="5"/>
        <v>36</v>
      </c>
      <c r="M50">
        <f ca="1">(B50-VLOOKUP(K50,INDIRECT("投手データ!B1:D"&amp;Prams!$B$1),3,FALSE)*2)</f>
        <v>40</v>
      </c>
      <c r="N50" t="str">
        <f ca="1">VLOOKUP(F50,INDIRECT("球種変換表!A$1:B$" &amp; Prams!$B$2),2,)</f>
        <v>フォーク</v>
      </c>
      <c r="O50">
        <f ca="1">VLOOKUP(N50,球種情報!A:B,2,FALSE)</f>
        <v>16</v>
      </c>
      <c r="P50">
        <f ca="1">VLOOKUP(K50,投手データ!B:AI,output!O50+6,FALSE)</f>
        <v>0</v>
      </c>
      <c r="R50">
        <f t="shared" ca="1" si="1"/>
        <v>8.2644628099173556E-3</v>
      </c>
      <c r="S50">
        <f t="shared" si="2"/>
        <v>0.59270833333333328</v>
      </c>
      <c r="T50">
        <f>Prams!B$5/(S50-Prams!B$6)</f>
        <v>116.11951979213951</v>
      </c>
      <c r="U50">
        <f t="shared" ca="1" si="3"/>
        <v>0.65937500000000004</v>
      </c>
      <c r="V50">
        <f ca="1">Prams!C$5/(U50-Prams!C$6)</f>
        <v>119.86428190586979</v>
      </c>
      <c r="W50">
        <f t="shared" ca="1" si="4"/>
        <v>0.99061390004851069</v>
      </c>
    </row>
    <row r="51" spans="1:23" hidden="1" x14ac:dyDescent="0.55000000000000004">
      <c r="A51" s="1" t="s">
        <v>392</v>
      </c>
      <c r="B51" s="1">
        <v>134</v>
      </c>
      <c r="C51">
        <v>638</v>
      </c>
      <c r="D51">
        <v>611.5</v>
      </c>
      <c r="E51">
        <v>11.01146</v>
      </c>
      <c r="F51" t="s">
        <v>6</v>
      </c>
      <c r="G51" s="10" t="s">
        <v>589</v>
      </c>
      <c r="H51">
        <v>98</v>
      </c>
      <c r="I51" t="s">
        <v>3</v>
      </c>
      <c r="J51">
        <v>122</v>
      </c>
      <c r="K51" t="str">
        <f ca="1">VLOOKUP(I51,INDIRECT("投手名変換!A$1:B$" &amp; Prams!$B$9),2,)</f>
        <v>パワプロ</v>
      </c>
      <c r="L51">
        <f t="shared" si="5"/>
        <v>36</v>
      </c>
      <c r="M51">
        <f ca="1">(B51-VLOOKUP(K51,INDIRECT("投手データ!B1:D"&amp;Prams!$B$1),3,FALSE)*2)</f>
        <v>40</v>
      </c>
      <c r="N51" t="str">
        <f ca="1">VLOOKUP(F51,INDIRECT("球種変換表!A$1:B$" &amp; Prams!$B$2),2,)</f>
        <v>フォーク</v>
      </c>
      <c r="O51">
        <f ca="1">VLOOKUP(N51,球種情報!A:B,2,FALSE)</f>
        <v>16</v>
      </c>
      <c r="P51">
        <f ca="1">VLOOKUP(K51,投手データ!B:AI,output!O51+6,FALSE)</f>
        <v>0</v>
      </c>
      <c r="R51">
        <f t="shared" si="1"/>
        <v>8.1967213114754103E-3</v>
      </c>
      <c r="S51">
        <f t="shared" si="2"/>
        <v>0.59201388888888895</v>
      </c>
      <c r="T51">
        <f>Prams!B$5/(S51-Prams!B$6)</f>
        <v>116.27117758610781</v>
      </c>
      <c r="U51">
        <f t="shared" ca="1" si="3"/>
        <v>0.6586805555555556</v>
      </c>
      <c r="V51">
        <f ca="1">Prams!C$5/(U51-Prams!C$6)</f>
        <v>120.02588591859957</v>
      </c>
      <c r="W51">
        <f t="shared" ca="1" si="4"/>
        <v>0.9838187370377014</v>
      </c>
    </row>
    <row r="52" spans="1:23" hidden="1" x14ac:dyDescent="0.55000000000000004">
      <c r="A52" s="1" t="s">
        <v>393</v>
      </c>
      <c r="B52" s="1">
        <v>138</v>
      </c>
      <c r="C52">
        <v>628.52380000000005</v>
      </c>
      <c r="D52">
        <v>602</v>
      </c>
      <c r="E52">
        <v>10.52392</v>
      </c>
      <c r="F52" t="s">
        <v>8</v>
      </c>
      <c r="G52" s="10" t="s">
        <v>2427</v>
      </c>
      <c r="H52">
        <v>101</v>
      </c>
      <c r="I52" t="s">
        <v>3</v>
      </c>
      <c r="J52">
        <f ca="1">VLOOKUP(G52,INDIRECT("球速変換!A$1:B$" &amp; Prams!$B$8),2,)</f>
        <v>119</v>
      </c>
      <c r="K52" t="str">
        <f ca="1">VLOOKUP(I52,INDIRECT("投手名変換!A$1:B$" &amp; Prams!$B$9),2,)</f>
        <v>パワプロ</v>
      </c>
      <c r="L52">
        <f t="shared" si="5"/>
        <v>37</v>
      </c>
      <c r="M52">
        <f ca="1">(B52-VLOOKUP(K52,INDIRECT("投手データ!B1:D"&amp;Prams!$B$1),3,FALSE)*2)</f>
        <v>44</v>
      </c>
      <c r="N52" t="str">
        <f ca="1">VLOOKUP(F52,INDIRECT("球種変換表!A$1:B$" &amp; Prams!$B$2),2,)</f>
        <v>シンカー</v>
      </c>
      <c r="O52">
        <f ca="1">VLOOKUP(N52,球種情報!A:B,2,FALSE)</f>
        <v>22</v>
      </c>
      <c r="P52">
        <f ca="1">VLOOKUP(K52,投手データ!B:AI,output!O52+6,FALSE)</f>
        <v>0</v>
      </c>
      <c r="R52">
        <f t="shared" ca="1" si="1"/>
        <v>8.4033613445378148E-3</v>
      </c>
      <c r="S52">
        <f t="shared" si="2"/>
        <v>0.6152777777777777</v>
      </c>
      <c r="T52">
        <f>Prams!B$5/(S52-Prams!B$6)</f>
        <v>111.39725314326903</v>
      </c>
      <c r="U52">
        <f t="shared" ca="1" si="3"/>
        <v>0.7319444444444444</v>
      </c>
      <c r="V52">
        <f ca="1">Prams!C$5/(U52-Prams!C$6)</f>
        <v>105.07960189609264</v>
      </c>
      <c r="W52">
        <f t="shared" ca="1" si="4"/>
        <v>0.88302186467304744</v>
      </c>
    </row>
    <row r="53" spans="1:23" hidden="1" x14ac:dyDescent="0.55000000000000004">
      <c r="A53" s="1" t="s">
        <v>394</v>
      </c>
      <c r="B53" s="1">
        <v>138</v>
      </c>
      <c r="C53">
        <v>626.5</v>
      </c>
      <c r="D53">
        <v>602</v>
      </c>
      <c r="E53">
        <v>10.547610000000001</v>
      </c>
      <c r="F53" t="s">
        <v>8</v>
      </c>
      <c r="G53" s="10" t="s">
        <v>2427</v>
      </c>
      <c r="H53">
        <v>101</v>
      </c>
      <c r="I53" t="s">
        <v>3</v>
      </c>
      <c r="J53">
        <f ca="1">VLOOKUP(G53,INDIRECT("球速変換!A$1:B$" &amp; Prams!$B$8),2,)</f>
        <v>119</v>
      </c>
      <c r="K53" t="str">
        <f ca="1">VLOOKUP(I53,INDIRECT("投手名変換!A$1:B$" &amp; Prams!$B$9),2,)</f>
        <v>パワプロ</v>
      </c>
      <c r="L53">
        <f t="shared" si="5"/>
        <v>37</v>
      </c>
      <c r="M53">
        <f ca="1">(B53-VLOOKUP(K53,INDIRECT("投手データ!B1:D"&amp;Prams!$B$1),3,FALSE)*2)</f>
        <v>44</v>
      </c>
      <c r="N53" t="str">
        <f ca="1">VLOOKUP(F53,INDIRECT("球種変換表!A$1:B$" &amp; Prams!$B$2),2,)</f>
        <v>シンカー</v>
      </c>
      <c r="O53">
        <f ca="1">VLOOKUP(N53,球種情報!A:B,2,FALSE)</f>
        <v>22</v>
      </c>
      <c r="P53">
        <f ca="1">VLOOKUP(K53,投手データ!B:AI,output!O53+6,FALSE)</f>
        <v>0</v>
      </c>
      <c r="R53">
        <f t="shared" ca="1" si="1"/>
        <v>8.4033613445378148E-3</v>
      </c>
      <c r="S53">
        <f t="shared" si="2"/>
        <v>0.6152777777777777</v>
      </c>
      <c r="T53">
        <f>Prams!B$5/(S53-Prams!B$6)</f>
        <v>111.39725314326903</v>
      </c>
      <c r="U53">
        <f t="shared" ca="1" si="3"/>
        <v>0.7319444444444444</v>
      </c>
      <c r="V53">
        <f ca="1">Prams!C$5/(U53-Prams!C$6)</f>
        <v>105.07960189609264</v>
      </c>
      <c r="W53">
        <f t="shared" ca="1" si="4"/>
        <v>0.88302186467304744</v>
      </c>
    </row>
    <row r="54" spans="1:23" hidden="1" x14ac:dyDescent="0.55000000000000004">
      <c r="A54" s="1" t="s">
        <v>395</v>
      </c>
      <c r="B54" s="1">
        <v>138</v>
      </c>
      <c r="C54">
        <v>622</v>
      </c>
      <c r="D54">
        <v>606.5</v>
      </c>
      <c r="E54">
        <v>11.01146</v>
      </c>
      <c r="F54" t="s">
        <v>8</v>
      </c>
      <c r="G54" s="10" t="s">
        <v>622</v>
      </c>
      <c r="H54">
        <v>101</v>
      </c>
      <c r="I54" t="s">
        <v>3</v>
      </c>
      <c r="J54">
        <f ca="1">VLOOKUP(G54,INDIRECT("球速変換!A$1:B$" &amp; Prams!$B$8),2,)</f>
        <v>128</v>
      </c>
      <c r="K54" t="str">
        <f ca="1">VLOOKUP(I54,INDIRECT("投手名変換!A$1:B$" &amp; Prams!$B$9),2,)</f>
        <v>パワプロ</v>
      </c>
      <c r="L54">
        <f t="shared" si="5"/>
        <v>37</v>
      </c>
      <c r="M54">
        <f ca="1">(B54-VLOOKUP(K54,INDIRECT("投手データ!B1:D"&amp;Prams!$B$1),3,FALSE)*2)</f>
        <v>44</v>
      </c>
      <c r="N54" t="str">
        <f ca="1">VLOOKUP(F54,INDIRECT("球種変換表!A$1:B$" &amp; Prams!$B$2),2,)</f>
        <v>シンカー</v>
      </c>
      <c r="O54">
        <f ca="1">VLOOKUP(N54,球種情報!A:B,2,FALSE)</f>
        <v>22</v>
      </c>
      <c r="P54">
        <f ca="1">VLOOKUP(K54,投手データ!B:AI,output!O54+6,FALSE)</f>
        <v>0</v>
      </c>
      <c r="R54">
        <f t="shared" ca="1" si="1"/>
        <v>7.8125E-3</v>
      </c>
      <c r="S54">
        <f t="shared" si="2"/>
        <v>0.61215277777777777</v>
      </c>
      <c r="T54">
        <f>Prams!B$5/(S54-Prams!B$6)</f>
        <v>112.02806706700157</v>
      </c>
      <c r="U54">
        <f t="shared" ca="1" si="3"/>
        <v>0.72881944444444435</v>
      </c>
      <c r="V54">
        <f ca="1">Prams!C$5/(U54-Prams!C$6)</f>
        <v>105.64071407211922</v>
      </c>
      <c r="W54">
        <f t="shared" ca="1" si="4"/>
        <v>0.82531807868843143</v>
      </c>
    </row>
    <row r="55" spans="1:23" hidden="1" x14ac:dyDescent="0.55000000000000004">
      <c r="A55" s="1" t="s">
        <v>396</v>
      </c>
      <c r="B55" s="1">
        <v>138</v>
      </c>
      <c r="C55">
        <v>626</v>
      </c>
      <c r="D55">
        <v>609.5</v>
      </c>
      <c r="E55">
        <v>10.111969999999999</v>
      </c>
      <c r="F55" t="s">
        <v>8</v>
      </c>
      <c r="G55" s="10" t="s">
        <v>2428</v>
      </c>
      <c r="H55">
        <v>101</v>
      </c>
      <c r="I55" t="s">
        <v>3</v>
      </c>
      <c r="J55">
        <f ca="1">VLOOKUP(G55,INDIRECT("球速変換!A$1:B$" &amp; Prams!$B$8),2,)</f>
        <v>120</v>
      </c>
      <c r="K55" t="str">
        <f ca="1">VLOOKUP(I55,INDIRECT("投手名変換!A$1:B$" &amp; Prams!$B$9),2,)</f>
        <v>パワプロ</v>
      </c>
      <c r="L55">
        <f t="shared" si="5"/>
        <v>37</v>
      </c>
      <c r="M55">
        <f ca="1">(B55-VLOOKUP(K55,INDIRECT("投手データ!B1:D"&amp;Prams!$B$1),3,FALSE)*2)</f>
        <v>44</v>
      </c>
      <c r="N55" t="str">
        <f ca="1">VLOOKUP(F55,INDIRECT("球種変換表!A$1:B$" &amp; Prams!$B$2),2,)</f>
        <v>シンカー</v>
      </c>
      <c r="O55">
        <f ca="1">VLOOKUP(N55,球種情報!A:B,2,FALSE)</f>
        <v>22</v>
      </c>
      <c r="P55">
        <f ca="1">VLOOKUP(K55,投手データ!B:AI,output!O55+6,FALSE)</f>
        <v>0</v>
      </c>
      <c r="R55">
        <f t="shared" ca="1" si="1"/>
        <v>8.3333333333333332E-3</v>
      </c>
      <c r="S55">
        <f t="shared" si="2"/>
        <v>0.61006944444444444</v>
      </c>
      <c r="T55">
        <f>Prams!B$5/(S55-Prams!B$6)</f>
        <v>112.45259376405261</v>
      </c>
      <c r="U55">
        <f t="shared" ca="1" si="3"/>
        <v>0.72673611111111103</v>
      </c>
      <c r="V55">
        <f ca="1">Prams!C$5/(U55-Prams!C$6)</f>
        <v>106.01812993916991</v>
      </c>
      <c r="W55">
        <f t="shared" ca="1" si="4"/>
        <v>0.88348441615974926</v>
      </c>
    </row>
    <row r="56" spans="1:23" hidden="1" x14ac:dyDescent="0.55000000000000004">
      <c r="A56" s="1" t="s">
        <v>397</v>
      </c>
      <c r="B56" s="1">
        <v>138</v>
      </c>
      <c r="C56">
        <v>618.45239000000004</v>
      </c>
      <c r="D56">
        <v>610.5</v>
      </c>
      <c r="E56">
        <v>10.55955</v>
      </c>
      <c r="F56" t="s">
        <v>349</v>
      </c>
      <c r="G56" s="10" t="s">
        <v>629</v>
      </c>
      <c r="H56">
        <v>101</v>
      </c>
      <c r="I56" t="s">
        <v>3</v>
      </c>
      <c r="J56">
        <f ca="1">VLOOKUP(G56,INDIRECT("球速変換!A$1:B$" &amp; Prams!$B$8),2,)</f>
        <v>121</v>
      </c>
      <c r="K56" t="str">
        <f ca="1">VLOOKUP(I56,INDIRECT("投手名変換!A$1:B$" &amp; Prams!$B$9),2,)</f>
        <v>パワプロ</v>
      </c>
      <c r="L56">
        <f t="shared" si="5"/>
        <v>37</v>
      </c>
      <c r="M56">
        <f ca="1">(B56-VLOOKUP(K56,INDIRECT("投手データ!B1:D"&amp;Prams!$B$1),3,FALSE)*2)</f>
        <v>44</v>
      </c>
      <c r="N56" t="str">
        <f ca="1">VLOOKUP(F56,INDIRECT("球種変換表!A$1:B$" &amp; Prams!$B$2),2,)</f>
        <v>シンカー</v>
      </c>
      <c r="O56">
        <f ca="1">VLOOKUP(N56,球種情報!A:B,2,FALSE)</f>
        <v>22</v>
      </c>
      <c r="P56">
        <f ca="1">VLOOKUP(K56,投手データ!B:AI,output!O56+6,FALSE)</f>
        <v>0</v>
      </c>
      <c r="R56">
        <f t="shared" ca="1" si="1"/>
        <v>8.2644628099173556E-3</v>
      </c>
      <c r="S56">
        <f t="shared" si="2"/>
        <v>0.609375</v>
      </c>
      <c r="T56">
        <f>Prams!B$5/(S56-Prams!B$6)</f>
        <v>112.59481855848473</v>
      </c>
      <c r="U56">
        <f t="shared" ca="1" si="3"/>
        <v>0.7260416666666667</v>
      </c>
      <c r="V56">
        <f ca="1">Prams!C$5/(U56-Prams!C$6)</f>
        <v>106.14453521811912</v>
      </c>
      <c r="W56">
        <f t="shared" ca="1" si="4"/>
        <v>0.87722756378610844</v>
      </c>
    </row>
    <row r="57" spans="1:23" hidden="1" x14ac:dyDescent="0.55000000000000004">
      <c r="A57" s="1" t="s">
        <v>398</v>
      </c>
      <c r="B57" s="1">
        <v>139</v>
      </c>
      <c r="C57">
        <v>615.54760999999996</v>
      </c>
      <c r="D57">
        <v>613.5</v>
      </c>
      <c r="E57">
        <v>10.55958</v>
      </c>
      <c r="F57" t="s">
        <v>349</v>
      </c>
      <c r="G57" s="10" t="s">
        <v>2429</v>
      </c>
      <c r="H57">
        <v>101</v>
      </c>
      <c r="I57" t="s">
        <v>3</v>
      </c>
      <c r="J57">
        <f ca="1">VLOOKUP(G57,INDIRECT("球速変換!A$1:B$" &amp; Prams!$B$8),2,)</f>
        <v>118</v>
      </c>
      <c r="K57" t="str">
        <f ca="1">VLOOKUP(I57,INDIRECT("投手名変換!A$1:B$" &amp; Prams!$B$9),2,)</f>
        <v>パワプロ</v>
      </c>
      <c r="L57">
        <f t="shared" si="5"/>
        <v>38</v>
      </c>
      <c r="M57">
        <f ca="1">(B57-VLOOKUP(K57,INDIRECT("投手データ!B1:D"&amp;Prams!$B$1),3,FALSE)*2)</f>
        <v>45</v>
      </c>
      <c r="N57" t="str">
        <f ca="1">VLOOKUP(F57,INDIRECT("球種変換表!A$1:B$" &amp; Prams!$B$2),2,)</f>
        <v>シンカー</v>
      </c>
      <c r="O57">
        <f ca="1">VLOOKUP(N57,球種情報!A:B,2,FALSE)</f>
        <v>22</v>
      </c>
      <c r="P57">
        <f ca="1">VLOOKUP(K57,投手データ!B:AI,output!O57+6,FALSE)</f>
        <v>0</v>
      </c>
      <c r="R57">
        <f t="shared" ca="1" si="1"/>
        <v>8.4745762711864406E-3</v>
      </c>
      <c r="S57">
        <f t="shared" si="2"/>
        <v>0.62395833333333328</v>
      </c>
      <c r="T57">
        <f>Prams!B$5/(S57-Prams!B$6)</f>
        <v>109.6816925146735</v>
      </c>
      <c r="U57">
        <f t="shared" ca="1" si="3"/>
        <v>0.74062499999999998</v>
      </c>
      <c r="V57">
        <f ca="1">Prams!C$5/(U57-Prams!C$6)</f>
        <v>103.55177756375363</v>
      </c>
      <c r="W57">
        <f t="shared" ca="1" si="4"/>
        <v>0.877557436980963</v>
      </c>
    </row>
    <row r="58" spans="1:23" hidden="1" x14ac:dyDescent="0.55000000000000004">
      <c r="A58" s="1" t="s">
        <v>399</v>
      </c>
      <c r="B58" s="1">
        <v>138</v>
      </c>
      <c r="C58">
        <v>622</v>
      </c>
      <c r="D58">
        <v>600.5</v>
      </c>
      <c r="E58">
        <v>10.012589999999999</v>
      </c>
      <c r="F58" t="s">
        <v>8</v>
      </c>
      <c r="G58" s="10" t="s">
        <v>604</v>
      </c>
      <c r="H58">
        <v>101</v>
      </c>
      <c r="I58" t="s">
        <v>3</v>
      </c>
      <c r="J58">
        <f ca="1">VLOOKUP(G58,INDIRECT("球速変換!A$1:B$" &amp; Prams!$B$8),2,)</f>
        <v>118</v>
      </c>
      <c r="K58" t="str">
        <f ca="1">VLOOKUP(I58,INDIRECT("投手名変換!A$1:B$" &amp; Prams!$B$9),2,)</f>
        <v>パワプロ</v>
      </c>
      <c r="L58">
        <f t="shared" si="5"/>
        <v>37</v>
      </c>
      <c r="M58">
        <f ca="1">(B58-VLOOKUP(K58,INDIRECT("投手データ!B1:D"&amp;Prams!$B$1),3,FALSE)*2)</f>
        <v>44</v>
      </c>
      <c r="N58" t="str">
        <f ca="1">VLOOKUP(F58,INDIRECT("球種変換表!A$1:B$" &amp; Prams!$B$2),2,)</f>
        <v>シンカー</v>
      </c>
      <c r="O58">
        <f ca="1">VLOOKUP(N58,球種情報!A:B,2,FALSE)</f>
        <v>22</v>
      </c>
      <c r="P58">
        <f ca="1">VLOOKUP(K58,投手データ!B:AI,output!O58+6,FALSE)</f>
        <v>0</v>
      </c>
      <c r="R58">
        <f t="shared" ca="1" si="1"/>
        <v>8.4745762711864406E-3</v>
      </c>
      <c r="S58">
        <f t="shared" si="2"/>
        <v>0.61631944444444442</v>
      </c>
      <c r="T58">
        <f>Prams!B$5/(S58-Prams!B$6)</f>
        <v>111.18855755444206</v>
      </c>
      <c r="U58">
        <f t="shared" ca="1" si="3"/>
        <v>0.73298611111111112</v>
      </c>
      <c r="V58">
        <f ca="1">Prams!C$5/(U58-Prams!C$6)</f>
        <v>104.89388676541975</v>
      </c>
      <c r="W58">
        <f t="shared" ca="1" si="4"/>
        <v>0.88893124377474364</v>
      </c>
    </row>
    <row r="59" spans="1:23" hidden="1" x14ac:dyDescent="0.55000000000000004">
      <c r="A59" s="1" t="s">
        <v>400</v>
      </c>
      <c r="B59" s="1">
        <v>139</v>
      </c>
      <c r="C59">
        <v>620.57141000000001</v>
      </c>
      <c r="D59">
        <v>616</v>
      </c>
      <c r="E59">
        <v>10.618740000000001</v>
      </c>
      <c r="F59" t="s">
        <v>8</v>
      </c>
      <c r="G59" s="10" t="s">
        <v>1522</v>
      </c>
      <c r="H59">
        <v>101</v>
      </c>
      <c r="I59" t="s">
        <v>3</v>
      </c>
      <c r="J59">
        <f ca="1">VLOOKUP(G59,INDIRECT("球速変換!A$1:B$" &amp; Prams!$B$8),2,)</f>
        <v>118</v>
      </c>
      <c r="K59" t="str">
        <f ca="1">VLOOKUP(I59,INDIRECT("投手名変換!A$1:B$" &amp; Prams!$B$9),2,)</f>
        <v>パワプロ</v>
      </c>
      <c r="L59">
        <f t="shared" si="5"/>
        <v>38</v>
      </c>
      <c r="M59">
        <f ca="1">(B59-VLOOKUP(K59,INDIRECT("投手データ!B1:D"&amp;Prams!$B$1),3,FALSE)*2)</f>
        <v>45</v>
      </c>
      <c r="N59" t="str">
        <f ca="1">VLOOKUP(F59,INDIRECT("球種変換表!A$1:B$" &amp; Prams!$B$2),2,)</f>
        <v>シンカー</v>
      </c>
      <c r="O59">
        <f ca="1">VLOOKUP(N59,球種情報!A:B,2,FALSE)</f>
        <v>22</v>
      </c>
      <c r="P59">
        <f ca="1">VLOOKUP(K59,投手データ!B:AI,output!O59+6,FALSE)</f>
        <v>0</v>
      </c>
      <c r="R59">
        <f t="shared" ca="1" si="1"/>
        <v>8.4745762711864406E-3</v>
      </c>
      <c r="S59">
        <f t="shared" si="2"/>
        <v>0.62222222222222223</v>
      </c>
      <c r="T59">
        <f>Prams!B$5/(S59-Prams!B$6)</f>
        <v>110.02056433274673</v>
      </c>
      <c r="U59">
        <f t="shared" ca="1" si="3"/>
        <v>0.73888888888888893</v>
      </c>
      <c r="V59">
        <f ca="1">Prams!C$5/(U59-Prams!C$6)</f>
        <v>103.85377781096011</v>
      </c>
      <c r="W59">
        <f t="shared" ca="1" si="4"/>
        <v>0.88011676110983139</v>
      </c>
    </row>
    <row r="60" spans="1:23" hidden="1" x14ac:dyDescent="0.55000000000000004">
      <c r="A60" s="1" t="s">
        <v>401</v>
      </c>
      <c r="B60" s="1">
        <v>138</v>
      </c>
      <c r="C60">
        <v>626.45239000000004</v>
      </c>
      <c r="D60">
        <v>612.5</v>
      </c>
      <c r="E60">
        <v>10.55955</v>
      </c>
      <c r="F60" t="s">
        <v>8</v>
      </c>
      <c r="G60" s="10" t="s">
        <v>629</v>
      </c>
      <c r="H60">
        <v>101</v>
      </c>
      <c r="I60" t="s">
        <v>3</v>
      </c>
      <c r="J60">
        <f ca="1">VLOOKUP(G60,INDIRECT("球速変換!A$1:B$" &amp; Prams!$B$8),2,)</f>
        <v>121</v>
      </c>
      <c r="K60" t="str">
        <f ca="1">VLOOKUP(I60,INDIRECT("投手名変換!A$1:B$" &amp; Prams!$B$9),2,)</f>
        <v>パワプロ</v>
      </c>
      <c r="L60">
        <f t="shared" si="5"/>
        <v>37</v>
      </c>
      <c r="M60">
        <f ca="1">(B60-VLOOKUP(K60,INDIRECT("投手データ!B1:D"&amp;Prams!$B$1),3,FALSE)*2)</f>
        <v>44</v>
      </c>
      <c r="N60" t="str">
        <f ca="1">VLOOKUP(F60,INDIRECT("球種変換表!A$1:B$" &amp; Prams!$B$2),2,)</f>
        <v>シンカー</v>
      </c>
      <c r="O60">
        <f ca="1">VLOOKUP(N60,球種情報!A:B,2,FALSE)</f>
        <v>22</v>
      </c>
      <c r="P60">
        <f ca="1">VLOOKUP(K60,投手データ!B:AI,output!O60+6,FALSE)</f>
        <v>0</v>
      </c>
      <c r="R60">
        <f t="shared" ca="1" si="1"/>
        <v>8.2644628099173556E-3</v>
      </c>
      <c r="S60">
        <f t="shared" si="2"/>
        <v>0.60798611111111112</v>
      </c>
      <c r="T60">
        <f>Prams!B$5/(S60-Prams!B$6)</f>
        <v>112.88035016001663</v>
      </c>
      <c r="U60">
        <f t="shared" ca="1" si="3"/>
        <v>0.7246527777777777</v>
      </c>
      <c r="V60">
        <f ca="1">Prams!C$5/(U60-Prams!C$6)</f>
        <v>106.39825221461048</v>
      </c>
      <c r="W60">
        <f t="shared" ca="1" si="4"/>
        <v>0.87932439846785515</v>
      </c>
    </row>
    <row r="61" spans="1:23" hidden="1" x14ac:dyDescent="0.55000000000000004">
      <c r="A61" s="1" t="s">
        <v>402</v>
      </c>
      <c r="B61" s="1">
        <v>138</v>
      </c>
      <c r="C61">
        <v>629.04998999999998</v>
      </c>
      <c r="D61">
        <v>600.5</v>
      </c>
      <c r="E61">
        <v>10.06254</v>
      </c>
      <c r="F61" t="s">
        <v>8</v>
      </c>
      <c r="G61" s="10" t="s">
        <v>1930</v>
      </c>
      <c r="H61">
        <v>101</v>
      </c>
      <c r="I61" t="s">
        <v>3</v>
      </c>
      <c r="J61">
        <f ca="1">VLOOKUP(G61,INDIRECT("球速変換!A$1:B$" &amp; Prams!$B$8),2,)</f>
        <v>118</v>
      </c>
      <c r="K61" t="str">
        <f ca="1">VLOOKUP(I61,INDIRECT("投手名変換!A$1:B$" &amp; Prams!$B$9),2,)</f>
        <v>パワプロ</v>
      </c>
      <c r="L61">
        <f t="shared" si="5"/>
        <v>37</v>
      </c>
      <c r="M61">
        <f ca="1">(B61-VLOOKUP(K61,INDIRECT("投手データ!B1:D"&amp;Prams!$B$1),3,FALSE)*2)</f>
        <v>44</v>
      </c>
      <c r="N61" t="str">
        <f ca="1">VLOOKUP(F61,INDIRECT("球種変換表!A$1:B$" &amp; Prams!$B$2),2,)</f>
        <v>シンカー</v>
      </c>
      <c r="O61">
        <f ca="1">VLOOKUP(N61,球種情報!A:B,2,FALSE)</f>
        <v>22</v>
      </c>
      <c r="P61">
        <f ca="1">VLOOKUP(K61,投手データ!B:AI,output!O61+6,FALSE)</f>
        <v>0</v>
      </c>
      <c r="R61">
        <f t="shared" ca="1" si="1"/>
        <v>8.4745762711864406E-3</v>
      </c>
      <c r="S61">
        <f t="shared" si="2"/>
        <v>0.61631944444444442</v>
      </c>
      <c r="T61">
        <f>Prams!B$5/(S61-Prams!B$6)</f>
        <v>111.18855755444206</v>
      </c>
      <c r="U61">
        <f t="shared" ca="1" si="3"/>
        <v>0.73298611111111112</v>
      </c>
      <c r="V61">
        <f ca="1">Prams!C$5/(U61-Prams!C$6)</f>
        <v>104.89388676541975</v>
      </c>
      <c r="W61">
        <f t="shared" ca="1" si="4"/>
        <v>0.88893124377474364</v>
      </c>
    </row>
    <row r="62" spans="1:23" hidden="1" x14ac:dyDescent="0.55000000000000004">
      <c r="A62" s="1" t="s">
        <v>403</v>
      </c>
      <c r="B62" s="1">
        <v>134</v>
      </c>
      <c r="C62">
        <v>613.09997999999996</v>
      </c>
      <c r="D62">
        <v>607</v>
      </c>
      <c r="E62">
        <v>10.10012</v>
      </c>
      <c r="F62" t="s">
        <v>351</v>
      </c>
      <c r="G62" s="10" t="s">
        <v>2430</v>
      </c>
      <c r="H62">
        <v>101</v>
      </c>
      <c r="I62" t="s">
        <v>3</v>
      </c>
      <c r="J62">
        <f ca="1">VLOOKUP(G62,INDIRECT("球速変換!A$1:B$" &amp; Prams!$B$8),2,)</f>
        <v>132</v>
      </c>
      <c r="K62" t="str">
        <f ca="1">VLOOKUP(I62,INDIRECT("投手名変換!A$1:B$" &amp; Prams!$B$9),2,)</f>
        <v>パワプロ</v>
      </c>
      <c r="L62">
        <f t="shared" si="5"/>
        <v>33</v>
      </c>
      <c r="M62">
        <f ca="1">(B62-VLOOKUP(K62,INDIRECT("投手データ!B1:D"&amp;Prams!$B$1),3,FALSE)*2)</f>
        <v>40</v>
      </c>
      <c r="N62" t="str">
        <f ca="1">VLOOKUP(F62,INDIRECT("球種変換表!A$1:B$" &amp; Prams!$B$2),2,)</f>
        <v>シュート</v>
      </c>
      <c r="O62">
        <f ca="1">VLOOKUP(N62,球種情報!A:B,2,FALSE)</f>
        <v>26</v>
      </c>
      <c r="P62">
        <f ca="1">VLOOKUP(K62,投手データ!B:AI,output!O62+6,FALSE)</f>
        <v>0</v>
      </c>
      <c r="R62">
        <f t="shared" ca="1" si="1"/>
        <v>7.575757575757576E-3</v>
      </c>
      <c r="S62">
        <f t="shared" si="2"/>
        <v>0.54513888888888895</v>
      </c>
      <c r="T62">
        <f>Prams!B$5/(S62-Prams!B$6)</f>
        <v>127.51246118412759</v>
      </c>
      <c r="U62">
        <f t="shared" ca="1" si="3"/>
        <v>0.66180555555555565</v>
      </c>
      <c r="V62">
        <f ca="1">Prams!C$5/(U62-Prams!C$6)</f>
        <v>119.30207875467693</v>
      </c>
      <c r="W62">
        <f t="shared" ca="1" si="4"/>
        <v>0.90380362692937066</v>
      </c>
    </row>
    <row r="63" spans="1:23" hidden="1" x14ac:dyDescent="0.55000000000000004">
      <c r="A63" s="1" t="s">
        <v>404</v>
      </c>
      <c r="B63" s="1">
        <v>134</v>
      </c>
      <c r="C63">
        <v>605</v>
      </c>
      <c r="D63">
        <v>602</v>
      </c>
      <c r="E63">
        <v>10.04998</v>
      </c>
      <c r="F63" t="s">
        <v>351</v>
      </c>
      <c r="G63" s="10" t="s">
        <v>2431</v>
      </c>
      <c r="H63">
        <v>101</v>
      </c>
      <c r="I63" t="s">
        <v>3</v>
      </c>
      <c r="J63">
        <f ca="1">VLOOKUP(G63,INDIRECT("球速変換!A$1:B$" &amp; Prams!$B$8),2,)</f>
        <v>130</v>
      </c>
      <c r="K63" t="str">
        <f ca="1">VLOOKUP(I63,INDIRECT("投手名変換!A$1:B$" &amp; Prams!$B$9),2,)</f>
        <v>パワプロ</v>
      </c>
      <c r="L63">
        <f t="shared" si="5"/>
        <v>33</v>
      </c>
      <c r="M63">
        <f ca="1">(B63-VLOOKUP(K63,INDIRECT("投手データ!B1:D"&amp;Prams!$B$1),3,FALSE)*2)</f>
        <v>40</v>
      </c>
      <c r="N63" t="str">
        <f ca="1">VLOOKUP(F63,INDIRECT("球種変換表!A$1:B$" &amp; Prams!$B$2),2,)</f>
        <v>シュート</v>
      </c>
      <c r="O63">
        <f ca="1">VLOOKUP(N63,球種情報!A:B,2,FALSE)</f>
        <v>26</v>
      </c>
      <c r="P63">
        <f ca="1">VLOOKUP(K63,投手データ!B:AI,output!O63+6,FALSE)</f>
        <v>0</v>
      </c>
      <c r="R63">
        <f t="shared" ca="1" si="1"/>
        <v>7.6923076923076927E-3</v>
      </c>
      <c r="S63">
        <f t="shared" si="2"/>
        <v>0.54861111111111105</v>
      </c>
      <c r="T63">
        <f>Prams!B$5/(S63-Prams!B$6)</f>
        <v>126.60576135432787</v>
      </c>
      <c r="U63">
        <f t="shared" ca="1" si="3"/>
        <v>0.66527777777777775</v>
      </c>
      <c r="V63">
        <f ca="1">Prams!C$5/(U63-Prams!C$6)</f>
        <v>118.5080189985304</v>
      </c>
      <c r="W63">
        <f t="shared" ca="1" si="4"/>
        <v>0.91160014614254159</v>
      </c>
    </row>
    <row r="64" spans="1:23" hidden="1" x14ac:dyDescent="0.55000000000000004">
      <c r="A64" s="1" t="s">
        <v>405</v>
      </c>
      <c r="B64" s="1">
        <v>134</v>
      </c>
      <c r="C64">
        <v>611</v>
      </c>
      <c r="D64">
        <v>600.5</v>
      </c>
      <c r="E64">
        <v>11.01146</v>
      </c>
      <c r="F64" t="s">
        <v>350</v>
      </c>
      <c r="G64" s="10" t="s">
        <v>2431</v>
      </c>
      <c r="H64">
        <v>101</v>
      </c>
      <c r="I64" t="s">
        <v>3</v>
      </c>
      <c r="J64">
        <f ca="1">VLOOKUP(G64,INDIRECT("球速変換!A$1:B$" &amp; Prams!$B$8),2,)</f>
        <v>130</v>
      </c>
      <c r="K64" t="str">
        <f ca="1">VLOOKUP(I64,INDIRECT("投手名変換!A$1:B$" &amp; Prams!$B$9),2,)</f>
        <v>パワプロ</v>
      </c>
      <c r="L64">
        <f t="shared" si="5"/>
        <v>33</v>
      </c>
      <c r="M64">
        <f ca="1">(B64-VLOOKUP(K64,INDIRECT("投手データ!B1:D"&amp;Prams!$B$1),3,FALSE)*2)</f>
        <v>40</v>
      </c>
      <c r="N64" t="str">
        <f ca="1">VLOOKUP(F64,INDIRECT("球種変換表!A$1:B$" &amp; Prams!$B$2),2,)</f>
        <v>シュート</v>
      </c>
      <c r="O64">
        <f ca="1">VLOOKUP(N64,球種情報!A:B,2,FALSE)</f>
        <v>26</v>
      </c>
      <c r="P64">
        <f ca="1">VLOOKUP(K64,投手データ!B:AI,output!O64+6,FALSE)</f>
        <v>0</v>
      </c>
      <c r="R64">
        <f t="shared" ca="1" si="1"/>
        <v>7.6923076923076927E-3</v>
      </c>
      <c r="S64">
        <f t="shared" si="2"/>
        <v>0.54965277777777777</v>
      </c>
      <c r="T64">
        <f>Prams!B$5/(S64-Prams!B$6)</f>
        <v>126.33626048011263</v>
      </c>
      <c r="U64">
        <f t="shared" ca="1" si="3"/>
        <v>0.66631944444444435</v>
      </c>
      <c r="V64">
        <f ca="1">Prams!C$5/(U64-Prams!C$6)</f>
        <v>118.27185817758627</v>
      </c>
      <c r="W64">
        <f t="shared" ca="1" si="4"/>
        <v>0.90978352444297128</v>
      </c>
    </row>
    <row r="65" spans="1:23" hidden="1" x14ac:dyDescent="0.55000000000000004">
      <c r="A65" s="1" t="s">
        <v>406</v>
      </c>
      <c r="B65" s="1">
        <v>134</v>
      </c>
      <c r="C65">
        <v>614</v>
      </c>
      <c r="D65">
        <v>601</v>
      </c>
      <c r="E65">
        <v>10.04998</v>
      </c>
      <c r="F65" t="s">
        <v>352</v>
      </c>
      <c r="G65" s="10" t="s">
        <v>2431</v>
      </c>
      <c r="H65">
        <v>101</v>
      </c>
      <c r="I65" t="s">
        <v>3</v>
      </c>
      <c r="J65">
        <f ca="1">VLOOKUP(G65,INDIRECT("球速変換!A$1:B$" &amp; Prams!$B$8),2,)</f>
        <v>130</v>
      </c>
      <c r="K65" t="str">
        <f ca="1">VLOOKUP(I65,INDIRECT("投手名変換!A$1:B$" &amp; Prams!$B$9),2,)</f>
        <v>パワプロ</v>
      </c>
      <c r="L65">
        <f t="shared" si="5"/>
        <v>33</v>
      </c>
      <c r="M65">
        <f ca="1">(B65-VLOOKUP(K65,INDIRECT("投手データ!B1:D"&amp;Prams!$B$1),3,FALSE)*2)</f>
        <v>40</v>
      </c>
      <c r="N65" t="str">
        <f ca="1">VLOOKUP(F65,INDIRECT("球種変換表!A$1:B$" &amp; Prams!$B$2),2,)</f>
        <v>シュート</v>
      </c>
      <c r="O65">
        <f ca="1">VLOOKUP(N65,球種情報!A:B,2,FALSE)</f>
        <v>26</v>
      </c>
      <c r="P65">
        <f ca="1">VLOOKUP(K65,投手データ!B:AI,output!O65+6,FALSE)</f>
        <v>0</v>
      </c>
      <c r="R65">
        <f t="shared" ca="1" si="1"/>
        <v>7.6923076923076927E-3</v>
      </c>
      <c r="S65">
        <f t="shared" si="2"/>
        <v>0.5493055555555556</v>
      </c>
      <c r="T65">
        <f>Prams!B$5/(S65-Prams!B$6)</f>
        <v>126.42596653071425</v>
      </c>
      <c r="U65">
        <f t="shared" ca="1" si="3"/>
        <v>0.6659722222222223</v>
      </c>
      <c r="V65">
        <f ca="1">Prams!C$5/(U65-Prams!C$6)</f>
        <v>118.3504738000787</v>
      </c>
      <c r="W65">
        <f t="shared" ca="1" si="4"/>
        <v>0.91038826000060535</v>
      </c>
    </row>
    <row r="66" spans="1:23" hidden="1" x14ac:dyDescent="0.55000000000000004">
      <c r="A66" s="1" t="s">
        <v>407</v>
      </c>
      <c r="B66" s="1">
        <v>134</v>
      </c>
      <c r="C66">
        <v>618.45239000000004</v>
      </c>
      <c r="D66">
        <v>604.5</v>
      </c>
      <c r="E66">
        <v>10.55955</v>
      </c>
      <c r="F66" t="s">
        <v>351</v>
      </c>
      <c r="G66" s="10" t="s">
        <v>2432</v>
      </c>
      <c r="H66">
        <v>101</v>
      </c>
      <c r="I66" t="s">
        <v>3</v>
      </c>
      <c r="J66">
        <f ca="1">VLOOKUP(G66,INDIRECT("球速変換!A$1:B$" &amp; Prams!$B$8),2,)</f>
        <v>131</v>
      </c>
      <c r="K66" t="str">
        <f ca="1">VLOOKUP(I66,INDIRECT("投手名変換!A$1:B$" &amp; Prams!$B$9),2,)</f>
        <v>パワプロ</v>
      </c>
      <c r="L66">
        <f t="shared" ref="L66:L97" si="6">B66-H66</f>
        <v>33</v>
      </c>
      <c r="M66">
        <f ca="1">(B66-VLOOKUP(K66,INDIRECT("投手データ!B1:D"&amp;Prams!$B$1),3,FALSE)*2)</f>
        <v>40</v>
      </c>
      <c r="N66" t="str">
        <f ca="1">VLOOKUP(F66,INDIRECT("球種変換表!A$1:B$" &amp; Prams!$B$2),2,)</f>
        <v>シュート</v>
      </c>
      <c r="O66">
        <f ca="1">VLOOKUP(N66,球種情報!A:B,2,FALSE)</f>
        <v>26</v>
      </c>
      <c r="P66">
        <f ca="1">VLOOKUP(K66,投手データ!B:AI,output!O66+6,FALSE)</f>
        <v>0</v>
      </c>
      <c r="R66">
        <f t="shared" ca="1" si="1"/>
        <v>7.6335877862595417E-3</v>
      </c>
      <c r="S66">
        <f t="shared" si="2"/>
        <v>0.546875</v>
      </c>
      <c r="T66">
        <f>Prams!B$5/(S66-Prams!B$6)</f>
        <v>127.05749370600627</v>
      </c>
      <c r="U66">
        <f t="shared" ca="1" si="3"/>
        <v>0.6635416666666667</v>
      </c>
      <c r="V66">
        <f ca="1">Prams!C$5/(U66-Prams!C$6)</f>
        <v>118.903723174074</v>
      </c>
      <c r="W66">
        <f t="shared" ca="1" si="4"/>
        <v>0.90766200896239702</v>
      </c>
    </row>
    <row r="67" spans="1:23" hidden="1" x14ac:dyDescent="0.55000000000000004">
      <c r="A67" s="1" t="s">
        <v>408</v>
      </c>
      <c r="B67" s="1">
        <v>134</v>
      </c>
      <c r="C67">
        <v>611</v>
      </c>
      <c r="D67">
        <v>602.5</v>
      </c>
      <c r="E67">
        <v>11.01146</v>
      </c>
      <c r="F67" t="s">
        <v>351</v>
      </c>
      <c r="G67" s="10" t="s">
        <v>2432</v>
      </c>
      <c r="H67">
        <v>101</v>
      </c>
      <c r="I67" t="s">
        <v>3</v>
      </c>
      <c r="J67">
        <f ca="1">VLOOKUP(G67,INDIRECT("球速変換!A$1:B$" &amp; Prams!$B$8),2,)</f>
        <v>131</v>
      </c>
      <c r="K67" t="str">
        <f ca="1">VLOOKUP(I67,INDIRECT("投手名変換!A$1:B$" &amp; Prams!$B$9),2,)</f>
        <v>パワプロ</v>
      </c>
      <c r="L67">
        <f t="shared" si="6"/>
        <v>33</v>
      </c>
      <c r="M67">
        <f ca="1">(B67-VLOOKUP(K67,INDIRECT("投手データ!B1:D"&amp;Prams!$B$1),3,FALSE)*2)</f>
        <v>40</v>
      </c>
      <c r="N67" t="str">
        <f ca="1">VLOOKUP(F67,INDIRECT("球種変換表!A$1:B$" &amp; Prams!$B$2),2,)</f>
        <v>シュート</v>
      </c>
      <c r="O67">
        <f ca="1">VLOOKUP(N67,球種情報!A:B,2,FALSE)</f>
        <v>26</v>
      </c>
      <c r="P67">
        <f ca="1">VLOOKUP(K67,投手データ!B:AI,output!O67+6,FALSE)</f>
        <v>0</v>
      </c>
      <c r="R67">
        <f t="shared" ca="1" si="1"/>
        <v>7.6335877862595417E-3</v>
      </c>
      <c r="S67">
        <f t="shared" si="2"/>
        <v>0.54826388888888888</v>
      </c>
      <c r="T67">
        <f>Prams!B$5/(S67-Prams!B$6)</f>
        <v>126.69585067201012</v>
      </c>
      <c r="U67">
        <f t="shared" ca="1" si="3"/>
        <v>0.66493055555555558</v>
      </c>
      <c r="V67">
        <f ca="1">Prams!C$5/(U67-Prams!C$6)</f>
        <v>118.58694899269496</v>
      </c>
      <c r="W67">
        <f t="shared" ca="1" si="4"/>
        <v>0.90524388544041956</v>
      </c>
    </row>
    <row r="68" spans="1:23" hidden="1" x14ac:dyDescent="0.55000000000000004">
      <c r="A68" s="1" t="s">
        <v>409</v>
      </c>
      <c r="B68" s="1">
        <v>134</v>
      </c>
      <c r="C68">
        <v>617.95001000000002</v>
      </c>
      <c r="D68">
        <v>609.5</v>
      </c>
      <c r="E68">
        <v>10.062519999999999</v>
      </c>
      <c r="F68" t="s">
        <v>351</v>
      </c>
      <c r="G68" s="10" t="s">
        <v>608</v>
      </c>
      <c r="H68">
        <v>101</v>
      </c>
      <c r="I68" t="s">
        <v>3</v>
      </c>
      <c r="J68">
        <f ca="1">VLOOKUP(G68,INDIRECT("球速変換!A$1:B$" &amp; Prams!$B$8),2,)</f>
        <v>132</v>
      </c>
      <c r="K68" t="str">
        <f ca="1">VLOOKUP(I68,INDIRECT("投手名変換!A$1:B$" &amp; Prams!$B$9),2,)</f>
        <v>パワプロ</v>
      </c>
      <c r="L68">
        <f t="shared" si="6"/>
        <v>33</v>
      </c>
      <c r="M68">
        <f ca="1">(B68-VLOOKUP(K68,INDIRECT("投手データ!B1:D"&amp;Prams!$B$1),3,FALSE)*2)</f>
        <v>40</v>
      </c>
      <c r="N68" t="str">
        <f ca="1">VLOOKUP(F68,INDIRECT("球種変換表!A$1:B$" &amp; Prams!$B$2),2,)</f>
        <v>シュート</v>
      </c>
      <c r="O68">
        <f ca="1">VLOOKUP(N68,球種情報!A:B,2,FALSE)</f>
        <v>26</v>
      </c>
      <c r="P68">
        <f ca="1">VLOOKUP(K68,投手データ!B:AI,output!O68+6,FALSE)</f>
        <v>0</v>
      </c>
      <c r="R68">
        <f t="shared" ca="1" si="1"/>
        <v>7.575757575757576E-3</v>
      </c>
      <c r="S68">
        <f t="shared" si="2"/>
        <v>0.54340277777777779</v>
      </c>
      <c r="T68">
        <f>Prams!B$5/(S68-Prams!B$6)</f>
        <v>127.97069866660534</v>
      </c>
      <c r="U68">
        <f t="shared" ca="1" si="3"/>
        <v>0.66006944444444438</v>
      </c>
      <c r="V68">
        <f ca="1">Prams!C$5/(U68-Prams!C$6)</f>
        <v>119.70311247841919</v>
      </c>
      <c r="W68">
        <f t="shared" ca="1" si="4"/>
        <v>0.90684176120014537</v>
      </c>
    </row>
    <row r="69" spans="1:23" hidden="1" x14ac:dyDescent="0.55000000000000004">
      <c r="A69" s="1" t="s">
        <v>410</v>
      </c>
      <c r="B69" s="1">
        <v>135</v>
      </c>
      <c r="C69">
        <v>602.45239000000004</v>
      </c>
      <c r="D69">
        <v>618.5</v>
      </c>
      <c r="E69">
        <v>10.55955</v>
      </c>
      <c r="F69" t="s">
        <v>351</v>
      </c>
      <c r="G69" s="10" t="s">
        <v>2431</v>
      </c>
      <c r="H69">
        <v>101</v>
      </c>
      <c r="I69" t="s">
        <v>3</v>
      </c>
      <c r="J69">
        <f ca="1">VLOOKUP(G69,INDIRECT("球速変換!A$1:B$" &amp; Prams!$B$8),2,)</f>
        <v>130</v>
      </c>
      <c r="K69" t="str">
        <f ca="1">VLOOKUP(I69,INDIRECT("投手名変換!A$1:B$" &amp; Prams!$B$9),2,)</f>
        <v>パワプロ</v>
      </c>
      <c r="L69">
        <f t="shared" si="6"/>
        <v>34</v>
      </c>
      <c r="M69">
        <f ca="1">(B69-VLOOKUP(K69,INDIRECT("投手データ!B1:D"&amp;Prams!$B$1),3,FALSE)*2)</f>
        <v>41</v>
      </c>
      <c r="N69" t="str">
        <f ca="1">VLOOKUP(F69,INDIRECT("球種変換表!A$1:B$" &amp; Prams!$B$2),2,)</f>
        <v>シュート</v>
      </c>
      <c r="O69">
        <f ca="1">VLOOKUP(N69,球種情報!A:B,2,FALSE)</f>
        <v>26</v>
      </c>
      <c r="P69">
        <f ca="1">VLOOKUP(K69,投手データ!B:AI,output!O69+6,FALSE)</f>
        <v>0</v>
      </c>
      <c r="R69">
        <f t="shared" ref="R69:R132" ca="1" si="7">1/J69</f>
        <v>7.6923076923076927E-3</v>
      </c>
      <c r="S69">
        <f t="shared" ref="S69:S132" si="8">(L69-(D69-600)/24)*2/120</f>
        <v>0.55381944444444442</v>
      </c>
      <c r="T69">
        <f>Prams!B$5/(S69-Prams!B$6)</f>
        <v>125.26963364046223</v>
      </c>
      <c r="U69">
        <f t="shared" ref="U69:U132" ca="1" si="9">(M69-(D69-600)/24)*2/120</f>
        <v>0.67048611111111112</v>
      </c>
      <c r="V69">
        <f ca="1">Prams!C$5/(U69-Prams!C$6)</f>
        <v>117.33655280763816</v>
      </c>
      <c r="W69">
        <f t="shared" ref="W69:W132" ca="1" si="10">V69/J69</f>
        <v>0.90258886775106273</v>
      </c>
    </row>
    <row r="70" spans="1:23" hidden="1" x14ac:dyDescent="0.55000000000000004">
      <c r="A70" s="1" t="s">
        <v>411</v>
      </c>
      <c r="B70" s="1">
        <v>134</v>
      </c>
      <c r="C70">
        <v>616</v>
      </c>
      <c r="D70">
        <v>609.5</v>
      </c>
      <c r="E70">
        <v>11.01146</v>
      </c>
      <c r="F70" t="s">
        <v>350</v>
      </c>
      <c r="G70" s="10" t="s">
        <v>608</v>
      </c>
      <c r="H70">
        <v>101</v>
      </c>
      <c r="I70" t="s">
        <v>3</v>
      </c>
      <c r="J70">
        <f ca="1">VLOOKUP(G70,INDIRECT("球速変換!A$1:B$" &amp; Prams!$B$8),2,)</f>
        <v>132</v>
      </c>
      <c r="K70" t="str">
        <f ca="1">VLOOKUP(I70,INDIRECT("投手名変換!A$1:B$" &amp; Prams!$B$9),2,)</f>
        <v>パワプロ</v>
      </c>
      <c r="L70">
        <f t="shared" si="6"/>
        <v>33</v>
      </c>
      <c r="M70">
        <f ca="1">(B70-VLOOKUP(K70,INDIRECT("投手データ!B1:D"&amp;Prams!$B$1),3,FALSE)*2)</f>
        <v>40</v>
      </c>
      <c r="N70" t="str">
        <f ca="1">VLOOKUP(F70,INDIRECT("球種変換表!A$1:B$" &amp; Prams!$B$2),2,)</f>
        <v>シュート</v>
      </c>
      <c r="O70">
        <f ca="1">VLOOKUP(N70,球種情報!A:B,2,FALSE)</f>
        <v>26</v>
      </c>
      <c r="P70">
        <f ca="1">VLOOKUP(K70,投手データ!B:AI,output!O70+6,FALSE)</f>
        <v>0</v>
      </c>
      <c r="R70">
        <f t="shared" ca="1" si="7"/>
        <v>7.575757575757576E-3</v>
      </c>
      <c r="S70">
        <f t="shared" si="8"/>
        <v>0.54340277777777779</v>
      </c>
      <c r="T70">
        <f>Prams!B$5/(S70-Prams!B$6)</f>
        <v>127.97069866660534</v>
      </c>
      <c r="U70">
        <f t="shared" ca="1" si="9"/>
        <v>0.66006944444444438</v>
      </c>
      <c r="V70">
        <f ca="1">Prams!C$5/(U70-Prams!C$6)</f>
        <v>119.70311247841919</v>
      </c>
      <c r="W70">
        <f t="shared" ca="1" si="10"/>
        <v>0.90684176120014537</v>
      </c>
    </row>
    <row r="71" spans="1:23" hidden="1" x14ac:dyDescent="0.55000000000000004">
      <c r="A71" s="1" t="s">
        <v>412</v>
      </c>
      <c r="B71" s="1">
        <v>134</v>
      </c>
      <c r="C71">
        <v>605.04998999999998</v>
      </c>
      <c r="D71">
        <v>603.5</v>
      </c>
      <c r="E71">
        <v>10.06254</v>
      </c>
      <c r="F71" t="s">
        <v>352</v>
      </c>
      <c r="G71" s="10" t="s">
        <v>2432</v>
      </c>
      <c r="H71">
        <v>101</v>
      </c>
      <c r="I71" t="s">
        <v>3</v>
      </c>
      <c r="J71">
        <f ca="1">VLOOKUP(G71,INDIRECT("球速変換!A$1:B$" &amp; Prams!$B$8),2,)</f>
        <v>131</v>
      </c>
      <c r="K71" t="str">
        <f ca="1">VLOOKUP(I71,INDIRECT("投手名変換!A$1:B$" &amp; Prams!$B$9),2,)</f>
        <v>パワプロ</v>
      </c>
      <c r="L71">
        <f t="shared" si="6"/>
        <v>33</v>
      </c>
      <c r="M71">
        <f ca="1">(B71-VLOOKUP(K71,INDIRECT("投手データ!B1:D"&amp;Prams!$B$1),3,FALSE)*2)</f>
        <v>40</v>
      </c>
      <c r="N71" t="str">
        <f ca="1">VLOOKUP(F71,INDIRECT("球種変換表!A$1:B$" &amp; Prams!$B$2),2,)</f>
        <v>シュート</v>
      </c>
      <c r="O71">
        <f ca="1">VLOOKUP(N71,球種情報!A:B,2,FALSE)</f>
        <v>26</v>
      </c>
      <c r="P71">
        <f ca="1">VLOOKUP(K71,投手データ!B:AI,output!O71+6,FALSE)</f>
        <v>0</v>
      </c>
      <c r="R71">
        <f t="shared" ca="1" si="7"/>
        <v>7.6335877862595417E-3</v>
      </c>
      <c r="S71">
        <f t="shared" si="8"/>
        <v>0.54756944444444444</v>
      </c>
      <c r="T71">
        <f>Prams!B$5/(S71-Prams!B$6)</f>
        <v>126.8764144866233</v>
      </c>
      <c r="U71">
        <f t="shared" ca="1" si="9"/>
        <v>0.66423611111111103</v>
      </c>
      <c r="V71">
        <f ca="1">Prams!C$5/(U71-Prams!C$6)</f>
        <v>118.74512482059875</v>
      </c>
      <c r="W71">
        <f t="shared" ca="1" si="10"/>
        <v>0.90645133450838733</v>
      </c>
    </row>
    <row r="72" spans="1:23" hidden="1" x14ac:dyDescent="0.55000000000000004">
      <c r="A72" s="1" t="s">
        <v>1934</v>
      </c>
      <c r="B72" s="1">
        <v>128</v>
      </c>
      <c r="C72">
        <v>639</v>
      </c>
      <c r="D72">
        <v>606</v>
      </c>
      <c r="E72">
        <v>10.04998</v>
      </c>
      <c r="F72" t="s">
        <v>0</v>
      </c>
      <c r="G72" s="10" t="s">
        <v>640</v>
      </c>
      <c r="H72">
        <v>99</v>
      </c>
      <c r="I72" t="s">
        <v>439</v>
      </c>
      <c r="J72">
        <f ca="1">VLOOKUP(G72,INDIRECT("球速変換!A$1:B$" &amp; Prams!$B$8),2,)</f>
        <v>148</v>
      </c>
      <c r="K72" t="str">
        <f ca="1">VLOOKUP(I72,INDIRECT("投手名変換!A$1:B$" &amp; Prams!$B$9),2,)</f>
        <v>DD007</v>
      </c>
      <c r="L72">
        <f t="shared" si="6"/>
        <v>29</v>
      </c>
      <c r="M72">
        <f ca="1">(B72-VLOOKUP(K72,INDIRECT("投手データ!B1:D"&amp;Prams!$B$1),3,FALSE)*2)</f>
        <v>34</v>
      </c>
      <c r="N72" t="str">
        <f ca="1">VLOOKUP(F72,INDIRECT("球種変換表!A$1:B$" &amp; Prams!$B$2),2,)</f>
        <v>ストレート</v>
      </c>
      <c r="O72">
        <f ca="1">VLOOKUP(N72,球種情報!A:B,2,FALSE)</f>
        <v>1</v>
      </c>
      <c r="P72">
        <f ca="1">VLOOKUP(K72,投手データ!B:AI,output!O72+6,FALSE)</f>
        <v>1</v>
      </c>
      <c r="R72">
        <f t="shared" ca="1" si="7"/>
        <v>6.7567567567567571E-3</v>
      </c>
      <c r="S72">
        <f t="shared" si="8"/>
        <v>0.47916666666666669</v>
      </c>
      <c r="T72">
        <f>Prams!B$5/(S72-Prams!B$6)</f>
        <v>147.59589368136241</v>
      </c>
      <c r="U72">
        <f t="shared" ca="1" si="9"/>
        <v>0.5625</v>
      </c>
      <c r="V72">
        <f ca="1">Prams!C$5/(U72-Prams!C$6)</f>
        <v>147.584148961566</v>
      </c>
      <c r="W72">
        <f t="shared" ca="1" si="10"/>
        <v>0.99719019568625678</v>
      </c>
    </row>
    <row r="73" spans="1:23" hidden="1" x14ac:dyDescent="0.55000000000000004">
      <c r="A73" s="1" t="s">
        <v>1935</v>
      </c>
      <c r="B73" s="1">
        <v>128</v>
      </c>
      <c r="C73">
        <v>642.5</v>
      </c>
      <c r="D73">
        <v>602</v>
      </c>
      <c r="E73">
        <v>10.547610000000001</v>
      </c>
      <c r="F73" t="s">
        <v>0</v>
      </c>
      <c r="G73" s="10" t="s">
        <v>613</v>
      </c>
      <c r="H73">
        <v>99</v>
      </c>
      <c r="I73" t="s">
        <v>1527</v>
      </c>
      <c r="J73">
        <f ca="1">VLOOKUP(G73,INDIRECT("球速変換!A$1:B$" &amp; Prams!$B$8),2,)</f>
        <v>147</v>
      </c>
      <c r="K73" t="str">
        <f ca="1">VLOOKUP(I73,INDIRECT("投手名変換!A$1:B$" &amp; Prams!$B$9),2,)</f>
        <v>DD007</v>
      </c>
      <c r="L73">
        <f t="shared" si="6"/>
        <v>29</v>
      </c>
      <c r="M73">
        <f ca="1">(B73-VLOOKUP(K73,INDIRECT("投手データ!B1:D"&amp;Prams!$B$1),3,FALSE)*2)</f>
        <v>34</v>
      </c>
      <c r="N73" t="str">
        <f ca="1">VLOOKUP(F73,INDIRECT("球種変換表!A$1:B$" &amp; Prams!$B$2),2,)</f>
        <v>ストレート</v>
      </c>
      <c r="O73">
        <f ca="1">VLOOKUP(N73,球種情報!A:B,2,FALSE)</f>
        <v>1</v>
      </c>
      <c r="P73">
        <f ca="1">VLOOKUP(K73,投手データ!B:AI,output!O73+6,FALSE)</f>
        <v>1</v>
      </c>
      <c r="R73">
        <f t="shared" ca="1" si="7"/>
        <v>6.8027210884353739E-3</v>
      </c>
      <c r="S73">
        <f t="shared" si="8"/>
        <v>0.48194444444444445</v>
      </c>
      <c r="T73">
        <f>Prams!B$5/(S73-Prams!B$6)</f>
        <v>146.62353747233055</v>
      </c>
      <c r="U73">
        <f t="shared" ca="1" si="9"/>
        <v>0.56527777777777777</v>
      </c>
      <c r="V73">
        <f ca="1">Prams!C$5/(U73-Prams!C$6)</f>
        <v>146.6119469842692</v>
      </c>
      <c r="W73">
        <f t="shared" ca="1" si="10"/>
        <v>0.99736018356645706</v>
      </c>
    </row>
    <row r="74" spans="1:23" hidden="1" x14ac:dyDescent="0.55000000000000004">
      <c r="A74" s="1" t="s">
        <v>1936</v>
      </c>
      <c r="B74" s="1">
        <v>129</v>
      </c>
      <c r="C74">
        <v>636.5</v>
      </c>
      <c r="D74">
        <v>614</v>
      </c>
      <c r="E74">
        <v>10.547610000000001</v>
      </c>
      <c r="F74" t="s">
        <v>0</v>
      </c>
      <c r="G74" s="10" t="s">
        <v>972</v>
      </c>
      <c r="H74">
        <v>99</v>
      </c>
      <c r="I74" t="s">
        <v>1527</v>
      </c>
      <c r="J74">
        <f ca="1">VLOOKUP(G74,INDIRECT("球速変換!A$1:B$" &amp; Prams!$B$8),2,)</f>
        <v>144</v>
      </c>
      <c r="K74" t="str">
        <f ca="1">VLOOKUP(I74,INDIRECT("投手名変換!A$1:B$" &amp; Prams!$B$9),2,)</f>
        <v>DD007</v>
      </c>
      <c r="L74">
        <f t="shared" si="6"/>
        <v>30</v>
      </c>
      <c r="M74">
        <f ca="1">(B74-VLOOKUP(K74,INDIRECT("投手データ!B1:D"&amp;Prams!$B$1),3,FALSE)*2)</f>
        <v>35</v>
      </c>
      <c r="N74" t="str">
        <f ca="1">VLOOKUP(F74,INDIRECT("球種変換表!A$1:B$" &amp; Prams!$B$2),2,)</f>
        <v>ストレート</v>
      </c>
      <c r="O74">
        <f ca="1">VLOOKUP(N74,球種情報!A:B,2,FALSE)</f>
        <v>1</v>
      </c>
      <c r="P74">
        <f ca="1">VLOOKUP(K74,投手データ!B:AI,output!O74+6,FALSE)</f>
        <v>1</v>
      </c>
      <c r="R74">
        <f t="shared" ca="1" si="7"/>
        <v>6.9444444444444441E-3</v>
      </c>
      <c r="S74">
        <f t="shared" si="8"/>
        <v>0.49027777777777781</v>
      </c>
      <c r="T74">
        <f>Prams!B$5/(S74-Prams!B$6)</f>
        <v>143.78184919117265</v>
      </c>
      <c r="U74">
        <f t="shared" ca="1" si="9"/>
        <v>0.57361111111111107</v>
      </c>
      <c r="V74">
        <f ca="1">Prams!C$5/(U74-Prams!C$6)</f>
        <v>143.7707035993902</v>
      </c>
      <c r="W74">
        <f t="shared" ca="1" si="10"/>
        <v>0.99840766388465418</v>
      </c>
    </row>
    <row r="75" spans="1:23" hidden="1" x14ac:dyDescent="0.55000000000000004">
      <c r="A75" s="1" t="s">
        <v>1937</v>
      </c>
      <c r="B75" s="1">
        <v>129</v>
      </c>
      <c r="C75">
        <v>641</v>
      </c>
      <c r="D75">
        <v>622</v>
      </c>
      <c r="E75">
        <v>11.04546</v>
      </c>
      <c r="F75" t="s">
        <v>0</v>
      </c>
      <c r="G75" s="10" t="s">
        <v>619</v>
      </c>
      <c r="H75">
        <v>99</v>
      </c>
      <c r="I75" t="s">
        <v>438</v>
      </c>
      <c r="J75">
        <f ca="1">VLOOKUP(G75,INDIRECT("球速変換!A$1:B$" &amp; Prams!$B$8),2,)</f>
        <v>146</v>
      </c>
      <c r="K75" t="str">
        <f ca="1">VLOOKUP(I75,INDIRECT("投手名変換!A$1:B$" &amp; Prams!$B$9),2,)</f>
        <v>DD007</v>
      </c>
      <c r="L75">
        <f t="shared" si="6"/>
        <v>30</v>
      </c>
      <c r="M75">
        <f ca="1">(B75-VLOOKUP(K75,INDIRECT("投手データ!B1:D"&amp;Prams!$B$1),3,FALSE)*2)</f>
        <v>35</v>
      </c>
      <c r="N75" t="str">
        <f ca="1">VLOOKUP(F75,INDIRECT("球種変換表!A$1:B$" &amp; Prams!$B$2),2,)</f>
        <v>ストレート</v>
      </c>
      <c r="O75">
        <f ca="1">VLOOKUP(N75,球種情報!A:B,2,FALSE)</f>
        <v>1</v>
      </c>
      <c r="P75">
        <f ca="1">VLOOKUP(K75,投手データ!B:AI,output!O75+6,FALSE)</f>
        <v>1</v>
      </c>
      <c r="R75">
        <f t="shared" ca="1" si="7"/>
        <v>6.8493150684931503E-3</v>
      </c>
      <c r="S75">
        <f t="shared" si="8"/>
        <v>0.48472222222222222</v>
      </c>
      <c r="T75">
        <f>Prams!B$5/(S75-Prams!B$6)</f>
        <v>145.66390910518876</v>
      </c>
      <c r="U75">
        <f t="shared" ca="1" si="9"/>
        <v>0.56805555555555565</v>
      </c>
      <c r="V75">
        <f ca="1">Prams!C$5/(U75-Prams!C$6)</f>
        <v>145.65246983063267</v>
      </c>
      <c r="W75">
        <f t="shared" ca="1" si="10"/>
        <v>0.99761965637419636</v>
      </c>
    </row>
    <row r="76" spans="1:23" hidden="1" x14ac:dyDescent="0.55000000000000004">
      <c r="A76" s="1" t="s">
        <v>1938</v>
      </c>
      <c r="B76" s="1">
        <v>129</v>
      </c>
      <c r="C76">
        <v>642.5</v>
      </c>
      <c r="D76">
        <v>617</v>
      </c>
      <c r="E76">
        <v>10.547610000000001</v>
      </c>
      <c r="F76" t="s">
        <v>0</v>
      </c>
      <c r="G76" s="10" t="s">
        <v>612</v>
      </c>
      <c r="H76">
        <v>99</v>
      </c>
      <c r="I76" t="s">
        <v>439</v>
      </c>
      <c r="J76">
        <f ca="1">VLOOKUP(G76,INDIRECT("球速変換!A$1:B$" &amp; Prams!$B$8),2,)</f>
        <v>145</v>
      </c>
      <c r="K76" t="str">
        <f ca="1">VLOOKUP(I76,INDIRECT("投手名変換!A$1:B$" &amp; Prams!$B$9),2,)</f>
        <v>DD007</v>
      </c>
      <c r="L76">
        <f t="shared" si="6"/>
        <v>30</v>
      </c>
      <c r="M76">
        <f ca="1">(B76-VLOOKUP(K76,INDIRECT("投手データ!B1:D"&amp;Prams!$B$1),3,FALSE)*2)</f>
        <v>35</v>
      </c>
      <c r="N76" t="str">
        <f ca="1">VLOOKUP(F76,INDIRECT("球種変換表!A$1:B$" &amp; Prams!$B$2),2,)</f>
        <v>ストレート</v>
      </c>
      <c r="O76">
        <f ca="1">VLOOKUP(N76,球種情報!A:B,2,FALSE)</f>
        <v>1</v>
      </c>
      <c r="P76">
        <f ca="1">VLOOKUP(K76,投手データ!B:AI,output!O76+6,FALSE)</f>
        <v>1</v>
      </c>
      <c r="R76">
        <f t="shared" ca="1" si="7"/>
        <v>6.8965517241379309E-3</v>
      </c>
      <c r="S76">
        <f t="shared" si="8"/>
        <v>0.48819444444444449</v>
      </c>
      <c r="T76">
        <f>Prams!B$5/(S76-Prams!B$6)</f>
        <v>144.48189454824009</v>
      </c>
      <c r="U76">
        <f t="shared" ca="1" si="9"/>
        <v>0.57152777777777775</v>
      </c>
      <c r="V76">
        <f ca="1">Prams!C$5/(U76-Prams!C$6)</f>
        <v>144.47064016513693</v>
      </c>
      <c r="W76">
        <f t="shared" ca="1" si="10"/>
        <v>0.99634924251818568</v>
      </c>
    </row>
    <row r="77" spans="1:23" hidden="1" x14ac:dyDescent="0.55000000000000004">
      <c r="A77" s="1" t="s">
        <v>1939</v>
      </c>
      <c r="B77" s="1">
        <v>128</v>
      </c>
      <c r="C77">
        <v>639</v>
      </c>
      <c r="D77">
        <v>604</v>
      </c>
      <c r="E77">
        <v>10.04998</v>
      </c>
      <c r="F77" t="s">
        <v>0</v>
      </c>
      <c r="G77" s="10" t="s">
        <v>613</v>
      </c>
      <c r="H77">
        <v>99</v>
      </c>
      <c r="I77" t="s">
        <v>439</v>
      </c>
      <c r="J77">
        <f ca="1">VLOOKUP(G77,INDIRECT("球速変換!A$1:B$" &amp; Prams!$B$8),2,)</f>
        <v>147</v>
      </c>
      <c r="K77" t="str">
        <f ca="1">VLOOKUP(I77,INDIRECT("投手名変換!A$1:B$" &amp; Prams!$B$9),2,)</f>
        <v>DD007</v>
      </c>
      <c r="L77">
        <f t="shared" si="6"/>
        <v>29</v>
      </c>
      <c r="M77">
        <f ca="1">(B77-VLOOKUP(K77,INDIRECT("投手データ!B1:D"&amp;Prams!$B$1),3,FALSE)*2)</f>
        <v>34</v>
      </c>
      <c r="N77" t="str">
        <f ca="1">VLOOKUP(F77,INDIRECT("球種変換表!A$1:B$" &amp; Prams!$B$2),2,)</f>
        <v>ストレート</v>
      </c>
      <c r="O77">
        <f ca="1">VLOOKUP(N77,球種情報!A:B,2,FALSE)</f>
        <v>1</v>
      </c>
      <c r="P77">
        <f ca="1">VLOOKUP(K77,投手データ!B:AI,output!O77+6,FALSE)</f>
        <v>1</v>
      </c>
      <c r="R77">
        <f t="shared" ca="1" si="7"/>
        <v>6.8027210884353739E-3</v>
      </c>
      <c r="S77">
        <f t="shared" si="8"/>
        <v>0.48055555555555551</v>
      </c>
      <c r="T77">
        <f>Prams!B$5/(S77-Prams!B$6)</f>
        <v>147.10810882267407</v>
      </c>
      <c r="U77">
        <f t="shared" ca="1" si="9"/>
        <v>0.56388888888888888</v>
      </c>
      <c r="V77">
        <f ca="1">Prams!C$5/(U77-Prams!C$6)</f>
        <v>147.09644160101519</v>
      </c>
      <c r="W77">
        <f t="shared" ca="1" si="10"/>
        <v>1.0006560653130285</v>
      </c>
    </row>
    <row r="78" spans="1:23" hidden="1" x14ac:dyDescent="0.55000000000000004">
      <c r="A78" s="1" t="s">
        <v>1940</v>
      </c>
      <c r="B78" s="1">
        <v>128</v>
      </c>
      <c r="C78">
        <v>634.5</v>
      </c>
      <c r="D78">
        <v>604</v>
      </c>
      <c r="E78">
        <v>10.547610000000001</v>
      </c>
      <c r="F78" t="s">
        <v>0</v>
      </c>
      <c r="G78" s="10" t="s">
        <v>638</v>
      </c>
      <c r="H78">
        <v>99</v>
      </c>
      <c r="I78" t="s">
        <v>438</v>
      </c>
      <c r="J78">
        <f ca="1">VLOOKUP(G78,INDIRECT("球速変換!A$1:B$" &amp; Prams!$B$8),2,)</f>
        <v>147</v>
      </c>
      <c r="K78" t="str">
        <f ca="1">VLOOKUP(I78,INDIRECT("投手名変換!A$1:B$" &amp; Prams!$B$9),2,)</f>
        <v>DD007</v>
      </c>
      <c r="L78">
        <f t="shared" si="6"/>
        <v>29</v>
      </c>
      <c r="M78">
        <f ca="1">(B78-VLOOKUP(K78,INDIRECT("投手データ!B1:D"&amp;Prams!$B$1),3,FALSE)*2)</f>
        <v>34</v>
      </c>
      <c r="N78" t="str">
        <f ca="1">VLOOKUP(F78,INDIRECT("球種変換表!A$1:B$" &amp; Prams!$B$2),2,)</f>
        <v>ストレート</v>
      </c>
      <c r="O78">
        <f ca="1">VLOOKUP(N78,球種情報!A:B,2,FALSE)</f>
        <v>1</v>
      </c>
      <c r="P78">
        <f ca="1">VLOOKUP(K78,投手データ!B:AI,output!O78+6,FALSE)</f>
        <v>1</v>
      </c>
      <c r="R78">
        <f t="shared" ca="1" si="7"/>
        <v>6.8027210884353739E-3</v>
      </c>
      <c r="S78">
        <f t="shared" si="8"/>
        <v>0.48055555555555551</v>
      </c>
      <c r="T78">
        <f>Prams!B$5/(S78-Prams!B$6)</f>
        <v>147.10810882267407</v>
      </c>
      <c r="U78">
        <f t="shared" ca="1" si="9"/>
        <v>0.56388888888888888</v>
      </c>
      <c r="V78">
        <f ca="1">Prams!C$5/(U78-Prams!C$6)</f>
        <v>147.09644160101519</v>
      </c>
      <c r="W78">
        <f t="shared" ca="1" si="10"/>
        <v>1.0006560653130285</v>
      </c>
    </row>
    <row r="79" spans="1:23" hidden="1" x14ac:dyDescent="0.55000000000000004">
      <c r="A79" s="1" t="s">
        <v>1941</v>
      </c>
      <c r="B79" s="1">
        <v>129</v>
      </c>
      <c r="C79">
        <v>640.5</v>
      </c>
      <c r="D79">
        <v>614.5</v>
      </c>
      <c r="E79">
        <v>10.512</v>
      </c>
      <c r="F79" t="s">
        <v>0</v>
      </c>
      <c r="G79" s="10" t="s">
        <v>615</v>
      </c>
      <c r="H79">
        <v>99</v>
      </c>
      <c r="I79" t="s">
        <v>438</v>
      </c>
      <c r="J79">
        <f ca="1">VLOOKUP(G79,INDIRECT("球速変換!A$1:B$" &amp; Prams!$B$8),2,)</f>
        <v>144</v>
      </c>
      <c r="K79" t="str">
        <f ca="1">VLOOKUP(I79,INDIRECT("投手名変換!A$1:B$" &amp; Prams!$B$9),2,)</f>
        <v>DD007</v>
      </c>
      <c r="L79">
        <f t="shared" si="6"/>
        <v>30</v>
      </c>
      <c r="M79">
        <f ca="1">(B79-VLOOKUP(K79,INDIRECT("投手データ!B1:D"&amp;Prams!$B$1),3,FALSE)*2)</f>
        <v>35</v>
      </c>
      <c r="N79" t="str">
        <f ca="1">VLOOKUP(F79,INDIRECT("球種変換表!A$1:B$" &amp; Prams!$B$2),2,)</f>
        <v>ストレート</v>
      </c>
      <c r="O79">
        <f ca="1">VLOOKUP(N79,球種情報!A:B,2,FALSE)</f>
        <v>1</v>
      </c>
      <c r="P79">
        <f ca="1">VLOOKUP(K79,投手データ!B:AI,output!O79+6,FALSE)</f>
        <v>1</v>
      </c>
      <c r="R79">
        <f t="shared" ca="1" si="7"/>
        <v>6.9444444444444441E-3</v>
      </c>
      <c r="S79">
        <f t="shared" si="8"/>
        <v>0.48993055555555554</v>
      </c>
      <c r="T79">
        <f>Prams!B$5/(S79-Prams!B$6)</f>
        <v>143.89805194385357</v>
      </c>
      <c r="U79">
        <f t="shared" ca="1" si="9"/>
        <v>0.57326388888888891</v>
      </c>
      <c r="V79">
        <f ca="1">Prams!C$5/(U79-Prams!C$6)</f>
        <v>143.88688833002541</v>
      </c>
      <c r="W79">
        <f t="shared" ca="1" si="10"/>
        <v>0.99921450229184317</v>
      </c>
    </row>
    <row r="80" spans="1:23" hidden="1" x14ac:dyDescent="0.55000000000000004">
      <c r="A80" s="1" t="s">
        <v>1943</v>
      </c>
      <c r="B80" s="1">
        <v>129</v>
      </c>
      <c r="C80">
        <v>638</v>
      </c>
      <c r="D80">
        <v>612.5</v>
      </c>
      <c r="E80">
        <v>11.01146</v>
      </c>
      <c r="F80" t="s">
        <v>0</v>
      </c>
      <c r="G80" s="10" t="s">
        <v>1942</v>
      </c>
      <c r="H80">
        <v>99</v>
      </c>
      <c r="I80" t="s">
        <v>438</v>
      </c>
      <c r="J80">
        <f ca="1">VLOOKUP(G80,INDIRECT("球速変換!A$1:B$" &amp; Prams!$B$8),2,)</f>
        <v>143</v>
      </c>
      <c r="K80" t="str">
        <f ca="1">VLOOKUP(I80,INDIRECT("投手名変換!A$1:B$" &amp; Prams!$B$9),2,)</f>
        <v>DD007</v>
      </c>
      <c r="L80">
        <f t="shared" si="6"/>
        <v>30</v>
      </c>
      <c r="M80">
        <f ca="1">(B80-VLOOKUP(K80,INDIRECT("投手データ!B1:D"&amp;Prams!$B$1),3,FALSE)*2)</f>
        <v>35</v>
      </c>
      <c r="N80" t="str">
        <f ca="1">VLOOKUP(F80,INDIRECT("球種変換表!A$1:B$" &amp; Prams!$B$2),2,)</f>
        <v>ストレート</v>
      </c>
      <c r="O80">
        <f ca="1">VLOOKUP(N80,球種情報!A:B,2,FALSE)</f>
        <v>1</v>
      </c>
      <c r="P80">
        <f ca="1">VLOOKUP(K80,投手データ!B:AI,output!O80+6,FALSE)</f>
        <v>1</v>
      </c>
      <c r="R80">
        <f t="shared" ca="1" si="7"/>
        <v>6.993006993006993E-3</v>
      </c>
      <c r="S80">
        <f t="shared" si="8"/>
        <v>0.49131944444444448</v>
      </c>
      <c r="T80">
        <f>Prams!B$5/(S80-Prams!B$6)</f>
        <v>143.43436426559771</v>
      </c>
      <c r="U80">
        <f t="shared" ca="1" si="9"/>
        <v>0.57465277777777779</v>
      </c>
      <c r="V80">
        <f ca="1">Prams!C$5/(U80-Prams!C$6)</f>
        <v>143.42327247887923</v>
      </c>
      <c r="W80">
        <f t="shared" ca="1" si="10"/>
        <v>1.0029599474047499</v>
      </c>
    </row>
    <row r="81" spans="1:23" hidden="1" x14ac:dyDescent="0.55000000000000004">
      <c r="A81" s="1" t="s">
        <v>1944</v>
      </c>
      <c r="B81" s="1">
        <v>128</v>
      </c>
      <c r="C81">
        <v>636.5</v>
      </c>
      <c r="D81">
        <v>605</v>
      </c>
      <c r="E81">
        <v>10.547610000000001</v>
      </c>
      <c r="F81" t="s">
        <v>0</v>
      </c>
      <c r="G81" s="10" t="s">
        <v>638</v>
      </c>
      <c r="H81">
        <v>99</v>
      </c>
      <c r="I81" t="s">
        <v>439</v>
      </c>
      <c r="J81">
        <f ca="1">VLOOKUP(G81,INDIRECT("球速変換!A$1:B$" &amp; Prams!$B$8),2,)</f>
        <v>147</v>
      </c>
      <c r="K81" t="str">
        <f ca="1">VLOOKUP(I81,INDIRECT("投手名変換!A$1:B$" &amp; Prams!$B$9),2,)</f>
        <v>DD007</v>
      </c>
      <c r="L81">
        <f t="shared" si="6"/>
        <v>29</v>
      </c>
      <c r="M81">
        <f ca="1">(B81-VLOOKUP(K81,INDIRECT("投手データ!B1:D"&amp;Prams!$B$1),3,FALSE)*2)</f>
        <v>34</v>
      </c>
      <c r="N81" t="str">
        <f ca="1">VLOOKUP(F81,INDIRECT("球種変換表!A$1:B$" &amp; Prams!$B$2),2,)</f>
        <v>ストレート</v>
      </c>
      <c r="O81">
        <f ca="1">VLOOKUP(N81,球種情報!A:B,2,FALSE)</f>
        <v>1</v>
      </c>
      <c r="P81">
        <f ca="1">VLOOKUP(K81,投手データ!B:AI,output!O81+6,FALSE)</f>
        <v>1</v>
      </c>
      <c r="R81">
        <f t="shared" ca="1" si="7"/>
        <v>6.8027210884353739E-3</v>
      </c>
      <c r="S81">
        <f t="shared" si="8"/>
        <v>0.47986111111111113</v>
      </c>
      <c r="T81">
        <f>Prams!B$5/(S81-Prams!B$6)</f>
        <v>147.35159756888814</v>
      </c>
      <c r="U81">
        <f t="shared" ca="1" si="9"/>
        <v>0.56319444444444444</v>
      </c>
      <c r="V81">
        <f ca="1">Prams!C$5/(U81-Prams!C$6)</f>
        <v>147.33989169436097</v>
      </c>
      <c r="W81">
        <f t="shared" ca="1" si="10"/>
        <v>1.0023121883970134</v>
      </c>
    </row>
    <row r="82" spans="1:23" hidden="1" x14ac:dyDescent="0.55000000000000004">
      <c r="A82" s="1" t="s">
        <v>440</v>
      </c>
      <c r="B82" s="1">
        <v>125</v>
      </c>
      <c r="C82">
        <v>640.5</v>
      </c>
      <c r="D82">
        <v>609.5</v>
      </c>
      <c r="E82">
        <v>10.512</v>
      </c>
      <c r="F82" t="s">
        <v>343</v>
      </c>
      <c r="G82" s="10" t="s">
        <v>1525</v>
      </c>
      <c r="H82">
        <v>98</v>
      </c>
      <c r="I82" t="s">
        <v>439</v>
      </c>
      <c r="J82">
        <f ca="1">VLOOKUP(G82,INDIRECT("球速変換!A$1:B$" &amp; Prams!$B$8),2,)</f>
        <v>144</v>
      </c>
      <c r="K82" t="str">
        <f ca="1">VLOOKUP(I82,INDIRECT("投手名変換!A$1:B$" &amp; Prams!$B$9),2,)</f>
        <v>DD007</v>
      </c>
      <c r="L82">
        <f t="shared" si="6"/>
        <v>27</v>
      </c>
      <c r="M82">
        <f ca="1">(B82-VLOOKUP(K82,INDIRECT("投手データ!B1:D"&amp;Prams!$B$1),3,FALSE)*2)</f>
        <v>31</v>
      </c>
      <c r="N82" t="str">
        <f ca="1">VLOOKUP(F82,INDIRECT("球種変換表!A$1:B$" &amp; Prams!$B$2),2,)</f>
        <v>全力ストレート</v>
      </c>
      <c r="O82">
        <f ca="1">VLOOKUP(N82,球種情報!A:B,2,FALSE)</f>
        <v>2</v>
      </c>
      <c r="P82">
        <f ca="1">VLOOKUP(K82,投手データ!B:AI,output!O82+6,FALSE)</f>
        <v>1</v>
      </c>
      <c r="R82">
        <f t="shared" ca="1" si="7"/>
        <v>6.9444444444444441E-3</v>
      </c>
      <c r="S82">
        <f t="shared" si="8"/>
        <v>0.44340277777777781</v>
      </c>
      <c r="T82">
        <f>Prams!B$5/(S82-Prams!B$6)</f>
        <v>161.37444985027227</v>
      </c>
      <c r="U82">
        <f t="shared" ca="1" si="9"/>
        <v>0.51006944444444446</v>
      </c>
      <c r="V82">
        <f ca="1">Prams!C$5/(U82-Prams!C$6)</f>
        <v>168.69892138953529</v>
      </c>
      <c r="W82">
        <f t="shared" ca="1" si="10"/>
        <v>1.1715202874273283</v>
      </c>
    </row>
    <row r="83" spans="1:23" hidden="1" x14ac:dyDescent="0.55000000000000004">
      <c r="A83" s="1" t="s">
        <v>441</v>
      </c>
      <c r="B83" s="1">
        <v>125</v>
      </c>
      <c r="C83">
        <v>641.5</v>
      </c>
      <c r="D83">
        <v>623</v>
      </c>
      <c r="E83">
        <v>10.5001</v>
      </c>
      <c r="F83" t="s">
        <v>343</v>
      </c>
      <c r="G83" s="10" t="s">
        <v>640</v>
      </c>
      <c r="H83">
        <v>98</v>
      </c>
      <c r="I83" t="s">
        <v>439</v>
      </c>
      <c r="J83">
        <f ca="1">VLOOKUP(G83,INDIRECT("球速変換!A$1:B$" &amp; Prams!$B$8),2,)</f>
        <v>148</v>
      </c>
      <c r="K83" t="str">
        <f ca="1">VLOOKUP(I83,INDIRECT("投手名変換!A$1:B$" &amp; Prams!$B$9),2,)</f>
        <v>DD007</v>
      </c>
      <c r="L83">
        <f t="shared" si="6"/>
        <v>27</v>
      </c>
      <c r="M83">
        <f ca="1">(B83-VLOOKUP(K83,INDIRECT("投手データ!B1:D"&amp;Prams!$B$1),3,FALSE)*2)</f>
        <v>31</v>
      </c>
      <c r="N83" t="str">
        <f ca="1">VLOOKUP(F83,INDIRECT("球種変換表!A$1:B$" &amp; Prams!$B$2),2,)</f>
        <v>全力ストレート</v>
      </c>
      <c r="O83">
        <f ca="1">VLOOKUP(N83,球種情報!A:B,2,FALSE)</f>
        <v>2</v>
      </c>
      <c r="P83">
        <f ca="1">VLOOKUP(K83,投手データ!B:AI,output!O83+6,FALSE)</f>
        <v>1</v>
      </c>
      <c r="R83">
        <f t="shared" ca="1" si="7"/>
        <v>6.7567567567567571E-3</v>
      </c>
      <c r="S83">
        <f t="shared" si="8"/>
        <v>0.43402777777777779</v>
      </c>
      <c r="T83">
        <f>Prams!B$5/(S83-Prams!B$6)</f>
        <v>165.42254463290274</v>
      </c>
      <c r="U83">
        <f t="shared" ca="1" si="9"/>
        <v>0.50069444444444444</v>
      </c>
      <c r="V83">
        <f ca="1">Prams!C$5/(U83-Prams!C$6)</f>
        <v>173.12786844438912</v>
      </c>
      <c r="W83">
        <f t="shared" ca="1" si="10"/>
        <v>1.169782894894521</v>
      </c>
    </row>
    <row r="84" spans="1:23" hidden="1" x14ac:dyDescent="0.55000000000000004">
      <c r="A84" s="1" t="s">
        <v>442</v>
      </c>
      <c r="B84" s="1">
        <v>125</v>
      </c>
      <c r="C84">
        <v>641.5</v>
      </c>
      <c r="D84">
        <v>622.5</v>
      </c>
      <c r="E84">
        <v>10.512</v>
      </c>
      <c r="F84" t="s">
        <v>343</v>
      </c>
      <c r="G84" s="10" t="s">
        <v>640</v>
      </c>
      <c r="H84">
        <v>98</v>
      </c>
      <c r="I84" t="s">
        <v>438</v>
      </c>
      <c r="J84">
        <f ca="1">VLOOKUP(G84,INDIRECT("球速変換!A$1:B$" &amp; Prams!$B$8),2,)</f>
        <v>148</v>
      </c>
      <c r="K84" t="str">
        <f ca="1">VLOOKUP(I84,INDIRECT("投手名変換!A$1:B$" &amp; Prams!$B$9),2,)</f>
        <v>DD007</v>
      </c>
      <c r="L84">
        <f t="shared" si="6"/>
        <v>27</v>
      </c>
      <c r="M84">
        <f ca="1">(B84-VLOOKUP(K84,INDIRECT("投手データ!B1:D"&amp;Prams!$B$1),3,FALSE)*2)</f>
        <v>31</v>
      </c>
      <c r="N84" t="str">
        <f ca="1">VLOOKUP(F84,INDIRECT("球種変換表!A$1:B$" &amp; Prams!$B$2),2,)</f>
        <v>全力ストレート</v>
      </c>
      <c r="O84">
        <f ca="1">VLOOKUP(N84,球種情報!A:B,2,FALSE)</f>
        <v>2</v>
      </c>
      <c r="P84">
        <f ca="1">VLOOKUP(K84,投手データ!B:AI,output!O84+6,FALSE)</f>
        <v>1</v>
      </c>
      <c r="R84">
        <f t="shared" ca="1" si="7"/>
        <v>6.7567567567567571E-3</v>
      </c>
      <c r="S84">
        <f t="shared" si="8"/>
        <v>0.43437500000000001</v>
      </c>
      <c r="T84">
        <f>Prams!B$5/(S84-Prams!B$6)</f>
        <v>165.26899685891868</v>
      </c>
      <c r="U84">
        <f t="shared" ca="1" si="9"/>
        <v>0.50104166666666672</v>
      </c>
      <c r="V84">
        <f ca="1">Prams!C$5/(U84-Prams!C$6)</f>
        <v>172.9596903923717</v>
      </c>
      <c r="W84">
        <f t="shared" ca="1" si="10"/>
        <v>1.1686465567052142</v>
      </c>
    </row>
    <row r="85" spans="1:23" hidden="1" x14ac:dyDescent="0.55000000000000004">
      <c r="A85" s="1" t="s">
        <v>443</v>
      </c>
      <c r="B85" s="1">
        <v>125</v>
      </c>
      <c r="C85">
        <v>641</v>
      </c>
      <c r="D85">
        <v>613.5</v>
      </c>
      <c r="E85">
        <v>11.01146</v>
      </c>
      <c r="F85" t="s">
        <v>1526</v>
      </c>
      <c r="G85" s="10" t="s">
        <v>1213</v>
      </c>
      <c r="H85">
        <v>98</v>
      </c>
      <c r="I85" t="s">
        <v>439</v>
      </c>
      <c r="J85">
        <f ca="1">VLOOKUP(G85,INDIRECT("球速変換!A$1:B$" &amp; Prams!$B$8),2,)</f>
        <v>145</v>
      </c>
      <c r="K85" t="str">
        <f ca="1">VLOOKUP(I85,INDIRECT("投手名変換!A$1:B$" &amp; Prams!$B$9),2,)</f>
        <v>DD007</v>
      </c>
      <c r="L85">
        <f t="shared" si="6"/>
        <v>27</v>
      </c>
      <c r="M85">
        <f ca="1">(B85-VLOOKUP(K85,INDIRECT("投手データ!B1:D"&amp;Prams!$B$1),3,FALSE)*2)</f>
        <v>31</v>
      </c>
      <c r="N85" t="str">
        <f ca="1">VLOOKUP(F85,INDIRECT("球種変換表!A$1:B$" &amp; Prams!$B$2),2,)</f>
        <v>全力ストレート</v>
      </c>
      <c r="O85">
        <f ca="1">VLOOKUP(N85,球種情報!A:B,2,FALSE)</f>
        <v>2</v>
      </c>
      <c r="P85">
        <f ca="1">VLOOKUP(K85,投手データ!B:AI,output!O85+6,FALSE)</f>
        <v>1</v>
      </c>
      <c r="R85">
        <f t="shared" ca="1" si="7"/>
        <v>6.8965517241379309E-3</v>
      </c>
      <c r="S85">
        <f t="shared" si="8"/>
        <v>0.44062499999999999</v>
      </c>
      <c r="T85">
        <f>Prams!B$5/(S85-Prams!B$6)</f>
        <v>162.55307960297117</v>
      </c>
      <c r="U85">
        <f t="shared" ca="1" si="9"/>
        <v>0.5072916666666667</v>
      </c>
      <c r="V85">
        <f ca="1">Prams!C$5/(U85-Prams!C$6)</f>
        <v>169.98739774992552</v>
      </c>
      <c r="W85">
        <f t="shared" ca="1" si="10"/>
        <v>1.1723268810339691</v>
      </c>
    </row>
    <row r="86" spans="1:23" hidden="1" x14ac:dyDescent="0.55000000000000004">
      <c r="A86" s="1" t="s">
        <v>444</v>
      </c>
      <c r="B86" s="1">
        <v>125</v>
      </c>
      <c r="C86">
        <v>640</v>
      </c>
      <c r="D86">
        <v>610.5</v>
      </c>
      <c r="E86">
        <v>11.01146</v>
      </c>
      <c r="F86" t="s">
        <v>343</v>
      </c>
      <c r="G86" s="10" t="s">
        <v>1165</v>
      </c>
      <c r="H86">
        <v>98</v>
      </c>
      <c r="I86" t="s">
        <v>1527</v>
      </c>
      <c r="J86">
        <f ca="1">VLOOKUP(G86,INDIRECT("球速変換!A$1:B$" &amp; Prams!$B$8),2,)</f>
        <v>143</v>
      </c>
      <c r="K86" t="str">
        <f ca="1">VLOOKUP(I86,INDIRECT("投手名変換!A$1:B$" &amp; Prams!$B$9),2,)</f>
        <v>DD007</v>
      </c>
      <c r="L86">
        <f t="shared" si="6"/>
        <v>27</v>
      </c>
      <c r="M86">
        <f ca="1">(B86-VLOOKUP(K86,INDIRECT("投手データ!B1:D"&amp;Prams!$B$1),3,FALSE)*2)</f>
        <v>31</v>
      </c>
      <c r="N86" t="str">
        <f ca="1">VLOOKUP(F86,INDIRECT("球種変換表!A$1:B$" &amp; Prams!$B$2),2,)</f>
        <v>全力ストレート</v>
      </c>
      <c r="O86">
        <f ca="1">VLOOKUP(N86,球種情報!A:B,2,FALSE)</f>
        <v>2</v>
      </c>
      <c r="P86">
        <f ca="1">VLOOKUP(K86,投手データ!B:AI,output!O86+6,FALSE)</f>
        <v>1</v>
      </c>
      <c r="R86">
        <f t="shared" ca="1" si="7"/>
        <v>6.993006993006993E-3</v>
      </c>
      <c r="S86">
        <f t="shared" si="8"/>
        <v>0.44270833333333331</v>
      </c>
      <c r="T86">
        <f>Prams!B$5/(S86-Prams!B$6)</f>
        <v>161.66750201573365</v>
      </c>
      <c r="U86">
        <f t="shared" ca="1" si="9"/>
        <v>0.50937500000000002</v>
      </c>
      <c r="V86">
        <f ca="1">Prams!C$5/(U86-Prams!C$6)</f>
        <v>169.01920579591277</v>
      </c>
      <c r="W86">
        <f t="shared" ca="1" si="10"/>
        <v>1.1819524880833061</v>
      </c>
    </row>
    <row r="87" spans="1:23" hidden="1" x14ac:dyDescent="0.55000000000000004">
      <c r="A87" s="1" t="s">
        <v>445</v>
      </c>
      <c r="B87" s="1">
        <v>125</v>
      </c>
      <c r="C87">
        <v>640.5</v>
      </c>
      <c r="D87">
        <v>616.5</v>
      </c>
      <c r="E87">
        <v>10.512</v>
      </c>
      <c r="F87" t="s">
        <v>343</v>
      </c>
      <c r="G87" s="10" t="s">
        <v>619</v>
      </c>
      <c r="H87">
        <v>98</v>
      </c>
      <c r="I87" t="s">
        <v>439</v>
      </c>
      <c r="J87">
        <f ca="1">VLOOKUP(G87,INDIRECT("球速変換!A$1:B$" &amp; Prams!$B$8),2,)</f>
        <v>146</v>
      </c>
      <c r="K87" t="str">
        <f ca="1">VLOOKUP(I87,INDIRECT("投手名変換!A$1:B$" &amp; Prams!$B$9),2,)</f>
        <v>DD007</v>
      </c>
      <c r="L87">
        <f t="shared" si="6"/>
        <v>27</v>
      </c>
      <c r="M87">
        <f ca="1">(B87-VLOOKUP(K87,INDIRECT("投手データ!B1:D"&amp;Prams!$B$1),3,FALSE)*2)</f>
        <v>31</v>
      </c>
      <c r="N87" t="str">
        <f ca="1">VLOOKUP(F87,INDIRECT("球種変換表!A$1:B$" &amp; Prams!$B$2),2,)</f>
        <v>全力ストレート</v>
      </c>
      <c r="O87">
        <f ca="1">VLOOKUP(N87,球種情報!A:B,2,FALSE)</f>
        <v>2</v>
      </c>
      <c r="P87">
        <f ca="1">VLOOKUP(K87,投手データ!B:AI,output!O87+6,FALSE)</f>
        <v>1</v>
      </c>
      <c r="R87">
        <f t="shared" ca="1" si="7"/>
        <v>6.8493150684931503E-3</v>
      </c>
      <c r="S87">
        <f t="shared" si="8"/>
        <v>0.43854166666666666</v>
      </c>
      <c r="T87">
        <f>Prams!B$5/(S87-Prams!B$6)</f>
        <v>163.44841261098506</v>
      </c>
      <c r="U87">
        <f t="shared" ca="1" si="9"/>
        <v>0.50520833333333337</v>
      </c>
      <c r="V87">
        <f ca="1">Prams!C$5/(U87-Prams!C$6)</f>
        <v>170.96674578849121</v>
      </c>
      <c r="W87">
        <f t="shared" ca="1" si="10"/>
        <v>1.1710051081403507</v>
      </c>
    </row>
    <row r="88" spans="1:23" hidden="1" x14ac:dyDescent="0.55000000000000004">
      <c r="A88" s="1" t="s">
        <v>446</v>
      </c>
      <c r="B88" s="1">
        <v>125</v>
      </c>
      <c r="C88">
        <v>641.5</v>
      </c>
      <c r="D88">
        <v>618.5</v>
      </c>
      <c r="E88">
        <v>10.512</v>
      </c>
      <c r="F88" t="s">
        <v>343</v>
      </c>
      <c r="G88" s="10" t="s">
        <v>620</v>
      </c>
      <c r="H88">
        <v>98</v>
      </c>
      <c r="I88" t="s">
        <v>438</v>
      </c>
      <c r="J88">
        <f ca="1">VLOOKUP(G88,INDIRECT("球速変換!A$1:B$" &amp; Prams!$B$8),2,)</f>
        <v>146</v>
      </c>
      <c r="K88" t="str">
        <f ca="1">VLOOKUP(I88,INDIRECT("投手名変換!A$1:B$" &amp; Prams!$B$9),2,)</f>
        <v>DD007</v>
      </c>
      <c r="L88">
        <f t="shared" si="6"/>
        <v>27</v>
      </c>
      <c r="M88">
        <f ca="1">(B88-VLOOKUP(K88,INDIRECT("投手データ!B1:D"&amp;Prams!$B$1),3,FALSE)*2)</f>
        <v>31</v>
      </c>
      <c r="N88" t="str">
        <f ca="1">VLOOKUP(F88,INDIRECT("球種変換表!A$1:B$" &amp; Prams!$B$2),2,)</f>
        <v>全力ストレート</v>
      </c>
      <c r="O88">
        <f ca="1">VLOOKUP(N88,球種情報!A:B,2,FALSE)</f>
        <v>2</v>
      </c>
      <c r="P88">
        <f ca="1">VLOOKUP(K88,投手データ!B:AI,output!O88+6,FALSE)</f>
        <v>1</v>
      </c>
      <c r="R88">
        <f t="shared" ca="1" si="7"/>
        <v>6.8493150684931503E-3</v>
      </c>
      <c r="S88">
        <f t="shared" si="8"/>
        <v>0.43715277777777778</v>
      </c>
      <c r="T88">
        <f>Prams!B$5/(S88-Prams!B$6)</f>
        <v>164.05080085798315</v>
      </c>
      <c r="U88">
        <f t="shared" ca="1" si="9"/>
        <v>0.50381944444444449</v>
      </c>
      <c r="V88">
        <f ca="1">Prams!C$5/(U88-Prams!C$6)</f>
        <v>171.6259378927968</v>
      </c>
      <c r="W88">
        <f t="shared" ca="1" si="10"/>
        <v>1.1755201225534027</v>
      </c>
    </row>
    <row r="89" spans="1:23" hidden="1" x14ac:dyDescent="0.55000000000000004">
      <c r="A89" s="1" t="s">
        <v>447</v>
      </c>
      <c r="B89" s="1">
        <v>125</v>
      </c>
      <c r="C89">
        <v>641</v>
      </c>
      <c r="D89">
        <v>618</v>
      </c>
      <c r="E89">
        <v>11.0001</v>
      </c>
      <c r="F89" t="s">
        <v>343</v>
      </c>
      <c r="G89" s="10" t="s">
        <v>2433</v>
      </c>
      <c r="H89">
        <v>98</v>
      </c>
      <c r="I89" t="s">
        <v>439</v>
      </c>
      <c r="J89">
        <f ca="1">VLOOKUP(G89,INDIRECT("球速変換!A$1:B$" &amp; Prams!$B$8),2,)</f>
        <v>146</v>
      </c>
      <c r="K89" t="str">
        <f ca="1">VLOOKUP(I89,INDIRECT("投手名変換!A$1:B$" &amp; Prams!$B$9),2,)</f>
        <v>DD007</v>
      </c>
      <c r="L89">
        <f t="shared" si="6"/>
        <v>27</v>
      </c>
      <c r="M89">
        <f ca="1">(B89-VLOOKUP(K89,INDIRECT("投手データ!B1:D"&amp;Prams!$B$1),3,FALSE)*2)</f>
        <v>31</v>
      </c>
      <c r="N89" t="str">
        <f ca="1">VLOOKUP(F89,INDIRECT("球種変換表!A$1:B$" &amp; Prams!$B$2),2,)</f>
        <v>全力ストレート</v>
      </c>
      <c r="O89">
        <f ca="1">VLOOKUP(N89,球種情報!A:B,2,FALSE)</f>
        <v>2</v>
      </c>
      <c r="P89">
        <f ca="1">VLOOKUP(K89,投手データ!B:AI,output!O89+6,FALSE)</f>
        <v>1</v>
      </c>
      <c r="R89">
        <f t="shared" ca="1" si="7"/>
        <v>6.8493150684931503E-3</v>
      </c>
      <c r="S89">
        <f t="shared" si="8"/>
        <v>0.4375</v>
      </c>
      <c r="T89">
        <f>Prams!B$5/(S89-Prams!B$6)</f>
        <v>163.89978791092258</v>
      </c>
      <c r="U89">
        <f t="shared" ca="1" si="9"/>
        <v>0.50416666666666665</v>
      </c>
      <c r="V89">
        <f ca="1">Prams!C$5/(U89-Prams!C$6)</f>
        <v>171.4606637699917</v>
      </c>
      <c r="W89">
        <f t="shared" ca="1" si="10"/>
        <v>1.1743881080136418</v>
      </c>
    </row>
    <row r="90" spans="1:23" hidden="1" x14ac:dyDescent="0.55000000000000004">
      <c r="A90" s="1" t="s">
        <v>448</v>
      </c>
      <c r="B90" s="1">
        <v>125</v>
      </c>
      <c r="C90">
        <v>640.5</v>
      </c>
      <c r="D90">
        <v>611.5</v>
      </c>
      <c r="E90">
        <v>10.512</v>
      </c>
      <c r="F90" t="s">
        <v>343</v>
      </c>
      <c r="G90" s="10" t="s">
        <v>1528</v>
      </c>
      <c r="H90">
        <v>98</v>
      </c>
      <c r="I90" t="s">
        <v>439</v>
      </c>
      <c r="J90">
        <f ca="1">VLOOKUP(G90,INDIRECT("球速変換!A$1:B$" &amp; Prams!$B$8),2,)</f>
        <v>144</v>
      </c>
      <c r="K90" t="str">
        <f ca="1">VLOOKUP(I90,INDIRECT("投手名変換!A$1:B$" &amp; Prams!$B$9),2,)</f>
        <v>DD007</v>
      </c>
      <c r="L90">
        <f t="shared" si="6"/>
        <v>27</v>
      </c>
      <c r="M90">
        <f ca="1">(B90-VLOOKUP(K90,INDIRECT("投手データ!B1:D"&amp;Prams!$B$1),3,FALSE)*2)</f>
        <v>31</v>
      </c>
      <c r="N90" t="str">
        <f ca="1">VLOOKUP(F90,INDIRECT("球種変換表!A$1:B$" &amp; Prams!$B$2),2,)</f>
        <v>全力ストレート</v>
      </c>
      <c r="O90">
        <f ca="1">VLOOKUP(N90,球種情報!A:B,2,FALSE)</f>
        <v>2</v>
      </c>
      <c r="P90">
        <f ca="1">VLOOKUP(K90,投手データ!B:AI,output!O90+6,FALSE)</f>
        <v>1</v>
      </c>
      <c r="R90">
        <f t="shared" ca="1" si="7"/>
        <v>6.9444444444444441E-3</v>
      </c>
      <c r="S90">
        <f t="shared" si="8"/>
        <v>0.44201388888888887</v>
      </c>
      <c r="T90">
        <f>Prams!B$5/(S90-Prams!B$6)</f>
        <v>161.96162046908316</v>
      </c>
      <c r="U90">
        <f t="shared" ca="1" si="9"/>
        <v>0.50868055555555558</v>
      </c>
      <c r="V90">
        <f ca="1">Prams!C$5/(U90-Prams!C$6)</f>
        <v>169.34070867160216</v>
      </c>
      <c r="W90">
        <f t="shared" ca="1" si="10"/>
        <v>1.1759771435527928</v>
      </c>
    </row>
    <row r="91" spans="1:23" hidden="1" x14ac:dyDescent="0.55000000000000004">
      <c r="A91" s="1" t="s">
        <v>449</v>
      </c>
      <c r="B91" s="1">
        <v>125</v>
      </c>
      <c r="C91">
        <v>639.5</v>
      </c>
      <c r="D91">
        <v>611.5</v>
      </c>
      <c r="E91">
        <v>10.512</v>
      </c>
      <c r="F91" t="s">
        <v>343</v>
      </c>
      <c r="G91" s="10" t="s">
        <v>1170</v>
      </c>
      <c r="H91">
        <v>98</v>
      </c>
      <c r="I91" t="s">
        <v>439</v>
      </c>
      <c r="J91">
        <f ca="1">VLOOKUP(G91,INDIRECT("球速変換!A$1:B$" &amp; Prams!$B$8),2,)</f>
        <v>145</v>
      </c>
      <c r="K91" t="str">
        <f ca="1">VLOOKUP(I91,INDIRECT("投手名変換!A$1:B$" &amp; Prams!$B$9),2,)</f>
        <v>DD007</v>
      </c>
      <c r="L91">
        <f t="shared" si="6"/>
        <v>27</v>
      </c>
      <c r="M91">
        <f ca="1">(B91-VLOOKUP(K91,INDIRECT("投手データ!B1:D"&amp;Prams!$B$1),3,FALSE)*2)</f>
        <v>31</v>
      </c>
      <c r="N91" t="str">
        <f ca="1">VLOOKUP(F91,INDIRECT("球種変換表!A$1:B$" &amp; Prams!$B$2),2,)</f>
        <v>全力ストレート</v>
      </c>
      <c r="O91">
        <f ca="1">VLOOKUP(N91,球種情報!A:B,2,FALSE)</f>
        <v>2</v>
      </c>
      <c r="P91">
        <f ca="1">VLOOKUP(K91,投手データ!B:AI,output!O91+6,FALSE)</f>
        <v>1</v>
      </c>
      <c r="R91">
        <f t="shared" ca="1" si="7"/>
        <v>6.8965517241379309E-3</v>
      </c>
      <c r="S91">
        <f t="shared" si="8"/>
        <v>0.44201388888888887</v>
      </c>
      <c r="T91">
        <f>Prams!B$5/(S91-Prams!B$6)</f>
        <v>161.96162046908316</v>
      </c>
      <c r="U91">
        <f t="shared" ca="1" si="9"/>
        <v>0.50868055555555558</v>
      </c>
      <c r="V91">
        <f ca="1">Prams!C$5/(U91-Prams!C$6)</f>
        <v>169.34070867160216</v>
      </c>
      <c r="W91">
        <f t="shared" ca="1" si="10"/>
        <v>1.167866956355877</v>
      </c>
    </row>
    <row r="92" spans="1:23" hidden="1" x14ac:dyDescent="0.55000000000000004">
      <c r="A92" s="1" t="s">
        <v>450</v>
      </c>
      <c r="B92" s="1">
        <v>136</v>
      </c>
      <c r="C92">
        <v>634.97729000000004</v>
      </c>
      <c r="D92">
        <v>618</v>
      </c>
      <c r="E92">
        <v>11.02281</v>
      </c>
      <c r="F92" t="s">
        <v>123</v>
      </c>
      <c r="G92" s="10" t="s">
        <v>591</v>
      </c>
      <c r="H92">
        <v>101</v>
      </c>
      <c r="I92" t="s">
        <v>438</v>
      </c>
      <c r="J92">
        <f ca="1">VLOOKUP(G92,INDIRECT("球速変換!A$1:B$" &amp; Prams!$B$8),2,)</f>
        <v>128</v>
      </c>
      <c r="K92" t="str">
        <f ca="1">VLOOKUP(I92,INDIRECT("投手名変換!A$1:B$" &amp; Prams!$B$9),2,)</f>
        <v>DD007</v>
      </c>
      <c r="L92">
        <f t="shared" si="6"/>
        <v>35</v>
      </c>
      <c r="M92">
        <f ca="1">(B92-VLOOKUP(K92,INDIRECT("投手データ!B1:D"&amp;Prams!$B$1),3,FALSE)*2)</f>
        <v>42</v>
      </c>
      <c r="N92" t="str">
        <f ca="1">VLOOKUP(F92,INDIRECT("球種変換表!A$1:B$" &amp; Prams!$B$2),2,)</f>
        <v>パワーカーブ</v>
      </c>
      <c r="O92">
        <f ca="1">VLOOKUP(N92,球種情報!A:B,2,FALSE)</f>
        <v>15</v>
      </c>
      <c r="P92">
        <f ca="1">VLOOKUP(K92,投手データ!B:AI,output!O92+6,FALSE)</f>
        <v>1</v>
      </c>
      <c r="R92">
        <f t="shared" ca="1" si="7"/>
        <v>7.8125E-3</v>
      </c>
      <c r="S92">
        <f t="shared" si="8"/>
        <v>0.5708333333333333</v>
      </c>
      <c r="T92">
        <f>Prams!B$5/(S92-Prams!B$6)</f>
        <v>121.09493340297729</v>
      </c>
      <c r="U92">
        <f t="shared" ca="1" si="9"/>
        <v>0.6875</v>
      </c>
      <c r="V92">
        <f ca="1">Prams!C$5/(U92-Prams!C$6)</f>
        <v>113.66611509468652</v>
      </c>
      <c r="W92">
        <f t="shared" ca="1" si="10"/>
        <v>0.88801652417723842</v>
      </c>
    </row>
    <row r="93" spans="1:23" hidden="1" x14ac:dyDescent="0.55000000000000004">
      <c r="A93" s="1" t="s">
        <v>451</v>
      </c>
      <c r="B93" s="1">
        <v>136</v>
      </c>
      <c r="C93">
        <v>636.5</v>
      </c>
      <c r="D93">
        <v>609</v>
      </c>
      <c r="E93">
        <v>10.547610000000001</v>
      </c>
      <c r="F93" t="s">
        <v>123</v>
      </c>
      <c r="G93" s="10" t="s">
        <v>652</v>
      </c>
      <c r="H93">
        <v>101</v>
      </c>
      <c r="I93" t="s">
        <v>438</v>
      </c>
      <c r="J93">
        <f ca="1">VLOOKUP(G93,INDIRECT("球速変換!A$1:B$" &amp; Prams!$B$8),2,)</f>
        <v>127</v>
      </c>
      <c r="K93" t="str">
        <f ca="1">VLOOKUP(I93,INDIRECT("投手名変換!A$1:B$" &amp; Prams!$B$9),2,)</f>
        <v>DD007</v>
      </c>
      <c r="L93">
        <f t="shared" si="6"/>
        <v>35</v>
      </c>
      <c r="M93">
        <f ca="1">(B93-VLOOKUP(K93,INDIRECT("投手データ!B1:D"&amp;Prams!$B$1),3,FALSE)*2)</f>
        <v>42</v>
      </c>
      <c r="N93" t="str">
        <f ca="1">VLOOKUP(F93,INDIRECT("球種変換表!A$1:B$" &amp; Prams!$B$2),2,)</f>
        <v>パワーカーブ</v>
      </c>
      <c r="O93">
        <f ca="1">VLOOKUP(N93,球種情報!A:B,2,FALSE)</f>
        <v>15</v>
      </c>
      <c r="P93">
        <f ca="1">VLOOKUP(K93,投手データ!B:AI,output!O93+6,FALSE)</f>
        <v>1</v>
      </c>
      <c r="R93">
        <f t="shared" ca="1" si="7"/>
        <v>7.874015748031496E-3</v>
      </c>
      <c r="S93">
        <f t="shared" si="8"/>
        <v>0.57708333333333328</v>
      </c>
      <c r="T93">
        <f>Prams!B$5/(S93-Prams!B$6)</f>
        <v>119.63040603734642</v>
      </c>
      <c r="U93">
        <f t="shared" ca="1" si="9"/>
        <v>0.69374999999999998</v>
      </c>
      <c r="V93">
        <f ca="1">Prams!C$5/(U93-Prams!C$6)</f>
        <v>112.37480687085342</v>
      </c>
      <c r="W93">
        <f t="shared" ca="1" si="10"/>
        <v>0.88484099898309776</v>
      </c>
    </row>
    <row r="94" spans="1:23" hidden="1" x14ac:dyDescent="0.55000000000000004">
      <c r="A94" s="1" t="s">
        <v>452</v>
      </c>
      <c r="B94" s="1">
        <v>136</v>
      </c>
      <c r="C94">
        <v>635.5</v>
      </c>
      <c r="D94">
        <v>608.5</v>
      </c>
      <c r="E94">
        <v>11.510960000000001</v>
      </c>
      <c r="F94" t="s">
        <v>123</v>
      </c>
      <c r="G94" s="10" t="s">
        <v>1328</v>
      </c>
      <c r="H94">
        <v>101</v>
      </c>
      <c r="I94" t="s">
        <v>438</v>
      </c>
      <c r="J94">
        <f ca="1">VLOOKUP(G94,INDIRECT("球速変換!A$1:B$" &amp; Prams!$B$8),2,)</f>
        <v>126</v>
      </c>
      <c r="K94" t="str">
        <f ca="1">VLOOKUP(I94,INDIRECT("投手名変換!A$1:B$" &amp; Prams!$B$9),2,)</f>
        <v>DD007</v>
      </c>
      <c r="L94">
        <f t="shared" si="6"/>
        <v>35</v>
      </c>
      <c r="M94">
        <f ca="1">(B94-VLOOKUP(K94,INDIRECT("投手データ!B1:D"&amp;Prams!$B$1),3,FALSE)*2)</f>
        <v>42</v>
      </c>
      <c r="N94" t="str">
        <f ca="1">VLOOKUP(F94,INDIRECT("球種変換表!A$1:B$" &amp; Prams!$B$2),2,)</f>
        <v>パワーカーブ</v>
      </c>
      <c r="O94">
        <f ca="1">VLOOKUP(N94,球種情報!A:B,2,FALSE)</f>
        <v>15</v>
      </c>
      <c r="P94">
        <f ca="1">VLOOKUP(K94,投手データ!B:AI,output!O94+6,FALSE)</f>
        <v>1</v>
      </c>
      <c r="R94">
        <f t="shared" ca="1" si="7"/>
        <v>7.9365079365079361E-3</v>
      </c>
      <c r="S94">
        <f t="shared" si="8"/>
        <v>0.57743055555555556</v>
      </c>
      <c r="T94">
        <f>Prams!B$5/(S94-Prams!B$6)</f>
        <v>119.55008137854722</v>
      </c>
      <c r="U94">
        <f t="shared" ca="1" si="9"/>
        <v>0.69409722222222225</v>
      </c>
      <c r="V94">
        <f ca="1">Prams!C$5/(U94-Prams!C$6)</f>
        <v>112.3039272576812</v>
      </c>
      <c r="W94">
        <f t="shared" ca="1" si="10"/>
        <v>0.89130100998159678</v>
      </c>
    </row>
    <row r="95" spans="1:23" hidden="1" x14ac:dyDescent="0.55000000000000004">
      <c r="A95" s="1" t="s">
        <v>453</v>
      </c>
      <c r="B95" s="1">
        <v>136</v>
      </c>
      <c r="C95">
        <v>633.95001000000002</v>
      </c>
      <c r="D95">
        <v>608.5</v>
      </c>
      <c r="E95">
        <v>10.062519999999999</v>
      </c>
      <c r="F95" t="s">
        <v>123</v>
      </c>
      <c r="G95" s="10" t="s">
        <v>1529</v>
      </c>
      <c r="H95">
        <v>101</v>
      </c>
      <c r="I95" t="s">
        <v>439</v>
      </c>
      <c r="J95">
        <f ca="1">VLOOKUP(G95,INDIRECT("球速変換!A$1:B$" &amp; Prams!$B$8),2,)</f>
        <v>126</v>
      </c>
      <c r="K95" t="str">
        <f ca="1">VLOOKUP(I95,INDIRECT("投手名変換!A$1:B$" &amp; Prams!$B$9),2,)</f>
        <v>DD007</v>
      </c>
      <c r="L95">
        <f t="shared" si="6"/>
        <v>35</v>
      </c>
      <c r="M95">
        <f ca="1">(B95-VLOOKUP(K95,INDIRECT("投手データ!B1:D"&amp;Prams!$B$1),3,FALSE)*2)</f>
        <v>42</v>
      </c>
      <c r="N95" t="str">
        <f ca="1">VLOOKUP(F95,INDIRECT("球種変換表!A$1:B$" &amp; Prams!$B$2),2,)</f>
        <v>パワーカーブ</v>
      </c>
      <c r="O95">
        <f ca="1">VLOOKUP(N95,球種情報!A:B,2,FALSE)</f>
        <v>15</v>
      </c>
      <c r="P95">
        <f ca="1">VLOOKUP(K95,投手データ!B:AI,output!O95+6,FALSE)</f>
        <v>1</v>
      </c>
      <c r="R95">
        <f t="shared" ca="1" si="7"/>
        <v>7.9365079365079361E-3</v>
      </c>
      <c r="S95">
        <f t="shared" si="8"/>
        <v>0.57743055555555556</v>
      </c>
      <c r="T95">
        <f>Prams!B$5/(S95-Prams!B$6)</f>
        <v>119.55008137854722</v>
      </c>
      <c r="U95">
        <f t="shared" ca="1" si="9"/>
        <v>0.69409722222222225</v>
      </c>
      <c r="V95">
        <f ca="1">Prams!C$5/(U95-Prams!C$6)</f>
        <v>112.3039272576812</v>
      </c>
      <c r="W95">
        <f t="shared" ca="1" si="10"/>
        <v>0.89130100998159678</v>
      </c>
    </row>
    <row r="96" spans="1:23" hidden="1" x14ac:dyDescent="0.55000000000000004">
      <c r="A96" s="1" t="s">
        <v>454</v>
      </c>
      <c r="B96" s="1">
        <v>136</v>
      </c>
      <c r="C96">
        <v>634.45239000000004</v>
      </c>
      <c r="D96">
        <v>615.5</v>
      </c>
      <c r="E96">
        <v>10.55955</v>
      </c>
      <c r="F96" t="s">
        <v>123</v>
      </c>
      <c r="G96" s="10" t="s">
        <v>1530</v>
      </c>
      <c r="H96">
        <v>101</v>
      </c>
      <c r="I96" t="s">
        <v>438</v>
      </c>
      <c r="J96">
        <f ca="1">VLOOKUP(G96,INDIRECT("球速変換!A$1:B$" &amp; Prams!$B$8),2,)</f>
        <v>128</v>
      </c>
      <c r="K96" t="str">
        <f ca="1">VLOOKUP(I96,INDIRECT("投手名変換!A$1:B$" &amp; Prams!$B$9),2,)</f>
        <v>DD007</v>
      </c>
      <c r="L96">
        <f t="shared" si="6"/>
        <v>35</v>
      </c>
      <c r="M96">
        <f ca="1">(B96-VLOOKUP(K96,INDIRECT("投手データ!B1:D"&amp;Prams!$B$1),3,FALSE)*2)</f>
        <v>42</v>
      </c>
      <c r="N96" t="str">
        <f ca="1">VLOOKUP(F96,INDIRECT("球種変換表!A$1:B$" &amp; Prams!$B$2),2,)</f>
        <v>パワーカーブ</v>
      </c>
      <c r="O96">
        <f ca="1">VLOOKUP(N96,球種情報!A:B,2,FALSE)</f>
        <v>15</v>
      </c>
      <c r="P96">
        <f ca="1">VLOOKUP(K96,投手データ!B:AI,output!O96+6,FALSE)</f>
        <v>1</v>
      </c>
      <c r="R96">
        <f t="shared" ca="1" si="7"/>
        <v>7.8125E-3</v>
      </c>
      <c r="S96">
        <f t="shared" si="8"/>
        <v>0.57256944444444435</v>
      </c>
      <c r="T96">
        <f>Prams!B$5/(S96-Prams!B$6)</f>
        <v>120.6845355905367</v>
      </c>
      <c r="U96">
        <f t="shared" ca="1" si="9"/>
        <v>0.68923611111111105</v>
      </c>
      <c r="V96">
        <f ca="1">Prams!C$5/(U96-Prams!C$6)</f>
        <v>113.30445097210699</v>
      </c>
      <c r="W96">
        <f t="shared" ca="1" si="10"/>
        <v>0.88519102321958587</v>
      </c>
    </row>
    <row r="97" spans="1:23" hidden="1" x14ac:dyDescent="0.55000000000000004">
      <c r="A97" s="1" t="s">
        <v>455</v>
      </c>
      <c r="B97" s="1">
        <v>136</v>
      </c>
      <c r="C97">
        <v>624</v>
      </c>
      <c r="D97">
        <v>603.5</v>
      </c>
      <c r="E97">
        <v>11.01146</v>
      </c>
      <c r="F97" t="s">
        <v>123</v>
      </c>
      <c r="G97" s="10" t="s">
        <v>1531</v>
      </c>
      <c r="H97">
        <v>101</v>
      </c>
      <c r="I97" t="s">
        <v>439</v>
      </c>
      <c r="J97">
        <f ca="1">VLOOKUP(G97,INDIRECT("球速変換!A$1:B$" &amp; Prams!$B$8),2,)</f>
        <v>125</v>
      </c>
      <c r="K97" t="str">
        <f ca="1">VLOOKUP(I97,INDIRECT("投手名変換!A$1:B$" &amp; Prams!$B$9),2,)</f>
        <v>DD007</v>
      </c>
      <c r="L97">
        <f t="shared" si="6"/>
        <v>35</v>
      </c>
      <c r="M97">
        <f ca="1">(B97-VLOOKUP(K97,INDIRECT("投手データ!B1:D"&amp;Prams!$B$1),3,FALSE)*2)</f>
        <v>42</v>
      </c>
      <c r="N97" t="str">
        <f ca="1">VLOOKUP(F97,INDIRECT("球種変換表!A$1:B$" &amp; Prams!$B$2),2,)</f>
        <v>パワーカーブ</v>
      </c>
      <c r="O97">
        <f ca="1">VLOOKUP(N97,球種情報!A:B,2,FALSE)</f>
        <v>15</v>
      </c>
      <c r="P97">
        <f ca="1">VLOOKUP(K97,投手データ!B:AI,output!O97+6,FALSE)</f>
        <v>1</v>
      </c>
      <c r="R97">
        <f t="shared" ca="1" si="7"/>
        <v>8.0000000000000002E-3</v>
      </c>
      <c r="S97">
        <f t="shared" si="8"/>
        <v>0.58090277777777777</v>
      </c>
      <c r="T97">
        <f>Prams!B$5/(S97-Prams!B$6)</f>
        <v>118.75272787420566</v>
      </c>
      <c r="U97">
        <f t="shared" ca="1" si="9"/>
        <v>0.69756944444444435</v>
      </c>
      <c r="V97">
        <f ca="1">Prams!C$5/(U97-Prams!C$6)</f>
        <v>111.60001805153718</v>
      </c>
      <c r="W97">
        <f t="shared" ca="1" si="10"/>
        <v>0.89280014441229738</v>
      </c>
    </row>
    <row r="98" spans="1:23" hidden="1" x14ac:dyDescent="0.55000000000000004">
      <c r="A98" s="1" t="s">
        <v>457</v>
      </c>
      <c r="B98" s="1">
        <v>136</v>
      </c>
      <c r="C98">
        <v>625</v>
      </c>
      <c r="D98">
        <v>608</v>
      </c>
      <c r="E98">
        <v>11.0001</v>
      </c>
      <c r="F98" t="s">
        <v>456</v>
      </c>
      <c r="G98" s="10" t="s">
        <v>588</v>
      </c>
      <c r="H98">
        <v>101</v>
      </c>
      <c r="I98" t="s">
        <v>439</v>
      </c>
      <c r="J98">
        <f ca="1">VLOOKUP(G98,INDIRECT("球速変換!A$1:B$" &amp; Prams!$B$8),2,)</f>
        <v>126</v>
      </c>
      <c r="K98" t="str">
        <f ca="1">VLOOKUP(I98,INDIRECT("投手名変換!A$1:B$" &amp; Prams!$B$9),2,)</f>
        <v>DD007</v>
      </c>
      <c r="L98">
        <f t="shared" ref="L98:L130" si="11">B98-H98</f>
        <v>35</v>
      </c>
      <c r="M98">
        <f ca="1">(B98-VLOOKUP(K98,INDIRECT("投手データ!B1:D"&amp;Prams!$B$1),3,FALSE)*2)</f>
        <v>42</v>
      </c>
      <c r="N98" t="str">
        <f ca="1">VLOOKUP(F98,INDIRECT("球種変換表!A$1:B$" &amp; Prams!$B$2),2,)</f>
        <v>パワーカーブ</v>
      </c>
      <c r="O98">
        <f ca="1">VLOOKUP(N98,球種情報!A:B,2,FALSE)</f>
        <v>15</v>
      </c>
      <c r="P98">
        <f ca="1">VLOOKUP(K98,投手データ!B:AI,output!O98+6,FALSE)</f>
        <v>1</v>
      </c>
      <c r="R98">
        <f t="shared" ca="1" si="7"/>
        <v>7.9365079365079361E-3</v>
      </c>
      <c r="S98">
        <f t="shared" si="8"/>
        <v>0.57777777777777772</v>
      </c>
      <c r="T98">
        <f>Prams!B$5/(S98-Prams!B$6)</f>
        <v>119.4698645137741</v>
      </c>
      <c r="U98">
        <f t="shared" ca="1" si="9"/>
        <v>0.69444444444444442</v>
      </c>
      <c r="V98">
        <f ca="1">Prams!C$5/(U98-Prams!C$6)</f>
        <v>112.23313700177505</v>
      </c>
      <c r="W98">
        <f t="shared" ca="1" si="10"/>
        <v>0.89073918255377027</v>
      </c>
    </row>
    <row r="99" spans="1:23" hidden="1" x14ac:dyDescent="0.55000000000000004">
      <c r="A99" s="1" t="s">
        <v>458</v>
      </c>
      <c r="B99" s="1">
        <v>136</v>
      </c>
      <c r="C99">
        <v>634.90912000000003</v>
      </c>
      <c r="D99">
        <v>615</v>
      </c>
      <c r="E99">
        <v>11.09098</v>
      </c>
      <c r="F99" t="s">
        <v>123</v>
      </c>
      <c r="G99" s="10" t="s">
        <v>591</v>
      </c>
      <c r="H99">
        <v>101</v>
      </c>
      <c r="I99" t="s">
        <v>438</v>
      </c>
      <c r="J99">
        <f ca="1">VLOOKUP(G99,INDIRECT("球速変換!A$1:B$" &amp; Prams!$B$8),2,)</f>
        <v>128</v>
      </c>
      <c r="K99" t="str">
        <f ca="1">VLOOKUP(I99,INDIRECT("投手名変換!A$1:B$" &amp; Prams!$B$9),2,)</f>
        <v>DD007</v>
      </c>
      <c r="L99">
        <f t="shared" si="11"/>
        <v>35</v>
      </c>
      <c r="M99">
        <f ca="1">(B99-VLOOKUP(K99,INDIRECT("投手データ!B1:D"&amp;Prams!$B$1),3,FALSE)*2)</f>
        <v>42</v>
      </c>
      <c r="N99" t="str">
        <f ca="1">VLOOKUP(F99,INDIRECT("球種変換表!A$1:B$" &amp; Prams!$B$2),2,)</f>
        <v>パワーカーブ</v>
      </c>
      <c r="O99">
        <f ca="1">VLOOKUP(N99,球種情報!A:B,2,FALSE)</f>
        <v>15</v>
      </c>
      <c r="P99">
        <f ca="1">VLOOKUP(K99,投手データ!B:AI,output!O99+6,FALSE)</f>
        <v>1</v>
      </c>
      <c r="R99">
        <f t="shared" ca="1" si="7"/>
        <v>7.8125E-3</v>
      </c>
      <c r="S99">
        <f t="shared" si="8"/>
        <v>0.57291666666666663</v>
      </c>
      <c r="T99">
        <f>Prams!B$5/(S99-Prams!B$6)</f>
        <v>120.60278960886954</v>
      </c>
      <c r="U99">
        <f t="shared" ca="1" si="9"/>
        <v>0.68958333333333333</v>
      </c>
      <c r="V99">
        <f ca="1">Prams!C$5/(U99-Prams!C$6)</f>
        <v>113.23239415122563</v>
      </c>
      <c r="W99">
        <f t="shared" ca="1" si="10"/>
        <v>0.88462807930645027</v>
      </c>
    </row>
    <row r="100" spans="1:23" hidden="1" x14ac:dyDescent="0.55000000000000004">
      <c r="A100" s="1" t="s">
        <v>459</v>
      </c>
      <c r="B100" s="1">
        <v>136</v>
      </c>
      <c r="C100">
        <v>632.5</v>
      </c>
      <c r="D100">
        <v>617.5</v>
      </c>
      <c r="E100">
        <v>10.512</v>
      </c>
      <c r="F100" t="s">
        <v>123</v>
      </c>
      <c r="G100" s="10" t="s">
        <v>625</v>
      </c>
      <c r="H100">
        <v>101</v>
      </c>
      <c r="I100" t="s">
        <v>438</v>
      </c>
      <c r="J100">
        <f ca="1">VLOOKUP(G100,INDIRECT("球速変換!A$1:B$" &amp; Prams!$B$8),2,)</f>
        <v>123</v>
      </c>
      <c r="K100" t="str">
        <f ca="1">VLOOKUP(I100,INDIRECT("投手名変換!A$1:B$" &amp; Prams!$B$9),2,)</f>
        <v>DD007</v>
      </c>
      <c r="L100">
        <f t="shared" si="11"/>
        <v>35</v>
      </c>
      <c r="M100">
        <f ca="1">(B100-VLOOKUP(K100,INDIRECT("投手データ!B1:D"&amp;Prams!$B$1),3,FALSE)*2)</f>
        <v>42</v>
      </c>
      <c r="N100" t="str">
        <f ca="1">VLOOKUP(F100,INDIRECT("球種変換表!A$1:B$" &amp; Prams!$B$2),2,)</f>
        <v>パワーカーブ</v>
      </c>
      <c r="O100">
        <f ca="1">VLOOKUP(N100,球種情報!A:B,2,FALSE)</f>
        <v>15</v>
      </c>
      <c r="P100">
        <f ca="1">VLOOKUP(K100,投手データ!B:AI,output!O100+6,FALSE)</f>
        <v>1</v>
      </c>
      <c r="R100">
        <f t="shared" ca="1" si="7"/>
        <v>8.130081300813009E-3</v>
      </c>
      <c r="S100">
        <f t="shared" si="8"/>
        <v>0.57118055555555558</v>
      </c>
      <c r="T100">
        <f>Prams!B$5/(S100-Prams!B$6)</f>
        <v>121.01263069754292</v>
      </c>
      <c r="U100">
        <f t="shared" ca="1" si="9"/>
        <v>0.68784722222222228</v>
      </c>
      <c r="V100">
        <f ca="1">Prams!C$5/(U100-Prams!C$6)</f>
        <v>113.59359768079251</v>
      </c>
      <c r="W100">
        <f t="shared" ca="1" si="10"/>
        <v>0.92352518439668707</v>
      </c>
    </row>
    <row r="101" spans="1:23" hidden="1" x14ac:dyDescent="0.55000000000000004">
      <c r="A101" s="1" t="s">
        <v>460</v>
      </c>
      <c r="B101" s="1">
        <v>136</v>
      </c>
      <c r="C101">
        <v>629</v>
      </c>
      <c r="D101">
        <v>601</v>
      </c>
      <c r="E101">
        <v>10.04998</v>
      </c>
      <c r="F101" t="s">
        <v>123</v>
      </c>
      <c r="G101" s="10" t="s">
        <v>648</v>
      </c>
      <c r="H101">
        <v>101</v>
      </c>
      <c r="I101" t="s">
        <v>438</v>
      </c>
      <c r="J101">
        <f ca="1">VLOOKUP(G101,INDIRECT("球速変換!A$1:B$" &amp; Prams!$B$8),2,)</f>
        <v>125</v>
      </c>
      <c r="K101" t="str">
        <f ca="1">VLOOKUP(I101,INDIRECT("投手名変換!A$1:B$" &amp; Prams!$B$9),2,)</f>
        <v>DD007</v>
      </c>
      <c r="L101">
        <f t="shared" si="11"/>
        <v>35</v>
      </c>
      <c r="M101">
        <f ca="1">(B101-VLOOKUP(K101,INDIRECT("投手データ!B1:D"&amp;Prams!$B$1),3,FALSE)*2)</f>
        <v>42</v>
      </c>
      <c r="N101" t="str">
        <f ca="1">VLOOKUP(F101,INDIRECT("球種変換表!A$1:B$" &amp; Prams!$B$2),2,)</f>
        <v>パワーカーブ</v>
      </c>
      <c r="O101">
        <f ca="1">VLOOKUP(N101,球種情報!A:B,2,FALSE)</f>
        <v>15</v>
      </c>
      <c r="P101">
        <f ca="1">VLOOKUP(K101,投手データ!B:AI,output!O101+6,FALSE)</f>
        <v>1</v>
      </c>
      <c r="R101">
        <f t="shared" ca="1" si="7"/>
        <v>8.0000000000000002E-3</v>
      </c>
      <c r="S101">
        <f t="shared" si="8"/>
        <v>0.58263888888888893</v>
      </c>
      <c r="T101">
        <f>Prams!B$5/(S101-Prams!B$6)</f>
        <v>118.35802639835781</v>
      </c>
      <c r="U101">
        <f t="shared" ca="1" si="9"/>
        <v>0.69930555555555562</v>
      </c>
      <c r="V101">
        <f ca="1">Prams!C$5/(U101-Prams!C$6)</f>
        <v>111.25136213222427</v>
      </c>
      <c r="W101">
        <f t="shared" ca="1" si="10"/>
        <v>0.89001089705779424</v>
      </c>
    </row>
    <row r="102" spans="1:23" hidden="1" x14ac:dyDescent="0.55000000000000004">
      <c r="A102" s="1" t="s">
        <v>461</v>
      </c>
      <c r="B102" s="1">
        <v>133</v>
      </c>
      <c r="C102">
        <v>643.52173000000005</v>
      </c>
      <c r="D102">
        <v>608</v>
      </c>
      <c r="E102">
        <v>11.521850000000001</v>
      </c>
      <c r="F102" t="s">
        <v>6</v>
      </c>
      <c r="G102" s="10" t="s">
        <v>623</v>
      </c>
      <c r="H102">
        <v>98</v>
      </c>
      <c r="I102" t="s">
        <v>438</v>
      </c>
      <c r="J102">
        <v>125</v>
      </c>
      <c r="K102" t="str">
        <f ca="1">VLOOKUP(I102,INDIRECT("投手名変換!A$1:B$" &amp; Prams!$B$9),2,)</f>
        <v>DD007</v>
      </c>
      <c r="L102">
        <f t="shared" si="11"/>
        <v>35</v>
      </c>
      <c r="M102">
        <f ca="1">(B102-VLOOKUP(K102,INDIRECT("投手データ!B1:D"&amp;Prams!$B$1),3,FALSE)*2)</f>
        <v>39</v>
      </c>
      <c r="N102" t="str">
        <f ca="1">VLOOKUP(F102,INDIRECT("球種変換表!A$1:B$" &amp; Prams!$B$2),2,)</f>
        <v>フォーク</v>
      </c>
      <c r="O102">
        <f ca="1">VLOOKUP(N102,球種情報!A:B,2,FALSE)</f>
        <v>16</v>
      </c>
      <c r="P102">
        <f ca="1">VLOOKUP(K102,投手データ!B:AI,output!O102+6,FALSE)</f>
        <v>1</v>
      </c>
      <c r="R102">
        <f t="shared" si="7"/>
        <v>8.0000000000000002E-3</v>
      </c>
      <c r="S102">
        <f t="shared" si="8"/>
        <v>0.57777777777777772</v>
      </c>
      <c r="T102">
        <f>Prams!B$5/(S102-Prams!B$6)</f>
        <v>119.4698645137741</v>
      </c>
      <c r="U102">
        <f t="shared" ca="1" si="9"/>
        <v>0.64444444444444438</v>
      </c>
      <c r="V102">
        <f ca="1">Prams!C$5/(U102-Prams!C$6)</f>
        <v>123.4375277309433</v>
      </c>
      <c r="W102">
        <f t="shared" ca="1" si="10"/>
        <v>0.98750022184754638</v>
      </c>
    </row>
    <row r="103" spans="1:23" hidden="1" x14ac:dyDescent="0.55000000000000004">
      <c r="A103" s="1" t="s">
        <v>462</v>
      </c>
      <c r="B103" s="1">
        <v>133</v>
      </c>
      <c r="C103">
        <v>633.92498999999998</v>
      </c>
      <c r="D103">
        <v>610</v>
      </c>
      <c r="E103">
        <v>10.12462</v>
      </c>
      <c r="F103" t="s">
        <v>6</v>
      </c>
      <c r="G103" s="10" t="s">
        <v>623</v>
      </c>
      <c r="H103">
        <v>98</v>
      </c>
      <c r="I103" t="s">
        <v>438</v>
      </c>
      <c r="J103">
        <v>125</v>
      </c>
      <c r="K103" t="str">
        <f ca="1">VLOOKUP(I103,INDIRECT("投手名変換!A$1:B$" &amp; Prams!$B$9),2,)</f>
        <v>DD007</v>
      </c>
      <c r="L103">
        <f t="shared" si="11"/>
        <v>35</v>
      </c>
      <c r="M103">
        <f ca="1">(B103-VLOOKUP(K103,INDIRECT("投手データ!B1:D"&amp;Prams!$B$1),3,FALSE)*2)</f>
        <v>39</v>
      </c>
      <c r="N103" t="str">
        <f ca="1">VLOOKUP(F103,INDIRECT("球種変換表!A$1:B$" &amp; Prams!$B$2),2,)</f>
        <v>フォーク</v>
      </c>
      <c r="O103">
        <f ca="1">VLOOKUP(N103,球種情報!A:B,2,FALSE)</f>
        <v>16</v>
      </c>
      <c r="P103">
        <f ca="1">VLOOKUP(K103,投手データ!B:AI,output!O103+6,FALSE)</f>
        <v>1</v>
      </c>
      <c r="R103">
        <f t="shared" si="7"/>
        <v>8.0000000000000002E-3</v>
      </c>
      <c r="S103">
        <f t="shared" si="8"/>
        <v>0.57638888888888895</v>
      </c>
      <c r="T103">
        <f>Prams!B$5/(S103-Prams!B$6)</f>
        <v>119.79137960730279</v>
      </c>
      <c r="U103">
        <f t="shared" ca="1" si="9"/>
        <v>0.6430555555555556</v>
      </c>
      <c r="V103">
        <f ca="1">Prams!C$5/(U103-Prams!C$6)</f>
        <v>123.7807835198327</v>
      </c>
      <c r="W103">
        <f t="shared" ca="1" si="10"/>
        <v>0.99024626815866157</v>
      </c>
    </row>
    <row r="104" spans="1:23" hidden="1" x14ac:dyDescent="0.55000000000000004">
      <c r="A104" s="1" t="s">
        <v>463</v>
      </c>
      <c r="B104" s="1">
        <v>133</v>
      </c>
      <c r="C104">
        <v>645</v>
      </c>
      <c r="D104">
        <v>618.5</v>
      </c>
      <c r="E104">
        <v>11.01146</v>
      </c>
      <c r="F104" t="s">
        <v>6</v>
      </c>
      <c r="G104" s="10" t="s">
        <v>589</v>
      </c>
      <c r="H104">
        <v>98</v>
      </c>
      <c r="I104" t="s">
        <v>439</v>
      </c>
      <c r="J104">
        <f ca="1">VLOOKUP(G104,INDIRECT("球速変換!A$1:B$" &amp; Prams!$B$8),2,)</f>
        <v>127</v>
      </c>
      <c r="K104" t="str">
        <f ca="1">VLOOKUP(I104,INDIRECT("投手名変換!A$1:B$" &amp; Prams!$B$9),2,)</f>
        <v>DD007</v>
      </c>
      <c r="L104">
        <f t="shared" si="11"/>
        <v>35</v>
      </c>
      <c r="M104">
        <f ca="1">(B104-VLOOKUP(K104,INDIRECT("投手データ!B1:D"&amp;Prams!$B$1),3,FALSE)*2)</f>
        <v>39</v>
      </c>
      <c r="N104" t="str">
        <f ca="1">VLOOKUP(F104,INDIRECT("球種変換表!A$1:B$" &amp; Prams!$B$2),2,)</f>
        <v>フォーク</v>
      </c>
      <c r="O104">
        <f ca="1">VLOOKUP(N104,球種情報!A:B,2,FALSE)</f>
        <v>16</v>
      </c>
      <c r="P104">
        <f ca="1">VLOOKUP(K104,投手データ!B:AI,output!O104+6,FALSE)</f>
        <v>1</v>
      </c>
      <c r="R104">
        <f t="shared" ca="1" si="7"/>
        <v>7.874015748031496E-3</v>
      </c>
      <c r="S104">
        <f t="shared" si="8"/>
        <v>0.57048611111111103</v>
      </c>
      <c r="T104">
        <f>Prams!B$5/(S104-Prams!B$6)</f>
        <v>121.17734813548435</v>
      </c>
      <c r="U104">
        <f t="shared" ca="1" si="9"/>
        <v>0.63715277777777779</v>
      </c>
      <c r="V104">
        <f ca="1">Prams!C$5/(U104-Prams!C$6)</f>
        <v>125.26117323938114</v>
      </c>
      <c r="W104">
        <f t="shared" ca="1" si="10"/>
        <v>0.98630845070378848</v>
      </c>
    </row>
    <row r="105" spans="1:23" hidden="1" x14ac:dyDescent="0.55000000000000004">
      <c r="A105" s="1" t="s">
        <v>464</v>
      </c>
      <c r="B105" s="1">
        <v>133</v>
      </c>
      <c r="C105">
        <v>639.5</v>
      </c>
      <c r="D105">
        <v>612.5</v>
      </c>
      <c r="E105">
        <v>10.512</v>
      </c>
      <c r="F105" t="s">
        <v>6</v>
      </c>
      <c r="G105" s="10" t="s">
        <v>1328</v>
      </c>
      <c r="H105">
        <v>98</v>
      </c>
      <c r="I105" t="s">
        <v>438</v>
      </c>
      <c r="J105">
        <f ca="1">VLOOKUP(G105,INDIRECT("球速変換!A$1:B$" &amp; Prams!$B$8),2,)</f>
        <v>126</v>
      </c>
      <c r="K105" t="str">
        <f ca="1">VLOOKUP(I105,INDIRECT("投手名変換!A$1:B$" &amp; Prams!$B$9),2,)</f>
        <v>DD007</v>
      </c>
      <c r="L105">
        <f t="shared" si="11"/>
        <v>35</v>
      </c>
      <c r="M105">
        <f ca="1">(B105-VLOOKUP(K105,INDIRECT("投手データ!B1:D"&amp;Prams!$B$1),3,FALSE)*2)</f>
        <v>39</v>
      </c>
      <c r="N105" t="str">
        <f ca="1">VLOOKUP(F105,INDIRECT("球種変換表!A$1:B$" &amp; Prams!$B$2),2,)</f>
        <v>フォーク</v>
      </c>
      <c r="O105">
        <f ca="1">VLOOKUP(N105,球種情報!A:B,2,FALSE)</f>
        <v>16</v>
      </c>
      <c r="P105">
        <f ca="1">VLOOKUP(K105,投手データ!B:AI,output!O105+6,FALSE)</f>
        <v>1</v>
      </c>
      <c r="R105">
        <f t="shared" ca="1" si="7"/>
        <v>7.9365079365079361E-3</v>
      </c>
      <c r="S105">
        <f t="shared" si="8"/>
        <v>0.57465277777777779</v>
      </c>
      <c r="T105">
        <f>Prams!B$5/(S105-Prams!B$6)</f>
        <v>120.19571521923453</v>
      </c>
      <c r="U105">
        <f t="shared" ca="1" si="9"/>
        <v>0.64131944444444444</v>
      </c>
      <c r="V105">
        <f ca="1">Prams!C$5/(U105-Prams!C$6)</f>
        <v>124.21254722930701</v>
      </c>
      <c r="W105">
        <f t="shared" ca="1" si="10"/>
        <v>0.98581386689926198</v>
      </c>
    </row>
    <row r="106" spans="1:23" hidden="1" x14ac:dyDescent="0.55000000000000004">
      <c r="A106" s="1" t="s">
        <v>465</v>
      </c>
      <c r="B106" s="1">
        <v>132</v>
      </c>
      <c r="C106">
        <v>641.95001000000002</v>
      </c>
      <c r="D106">
        <v>602.5</v>
      </c>
      <c r="E106">
        <v>10.062519999999999</v>
      </c>
      <c r="F106" t="s">
        <v>6</v>
      </c>
      <c r="G106" s="10" t="s">
        <v>591</v>
      </c>
      <c r="H106">
        <v>98</v>
      </c>
      <c r="I106" t="s">
        <v>439</v>
      </c>
      <c r="J106">
        <f ca="1">VLOOKUP(G106,INDIRECT("球速変換!A$1:B$" &amp; Prams!$B$8),2,)</f>
        <v>128</v>
      </c>
      <c r="K106" t="str">
        <f ca="1">VLOOKUP(I106,INDIRECT("投手名変換!A$1:B$" &amp; Prams!$B$9),2,)</f>
        <v>DD007</v>
      </c>
      <c r="L106">
        <f t="shared" si="11"/>
        <v>34</v>
      </c>
      <c r="M106">
        <f ca="1">(B106-VLOOKUP(K106,INDIRECT("投手データ!B1:D"&amp;Prams!$B$1),3,FALSE)*2)</f>
        <v>38</v>
      </c>
      <c r="N106" t="str">
        <f ca="1">VLOOKUP(F106,INDIRECT("球種変換表!A$1:B$" &amp; Prams!$B$2),2,)</f>
        <v>フォーク</v>
      </c>
      <c r="O106">
        <f ca="1">VLOOKUP(N106,球種情報!A:B,2,FALSE)</f>
        <v>16</v>
      </c>
      <c r="P106">
        <f ca="1">VLOOKUP(K106,投手データ!B:AI,output!O106+6,FALSE)</f>
        <v>1</v>
      </c>
      <c r="R106">
        <f t="shared" ca="1" si="7"/>
        <v>7.8125E-3</v>
      </c>
      <c r="S106">
        <f t="shared" si="8"/>
        <v>0.5649305555555556</v>
      </c>
      <c r="T106">
        <f>Prams!B$5/(S106-Prams!B$6)</f>
        <v>122.51140823594818</v>
      </c>
      <c r="U106">
        <f t="shared" ca="1" si="9"/>
        <v>0.63159722222222225</v>
      </c>
      <c r="V106">
        <f ca="1">Prams!C$5/(U106-Prams!C$6)</f>
        <v>126.68719653458865</v>
      </c>
      <c r="W106">
        <f t="shared" ca="1" si="10"/>
        <v>0.98974372292647383</v>
      </c>
    </row>
    <row r="107" spans="1:23" hidden="1" x14ac:dyDescent="0.55000000000000004">
      <c r="A107" s="1" t="s">
        <v>466</v>
      </c>
      <c r="B107" s="1">
        <v>133</v>
      </c>
      <c r="C107">
        <v>640</v>
      </c>
      <c r="D107">
        <v>613.5</v>
      </c>
      <c r="E107">
        <v>11.01146</v>
      </c>
      <c r="F107" t="s">
        <v>6</v>
      </c>
      <c r="G107" s="10" t="s">
        <v>2419</v>
      </c>
      <c r="H107">
        <v>98</v>
      </c>
      <c r="I107" t="s">
        <v>438</v>
      </c>
      <c r="J107">
        <f ca="1">VLOOKUP(G107,INDIRECT("球速変換!A$1:B$" &amp; Prams!$B$8),2,)</f>
        <v>126</v>
      </c>
      <c r="K107" t="str">
        <f ca="1">VLOOKUP(I107,INDIRECT("投手名変換!A$1:B$" &amp; Prams!$B$9),2,)</f>
        <v>DD007</v>
      </c>
      <c r="L107">
        <f t="shared" si="11"/>
        <v>35</v>
      </c>
      <c r="M107">
        <f ca="1">(B107-VLOOKUP(K107,INDIRECT("投手データ!B1:D"&amp;Prams!$B$1),3,FALSE)*2)</f>
        <v>39</v>
      </c>
      <c r="N107" t="str">
        <f ca="1">VLOOKUP(F107,INDIRECT("球種変換表!A$1:B$" &amp; Prams!$B$2),2,)</f>
        <v>フォーク</v>
      </c>
      <c r="O107">
        <f ca="1">VLOOKUP(N107,球種情報!A:B,2,FALSE)</f>
        <v>16</v>
      </c>
      <c r="P107">
        <f ca="1">VLOOKUP(K107,投手データ!B:AI,output!O107+6,FALSE)</f>
        <v>1</v>
      </c>
      <c r="R107">
        <f t="shared" ca="1" si="7"/>
        <v>7.9365079365079361E-3</v>
      </c>
      <c r="S107">
        <f t="shared" si="8"/>
        <v>0.57395833333333335</v>
      </c>
      <c r="T107">
        <f>Prams!B$5/(S107-Prams!B$6)</f>
        <v>120.35821476662503</v>
      </c>
      <c r="U107">
        <f t="shared" ca="1" si="9"/>
        <v>0.640625</v>
      </c>
      <c r="V107">
        <f ca="1">Prams!C$5/(U107-Prams!C$6)</f>
        <v>124.38609727880892</v>
      </c>
      <c r="W107">
        <f t="shared" ca="1" si="10"/>
        <v>0.98719124824451521</v>
      </c>
    </row>
    <row r="108" spans="1:23" hidden="1" x14ac:dyDescent="0.55000000000000004">
      <c r="A108" s="1" t="s">
        <v>467</v>
      </c>
      <c r="B108" s="1">
        <v>133</v>
      </c>
      <c r="C108">
        <v>647</v>
      </c>
      <c r="D108">
        <v>610.5</v>
      </c>
      <c r="E108">
        <v>11.01146</v>
      </c>
      <c r="F108" t="s">
        <v>6</v>
      </c>
      <c r="G108" s="10" t="s">
        <v>2434</v>
      </c>
      <c r="H108">
        <v>98</v>
      </c>
      <c r="I108" t="s">
        <v>439</v>
      </c>
      <c r="J108">
        <f ca="1">VLOOKUP(G108,INDIRECT("球速変換!A$1:B$" &amp; Prams!$B$8),2,)</f>
        <v>125</v>
      </c>
      <c r="K108" t="str">
        <f ca="1">VLOOKUP(I108,INDIRECT("投手名変換!A$1:B$" &amp; Prams!$B$9),2,)</f>
        <v>DD007</v>
      </c>
      <c r="L108">
        <f t="shared" si="11"/>
        <v>35</v>
      </c>
      <c r="M108">
        <f ca="1">(B108-VLOOKUP(K108,INDIRECT("投手データ!B1:D"&amp;Prams!$B$1),3,FALSE)*2)</f>
        <v>39</v>
      </c>
      <c r="N108" t="str">
        <f ca="1">VLOOKUP(F108,INDIRECT("球種変換表!A$1:B$" &amp; Prams!$B$2),2,)</f>
        <v>フォーク</v>
      </c>
      <c r="O108">
        <f ca="1">VLOOKUP(N108,球種情報!A:B,2,FALSE)</f>
        <v>16</v>
      </c>
      <c r="P108">
        <f ca="1">VLOOKUP(K108,投手データ!B:AI,output!O108+6,FALSE)</f>
        <v>1</v>
      </c>
      <c r="R108">
        <f t="shared" ca="1" si="7"/>
        <v>8.0000000000000002E-3</v>
      </c>
      <c r="S108">
        <f t="shared" si="8"/>
        <v>0.57604166666666667</v>
      </c>
      <c r="T108">
        <f>Prams!B$5/(S108-Prams!B$6)</f>
        <v>119.87202895506472</v>
      </c>
      <c r="U108">
        <f t="shared" ca="1" si="9"/>
        <v>0.64270833333333333</v>
      </c>
      <c r="V108">
        <f ca="1">Prams!C$5/(U108-Prams!C$6)</f>
        <v>123.86689596446998</v>
      </c>
      <c r="W108">
        <f t="shared" ca="1" si="10"/>
        <v>0.99093516771575985</v>
      </c>
    </row>
    <row r="109" spans="1:23" hidden="1" x14ac:dyDescent="0.55000000000000004">
      <c r="A109" s="1" t="s">
        <v>468</v>
      </c>
      <c r="B109" s="1">
        <v>133</v>
      </c>
      <c r="C109">
        <v>637.5</v>
      </c>
      <c r="D109">
        <v>616</v>
      </c>
      <c r="E109">
        <v>10.5001</v>
      </c>
      <c r="F109" t="s">
        <v>6</v>
      </c>
      <c r="G109" s="10" t="s">
        <v>629</v>
      </c>
      <c r="H109">
        <v>98</v>
      </c>
      <c r="I109" t="s">
        <v>439</v>
      </c>
      <c r="J109">
        <v>127</v>
      </c>
      <c r="K109" t="str">
        <f ca="1">VLOOKUP(I109,INDIRECT("投手名変換!A$1:B$" &amp; Prams!$B$9),2,)</f>
        <v>DD007</v>
      </c>
      <c r="L109">
        <f t="shared" si="11"/>
        <v>35</v>
      </c>
      <c r="M109">
        <f ca="1">(B109-VLOOKUP(K109,INDIRECT("投手データ!B1:D"&amp;Prams!$B$1),3,FALSE)*2)</f>
        <v>39</v>
      </c>
      <c r="N109" t="str">
        <f ca="1">VLOOKUP(F109,INDIRECT("球種変換表!A$1:B$" &amp; Prams!$B$2),2,)</f>
        <v>フォーク</v>
      </c>
      <c r="O109">
        <f ca="1">VLOOKUP(N109,球種情報!A:B,2,FALSE)</f>
        <v>16</v>
      </c>
      <c r="P109">
        <f ca="1">VLOOKUP(K109,投手データ!B:AI,output!O109+6,FALSE)</f>
        <v>1</v>
      </c>
      <c r="R109">
        <f t="shared" si="7"/>
        <v>7.874015748031496E-3</v>
      </c>
      <c r="S109">
        <f t="shared" si="8"/>
        <v>0.5722222222222223</v>
      </c>
      <c r="T109">
        <f>Prams!B$5/(S109-Prams!B$6)</f>
        <v>120.76639246413299</v>
      </c>
      <c r="U109">
        <f t="shared" ca="1" si="9"/>
        <v>0.63888888888888895</v>
      </c>
      <c r="V109">
        <f ca="1">Prams!C$5/(U109-Prams!C$6)</f>
        <v>124.82210157932518</v>
      </c>
      <c r="W109">
        <f t="shared" ca="1" si="10"/>
        <v>0.98285119353799355</v>
      </c>
    </row>
    <row r="110" spans="1:23" hidden="1" x14ac:dyDescent="0.55000000000000004">
      <c r="A110" s="1" t="s">
        <v>469</v>
      </c>
      <c r="B110" s="1">
        <v>132</v>
      </c>
      <c r="C110">
        <v>636.5</v>
      </c>
      <c r="D110">
        <v>601.5</v>
      </c>
      <c r="E110">
        <v>10.512</v>
      </c>
      <c r="F110" t="s">
        <v>6</v>
      </c>
      <c r="G110" s="10" t="s">
        <v>591</v>
      </c>
      <c r="H110">
        <v>98</v>
      </c>
      <c r="I110" t="s">
        <v>1527</v>
      </c>
      <c r="J110">
        <f ca="1">VLOOKUP(G110,INDIRECT("球速変換!A$1:B$" &amp; Prams!$B$8),2,)</f>
        <v>128</v>
      </c>
      <c r="K110" t="str">
        <f ca="1">VLOOKUP(I110,INDIRECT("投手名変換!A$1:B$" &amp; Prams!$B$9),2,)</f>
        <v>DD007</v>
      </c>
      <c r="L110">
        <f t="shared" si="11"/>
        <v>34</v>
      </c>
      <c r="M110">
        <f ca="1">(B110-VLOOKUP(K110,INDIRECT("投手データ!B1:D"&amp;Prams!$B$1),3,FALSE)*2)</f>
        <v>38</v>
      </c>
      <c r="N110" t="str">
        <f ca="1">VLOOKUP(F110,INDIRECT("球種変換表!A$1:B$" &amp; Prams!$B$2),2,)</f>
        <v>フォーク</v>
      </c>
      <c r="O110">
        <f ca="1">VLOOKUP(N110,球種情報!A:B,2,FALSE)</f>
        <v>16</v>
      </c>
      <c r="P110">
        <f ca="1">VLOOKUP(K110,投手データ!B:AI,output!O110+6,FALSE)</f>
        <v>1</v>
      </c>
      <c r="R110">
        <f t="shared" ca="1" si="7"/>
        <v>7.8125E-3</v>
      </c>
      <c r="S110">
        <f t="shared" si="8"/>
        <v>0.56562500000000004</v>
      </c>
      <c r="T110">
        <f>Prams!B$5/(S110-Prams!B$6)</f>
        <v>122.34304655419778</v>
      </c>
      <c r="U110">
        <f t="shared" ca="1" si="9"/>
        <v>0.6322916666666667</v>
      </c>
      <c r="V110">
        <f ca="1">Prams!C$5/(U110-Prams!C$6)</f>
        <v>126.50717050628379</v>
      </c>
      <c r="W110">
        <f t="shared" ca="1" si="10"/>
        <v>0.98833726958034207</v>
      </c>
    </row>
    <row r="111" spans="1:23" hidden="1" x14ac:dyDescent="0.55000000000000004">
      <c r="A111" s="1" t="s">
        <v>470</v>
      </c>
      <c r="B111" s="1">
        <v>133</v>
      </c>
      <c r="C111">
        <v>648</v>
      </c>
      <c r="D111">
        <v>608</v>
      </c>
      <c r="E111">
        <v>11.0001</v>
      </c>
      <c r="F111" t="s">
        <v>6</v>
      </c>
      <c r="G111" s="10" t="s">
        <v>1947</v>
      </c>
      <c r="H111">
        <v>98</v>
      </c>
      <c r="I111" t="s">
        <v>439</v>
      </c>
      <c r="J111">
        <f ca="1">VLOOKUP(G111,INDIRECT("球速変換!A$1:B$" &amp; Prams!$B$8),2,)</f>
        <v>125</v>
      </c>
      <c r="K111" t="str">
        <f ca="1">VLOOKUP(I111,INDIRECT("投手名変換!A$1:B$" &amp; Prams!$B$9),2,)</f>
        <v>DD007</v>
      </c>
      <c r="L111">
        <f t="shared" si="11"/>
        <v>35</v>
      </c>
      <c r="M111">
        <f ca="1">(B111-VLOOKUP(K111,INDIRECT("投手データ!B1:D"&amp;Prams!$B$1),3,FALSE)*2)</f>
        <v>39</v>
      </c>
      <c r="N111" t="str">
        <f ca="1">VLOOKUP(F111,INDIRECT("球種変換表!A$1:B$" &amp; Prams!$B$2),2,)</f>
        <v>フォーク</v>
      </c>
      <c r="O111">
        <f ca="1">VLOOKUP(N111,球種情報!A:B,2,FALSE)</f>
        <v>16</v>
      </c>
      <c r="P111">
        <f ca="1">VLOOKUP(K111,投手データ!B:AI,output!O111+6,FALSE)</f>
        <v>1</v>
      </c>
      <c r="R111">
        <f t="shared" ca="1" si="7"/>
        <v>8.0000000000000002E-3</v>
      </c>
      <c r="S111">
        <f t="shared" si="8"/>
        <v>0.57777777777777772</v>
      </c>
      <c r="T111">
        <f>Prams!B$5/(S111-Prams!B$6)</f>
        <v>119.4698645137741</v>
      </c>
      <c r="U111">
        <f t="shared" ca="1" si="9"/>
        <v>0.64444444444444438</v>
      </c>
      <c r="V111">
        <f ca="1">Prams!C$5/(U111-Prams!C$6)</f>
        <v>123.4375277309433</v>
      </c>
      <c r="W111">
        <f t="shared" ca="1" si="10"/>
        <v>0.98750022184754638</v>
      </c>
    </row>
    <row r="112" spans="1:23" hidden="1" x14ac:dyDescent="0.55000000000000004">
      <c r="A112" s="1" t="s">
        <v>472</v>
      </c>
      <c r="B112" s="1">
        <v>147</v>
      </c>
      <c r="C112">
        <v>617.95001000000002</v>
      </c>
      <c r="D112">
        <v>601.5</v>
      </c>
      <c r="E112">
        <v>10.062519999999999</v>
      </c>
      <c r="F112" t="s">
        <v>44</v>
      </c>
      <c r="G112" s="10" t="s">
        <v>1948</v>
      </c>
      <c r="H112">
        <v>101</v>
      </c>
      <c r="I112" t="s">
        <v>438</v>
      </c>
      <c r="J112">
        <f ca="1">VLOOKUP(G112,INDIRECT("球速変換!A$1:B$" &amp; Prams!$B$8),2,)</f>
        <v>126</v>
      </c>
      <c r="K112" t="str">
        <f ca="1">VLOOKUP(I112,INDIRECT("投手名変換!A$1:B$" &amp; Prams!$B$9),2,)</f>
        <v>DD007</v>
      </c>
      <c r="L112">
        <f t="shared" si="11"/>
        <v>46</v>
      </c>
      <c r="M112">
        <f ca="1">(B112-VLOOKUP(K112,INDIRECT("投手データ!B1:D"&amp;Prams!$B$1),3,FALSE)*2)</f>
        <v>53</v>
      </c>
      <c r="N112" t="str">
        <f ca="1">VLOOKUP(F112,INDIRECT("球種変換表!A$1:B$" &amp; Prams!$B$2),2,)</f>
        <v>ナックル</v>
      </c>
      <c r="O112">
        <f ca="1">VLOOKUP(N112,球種情報!A:B,2,FALSE)</f>
        <v>20</v>
      </c>
      <c r="P112">
        <f ca="1">VLOOKUP(K112,投手データ!B:AI,output!O112+6,FALSE)</f>
        <v>1</v>
      </c>
      <c r="R112">
        <f t="shared" ca="1" si="7"/>
        <v>7.9365079365079361E-3</v>
      </c>
      <c r="S112">
        <f t="shared" si="8"/>
        <v>0.765625</v>
      </c>
      <c r="T112">
        <f>Prams!B$5/(S112-Prams!B$6)</f>
        <v>87.651791727217955</v>
      </c>
      <c r="U112">
        <f t="shared" ca="1" si="9"/>
        <v>0.8822916666666667</v>
      </c>
      <c r="V112">
        <f ca="1">Prams!C$5/(U112-Prams!C$6)</f>
        <v>83.69256455670498</v>
      </c>
      <c r="W112">
        <f t="shared" ca="1" si="10"/>
        <v>0.66422670283099194</v>
      </c>
    </row>
    <row r="113" spans="1:23" hidden="1" x14ac:dyDescent="0.55000000000000004">
      <c r="A113" s="1" t="s">
        <v>474</v>
      </c>
      <c r="B113" s="1">
        <v>147</v>
      </c>
      <c r="C113">
        <v>636</v>
      </c>
      <c r="D113">
        <v>606</v>
      </c>
      <c r="E113">
        <v>11.04546</v>
      </c>
      <c r="F113" t="s">
        <v>473</v>
      </c>
      <c r="G113" s="10" t="s">
        <v>1073</v>
      </c>
      <c r="H113">
        <v>101</v>
      </c>
      <c r="I113" t="s">
        <v>439</v>
      </c>
      <c r="J113">
        <f ca="1">VLOOKUP(G113,INDIRECT("球速変換!A$1:B$" &amp; Prams!$B$8),2,)</f>
        <v>116</v>
      </c>
      <c r="K113" t="str">
        <f ca="1">VLOOKUP(I113,INDIRECT("投手名変換!A$1:B$" &amp; Prams!$B$9),2,)</f>
        <v>DD007</v>
      </c>
      <c r="L113">
        <f t="shared" si="11"/>
        <v>46</v>
      </c>
      <c r="M113">
        <f ca="1">(B113-VLOOKUP(K113,INDIRECT("投手データ!B1:D"&amp;Prams!$B$1),3,FALSE)*2)</f>
        <v>53</v>
      </c>
      <c r="N113" t="str">
        <f ca="1">VLOOKUP(F113,INDIRECT("球種変換表!A$1:B$" &amp; Prams!$B$2),2,)</f>
        <v>ナックル</v>
      </c>
      <c r="O113">
        <f ca="1">VLOOKUP(N113,球種情報!A:B,2,FALSE)</f>
        <v>20</v>
      </c>
      <c r="P113">
        <f ca="1">VLOOKUP(K113,投手データ!B:AI,output!O113+6,FALSE)</f>
        <v>1</v>
      </c>
      <c r="R113">
        <f t="shared" ca="1" si="7"/>
        <v>8.6206896551724137E-3</v>
      </c>
      <c r="S113">
        <f t="shared" si="8"/>
        <v>0.76249999999999996</v>
      </c>
      <c r="T113">
        <f>Prams!B$5/(S113-Prams!B$6)</f>
        <v>88.041868413557395</v>
      </c>
      <c r="U113">
        <f t="shared" ca="1" si="9"/>
        <v>0.87916666666666665</v>
      </c>
      <c r="V113">
        <f ca="1">Prams!C$5/(U113-Prams!C$6)</f>
        <v>84.048126161236226</v>
      </c>
      <c r="W113">
        <f t="shared" ca="1" si="10"/>
        <v>0.72455281173479502</v>
      </c>
    </row>
    <row r="114" spans="1:23" hidden="1" x14ac:dyDescent="0.55000000000000004">
      <c r="A114" s="1" t="s">
        <v>476</v>
      </c>
      <c r="B114" s="1">
        <v>148</v>
      </c>
      <c r="C114">
        <v>616.5</v>
      </c>
      <c r="D114">
        <v>614</v>
      </c>
      <c r="E114">
        <v>10.547610000000001</v>
      </c>
      <c r="F114" t="s">
        <v>475</v>
      </c>
      <c r="G114" s="10" t="s">
        <v>1123</v>
      </c>
      <c r="H114">
        <v>101</v>
      </c>
      <c r="I114" t="s">
        <v>439</v>
      </c>
      <c r="J114">
        <f ca="1">VLOOKUP(G114,INDIRECT("球速変換!A$1:B$" &amp; Prams!$B$8),2,)</f>
        <v>135</v>
      </c>
      <c r="K114" t="str">
        <f ca="1">VLOOKUP(I114,INDIRECT("投手名変換!A$1:B$" &amp; Prams!$B$9),2,)</f>
        <v>DD007</v>
      </c>
      <c r="L114">
        <f t="shared" si="11"/>
        <v>47</v>
      </c>
      <c r="M114">
        <f ca="1">(B114-VLOOKUP(K114,INDIRECT("投手データ!B1:D"&amp;Prams!$B$1),3,FALSE)*2)</f>
        <v>54</v>
      </c>
      <c r="N114" t="str">
        <f ca="1">VLOOKUP(F114,INDIRECT("球種変換表!A$1:B$" &amp; Prams!$B$2),2,)</f>
        <v>ナックル</v>
      </c>
      <c r="O114">
        <f ca="1">VLOOKUP(N114,球種情報!A:B,2,FALSE)</f>
        <v>20</v>
      </c>
      <c r="P114">
        <f ca="1">VLOOKUP(K114,投手データ!B:AI,output!O114+6,FALSE)</f>
        <v>1</v>
      </c>
      <c r="R114">
        <f t="shared" ca="1" si="7"/>
        <v>7.4074074074074077E-3</v>
      </c>
      <c r="S114">
        <f t="shared" si="8"/>
        <v>0.77361111111111103</v>
      </c>
      <c r="T114">
        <f>Prams!B$5/(S114-Prams!B$6)</f>
        <v>86.670457023583296</v>
      </c>
      <c r="U114">
        <f t="shared" ca="1" si="9"/>
        <v>0.89027777777777772</v>
      </c>
      <c r="V114">
        <f ca="1">Prams!C$5/(U114-Prams!C$6)</f>
        <v>82.797428609693313</v>
      </c>
      <c r="W114">
        <f t="shared" ca="1" si="10"/>
        <v>0.61331428599772819</v>
      </c>
    </row>
    <row r="115" spans="1:23" hidden="1" x14ac:dyDescent="0.55000000000000004">
      <c r="A115" s="1" t="s">
        <v>477</v>
      </c>
      <c r="B115" s="1">
        <v>147</v>
      </c>
      <c r="C115">
        <v>622.5</v>
      </c>
      <c r="D115">
        <v>609.5</v>
      </c>
      <c r="E115">
        <v>11.510960000000001</v>
      </c>
      <c r="F115" t="s">
        <v>44</v>
      </c>
      <c r="G115" s="10" t="s">
        <v>630</v>
      </c>
      <c r="H115">
        <v>101</v>
      </c>
      <c r="I115" t="s">
        <v>439</v>
      </c>
      <c r="J115">
        <f ca="1">VLOOKUP(G115,INDIRECT("球速変換!A$1:B$" &amp; Prams!$B$8),2,)</f>
        <v>117</v>
      </c>
      <c r="K115" t="str">
        <f ca="1">VLOOKUP(I115,INDIRECT("投手名変換!A$1:B$" &amp; Prams!$B$9),2,)</f>
        <v>DD007</v>
      </c>
      <c r="L115">
        <f t="shared" si="11"/>
        <v>46</v>
      </c>
      <c r="M115">
        <f ca="1">(B115-VLOOKUP(K115,INDIRECT("投手データ!B1:D"&amp;Prams!$B$1),3,FALSE)*2)</f>
        <v>53</v>
      </c>
      <c r="N115" t="str">
        <f ca="1">VLOOKUP(F115,INDIRECT("球種変換表!A$1:B$" &amp; Prams!$B$2),2,)</f>
        <v>ナックル</v>
      </c>
      <c r="O115">
        <f ca="1">VLOOKUP(N115,球種情報!A:B,2,FALSE)</f>
        <v>20</v>
      </c>
      <c r="P115">
        <f ca="1">VLOOKUP(K115,投手データ!B:AI,output!O115+6,FALSE)</f>
        <v>1</v>
      </c>
      <c r="R115">
        <f t="shared" ca="1" si="7"/>
        <v>8.5470085470085479E-3</v>
      </c>
      <c r="S115">
        <f t="shared" si="8"/>
        <v>0.76006944444444435</v>
      </c>
      <c r="T115">
        <f>Prams!B$5/(S115-Prams!B$6)</f>
        <v>88.347670065934423</v>
      </c>
      <c r="U115">
        <f t="shared" ca="1" si="9"/>
        <v>0.87673611111111105</v>
      </c>
      <c r="V115">
        <f ca="1">Prams!C$5/(U115-Prams!C$6)</f>
        <v>84.326769699426748</v>
      </c>
      <c r="W115">
        <f t="shared" ca="1" si="10"/>
        <v>0.72074162136262176</v>
      </c>
    </row>
    <row r="116" spans="1:23" hidden="1" x14ac:dyDescent="0.55000000000000004">
      <c r="A116" s="1" t="s">
        <v>479</v>
      </c>
      <c r="B116" s="1">
        <v>147</v>
      </c>
      <c r="C116">
        <v>628.5</v>
      </c>
      <c r="D116">
        <v>610.5</v>
      </c>
      <c r="E116">
        <v>10.6067</v>
      </c>
      <c r="F116" t="s">
        <v>1534</v>
      </c>
      <c r="G116" s="10" t="s">
        <v>631</v>
      </c>
      <c r="H116">
        <v>101</v>
      </c>
      <c r="I116" t="s">
        <v>438</v>
      </c>
      <c r="J116">
        <f ca="1">VLOOKUP(G116,INDIRECT("球速変換!A$1:B$" &amp; Prams!$B$8),2,)</f>
        <v>117</v>
      </c>
      <c r="K116" t="str">
        <f ca="1">VLOOKUP(I116,INDIRECT("投手名変換!A$1:B$" &amp; Prams!$B$9),2,)</f>
        <v>DD007</v>
      </c>
      <c r="L116">
        <f t="shared" si="11"/>
        <v>46</v>
      </c>
      <c r="M116">
        <f ca="1">(B116-VLOOKUP(K116,INDIRECT("投手データ!B1:D"&amp;Prams!$B$1),3,FALSE)*2)</f>
        <v>53</v>
      </c>
      <c r="N116" t="str">
        <f ca="1">VLOOKUP(F116,INDIRECT("球種変換表!A$1:B$" &amp; Prams!$B$2),2,)</f>
        <v>ナックル</v>
      </c>
      <c r="O116">
        <f ca="1">VLOOKUP(N116,球種情報!A:B,2,FALSE)</f>
        <v>20</v>
      </c>
      <c r="P116">
        <f ca="1">VLOOKUP(K116,投手データ!B:AI,output!O116+6,FALSE)</f>
        <v>1</v>
      </c>
      <c r="R116">
        <f t="shared" ca="1" si="7"/>
        <v>8.5470085470085479E-3</v>
      </c>
      <c r="S116">
        <f t="shared" si="8"/>
        <v>0.75937500000000002</v>
      </c>
      <c r="T116">
        <f>Prams!B$5/(S116-Prams!B$6)</f>
        <v>88.43543253585095</v>
      </c>
      <c r="U116">
        <f t="shared" ca="1" si="9"/>
        <v>0.87604166666666672</v>
      </c>
      <c r="V116">
        <f ca="1">Prams!C$5/(U116-Prams!C$6)</f>
        <v>84.406721809472884</v>
      </c>
      <c r="W116">
        <f t="shared" ca="1" si="10"/>
        <v>0.72142497273053752</v>
      </c>
    </row>
    <row r="117" spans="1:23" hidden="1" x14ac:dyDescent="0.55000000000000004">
      <c r="A117" s="1" t="s">
        <v>481</v>
      </c>
      <c r="B117" s="1">
        <v>148</v>
      </c>
      <c r="C117">
        <v>618.5</v>
      </c>
      <c r="D117">
        <v>612</v>
      </c>
      <c r="E117">
        <v>10.547610000000001</v>
      </c>
      <c r="F117" t="s">
        <v>480</v>
      </c>
      <c r="G117" s="10" t="s">
        <v>2422</v>
      </c>
      <c r="H117">
        <v>101</v>
      </c>
      <c r="I117" t="s">
        <v>438</v>
      </c>
      <c r="J117">
        <f ca="1">VLOOKUP(G117,INDIRECT("球速変換!A$1:B$" &amp; Prams!$B$8),2,)</f>
        <v>115</v>
      </c>
      <c r="K117" t="str">
        <f ca="1">VLOOKUP(I117,INDIRECT("投手名変換!A$1:B$" &amp; Prams!$B$9),2,)</f>
        <v>DD007</v>
      </c>
      <c r="L117">
        <f t="shared" si="11"/>
        <v>47</v>
      </c>
      <c r="M117">
        <f ca="1">(B117-VLOOKUP(K117,INDIRECT("投手データ!B1:D"&amp;Prams!$B$1),3,FALSE)*2)</f>
        <v>54</v>
      </c>
      <c r="N117" t="str">
        <f ca="1">VLOOKUP(F117,INDIRECT("球種変換表!A$1:B$" &amp; Prams!$B$2),2,)</f>
        <v>ナックル</v>
      </c>
      <c r="O117">
        <f ca="1">VLOOKUP(N117,球種情報!A:B,2,FALSE)</f>
        <v>20</v>
      </c>
      <c r="P117">
        <f ca="1">VLOOKUP(K117,投手データ!B:AI,output!O117+6,FALSE)</f>
        <v>1</v>
      </c>
      <c r="R117">
        <f t="shared" ca="1" si="7"/>
        <v>8.6956521739130436E-3</v>
      </c>
      <c r="S117">
        <f t="shared" si="8"/>
        <v>0.77500000000000002</v>
      </c>
      <c r="T117">
        <f>Prams!B$5/(S117-Prams!B$6)</f>
        <v>86.502028823282501</v>
      </c>
      <c r="U117">
        <f t="shared" ca="1" si="9"/>
        <v>0.89166666666666672</v>
      </c>
      <c r="V117">
        <f ca="1">Prams!C$5/(U117-Prams!C$6)</f>
        <v>82.64370376971749</v>
      </c>
      <c r="W117">
        <f t="shared" ca="1" si="10"/>
        <v>0.71864090234536948</v>
      </c>
    </row>
    <row r="118" spans="1:23" hidden="1" x14ac:dyDescent="0.55000000000000004">
      <c r="A118" s="1" t="s">
        <v>483</v>
      </c>
      <c r="B118" s="1">
        <v>147</v>
      </c>
      <c r="C118">
        <v>636.5</v>
      </c>
      <c r="D118">
        <v>613.5</v>
      </c>
      <c r="E118">
        <v>10.6067</v>
      </c>
      <c r="F118" t="s">
        <v>482</v>
      </c>
      <c r="G118" s="10" t="s">
        <v>1535</v>
      </c>
      <c r="H118">
        <v>101</v>
      </c>
      <c r="I118" t="s">
        <v>439</v>
      </c>
      <c r="J118">
        <f ca="1">VLOOKUP(G118,INDIRECT("球速変換!A$1:B$" &amp; Prams!$B$8),2,)</f>
        <v>118</v>
      </c>
      <c r="K118" t="str">
        <f ca="1">VLOOKUP(I118,INDIRECT("投手名変換!A$1:B$" &amp; Prams!$B$9),2,)</f>
        <v>DD007</v>
      </c>
      <c r="L118">
        <f t="shared" si="11"/>
        <v>46</v>
      </c>
      <c r="M118">
        <f ca="1">(B118-VLOOKUP(K118,INDIRECT("投手データ!B1:D"&amp;Prams!$B$1),3,FALSE)*2)</f>
        <v>53</v>
      </c>
      <c r="N118" t="str">
        <f ca="1">VLOOKUP(F118,INDIRECT("球種変換表!A$1:B$" &amp; Prams!$B$2),2,)</f>
        <v>ナックル</v>
      </c>
      <c r="O118">
        <f ca="1">VLOOKUP(N118,球種情報!A:B,2,FALSE)</f>
        <v>20</v>
      </c>
      <c r="P118">
        <f ca="1">VLOOKUP(K118,投手データ!B:AI,output!O118+6,FALSE)</f>
        <v>1</v>
      </c>
      <c r="R118">
        <f t="shared" ca="1" si="7"/>
        <v>8.4745762711864406E-3</v>
      </c>
      <c r="S118">
        <f t="shared" si="8"/>
        <v>0.7572916666666667</v>
      </c>
      <c r="T118">
        <f>Prams!B$5/(S118-Prams!B$6)</f>
        <v>88.699769246404188</v>
      </c>
      <c r="U118">
        <f t="shared" ca="1" si="9"/>
        <v>0.87395833333333328</v>
      </c>
      <c r="V118">
        <f ca="1">Prams!C$5/(U118-Prams!C$6)</f>
        <v>84.647490387138745</v>
      </c>
      <c r="W118">
        <f t="shared" ca="1" si="10"/>
        <v>0.71735161345032838</v>
      </c>
    </row>
    <row r="119" spans="1:23" hidden="1" x14ac:dyDescent="0.55000000000000004">
      <c r="A119" s="1" t="s">
        <v>484</v>
      </c>
      <c r="B119" s="1">
        <v>148</v>
      </c>
      <c r="C119">
        <v>638</v>
      </c>
      <c r="D119">
        <v>611.5</v>
      </c>
      <c r="E119">
        <v>11.01146</v>
      </c>
      <c r="F119" t="s">
        <v>44</v>
      </c>
      <c r="G119" s="10" t="s">
        <v>1536</v>
      </c>
      <c r="H119">
        <v>101</v>
      </c>
      <c r="I119" t="s">
        <v>439</v>
      </c>
      <c r="J119">
        <f ca="1">VLOOKUP(G119,INDIRECT("球速変換!A$1:B$" &amp; Prams!$B$8),2,)</f>
        <v>115</v>
      </c>
      <c r="K119" t="str">
        <f ca="1">VLOOKUP(I119,INDIRECT("投手名変換!A$1:B$" &amp; Prams!$B$9),2,)</f>
        <v>DD007</v>
      </c>
      <c r="L119">
        <f t="shared" si="11"/>
        <v>47</v>
      </c>
      <c r="M119">
        <f ca="1">(B119-VLOOKUP(K119,INDIRECT("投手データ!B1:D"&amp;Prams!$B$1),3,FALSE)*2)</f>
        <v>54</v>
      </c>
      <c r="N119" t="str">
        <f ca="1">VLOOKUP(F119,INDIRECT("球種変換表!A$1:B$" &amp; Prams!$B$2),2,)</f>
        <v>ナックル</v>
      </c>
      <c r="O119">
        <f ca="1">VLOOKUP(N119,球種情報!A:B,2,FALSE)</f>
        <v>20</v>
      </c>
      <c r="P119">
        <f ca="1">VLOOKUP(K119,投手データ!B:AI,output!O119+6,FALSE)</f>
        <v>1</v>
      </c>
      <c r="R119">
        <f t="shared" ca="1" si="7"/>
        <v>8.6956521739130436E-3</v>
      </c>
      <c r="S119">
        <f t="shared" si="8"/>
        <v>0.7753472222222223</v>
      </c>
      <c r="T119">
        <f>Prams!B$5/(S119-Prams!B$6)</f>
        <v>86.460024007738411</v>
      </c>
      <c r="U119">
        <f t="shared" ca="1" si="9"/>
        <v>0.89201388888888888</v>
      </c>
      <c r="V119">
        <f ca="1">Prams!C$5/(U119-Prams!C$6)</f>
        <v>82.605361709392824</v>
      </c>
      <c r="W119">
        <f t="shared" ca="1" si="10"/>
        <v>0.71830749312515496</v>
      </c>
    </row>
    <row r="120" spans="1:23" hidden="1" x14ac:dyDescent="0.55000000000000004">
      <c r="A120" s="1" t="s">
        <v>485</v>
      </c>
      <c r="B120" s="1">
        <v>148</v>
      </c>
      <c r="C120">
        <v>643.5</v>
      </c>
      <c r="D120">
        <v>606.5</v>
      </c>
      <c r="E120">
        <v>11.510960000000001</v>
      </c>
      <c r="F120" t="s">
        <v>44</v>
      </c>
      <c r="G120" s="10" t="s">
        <v>1537</v>
      </c>
      <c r="H120">
        <v>101</v>
      </c>
      <c r="I120" t="s">
        <v>438</v>
      </c>
      <c r="J120">
        <f ca="1">VLOOKUP(G120,INDIRECT("球速変換!A$1:B$" &amp; Prams!$B$8),2,)</f>
        <v>114</v>
      </c>
      <c r="K120" t="str">
        <f ca="1">VLOOKUP(I120,INDIRECT("投手名変換!A$1:B$" &amp; Prams!$B$9),2,)</f>
        <v>DD007</v>
      </c>
      <c r="L120">
        <f t="shared" si="11"/>
        <v>47</v>
      </c>
      <c r="M120">
        <f ca="1">(B120-VLOOKUP(K120,INDIRECT("投手データ!B1:D"&amp;Prams!$B$1),3,FALSE)*2)</f>
        <v>54</v>
      </c>
      <c r="N120" t="str">
        <f ca="1">VLOOKUP(F120,INDIRECT("球種変換表!A$1:B$" &amp; Prams!$B$2),2,)</f>
        <v>ナックル</v>
      </c>
      <c r="O120">
        <f ca="1">VLOOKUP(N120,球種情報!A:B,2,FALSE)</f>
        <v>20</v>
      </c>
      <c r="P120">
        <f ca="1">VLOOKUP(K120,投手データ!B:AI,output!O120+6,FALSE)</f>
        <v>1</v>
      </c>
      <c r="R120">
        <f t="shared" ca="1" si="7"/>
        <v>8.771929824561403E-3</v>
      </c>
      <c r="S120">
        <f t="shared" si="8"/>
        <v>0.7788194444444444</v>
      </c>
      <c r="T120">
        <f>Prams!B$5/(S120-Prams!B$6)</f>
        <v>86.042208708493945</v>
      </c>
      <c r="U120">
        <f t="shared" ca="1" si="9"/>
        <v>0.89548611111111109</v>
      </c>
      <c r="V120">
        <f ca="1">Prams!C$5/(U120-Prams!C$6)</f>
        <v>82.223888812948189</v>
      </c>
      <c r="W120">
        <f t="shared" ca="1" si="10"/>
        <v>0.72126218256972097</v>
      </c>
    </row>
    <row r="121" spans="1:23" hidden="1" x14ac:dyDescent="0.55000000000000004">
      <c r="A121" s="1" t="s">
        <v>487</v>
      </c>
      <c r="B121" s="1">
        <v>148</v>
      </c>
      <c r="C121">
        <v>647</v>
      </c>
      <c r="D121">
        <v>606.5</v>
      </c>
      <c r="E121">
        <v>11.01146</v>
      </c>
      <c r="F121" t="s">
        <v>486</v>
      </c>
      <c r="G121" s="10" t="s">
        <v>1538</v>
      </c>
      <c r="H121">
        <v>101</v>
      </c>
      <c r="I121" t="s">
        <v>438</v>
      </c>
      <c r="J121">
        <f ca="1">VLOOKUP(G121,INDIRECT("球速変換!A$1:B$" &amp; Prams!$B$8),2,)</f>
        <v>114</v>
      </c>
      <c r="K121" t="str">
        <f ca="1">VLOOKUP(I121,INDIRECT("投手名変換!A$1:B$" &amp; Prams!$B$9),2,)</f>
        <v>DD007</v>
      </c>
      <c r="L121">
        <f t="shared" si="11"/>
        <v>47</v>
      </c>
      <c r="M121">
        <f ca="1">(B121-VLOOKUP(K121,INDIRECT("投手データ!B1:D"&amp;Prams!$B$1),3,FALSE)*2)</f>
        <v>54</v>
      </c>
      <c r="N121" t="str">
        <f ca="1">VLOOKUP(F121,INDIRECT("球種変換表!A$1:B$" &amp; Prams!$B$2),2,)</f>
        <v>ナックル</v>
      </c>
      <c r="O121">
        <f ca="1">VLOOKUP(N121,球種情報!A:B,2,FALSE)</f>
        <v>20</v>
      </c>
      <c r="P121">
        <f ca="1">VLOOKUP(K121,投手データ!B:AI,output!O121+6,FALSE)</f>
        <v>1</v>
      </c>
      <c r="R121">
        <f t="shared" ca="1" si="7"/>
        <v>8.771929824561403E-3</v>
      </c>
      <c r="S121">
        <f t="shared" si="8"/>
        <v>0.7788194444444444</v>
      </c>
      <c r="T121">
        <f>Prams!B$5/(S121-Prams!B$6)</f>
        <v>86.042208708493945</v>
      </c>
      <c r="U121">
        <f t="shared" ca="1" si="9"/>
        <v>0.89548611111111109</v>
      </c>
      <c r="V121">
        <f ca="1">Prams!C$5/(U121-Prams!C$6)</f>
        <v>82.223888812948189</v>
      </c>
      <c r="W121">
        <f t="shared" ca="1" si="10"/>
        <v>0.72126218256972097</v>
      </c>
    </row>
    <row r="122" spans="1:23" hidden="1" x14ac:dyDescent="0.55000000000000004">
      <c r="A122" s="1" t="s">
        <v>1949</v>
      </c>
      <c r="B122" s="1">
        <v>128</v>
      </c>
      <c r="C122">
        <v>637</v>
      </c>
      <c r="D122">
        <v>605.5</v>
      </c>
      <c r="E122">
        <v>10.111969999999999</v>
      </c>
      <c r="F122" t="s">
        <v>0</v>
      </c>
      <c r="G122" s="10" t="s">
        <v>635</v>
      </c>
      <c r="H122">
        <v>99</v>
      </c>
      <c r="I122" t="s">
        <v>488</v>
      </c>
      <c r="J122">
        <f ca="1">VLOOKUP(G122,INDIRECT("球速変換!A$1:B$" &amp; Prams!$B$8),2,)</f>
        <v>148</v>
      </c>
      <c r="K122" t="str">
        <f ca="1">VLOOKUP(I122,INDIRECT("投手名変換!A$1:B$" &amp; Prams!$B$9),2,)</f>
        <v>DD021</v>
      </c>
      <c r="L122">
        <f t="shared" si="11"/>
        <v>29</v>
      </c>
      <c r="M122">
        <f ca="1">(B122-VLOOKUP(K122,INDIRECT("投手データ!B1:D"&amp;Prams!$B$1),3,FALSE)*2)</f>
        <v>34</v>
      </c>
      <c r="N122" t="str">
        <f ca="1">VLOOKUP(F122,INDIRECT("球種変換表!A$1:B$" &amp; Prams!$B$2),2,)</f>
        <v>ストレート</v>
      </c>
      <c r="O122">
        <f ca="1">VLOOKUP(N122,球種情報!A:B,2,FALSE)</f>
        <v>1</v>
      </c>
      <c r="P122">
        <f ca="1">VLOOKUP(K122,投手データ!B:AI,output!O122+6,FALSE)</f>
        <v>1</v>
      </c>
      <c r="R122">
        <f t="shared" ca="1" si="7"/>
        <v>6.7567567567567571E-3</v>
      </c>
      <c r="S122">
        <f t="shared" si="8"/>
        <v>0.47951388888888885</v>
      </c>
      <c r="T122">
        <f>Prams!B$5/(S122-Prams!B$6)</f>
        <v>147.47364445357385</v>
      </c>
      <c r="U122">
        <f t="shared" ca="1" si="9"/>
        <v>0.56284722222222228</v>
      </c>
      <c r="V122">
        <f ca="1">Prams!C$5/(U122-Prams!C$6)</f>
        <v>147.46191918054183</v>
      </c>
      <c r="W122">
        <f t="shared" ca="1" si="10"/>
        <v>0.9963643187874448</v>
      </c>
    </row>
    <row r="123" spans="1:23" hidden="1" x14ac:dyDescent="0.55000000000000004">
      <c r="A123" s="1" t="s">
        <v>1950</v>
      </c>
      <c r="B123" s="1">
        <v>129</v>
      </c>
      <c r="C123">
        <v>635.5</v>
      </c>
      <c r="D123">
        <v>612</v>
      </c>
      <c r="E123">
        <v>11.5435</v>
      </c>
      <c r="F123" t="s">
        <v>0</v>
      </c>
      <c r="G123" s="10" t="s">
        <v>584</v>
      </c>
      <c r="H123">
        <v>99</v>
      </c>
      <c r="I123" t="s">
        <v>488</v>
      </c>
      <c r="J123">
        <f ca="1">VLOOKUP(G123,INDIRECT("球速変換!A$1:B$" &amp; Prams!$B$8),2,)</f>
        <v>141</v>
      </c>
      <c r="K123" t="str">
        <f ca="1">VLOOKUP(I123,INDIRECT("投手名変換!A$1:B$" &amp; Prams!$B$9),2,)</f>
        <v>DD021</v>
      </c>
      <c r="L123">
        <f t="shared" si="11"/>
        <v>30</v>
      </c>
      <c r="M123">
        <f ca="1">(B123-VLOOKUP(K123,INDIRECT("投手データ!B1:D"&amp;Prams!$B$1),3,FALSE)*2)</f>
        <v>35</v>
      </c>
      <c r="N123" t="str">
        <f ca="1">VLOOKUP(F123,INDIRECT("球種変換表!A$1:B$" &amp; Prams!$B$2),2,)</f>
        <v>ストレート</v>
      </c>
      <c r="O123">
        <f ca="1">VLOOKUP(N123,球種情報!A:B,2,FALSE)</f>
        <v>1</v>
      </c>
      <c r="P123">
        <f ca="1">VLOOKUP(K123,投手データ!B:AI,output!O123+6,FALSE)</f>
        <v>1</v>
      </c>
      <c r="R123">
        <f t="shared" ca="1" si="7"/>
        <v>7.0921985815602835E-3</v>
      </c>
      <c r="S123">
        <f t="shared" si="8"/>
        <v>0.49166666666666664</v>
      </c>
      <c r="T123">
        <f>Prams!B$5/(S123-Prams!B$6)</f>
        <v>143.3189088942122</v>
      </c>
      <c r="U123">
        <f t="shared" ca="1" si="9"/>
        <v>0.57499999999999996</v>
      </c>
      <c r="V123">
        <f ca="1">Prams!C$5/(U123-Prams!C$6)</f>
        <v>143.30783495595736</v>
      </c>
      <c r="W123">
        <f t="shared" ca="1" si="10"/>
        <v>1.0163676238011161</v>
      </c>
    </row>
    <row r="124" spans="1:23" hidden="1" x14ac:dyDescent="0.55000000000000004">
      <c r="A124" s="1" t="s">
        <v>1951</v>
      </c>
      <c r="B124" s="1">
        <v>129</v>
      </c>
      <c r="C124">
        <v>640</v>
      </c>
      <c r="D124">
        <v>616.5</v>
      </c>
      <c r="E124">
        <v>11.01146</v>
      </c>
      <c r="F124" t="s">
        <v>0</v>
      </c>
      <c r="G124" s="10" t="s">
        <v>972</v>
      </c>
      <c r="H124">
        <v>99</v>
      </c>
      <c r="I124" t="s">
        <v>488</v>
      </c>
      <c r="J124">
        <f ca="1">VLOOKUP(G124,INDIRECT("球速変換!A$1:B$" &amp; Prams!$B$8),2,)</f>
        <v>144</v>
      </c>
      <c r="K124" t="str">
        <f ca="1">VLOOKUP(I124,INDIRECT("投手名変換!A$1:B$" &amp; Prams!$B$9),2,)</f>
        <v>DD021</v>
      </c>
      <c r="L124">
        <f t="shared" si="11"/>
        <v>30</v>
      </c>
      <c r="M124">
        <f ca="1">(B124-VLOOKUP(K124,INDIRECT("投手データ!B1:D"&amp;Prams!$B$1),3,FALSE)*2)</f>
        <v>35</v>
      </c>
      <c r="N124" t="str">
        <f ca="1">VLOOKUP(F124,INDIRECT("球種変換表!A$1:B$" &amp; Prams!$B$2),2,)</f>
        <v>ストレート</v>
      </c>
      <c r="O124">
        <f ca="1">VLOOKUP(N124,球種情報!A:B,2,FALSE)</f>
        <v>1</v>
      </c>
      <c r="P124">
        <f ca="1">VLOOKUP(K124,投手データ!B:AI,output!O124+6,FALSE)</f>
        <v>1</v>
      </c>
      <c r="R124">
        <f t="shared" ca="1" si="7"/>
        <v>6.9444444444444441E-3</v>
      </c>
      <c r="S124">
        <f t="shared" si="8"/>
        <v>0.48854166666666665</v>
      </c>
      <c r="T124">
        <f>Prams!B$5/(S124-Prams!B$6)</f>
        <v>144.36474731946527</v>
      </c>
      <c r="U124">
        <f t="shared" ca="1" si="9"/>
        <v>0.57187500000000002</v>
      </c>
      <c r="V124">
        <f ca="1">Prams!C$5/(U124-Prams!C$6)</f>
        <v>144.35351117856516</v>
      </c>
      <c r="W124">
        <f t="shared" ca="1" si="10"/>
        <v>1.0024549387400359</v>
      </c>
    </row>
    <row r="125" spans="1:23" hidden="1" x14ac:dyDescent="0.55000000000000004">
      <c r="A125" s="1" t="s">
        <v>1952</v>
      </c>
      <c r="B125" s="1">
        <v>129</v>
      </c>
      <c r="C125">
        <v>638</v>
      </c>
      <c r="D125">
        <v>616.5</v>
      </c>
      <c r="E125">
        <v>11.01146</v>
      </c>
      <c r="F125" t="s">
        <v>656</v>
      </c>
      <c r="G125" s="10" t="s">
        <v>640</v>
      </c>
      <c r="H125">
        <v>99</v>
      </c>
      <c r="I125" t="s">
        <v>488</v>
      </c>
      <c r="J125">
        <v>145</v>
      </c>
      <c r="K125" t="str">
        <f ca="1">VLOOKUP(I125,INDIRECT("投手名変換!A$1:B$" &amp; Prams!$B$9),2,)</f>
        <v>DD021</v>
      </c>
      <c r="L125">
        <f t="shared" si="11"/>
        <v>30</v>
      </c>
      <c r="M125">
        <f ca="1">(B125-VLOOKUP(K125,INDIRECT("投手データ!B1:D"&amp;Prams!$B$1),3,FALSE)*2)</f>
        <v>35</v>
      </c>
      <c r="N125" t="str">
        <f ca="1">VLOOKUP(F125,INDIRECT("球種変換表!A$1:B$" &amp; Prams!$B$2),2,)</f>
        <v>ストレート</v>
      </c>
      <c r="O125">
        <f ca="1">VLOOKUP(N125,球種情報!A:B,2,FALSE)</f>
        <v>1</v>
      </c>
      <c r="P125">
        <f ca="1">VLOOKUP(K125,投手データ!B:AI,output!O125+6,FALSE)</f>
        <v>1</v>
      </c>
      <c r="R125">
        <f t="shared" si="7"/>
        <v>6.8965517241379309E-3</v>
      </c>
      <c r="S125">
        <f t="shared" si="8"/>
        <v>0.48854166666666665</v>
      </c>
      <c r="T125">
        <f>Prams!B$5/(S125-Prams!B$6)</f>
        <v>144.36474731946527</v>
      </c>
      <c r="U125">
        <f t="shared" ca="1" si="9"/>
        <v>0.57187500000000002</v>
      </c>
      <c r="V125">
        <f ca="1">Prams!C$5/(U125-Prams!C$6)</f>
        <v>144.35351117856516</v>
      </c>
      <c r="W125">
        <f t="shared" ca="1" si="10"/>
        <v>0.99554145640389768</v>
      </c>
    </row>
    <row r="126" spans="1:23" hidden="1" x14ac:dyDescent="0.55000000000000004">
      <c r="A126" s="1" t="s">
        <v>1953</v>
      </c>
      <c r="B126" s="1">
        <v>128</v>
      </c>
      <c r="C126">
        <v>635</v>
      </c>
      <c r="D126">
        <v>603.5</v>
      </c>
      <c r="E126">
        <v>11.01146</v>
      </c>
      <c r="F126" t="s">
        <v>0</v>
      </c>
      <c r="G126" s="10" t="s">
        <v>613</v>
      </c>
      <c r="H126">
        <v>99</v>
      </c>
      <c r="I126" t="s">
        <v>488</v>
      </c>
      <c r="J126">
        <f ca="1">VLOOKUP(G126,INDIRECT("球速変換!A$1:B$" &amp; Prams!$B$8),2,)</f>
        <v>147</v>
      </c>
      <c r="K126" t="str">
        <f ca="1">VLOOKUP(I126,INDIRECT("投手名変換!A$1:B$" &amp; Prams!$B$9),2,)</f>
        <v>DD021</v>
      </c>
      <c r="L126">
        <f t="shared" si="11"/>
        <v>29</v>
      </c>
      <c r="M126">
        <f ca="1">(B126-VLOOKUP(K126,INDIRECT("投手データ!B1:D"&amp;Prams!$B$1),3,FALSE)*2)</f>
        <v>34</v>
      </c>
      <c r="N126" t="str">
        <f ca="1">VLOOKUP(F126,INDIRECT("球種変換表!A$1:B$" &amp; Prams!$B$2),2,)</f>
        <v>ストレート</v>
      </c>
      <c r="O126">
        <f ca="1">VLOOKUP(N126,球種情報!A:B,2,FALSE)</f>
        <v>1</v>
      </c>
      <c r="P126">
        <f ca="1">VLOOKUP(K126,投手データ!B:AI,output!O126+6,FALSE)</f>
        <v>1</v>
      </c>
      <c r="R126">
        <f t="shared" ca="1" si="7"/>
        <v>6.8027210884353739E-3</v>
      </c>
      <c r="S126">
        <f t="shared" si="8"/>
        <v>0.48090277777777779</v>
      </c>
      <c r="T126">
        <f>Prams!B$5/(S126-Prams!B$6)</f>
        <v>146.98666596221031</v>
      </c>
      <c r="U126">
        <f t="shared" ca="1" si="9"/>
        <v>0.56423611111111105</v>
      </c>
      <c r="V126">
        <f ca="1">Prams!C$5/(U126-Prams!C$6)</f>
        <v>146.97501799523212</v>
      </c>
      <c r="W126">
        <f t="shared" ca="1" si="10"/>
        <v>0.99983005438933414</v>
      </c>
    </row>
    <row r="127" spans="1:23" hidden="1" x14ac:dyDescent="0.55000000000000004">
      <c r="A127" s="1" t="s">
        <v>1955</v>
      </c>
      <c r="B127" s="1">
        <v>129</v>
      </c>
      <c r="C127">
        <v>644.57141000000001</v>
      </c>
      <c r="D127">
        <v>617</v>
      </c>
      <c r="E127">
        <v>10.618740000000001</v>
      </c>
      <c r="F127" t="s">
        <v>0</v>
      </c>
      <c r="G127" s="10" t="s">
        <v>635</v>
      </c>
      <c r="H127">
        <v>99</v>
      </c>
      <c r="I127" t="s">
        <v>1954</v>
      </c>
      <c r="J127">
        <v>145</v>
      </c>
      <c r="K127" t="str">
        <f ca="1">VLOOKUP(I127,INDIRECT("投手名変換!A$1:B$" &amp; Prams!$B$9),2,)</f>
        <v>DD021</v>
      </c>
      <c r="L127">
        <f t="shared" si="11"/>
        <v>30</v>
      </c>
      <c r="M127">
        <f ca="1">(B127-VLOOKUP(K127,INDIRECT("投手データ!B1:D"&amp;Prams!$B$1),3,FALSE)*2)</f>
        <v>35</v>
      </c>
      <c r="N127" t="str">
        <f ca="1">VLOOKUP(F127,INDIRECT("球種変換表!A$1:B$" &amp; Prams!$B$2),2,)</f>
        <v>ストレート</v>
      </c>
      <c r="O127">
        <f ca="1">VLOOKUP(N127,球種情報!A:B,2,FALSE)</f>
        <v>1</v>
      </c>
      <c r="P127">
        <f ca="1">VLOOKUP(K127,投手データ!B:AI,output!O127+6,FALSE)</f>
        <v>1</v>
      </c>
      <c r="R127">
        <f t="shared" si="7"/>
        <v>6.8965517241379309E-3</v>
      </c>
      <c r="S127">
        <f t="shared" si="8"/>
        <v>0.48819444444444449</v>
      </c>
      <c r="T127">
        <f>Prams!B$5/(S127-Prams!B$6)</f>
        <v>144.48189454824009</v>
      </c>
      <c r="U127">
        <f t="shared" ca="1" si="9"/>
        <v>0.57152777777777775</v>
      </c>
      <c r="V127">
        <f ca="1">Prams!C$5/(U127-Prams!C$6)</f>
        <v>144.47064016513693</v>
      </c>
      <c r="W127">
        <f t="shared" ca="1" si="10"/>
        <v>0.99634924251818568</v>
      </c>
    </row>
    <row r="128" spans="1:23" hidden="1" x14ac:dyDescent="0.55000000000000004">
      <c r="A128" s="1" t="s">
        <v>1956</v>
      </c>
      <c r="B128" s="1">
        <v>129</v>
      </c>
      <c r="C128">
        <v>643.52173000000005</v>
      </c>
      <c r="D128">
        <v>620</v>
      </c>
      <c r="E128">
        <v>11.521850000000001</v>
      </c>
      <c r="F128" t="s">
        <v>0</v>
      </c>
      <c r="G128" s="10" t="s">
        <v>611</v>
      </c>
      <c r="H128">
        <v>99</v>
      </c>
      <c r="I128" t="s">
        <v>488</v>
      </c>
      <c r="J128">
        <f ca="1">VLOOKUP(G128,INDIRECT("球速変換!A$1:B$" &amp; Prams!$B$8),2,)</f>
        <v>146</v>
      </c>
      <c r="K128" t="str">
        <f ca="1">VLOOKUP(I128,INDIRECT("投手名変換!A$1:B$" &amp; Prams!$B$9),2,)</f>
        <v>DD021</v>
      </c>
      <c r="L128">
        <f t="shared" si="11"/>
        <v>30</v>
      </c>
      <c r="M128">
        <f ca="1">(B128-VLOOKUP(K128,INDIRECT("投手データ!B1:D"&amp;Prams!$B$1),3,FALSE)*2)</f>
        <v>35</v>
      </c>
      <c r="N128" t="str">
        <f ca="1">VLOOKUP(F128,INDIRECT("球種変換表!A$1:B$" &amp; Prams!$B$2),2,)</f>
        <v>ストレート</v>
      </c>
      <c r="O128">
        <f ca="1">VLOOKUP(N128,球種情報!A:B,2,FALSE)</f>
        <v>1</v>
      </c>
      <c r="P128">
        <f ca="1">VLOOKUP(K128,投手データ!B:AI,output!O128+6,FALSE)</f>
        <v>1</v>
      </c>
      <c r="R128">
        <f t="shared" ca="1" si="7"/>
        <v>6.8493150684931503E-3</v>
      </c>
      <c r="S128">
        <f t="shared" si="8"/>
        <v>0.4861111111111111</v>
      </c>
      <c r="T128">
        <f>Prams!B$5/(S128-Prams!B$6)</f>
        <v>145.18879002165804</v>
      </c>
      <c r="U128">
        <f t="shared" ca="1" si="9"/>
        <v>0.56944444444444442</v>
      </c>
      <c r="V128">
        <f ca="1">Prams!C$5/(U128-Prams!C$6)</f>
        <v>145.17742524656893</v>
      </c>
      <c r="W128">
        <f t="shared" ca="1" si="10"/>
        <v>0.99436592634636256</v>
      </c>
    </row>
    <row r="129" spans="1:23" hidden="1" x14ac:dyDescent="0.55000000000000004">
      <c r="A129" s="1" t="s">
        <v>1957</v>
      </c>
      <c r="B129" s="1">
        <v>128</v>
      </c>
      <c r="C129">
        <v>638.5</v>
      </c>
      <c r="D129">
        <v>603.5</v>
      </c>
      <c r="E129">
        <v>10.512</v>
      </c>
      <c r="F129" t="s">
        <v>0</v>
      </c>
      <c r="G129" s="10" t="s">
        <v>613</v>
      </c>
      <c r="H129">
        <v>99</v>
      </c>
      <c r="I129" t="s">
        <v>488</v>
      </c>
      <c r="J129">
        <f ca="1">VLOOKUP(G129,INDIRECT("球速変換!A$1:B$" &amp; Prams!$B$8),2,)</f>
        <v>147</v>
      </c>
      <c r="K129" t="str">
        <f ca="1">VLOOKUP(I129,INDIRECT("投手名変換!A$1:B$" &amp; Prams!$B$9),2,)</f>
        <v>DD021</v>
      </c>
      <c r="L129">
        <f t="shared" si="11"/>
        <v>29</v>
      </c>
      <c r="M129">
        <f ca="1">(B129-VLOOKUP(K129,INDIRECT("投手データ!B1:D"&amp;Prams!$B$1),3,FALSE)*2)</f>
        <v>34</v>
      </c>
      <c r="N129" t="str">
        <f ca="1">VLOOKUP(F129,INDIRECT("球種変換表!A$1:B$" &amp; Prams!$B$2),2,)</f>
        <v>ストレート</v>
      </c>
      <c r="O129">
        <f ca="1">VLOOKUP(N129,球種情報!A:B,2,FALSE)</f>
        <v>1</v>
      </c>
      <c r="P129">
        <f ca="1">VLOOKUP(K129,投手データ!B:AI,output!O129+6,FALSE)</f>
        <v>1</v>
      </c>
      <c r="R129">
        <f t="shared" ca="1" si="7"/>
        <v>6.8027210884353739E-3</v>
      </c>
      <c r="S129">
        <f t="shared" si="8"/>
        <v>0.48090277777777779</v>
      </c>
      <c r="T129">
        <f>Prams!B$5/(S129-Prams!B$6)</f>
        <v>146.98666596221031</v>
      </c>
      <c r="U129">
        <f t="shared" ca="1" si="9"/>
        <v>0.56423611111111105</v>
      </c>
      <c r="V129">
        <f ca="1">Prams!C$5/(U129-Prams!C$6)</f>
        <v>146.97501799523212</v>
      </c>
      <c r="W129">
        <f t="shared" ca="1" si="10"/>
        <v>0.99983005438933414</v>
      </c>
    </row>
    <row r="130" spans="1:23" hidden="1" x14ac:dyDescent="0.55000000000000004">
      <c r="A130" s="1" t="s">
        <v>1958</v>
      </c>
      <c r="B130" s="1">
        <v>128</v>
      </c>
      <c r="C130">
        <v>638.5</v>
      </c>
      <c r="D130">
        <v>606</v>
      </c>
      <c r="E130">
        <v>10.547610000000001</v>
      </c>
      <c r="F130" t="s">
        <v>0</v>
      </c>
      <c r="G130" s="10" t="s">
        <v>638</v>
      </c>
      <c r="H130">
        <v>99</v>
      </c>
      <c r="I130" t="s">
        <v>488</v>
      </c>
      <c r="J130">
        <f ca="1">VLOOKUP(G130,INDIRECT("球速変換!A$1:B$" &amp; Prams!$B$8),2,)</f>
        <v>147</v>
      </c>
      <c r="K130" t="str">
        <f ca="1">VLOOKUP(I130,INDIRECT("投手名変換!A$1:B$" &amp; Prams!$B$9),2,)</f>
        <v>DD021</v>
      </c>
      <c r="L130">
        <f t="shared" si="11"/>
        <v>29</v>
      </c>
      <c r="M130">
        <f ca="1">(B130-VLOOKUP(K130,INDIRECT("投手データ!B1:D"&amp;Prams!$B$1),3,FALSE)*2)</f>
        <v>34</v>
      </c>
      <c r="N130" t="str">
        <f ca="1">VLOOKUP(F130,INDIRECT("球種変換表!A$1:B$" &amp; Prams!$B$2),2,)</f>
        <v>ストレート</v>
      </c>
      <c r="O130">
        <f ca="1">VLOOKUP(N130,球種情報!A:B,2,FALSE)</f>
        <v>1</v>
      </c>
      <c r="P130">
        <f ca="1">VLOOKUP(K130,投手データ!B:AI,output!O130+6,FALSE)</f>
        <v>1</v>
      </c>
      <c r="R130">
        <f t="shared" ca="1" si="7"/>
        <v>6.8027210884353739E-3</v>
      </c>
      <c r="S130">
        <f t="shared" si="8"/>
        <v>0.47916666666666669</v>
      </c>
      <c r="T130">
        <f>Prams!B$5/(S130-Prams!B$6)</f>
        <v>147.59589368136241</v>
      </c>
      <c r="U130">
        <f t="shared" ca="1" si="9"/>
        <v>0.5625</v>
      </c>
      <c r="V130">
        <f ca="1">Prams!C$5/(U130-Prams!C$6)</f>
        <v>147.584148961566</v>
      </c>
      <c r="W130">
        <f t="shared" ca="1" si="10"/>
        <v>1.0039738024596327</v>
      </c>
    </row>
    <row r="131" spans="1:23" hidden="1" x14ac:dyDescent="0.55000000000000004">
      <c r="A131" s="1" t="s">
        <v>1959</v>
      </c>
      <c r="B131" s="1">
        <v>128</v>
      </c>
      <c r="C131">
        <v>640</v>
      </c>
      <c r="D131">
        <v>600.5</v>
      </c>
      <c r="E131">
        <v>10.012589999999999</v>
      </c>
      <c r="F131" t="s">
        <v>0</v>
      </c>
      <c r="G131" s="10" t="s">
        <v>2433</v>
      </c>
      <c r="H131">
        <v>99</v>
      </c>
      <c r="I131" t="s">
        <v>488</v>
      </c>
      <c r="J131">
        <f ca="1">VLOOKUP(G131,INDIRECT("球速変換!A$1:B$" &amp; Prams!$B$8),2,)</f>
        <v>146</v>
      </c>
      <c r="K131" t="str">
        <f ca="1">VLOOKUP(I131,INDIRECT("投手名変換!A$1:B$" &amp; Prams!$B$9),2,)</f>
        <v>DD021</v>
      </c>
      <c r="L131">
        <f t="shared" ref="L131:L194" si="12">B131-H131</f>
        <v>29</v>
      </c>
      <c r="M131">
        <f ca="1">(B131-VLOOKUP(K131,INDIRECT("投手データ!B1:D"&amp;Prams!$B$1),3,FALSE)*2)</f>
        <v>34</v>
      </c>
      <c r="N131" t="str">
        <f ca="1">VLOOKUP(F131,INDIRECT("球種変換表!A$1:B$" &amp; Prams!$B$2),2,)</f>
        <v>ストレート</v>
      </c>
      <c r="O131">
        <f ca="1">VLOOKUP(N131,球種情報!A:B,2,FALSE)</f>
        <v>1</v>
      </c>
      <c r="P131">
        <f ca="1">VLOOKUP(K131,投手データ!B:AI,output!O131+6,FALSE)</f>
        <v>1</v>
      </c>
      <c r="R131">
        <f t="shared" ca="1" si="7"/>
        <v>6.8493150684931503E-3</v>
      </c>
      <c r="S131">
        <f t="shared" si="8"/>
        <v>0.48298611111111112</v>
      </c>
      <c r="T131">
        <f>Prams!B$5/(S131-Prams!B$6)</f>
        <v>146.26219876845835</v>
      </c>
      <c r="U131">
        <f t="shared" ca="1" si="9"/>
        <v>0.56631944444444438</v>
      </c>
      <c r="V131">
        <f ca="1">Prams!C$5/(U131-Prams!C$6)</f>
        <v>146.2506653349017</v>
      </c>
      <c r="W131">
        <f t="shared" ca="1" si="10"/>
        <v>1.001716885855491</v>
      </c>
    </row>
    <row r="132" spans="1:23" hidden="1" x14ac:dyDescent="0.55000000000000004">
      <c r="A132" s="1" t="s">
        <v>489</v>
      </c>
      <c r="B132" s="1">
        <v>125</v>
      </c>
      <c r="C132">
        <v>640.5</v>
      </c>
      <c r="D132">
        <v>619.5</v>
      </c>
      <c r="E132">
        <v>10.512</v>
      </c>
      <c r="F132" t="s">
        <v>1540</v>
      </c>
      <c r="G132" s="10" t="s">
        <v>638</v>
      </c>
      <c r="H132">
        <v>98</v>
      </c>
      <c r="I132" t="s">
        <v>488</v>
      </c>
      <c r="J132">
        <f ca="1">VLOOKUP(G132,INDIRECT("球速変換!A$1:B$" &amp; Prams!$B$8),2,)</f>
        <v>147</v>
      </c>
      <c r="K132" t="str">
        <f ca="1">VLOOKUP(I132,INDIRECT("投手名変換!A$1:B$" &amp; Prams!$B$9),2,)</f>
        <v>DD021</v>
      </c>
      <c r="L132">
        <f t="shared" si="12"/>
        <v>27</v>
      </c>
      <c r="M132">
        <f ca="1">(B132-VLOOKUP(K132,INDIRECT("投手データ!B1:D"&amp;Prams!$B$1),3,FALSE)*2)</f>
        <v>31</v>
      </c>
      <c r="N132" t="str">
        <f ca="1">VLOOKUP(F132,INDIRECT("球種変換表!A$1:B$" &amp; Prams!$B$2),2,)</f>
        <v>全力ストレート</v>
      </c>
      <c r="O132">
        <f ca="1">VLOOKUP(N132,球種情報!A:B,2,FALSE)</f>
        <v>2</v>
      </c>
      <c r="P132">
        <f ca="1">VLOOKUP(K132,投手データ!B:AI,output!O132+6,FALSE)</f>
        <v>1</v>
      </c>
      <c r="R132">
        <f t="shared" ca="1" si="7"/>
        <v>6.8027210884353739E-3</v>
      </c>
      <c r="S132">
        <f t="shared" si="8"/>
        <v>0.43645833333333334</v>
      </c>
      <c r="T132">
        <f>Prams!B$5/(S132-Prams!B$6)</f>
        <v>164.35366312944461</v>
      </c>
      <c r="U132">
        <f t="shared" ca="1" si="9"/>
        <v>0.50312500000000004</v>
      </c>
      <c r="V132">
        <f ca="1">Prams!C$5/(U132-Prams!C$6)</f>
        <v>171.95744384952366</v>
      </c>
      <c r="W132">
        <f t="shared" ca="1" si="10"/>
        <v>1.1697785295885963</v>
      </c>
    </row>
    <row r="133" spans="1:23" hidden="1" x14ac:dyDescent="0.55000000000000004">
      <c r="A133" s="1" t="s">
        <v>491</v>
      </c>
      <c r="B133" s="1">
        <v>125</v>
      </c>
      <c r="C133">
        <v>641.5</v>
      </c>
      <c r="D133">
        <v>623</v>
      </c>
      <c r="E133">
        <v>10.5001</v>
      </c>
      <c r="F133" t="s">
        <v>1541</v>
      </c>
      <c r="G133" s="10" t="s">
        <v>640</v>
      </c>
      <c r="H133">
        <v>98</v>
      </c>
      <c r="I133" t="s">
        <v>488</v>
      </c>
      <c r="J133">
        <f ca="1">VLOOKUP(G133,INDIRECT("球速変換!A$1:B$" &amp; Prams!$B$8),2,)</f>
        <v>148</v>
      </c>
      <c r="K133" t="str">
        <f ca="1">VLOOKUP(I133,INDIRECT("投手名変換!A$1:B$" &amp; Prams!$B$9),2,)</f>
        <v>DD021</v>
      </c>
      <c r="L133">
        <f t="shared" si="12"/>
        <v>27</v>
      </c>
      <c r="M133">
        <f ca="1">(B133-VLOOKUP(K133,INDIRECT("投手データ!B1:D"&amp;Prams!$B$1),3,FALSE)*2)</f>
        <v>31</v>
      </c>
      <c r="N133" t="str">
        <f ca="1">VLOOKUP(F133,INDIRECT("球種変換表!A$1:B$" &amp; Prams!$B$2),2,)</f>
        <v>全力ストレート</v>
      </c>
      <c r="O133">
        <f ca="1">VLOOKUP(N133,球種情報!A:B,2,FALSE)</f>
        <v>2</v>
      </c>
      <c r="P133">
        <f ca="1">VLOOKUP(K133,投手データ!B:AI,output!O133+6,FALSE)</f>
        <v>1</v>
      </c>
      <c r="R133">
        <f t="shared" ref="R133:R196" ca="1" si="13">1/J133</f>
        <v>6.7567567567567571E-3</v>
      </c>
      <c r="S133">
        <f t="shared" ref="S133:S196" si="14">(L133-(D133-600)/24)*2/120</f>
        <v>0.43402777777777779</v>
      </c>
      <c r="T133">
        <f>Prams!B$5/(S133-Prams!B$6)</f>
        <v>165.42254463290274</v>
      </c>
      <c r="U133">
        <f t="shared" ref="U133:U196" ca="1" si="15">(M133-(D133-600)/24)*2/120</f>
        <v>0.50069444444444444</v>
      </c>
      <c r="V133">
        <f ca="1">Prams!C$5/(U133-Prams!C$6)</f>
        <v>173.12786844438912</v>
      </c>
      <c r="W133">
        <f t="shared" ref="W133:W196" ca="1" si="16">V133/J133</f>
        <v>1.169782894894521</v>
      </c>
    </row>
    <row r="134" spans="1:23" hidden="1" x14ac:dyDescent="0.55000000000000004">
      <c r="A134" s="1" t="s">
        <v>492</v>
      </c>
      <c r="B134" s="1">
        <v>125</v>
      </c>
      <c r="C134">
        <v>641</v>
      </c>
      <c r="D134">
        <v>618.5</v>
      </c>
      <c r="E134">
        <v>11.01146</v>
      </c>
      <c r="F134" t="s">
        <v>531</v>
      </c>
      <c r="G134" s="10" t="s">
        <v>620</v>
      </c>
      <c r="H134">
        <v>98</v>
      </c>
      <c r="I134" t="s">
        <v>1542</v>
      </c>
      <c r="J134">
        <f ca="1">VLOOKUP(G134,INDIRECT("球速変換!A$1:B$" &amp; Prams!$B$8),2,)</f>
        <v>146</v>
      </c>
      <c r="K134" t="str">
        <f ca="1">VLOOKUP(I134,INDIRECT("投手名変換!A$1:B$" &amp; Prams!$B$9),2,)</f>
        <v>DD021</v>
      </c>
      <c r="L134">
        <f t="shared" si="12"/>
        <v>27</v>
      </c>
      <c r="M134">
        <f ca="1">(B134-VLOOKUP(K134,INDIRECT("投手データ!B1:D"&amp;Prams!$B$1),3,FALSE)*2)</f>
        <v>31</v>
      </c>
      <c r="N134" t="str">
        <f ca="1">VLOOKUP(F134,INDIRECT("球種変換表!A$1:B$" &amp; Prams!$B$2),2,)</f>
        <v>全力ストレート</v>
      </c>
      <c r="O134">
        <f ca="1">VLOOKUP(N134,球種情報!A:B,2,FALSE)</f>
        <v>2</v>
      </c>
      <c r="P134">
        <f ca="1">VLOOKUP(K134,投手データ!B:AI,output!O134+6,FALSE)</f>
        <v>1</v>
      </c>
      <c r="R134">
        <f t="shared" ca="1" si="13"/>
        <v>6.8493150684931503E-3</v>
      </c>
      <c r="S134">
        <f t="shared" si="14"/>
        <v>0.43715277777777778</v>
      </c>
      <c r="T134">
        <f>Prams!B$5/(S134-Prams!B$6)</f>
        <v>164.05080085798315</v>
      </c>
      <c r="U134">
        <f t="shared" ca="1" si="15"/>
        <v>0.50381944444444449</v>
      </c>
      <c r="V134">
        <f ca="1">Prams!C$5/(U134-Prams!C$6)</f>
        <v>171.6259378927968</v>
      </c>
      <c r="W134">
        <f t="shared" ca="1" si="16"/>
        <v>1.1755201225534027</v>
      </c>
    </row>
    <row r="135" spans="1:23" hidden="1" x14ac:dyDescent="0.55000000000000004">
      <c r="A135" s="1" t="s">
        <v>493</v>
      </c>
      <c r="B135" s="1">
        <v>125</v>
      </c>
      <c r="C135">
        <v>641.95001000000002</v>
      </c>
      <c r="D135">
        <v>622.5</v>
      </c>
      <c r="E135">
        <v>10.062519999999999</v>
      </c>
      <c r="F135" t="s">
        <v>343</v>
      </c>
      <c r="G135" s="10" t="s">
        <v>635</v>
      </c>
      <c r="H135">
        <v>98</v>
      </c>
      <c r="I135" t="s">
        <v>488</v>
      </c>
      <c r="J135">
        <f ca="1">VLOOKUP(G135,INDIRECT("球速変換!A$1:B$" &amp; Prams!$B$8),2,)</f>
        <v>148</v>
      </c>
      <c r="K135" t="str">
        <f ca="1">VLOOKUP(I135,INDIRECT("投手名変換!A$1:B$" &amp; Prams!$B$9),2,)</f>
        <v>DD021</v>
      </c>
      <c r="L135">
        <f t="shared" si="12"/>
        <v>27</v>
      </c>
      <c r="M135">
        <f ca="1">(B135-VLOOKUP(K135,INDIRECT("投手データ!B1:D"&amp;Prams!$B$1),3,FALSE)*2)</f>
        <v>31</v>
      </c>
      <c r="N135" t="str">
        <f ca="1">VLOOKUP(F135,INDIRECT("球種変換表!A$1:B$" &amp; Prams!$B$2),2,)</f>
        <v>全力ストレート</v>
      </c>
      <c r="O135">
        <f ca="1">VLOOKUP(N135,球種情報!A:B,2,FALSE)</f>
        <v>2</v>
      </c>
      <c r="P135">
        <f ca="1">VLOOKUP(K135,投手データ!B:AI,output!O135+6,FALSE)</f>
        <v>1</v>
      </c>
      <c r="R135">
        <f t="shared" ca="1" si="13"/>
        <v>6.7567567567567571E-3</v>
      </c>
      <c r="S135">
        <f t="shared" si="14"/>
        <v>0.43437500000000001</v>
      </c>
      <c r="T135">
        <f>Prams!B$5/(S135-Prams!B$6)</f>
        <v>165.26899685891868</v>
      </c>
      <c r="U135">
        <f t="shared" ca="1" si="15"/>
        <v>0.50104166666666672</v>
      </c>
      <c r="V135">
        <f ca="1">Prams!C$5/(U135-Prams!C$6)</f>
        <v>172.9596903923717</v>
      </c>
      <c r="W135">
        <f t="shared" ca="1" si="16"/>
        <v>1.1686465567052142</v>
      </c>
    </row>
    <row r="136" spans="1:23" hidden="1" x14ac:dyDescent="0.55000000000000004">
      <c r="A136" s="1" t="s">
        <v>495</v>
      </c>
      <c r="B136" s="1">
        <v>125</v>
      </c>
      <c r="C136">
        <v>640.5</v>
      </c>
      <c r="D136">
        <v>616.5</v>
      </c>
      <c r="E136">
        <v>10.512</v>
      </c>
      <c r="F136" t="s">
        <v>343</v>
      </c>
      <c r="G136" s="10" t="s">
        <v>620</v>
      </c>
      <c r="H136">
        <v>98</v>
      </c>
      <c r="I136" t="s">
        <v>488</v>
      </c>
      <c r="J136">
        <f ca="1">VLOOKUP(G136,INDIRECT("球速変換!A$1:B$" &amp; Prams!$B$8),2,)</f>
        <v>146</v>
      </c>
      <c r="K136" t="str">
        <f ca="1">VLOOKUP(I136,INDIRECT("投手名変換!A$1:B$" &amp; Prams!$B$9),2,)</f>
        <v>DD021</v>
      </c>
      <c r="L136">
        <f t="shared" si="12"/>
        <v>27</v>
      </c>
      <c r="M136">
        <f ca="1">(B136-VLOOKUP(K136,INDIRECT("投手データ!B1:D"&amp;Prams!$B$1),3,FALSE)*2)</f>
        <v>31</v>
      </c>
      <c r="N136" t="str">
        <f ca="1">VLOOKUP(F136,INDIRECT("球種変換表!A$1:B$" &amp; Prams!$B$2),2,)</f>
        <v>全力ストレート</v>
      </c>
      <c r="O136">
        <f ca="1">VLOOKUP(N136,球種情報!A:B,2,FALSE)</f>
        <v>2</v>
      </c>
      <c r="P136">
        <f ca="1">VLOOKUP(K136,投手データ!B:AI,output!O136+6,FALSE)</f>
        <v>1</v>
      </c>
      <c r="R136">
        <f t="shared" ca="1" si="13"/>
        <v>6.8493150684931503E-3</v>
      </c>
      <c r="S136">
        <f t="shared" si="14"/>
        <v>0.43854166666666666</v>
      </c>
      <c r="T136">
        <f>Prams!B$5/(S136-Prams!B$6)</f>
        <v>163.44841261098506</v>
      </c>
      <c r="U136">
        <f t="shared" ca="1" si="15"/>
        <v>0.50520833333333337</v>
      </c>
      <c r="V136">
        <f ca="1">Prams!C$5/(U136-Prams!C$6)</f>
        <v>170.96674578849121</v>
      </c>
      <c r="W136">
        <f t="shared" ca="1" si="16"/>
        <v>1.1710051081403507</v>
      </c>
    </row>
    <row r="137" spans="1:23" hidden="1" x14ac:dyDescent="0.55000000000000004">
      <c r="A137" s="1" t="s">
        <v>496</v>
      </c>
      <c r="B137" s="1">
        <v>125</v>
      </c>
      <c r="C137">
        <v>641</v>
      </c>
      <c r="D137">
        <v>621.5</v>
      </c>
      <c r="E137">
        <v>11.01146</v>
      </c>
      <c r="F137" t="s">
        <v>343</v>
      </c>
      <c r="G137" s="10" t="s">
        <v>931</v>
      </c>
      <c r="H137">
        <v>98</v>
      </c>
      <c r="I137" t="s">
        <v>488</v>
      </c>
      <c r="J137">
        <f ca="1">VLOOKUP(G137,INDIRECT("球速変換!A$1:B$" &amp; Prams!$B$8),2,)</f>
        <v>147</v>
      </c>
      <c r="K137" t="str">
        <f ca="1">VLOOKUP(I137,INDIRECT("投手名変換!A$1:B$" &amp; Prams!$B$9),2,)</f>
        <v>DD021</v>
      </c>
      <c r="L137">
        <f t="shared" si="12"/>
        <v>27</v>
      </c>
      <c r="M137">
        <f ca="1">(B137-VLOOKUP(K137,INDIRECT("投手データ!B1:D"&amp;Prams!$B$1),3,FALSE)*2)</f>
        <v>31</v>
      </c>
      <c r="N137" t="str">
        <f ca="1">VLOOKUP(F137,INDIRECT("球種変換表!A$1:B$" &amp; Prams!$B$2),2,)</f>
        <v>全力ストレート</v>
      </c>
      <c r="O137">
        <f ca="1">VLOOKUP(N137,球種情報!A:B,2,FALSE)</f>
        <v>2</v>
      </c>
      <c r="P137">
        <f ca="1">VLOOKUP(K137,投手データ!B:AI,output!O137+6,FALSE)</f>
        <v>1</v>
      </c>
      <c r="R137">
        <f t="shared" ca="1" si="13"/>
        <v>6.8027210884353739E-3</v>
      </c>
      <c r="S137">
        <f t="shared" si="14"/>
        <v>0.43506944444444445</v>
      </c>
      <c r="T137">
        <f>Prams!B$5/(S137-Prams!B$6)</f>
        <v>164.96275487892558</v>
      </c>
      <c r="U137">
        <f t="shared" ca="1" si="15"/>
        <v>0.50173611111111116</v>
      </c>
      <c r="V137">
        <f ca="1">Prams!C$5/(U137-Prams!C$6)</f>
        <v>172.62431260616307</v>
      </c>
      <c r="W137">
        <f t="shared" ca="1" si="16"/>
        <v>1.174315051742606</v>
      </c>
    </row>
    <row r="138" spans="1:23" hidden="1" x14ac:dyDescent="0.55000000000000004">
      <c r="A138" s="1" t="s">
        <v>497</v>
      </c>
      <c r="B138" s="1">
        <v>125</v>
      </c>
      <c r="C138">
        <v>640.5</v>
      </c>
      <c r="D138">
        <v>617</v>
      </c>
      <c r="E138">
        <v>10.547610000000001</v>
      </c>
      <c r="F138" t="s">
        <v>343</v>
      </c>
      <c r="G138" s="10" t="s">
        <v>619</v>
      </c>
      <c r="H138">
        <v>98</v>
      </c>
      <c r="I138" t="s">
        <v>488</v>
      </c>
      <c r="J138">
        <f ca="1">VLOOKUP(G138,INDIRECT("球速変換!A$1:B$" &amp; Prams!$B$8),2,)</f>
        <v>146</v>
      </c>
      <c r="K138" t="str">
        <f ca="1">VLOOKUP(I138,INDIRECT("投手名変換!A$1:B$" &amp; Prams!$B$9),2,)</f>
        <v>DD021</v>
      </c>
      <c r="L138">
        <f t="shared" si="12"/>
        <v>27</v>
      </c>
      <c r="M138">
        <f ca="1">(B138-VLOOKUP(K138,INDIRECT("投手データ!B1:D"&amp;Prams!$B$1),3,FALSE)*2)</f>
        <v>31</v>
      </c>
      <c r="N138" t="str">
        <f ca="1">VLOOKUP(F138,INDIRECT("球種変換表!A$1:B$" &amp; Prams!$B$2),2,)</f>
        <v>全力ストレート</v>
      </c>
      <c r="O138">
        <f ca="1">VLOOKUP(N138,球種情報!A:B,2,FALSE)</f>
        <v>2</v>
      </c>
      <c r="P138">
        <f ca="1">VLOOKUP(K138,投手データ!B:AI,output!O138+6,FALSE)</f>
        <v>1</v>
      </c>
      <c r="R138">
        <f t="shared" ca="1" si="13"/>
        <v>6.8493150684931503E-3</v>
      </c>
      <c r="S138">
        <f t="shared" si="14"/>
        <v>0.43819444444444444</v>
      </c>
      <c r="T138">
        <f>Prams!B$5/(S138-Prams!B$6)</f>
        <v>163.59859455168257</v>
      </c>
      <c r="U138">
        <f t="shared" ca="1" si="15"/>
        <v>0.50486111111111109</v>
      </c>
      <c r="V138">
        <f ca="1">Prams!C$5/(U138-Prams!C$6)</f>
        <v>171.13106863302937</v>
      </c>
      <c r="W138">
        <f t="shared" ca="1" si="16"/>
        <v>1.1721306070755437</v>
      </c>
    </row>
    <row r="139" spans="1:23" hidden="1" x14ac:dyDescent="0.55000000000000004">
      <c r="A139" s="1" t="s">
        <v>498</v>
      </c>
      <c r="B139" s="1">
        <v>125</v>
      </c>
      <c r="C139">
        <v>641.5</v>
      </c>
      <c r="D139">
        <v>620</v>
      </c>
      <c r="E139">
        <v>10.547610000000001</v>
      </c>
      <c r="F139" t="s">
        <v>343</v>
      </c>
      <c r="G139" s="10" t="s">
        <v>638</v>
      </c>
      <c r="H139">
        <v>98</v>
      </c>
      <c r="I139" t="s">
        <v>488</v>
      </c>
      <c r="J139">
        <f ca="1">VLOOKUP(G139,INDIRECT("球速変換!A$1:B$" &amp; Prams!$B$8),2,)</f>
        <v>147</v>
      </c>
      <c r="K139" t="str">
        <f ca="1">VLOOKUP(I139,INDIRECT("投手名変換!A$1:B$" &amp; Prams!$B$9),2,)</f>
        <v>DD021</v>
      </c>
      <c r="L139">
        <f t="shared" si="12"/>
        <v>27</v>
      </c>
      <c r="M139">
        <f ca="1">(B139-VLOOKUP(K139,INDIRECT("投手データ!B1:D"&amp;Prams!$B$1),3,FALSE)*2)</f>
        <v>31</v>
      </c>
      <c r="N139" t="str">
        <f ca="1">VLOOKUP(F139,INDIRECT("球種変換表!A$1:B$" &amp; Prams!$B$2),2,)</f>
        <v>全力ストレート</v>
      </c>
      <c r="O139">
        <f ca="1">VLOOKUP(N139,球種情報!A:B,2,FALSE)</f>
        <v>2</v>
      </c>
      <c r="P139">
        <f ca="1">VLOOKUP(K139,投手データ!B:AI,output!O139+6,FALSE)</f>
        <v>1</v>
      </c>
      <c r="R139">
        <f t="shared" ca="1" si="13"/>
        <v>6.8027210884353739E-3</v>
      </c>
      <c r="S139">
        <f t="shared" si="14"/>
        <v>0.43611111111111112</v>
      </c>
      <c r="T139">
        <f>Prams!B$5/(S139-Prams!B$6)</f>
        <v>164.50551399934957</v>
      </c>
      <c r="U139">
        <f t="shared" ca="1" si="15"/>
        <v>0.50277777777777777</v>
      </c>
      <c r="V139">
        <f ca="1">Prams!C$5/(U139-Prams!C$6)</f>
        <v>172.12367753511106</v>
      </c>
      <c r="W139">
        <f t="shared" ca="1" si="16"/>
        <v>1.1709093709871501</v>
      </c>
    </row>
    <row r="140" spans="1:23" hidden="1" x14ac:dyDescent="0.55000000000000004">
      <c r="A140" s="1" t="s">
        <v>500</v>
      </c>
      <c r="B140" s="1">
        <v>125</v>
      </c>
      <c r="C140">
        <v>641</v>
      </c>
      <c r="D140">
        <v>623</v>
      </c>
      <c r="E140">
        <v>11.0001</v>
      </c>
      <c r="F140" t="s">
        <v>1543</v>
      </c>
      <c r="G140" s="10" t="s">
        <v>635</v>
      </c>
      <c r="H140">
        <v>98</v>
      </c>
      <c r="I140" t="s">
        <v>488</v>
      </c>
      <c r="J140">
        <f ca="1">VLOOKUP(G140,INDIRECT("球速変換!A$1:B$" &amp; Prams!$B$8),2,)</f>
        <v>148</v>
      </c>
      <c r="K140" t="str">
        <f ca="1">VLOOKUP(I140,INDIRECT("投手名変換!A$1:B$" &amp; Prams!$B$9),2,)</f>
        <v>DD021</v>
      </c>
      <c r="L140">
        <f t="shared" si="12"/>
        <v>27</v>
      </c>
      <c r="M140">
        <f ca="1">(B140-VLOOKUP(K140,INDIRECT("投手データ!B1:D"&amp;Prams!$B$1),3,FALSE)*2)</f>
        <v>31</v>
      </c>
      <c r="N140" t="str">
        <f ca="1">VLOOKUP(F140,INDIRECT("球種変換表!A$1:B$" &amp; Prams!$B$2),2,)</f>
        <v>全力ストレート</v>
      </c>
      <c r="O140">
        <f ca="1">VLOOKUP(N140,球種情報!A:B,2,FALSE)</f>
        <v>2</v>
      </c>
      <c r="P140">
        <f ca="1">VLOOKUP(K140,投手データ!B:AI,output!O140+6,FALSE)</f>
        <v>1</v>
      </c>
      <c r="R140">
        <f t="shared" ca="1" si="13"/>
        <v>6.7567567567567571E-3</v>
      </c>
      <c r="S140">
        <f t="shared" si="14"/>
        <v>0.43402777777777779</v>
      </c>
      <c r="T140">
        <f>Prams!B$5/(S140-Prams!B$6)</f>
        <v>165.42254463290274</v>
      </c>
      <c r="U140">
        <f t="shared" ca="1" si="15"/>
        <v>0.50069444444444444</v>
      </c>
      <c r="V140">
        <f ca="1">Prams!C$5/(U140-Prams!C$6)</f>
        <v>173.12786844438912</v>
      </c>
      <c r="W140">
        <f t="shared" ca="1" si="16"/>
        <v>1.169782894894521</v>
      </c>
    </row>
    <row r="141" spans="1:23" hidden="1" x14ac:dyDescent="0.55000000000000004">
      <c r="A141" s="1" t="s">
        <v>501</v>
      </c>
      <c r="B141" s="1">
        <v>125</v>
      </c>
      <c r="C141">
        <v>641.5</v>
      </c>
      <c r="D141">
        <v>622.5</v>
      </c>
      <c r="E141">
        <v>10.512</v>
      </c>
      <c r="F141" t="s">
        <v>343</v>
      </c>
      <c r="G141" s="10" t="s">
        <v>2435</v>
      </c>
      <c r="H141">
        <v>98</v>
      </c>
      <c r="I141" t="s">
        <v>488</v>
      </c>
      <c r="J141">
        <f ca="1">VLOOKUP(G141,INDIRECT("球速変換!A$1:B$" &amp; Prams!$B$8),2,)</f>
        <v>148</v>
      </c>
      <c r="K141" t="str">
        <f ca="1">VLOOKUP(I141,INDIRECT("投手名変換!A$1:B$" &amp; Prams!$B$9),2,)</f>
        <v>DD021</v>
      </c>
      <c r="L141">
        <f t="shared" si="12"/>
        <v>27</v>
      </c>
      <c r="M141">
        <f ca="1">(B141-VLOOKUP(K141,INDIRECT("投手データ!B1:D"&amp;Prams!$B$1),3,FALSE)*2)</f>
        <v>31</v>
      </c>
      <c r="N141" t="str">
        <f ca="1">VLOOKUP(F141,INDIRECT("球種変換表!A$1:B$" &amp; Prams!$B$2),2,)</f>
        <v>全力ストレート</v>
      </c>
      <c r="O141">
        <f ca="1">VLOOKUP(N141,球種情報!A:B,2,FALSE)</f>
        <v>2</v>
      </c>
      <c r="P141">
        <f ca="1">VLOOKUP(K141,投手データ!B:AI,output!O141+6,FALSE)</f>
        <v>1</v>
      </c>
      <c r="R141">
        <f t="shared" ca="1" si="13"/>
        <v>6.7567567567567571E-3</v>
      </c>
      <c r="S141">
        <f t="shared" si="14"/>
        <v>0.43437500000000001</v>
      </c>
      <c r="T141">
        <f>Prams!B$5/(S141-Prams!B$6)</f>
        <v>165.26899685891868</v>
      </c>
      <c r="U141">
        <f t="shared" ca="1" si="15"/>
        <v>0.50104166666666672</v>
      </c>
      <c r="V141">
        <f ca="1">Prams!C$5/(U141-Prams!C$6)</f>
        <v>172.9596903923717</v>
      </c>
      <c r="W141">
        <f t="shared" ca="1" si="16"/>
        <v>1.1686465567052142</v>
      </c>
    </row>
    <row r="142" spans="1:23" hidden="1" x14ac:dyDescent="0.55000000000000004">
      <c r="A142" s="1" t="s">
        <v>503</v>
      </c>
      <c r="B142" s="1">
        <v>141</v>
      </c>
      <c r="C142">
        <v>638</v>
      </c>
      <c r="D142">
        <v>607.5</v>
      </c>
      <c r="E142">
        <v>10.012589999999999</v>
      </c>
      <c r="F142" t="s">
        <v>502</v>
      </c>
      <c r="G142" s="10" t="s">
        <v>629</v>
      </c>
      <c r="H142">
        <v>101</v>
      </c>
      <c r="I142" t="s">
        <v>488</v>
      </c>
      <c r="J142">
        <f ca="1">VLOOKUP(G142,INDIRECT("球速変換!A$1:B$" &amp; Prams!$B$8),2,)</f>
        <v>121</v>
      </c>
      <c r="K142" t="str">
        <f ca="1">VLOOKUP(I142,INDIRECT("投手名変換!A$1:B$" &amp; Prams!$B$9),2,)</f>
        <v>DD021</v>
      </c>
      <c r="L142">
        <f t="shared" si="12"/>
        <v>40</v>
      </c>
      <c r="M142">
        <f ca="1">(B142-VLOOKUP(K142,INDIRECT("投手データ!B1:D"&amp;Prams!$B$1),3,FALSE)*2)</f>
        <v>47</v>
      </c>
      <c r="N142" t="str">
        <f ca="1">VLOOKUP(F142,INDIRECT("球種変換表!A$1:B$" &amp; Prams!$B$2),2,)</f>
        <v>パーム</v>
      </c>
      <c r="O142">
        <f ca="1">VLOOKUP(N142,球種情報!A:B,2,FALSE)</f>
        <v>17</v>
      </c>
      <c r="P142">
        <f ca="1">VLOOKUP(K142,投手データ!B:AI,output!O142+6,FALSE)</f>
        <v>7</v>
      </c>
      <c r="R142">
        <f t="shared" ca="1" si="13"/>
        <v>8.2644628099173556E-3</v>
      </c>
      <c r="S142">
        <f t="shared" si="14"/>
        <v>0.66145833333333337</v>
      </c>
      <c r="T142">
        <f>Prams!B$5/(S142-Prams!B$6)</f>
        <v>102.83979539500132</v>
      </c>
      <c r="U142">
        <f t="shared" ca="1" si="15"/>
        <v>0.77812499999999996</v>
      </c>
      <c r="V142">
        <f ca="1">Prams!C$5/(U142-Prams!C$6)</f>
        <v>97.431937275915061</v>
      </c>
      <c r="W142">
        <f t="shared" ca="1" si="16"/>
        <v>0.80522262211500051</v>
      </c>
    </row>
    <row r="143" spans="1:23" hidden="1" x14ac:dyDescent="0.55000000000000004">
      <c r="A143" s="1" t="s">
        <v>505</v>
      </c>
      <c r="B143" s="1">
        <v>140</v>
      </c>
      <c r="C143">
        <v>629.55260999999996</v>
      </c>
      <c r="D143">
        <v>602.5</v>
      </c>
      <c r="E143">
        <v>9.5658300000000001</v>
      </c>
      <c r="F143" t="s">
        <v>42</v>
      </c>
      <c r="G143" s="10" t="s">
        <v>591</v>
      </c>
      <c r="H143">
        <v>101</v>
      </c>
      <c r="I143" t="s">
        <v>488</v>
      </c>
      <c r="J143">
        <f ca="1">VLOOKUP(G143,INDIRECT("球速変換!A$1:B$" &amp; Prams!$B$8),2,)</f>
        <v>128</v>
      </c>
      <c r="K143" t="str">
        <f ca="1">VLOOKUP(I143,INDIRECT("投手名変換!A$1:B$" &amp; Prams!$B$9),2,)</f>
        <v>DD021</v>
      </c>
      <c r="L143">
        <f t="shared" si="12"/>
        <v>39</v>
      </c>
      <c r="M143">
        <f ca="1">(B143-VLOOKUP(K143,INDIRECT("投手データ!B1:D"&amp;Prams!$B$1),3,FALSE)*2)</f>
        <v>46</v>
      </c>
      <c r="N143" t="str">
        <f ca="1">VLOOKUP(F143,INDIRECT("球種変換表!A$1:B$" &amp; Prams!$B$2),2,)</f>
        <v>パーム</v>
      </c>
      <c r="O143">
        <f ca="1">VLOOKUP(N143,球種情報!A:B,2,FALSE)</f>
        <v>17</v>
      </c>
      <c r="P143">
        <f ca="1">VLOOKUP(K143,投手データ!B:AI,output!O143+6,FALSE)</f>
        <v>7</v>
      </c>
      <c r="R143">
        <f t="shared" ca="1" si="13"/>
        <v>7.8125E-3</v>
      </c>
      <c r="S143">
        <f t="shared" si="14"/>
        <v>0.64826388888888897</v>
      </c>
      <c r="T143">
        <f>Prams!B$5/(S143-Prams!B$6)</f>
        <v>105.14761394076544</v>
      </c>
      <c r="U143">
        <f t="shared" ca="1" si="15"/>
        <v>0.76493055555555556</v>
      </c>
      <c r="V143">
        <f ca="1">Prams!C$5/(U143-Prams!C$6)</f>
        <v>99.500981316976564</v>
      </c>
      <c r="W143">
        <f t="shared" ca="1" si="16"/>
        <v>0.7773514165388794</v>
      </c>
    </row>
    <row r="144" spans="1:23" hidden="1" x14ac:dyDescent="0.55000000000000004">
      <c r="A144" s="1" t="s">
        <v>507</v>
      </c>
      <c r="B144" s="1">
        <v>140</v>
      </c>
      <c r="C144">
        <v>636.5</v>
      </c>
      <c r="D144">
        <v>600.5</v>
      </c>
      <c r="E144">
        <v>10.512</v>
      </c>
      <c r="F144" t="s">
        <v>506</v>
      </c>
      <c r="G144" s="10" t="s">
        <v>1544</v>
      </c>
      <c r="H144">
        <v>101</v>
      </c>
      <c r="I144" t="s">
        <v>488</v>
      </c>
      <c r="J144">
        <f ca="1">VLOOKUP(G144,INDIRECT("球速変換!A$1:B$" &amp; Prams!$B$8),2,)</f>
        <v>122</v>
      </c>
      <c r="K144" t="str">
        <f ca="1">VLOOKUP(I144,INDIRECT("投手名変換!A$1:B$" &amp; Prams!$B$9),2,)</f>
        <v>DD021</v>
      </c>
      <c r="L144">
        <f t="shared" si="12"/>
        <v>39</v>
      </c>
      <c r="M144">
        <f ca="1">(B144-VLOOKUP(K144,INDIRECT("投手データ!B1:D"&amp;Prams!$B$1),3,FALSE)*2)</f>
        <v>46</v>
      </c>
      <c r="N144" t="str">
        <f ca="1">VLOOKUP(F144,INDIRECT("球種変換表!A$1:B$" &amp; Prams!$B$2),2,)</f>
        <v>パーム</v>
      </c>
      <c r="O144">
        <f ca="1">VLOOKUP(N144,球種情報!A:B,2,FALSE)</f>
        <v>17</v>
      </c>
      <c r="P144">
        <f ca="1">VLOOKUP(K144,投手データ!B:AI,output!O144+6,FALSE)</f>
        <v>7</v>
      </c>
      <c r="R144">
        <f t="shared" ca="1" si="13"/>
        <v>8.1967213114754103E-3</v>
      </c>
      <c r="S144">
        <f t="shared" si="14"/>
        <v>0.64965277777777775</v>
      </c>
      <c r="T144">
        <f>Prams!B$5/(S144-Prams!B$6)</f>
        <v>104.89981948182329</v>
      </c>
      <c r="U144">
        <f t="shared" ca="1" si="15"/>
        <v>0.76631944444444444</v>
      </c>
      <c r="V144">
        <f ca="1">Prams!C$5/(U144-Prams!C$6)</f>
        <v>99.279058252557121</v>
      </c>
      <c r="W144">
        <f t="shared" ca="1" si="16"/>
        <v>0.81376277256194363</v>
      </c>
    </row>
    <row r="145" spans="1:23" hidden="1" x14ac:dyDescent="0.55000000000000004">
      <c r="A145" s="1" t="s">
        <v>508</v>
      </c>
      <c r="B145" s="1">
        <v>140</v>
      </c>
      <c r="C145">
        <v>638.5</v>
      </c>
      <c r="D145">
        <v>604.5</v>
      </c>
      <c r="E145">
        <v>10.512</v>
      </c>
      <c r="F145" t="s">
        <v>42</v>
      </c>
      <c r="G145" s="10" t="s">
        <v>591</v>
      </c>
      <c r="H145">
        <v>101</v>
      </c>
      <c r="I145" t="s">
        <v>488</v>
      </c>
      <c r="J145">
        <f ca="1">VLOOKUP(G145,INDIRECT("球速変換!A$1:B$" &amp; Prams!$B$8),2,)</f>
        <v>128</v>
      </c>
      <c r="K145" t="str">
        <f ca="1">VLOOKUP(I145,INDIRECT("投手名変換!A$1:B$" &amp; Prams!$B$9),2,)</f>
        <v>DD021</v>
      </c>
      <c r="L145">
        <f t="shared" si="12"/>
        <v>39</v>
      </c>
      <c r="M145">
        <f ca="1">(B145-VLOOKUP(K145,INDIRECT("投手データ!B1:D"&amp;Prams!$B$1),3,FALSE)*2)</f>
        <v>46</v>
      </c>
      <c r="N145" t="str">
        <f ca="1">VLOOKUP(F145,INDIRECT("球種変換表!A$1:B$" &amp; Prams!$B$2),2,)</f>
        <v>パーム</v>
      </c>
      <c r="O145">
        <f ca="1">VLOOKUP(N145,球種情報!A:B,2,FALSE)</f>
        <v>17</v>
      </c>
      <c r="P145">
        <f ca="1">VLOOKUP(K145,投手データ!B:AI,output!O145+6,FALSE)</f>
        <v>7</v>
      </c>
      <c r="R145">
        <f t="shared" ca="1" si="13"/>
        <v>7.8125E-3</v>
      </c>
      <c r="S145">
        <f t="shared" si="14"/>
        <v>0.64687499999999998</v>
      </c>
      <c r="T145">
        <f>Prams!B$5/(S145-Prams!B$6)</f>
        <v>105.39658185227806</v>
      </c>
      <c r="U145">
        <f t="shared" ca="1" si="15"/>
        <v>0.76354166666666667</v>
      </c>
      <c r="V145">
        <f ca="1">Prams!C$5/(U145-Prams!C$6)</f>
        <v>99.723898753915023</v>
      </c>
      <c r="W145">
        <f t="shared" ca="1" si="16"/>
        <v>0.77909295901496112</v>
      </c>
    </row>
    <row r="146" spans="1:23" hidden="1" x14ac:dyDescent="0.55000000000000004">
      <c r="A146" s="1" t="s">
        <v>509</v>
      </c>
      <c r="B146" s="1">
        <v>140</v>
      </c>
      <c r="C146">
        <v>641.95001000000002</v>
      </c>
      <c r="D146">
        <v>600.5</v>
      </c>
      <c r="E146">
        <v>10.062519999999999</v>
      </c>
      <c r="F146" t="s">
        <v>42</v>
      </c>
      <c r="G146" s="10" t="s">
        <v>1056</v>
      </c>
      <c r="H146">
        <v>101</v>
      </c>
      <c r="I146" t="s">
        <v>488</v>
      </c>
      <c r="J146">
        <f ca="1">VLOOKUP(G146,INDIRECT("球速変換!A$1:B$" &amp; Prams!$B$8),2,)</f>
        <v>122</v>
      </c>
      <c r="K146" t="str">
        <f ca="1">VLOOKUP(I146,INDIRECT("投手名変換!A$1:B$" &amp; Prams!$B$9),2,)</f>
        <v>DD021</v>
      </c>
      <c r="L146">
        <f t="shared" si="12"/>
        <v>39</v>
      </c>
      <c r="M146">
        <f ca="1">(B146-VLOOKUP(K146,INDIRECT("投手データ!B1:D"&amp;Prams!$B$1),3,FALSE)*2)</f>
        <v>46</v>
      </c>
      <c r="N146" t="str">
        <f ca="1">VLOOKUP(F146,INDIRECT("球種変換表!A$1:B$" &amp; Prams!$B$2),2,)</f>
        <v>パーム</v>
      </c>
      <c r="O146">
        <f ca="1">VLOOKUP(N146,球種情報!A:B,2,FALSE)</f>
        <v>17</v>
      </c>
      <c r="P146">
        <f ca="1">VLOOKUP(K146,投手データ!B:AI,output!O146+6,FALSE)</f>
        <v>7</v>
      </c>
      <c r="R146">
        <f t="shared" ca="1" si="13"/>
        <v>8.1967213114754103E-3</v>
      </c>
      <c r="S146">
        <f t="shared" si="14"/>
        <v>0.64965277777777775</v>
      </c>
      <c r="T146">
        <f>Prams!B$5/(S146-Prams!B$6)</f>
        <v>104.89981948182329</v>
      </c>
      <c r="U146">
        <f t="shared" ca="1" si="15"/>
        <v>0.76631944444444444</v>
      </c>
      <c r="V146">
        <f ca="1">Prams!C$5/(U146-Prams!C$6)</f>
        <v>99.279058252557121</v>
      </c>
      <c r="W146">
        <f t="shared" ca="1" si="16"/>
        <v>0.81376277256194363</v>
      </c>
    </row>
    <row r="147" spans="1:23" hidden="1" x14ac:dyDescent="0.55000000000000004">
      <c r="A147" s="1" t="s">
        <v>510</v>
      </c>
      <c r="B147" s="1">
        <v>141</v>
      </c>
      <c r="C147">
        <v>638.97729000000004</v>
      </c>
      <c r="D147">
        <v>610</v>
      </c>
      <c r="E147">
        <v>11.02281</v>
      </c>
      <c r="F147" t="s">
        <v>506</v>
      </c>
      <c r="G147" s="10" t="s">
        <v>629</v>
      </c>
      <c r="H147">
        <v>101</v>
      </c>
      <c r="I147" t="s">
        <v>488</v>
      </c>
      <c r="J147">
        <f ca="1">VLOOKUP(G147,INDIRECT("球速変換!A$1:B$" &amp; Prams!$B$8),2,)</f>
        <v>121</v>
      </c>
      <c r="K147" t="str">
        <f ca="1">VLOOKUP(I147,INDIRECT("投手名変換!A$1:B$" &amp; Prams!$B$9),2,)</f>
        <v>DD021</v>
      </c>
      <c r="L147">
        <f t="shared" si="12"/>
        <v>40</v>
      </c>
      <c r="M147">
        <f ca="1">(B147-VLOOKUP(K147,INDIRECT("投手データ!B1:D"&amp;Prams!$B$1),3,FALSE)*2)</f>
        <v>47</v>
      </c>
      <c r="N147" t="str">
        <f ca="1">VLOOKUP(F147,INDIRECT("球種変換表!A$1:B$" &amp; Prams!$B$2),2,)</f>
        <v>パーム</v>
      </c>
      <c r="O147">
        <f ca="1">VLOOKUP(N147,球種情報!A:B,2,FALSE)</f>
        <v>17</v>
      </c>
      <c r="P147">
        <f ca="1">VLOOKUP(K147,投手データ!B:AI,output!O147+6,FALSE)</f>
        <v>7</v>
      </c>
      <c r="R147">
        <f t="shared" ca="1" si="13"/>
        <v>8.2644628099173556E-3</v>
      </c>
      <c r="S147">
        <f t="shared" si="14"/>
        <v>0.65972222222222221</v>
      </c>
      <c r="T147">
        <f>Prams!B$5/(S147-Prams!B$6)</f>
        <v>103.1376510714021</v>
      </c>
      <c r="U147">
        <f t="shared" ca="1" si="15"/>
        <v>0.77638888888888891</v>
      </c>
      <c r="V147">
        <f ca="1">Prams!C$5/(U147-Prams!C$6)</f>
        <v>97.699250232656155</v>
      </c>
      <c r="W147">
        <f t="shared" ca="1" si="16"/>
        <v>0.80743182010459635</v>
      </c>
    </row>
    <row r="148" spans="1:23" hidden="1" x14ac:dyDescent="0.55000000000000004">
      <c r="A148" s="1" t="s">
        <v>511</v>
      </c>
      <c r="B148" s="1">
        <v>141</v>
      </c>
      <c r="C148">
        <v>640</v>
      </c>
      <c r="D148">
        <v>611</v>
      </c>
      <c r="E148">
        <v>11.0001</v>
      </c>
      <c r="F148" t="s">
        <v>506</v>
      </c>
      <c r="G148" s="10" t="s">
        <v>629</v>
      </c>
      <c r="H148">
        <v>101</v>
      </c>
      <c r="I148" t="s">
        <v>488</v>
      </c>
      <c r="J148">
        <f ca="1">VLOOKUP(G148,INDIRECT("球速変換!A$1:B$" &amp; Prams!$B$8),2,)</f>
        <v>121</v>
      </c>
      <c r="K148" t="str">
        <f ca="1">VLOOKUP(I148,INDIRECT("投手名変換!A$1:B$" &amp; Prams!$B$9),2,)</f>
        <v>DD021</v>
      </c>
      <c r="L148">
        <f t="shared" si="12"/>
        <v>40</v>
      </c>
      <c r="M148">
        <f ca="1">(B148-VLOOKUP(K148,INDIRECT("投手データ!B1:D"&amp;Prams!$B$1),3,FALSE)*2)</f>
        <v>47</v>
      </c>
      <c r="N148" t="str">
        <f ca="1">VLOOKUP(F148,INDIRECT("球種変換表!A$1:B$" &amp; Prams!$B$2),2,)</f>
        <v>パーム</v>
      </c>
      <c r="O148">
        <f ca="1">VLOOKUP(N148,球種情報!A:B,2,FALSE)</f>
        <v>17</v>
      </c>
      <c r="P148">
        <f ca="1">VLOOKUP(K148,投手データ!B:AI,output!O148+6,FALSE)</f>
        <v>7</v>
      </c>
      <c r="R148">
        <f t="shared" ca="1" si="13"/>
        <v>8.2644628099173556E-3</v>
      </c>
      <c r="S148">
        <f t="shared" si="14"/>
        <v>0.65902777777777777</v>
      </c>
      <c r="T148">
        <f>Prams!B$5/(S148-Prams!B$6)</f>
        <v>103.25727700401778</v>
      </c>
      <c r="U148">
        <f t="shared" ca="1" si="15"/>
        <v>0.77569444444444435</v>
      </c>
      <c r="V148">
        <f ca="1">Prams!C$5/(U148-Prams!C$6)</f>
        <v>97.80658656846289</v>
      </c>
      <c r="W148">
        <f t="shared" ca="1" si="16"/>
        <v>0.80831889726002393</v>
      </c>
    </row>
    <row r="149" spans="1:23" hidden="1" x14ac:dyDescent="0.55000000000000004">
      <c r="A149" s="1" t="s">
        <v>512</v>
      </c>
      <c r="B149" s="1">
        <v>140</v>
      </c>
      <c r="C149">
        <v>637.5</v>
      </c>
      <c r="D149">
        <v>601.5</v>
      </c>
      <c r="E149">
        <v>9.6177899999999994</v>
      </c>
      <c r="F149" t="s">
        <v>42</v>
      </c>
      <c r="G149" s="10" t="s">
        <v>1437</v>
      </c>
      <c r="H149">
        <v>101</v>
      </c>
      <c r="I149" t="s">
        <v>488</v>
      </c>
      <c r="J149">
        <f ca="1">VLOOKUP(G149,INDIRECT("球速変換!A$1:B$" &amp; Prams!$B$8),2,)</f>
        <v>124</v>
      </c>
      <c r="K149" t="str">
        <f ca="1">VLOOKUP(I149,INDIRECT("投手名変換!A$1:B$" &amp; Prams!$B$9),2,)</f>
        <v>DD021</v>
      </c>
      <c r="L149">
        <f t="shared" si="12"/>
        <v>39</v>
      </c>
      <c r="M149">
        <f ca="1">(B149-VLOOKUP(K149,INDIRECT("投手データ!B1:D"&amp;Prams!$B$1),3,FALSE)*2)</f>
        <v>46</v>
      </c>
      <c r="N149" t="str">
        <f ca="1">VLOOKUP(F149,INDIRECT("球種変換表!A$1:B$" &amp; Prams!$B$2),2,)</f>
        <v>パーム</v>
      </c>
      <c r="O149">
        <f ca="1">VLOOKUP(N149,球種情報!A:B,2,FALSE)</f>
        <v>17</v>
      </c>
      <c r="P149">
        <f ca="1">VLOOKUP(K149,投手データ!B:AI,output!O149+6,FALSE)</f>
        <v>7</v>
      </c>
      <c r="R149">
        <f t="shared" ca="1" si="13"/>
        <v>8.0645161290322578E-3</v>
      </c>
      <c r="S149">
        <f t="shared" si="14"/>
        <v>0.6489583333333333</v>
      </c>
      <c r="T149">
        <f>Prams!B$5/(S149-Prams!B$6)</f>
        <v>105.02357054884696</v>
      </c>
      <c r="U149">
        <f t="shared" ca="1" si="15"/>
        <v>0.765625</v>
      </c>
      <c r="V149">
        <f ca="1">Prams!C$5/(U149-Prams!C$6)</f>
        <v>99.389895904505437</v>
      </c>
      <c r="W149">
        <f t="shared" ca="1" si="16"/>
        <v>0.80153141858472121</v>
      </c>
    </row>
    <row r="150" spans="1:23" hidden="1" x14ac:dyDescent="0.55000000000000004">
      <c r="A150" s="1" t="s">
        <v>513</v>
      </c>
      <c r="B150" s="1">
        <v>140</v>
      </c>
      <c r="C150">
        <v>631</v>
      </c>
      <c r="D150">
        <v>604</v>
      </c>
      <c r="E150">
        <v>10.04998</v>
      </c>
      <c r="F150" t="s">
        <v>506</v>
      </c>
      <c r="G150" s="10" t="s">
        <v>591</v>
      </c>
      <c r="H150">
        <v>101</v>
      </c>
      <c r="I150" t="s">
        <v>488</v>
      </c>
      <c r="J150">
        <f ca="1">VLOOKUP(G150,INDIRECT("球速変換!A$1:B$" &amp; Prams!$B$8),2,)</f>
        <v>128</v>
      </c>
      <c r="K150" t="str">
        <f ca="1">VLOOKUP(I150,INDIRECT("投手名変換!A$1:B$" &amp; Prams!$B$9),2,)</f>
        <v>DD021</v>
      </c>
      <c r="L150">
        <f t="shared" si="12"/>
        <v>39</v>
      </c>
      <c r="M150">
        <f ca="1">(B150-VLOOKUP(K150,INDIRECT("投手データ!B1:D"&amp;Prams!$B$1),3,FALSE)*2)</f>
        <v>46</v>
      </c>
      <c r="N150" t="str">
        <f ca="1">VLOOKUP(F150,INDIRECT("球種変換表!A$1:B$" &amp; Prams!$B$2),2,)</f>
        <v>パーム</v>
      </c>
      <c r="O150">
        <f ca="1">VLOOKUP(N150,球種情報!A:B,2,FALSE)</f>
        <v>17</v>
      </c>
      <c r="P150">
        <f ca="1">VLOOKUP(K150,投手データ!B:AI,output!O150+6,FALSE)</f>
        <v>7</v>
      </c>
      <c r="R150">
        <f t="shared" ca="1" si="13"/>
        <v>7.8125E-3</v>
      </c>
      <c r="S150">
        <f t="shared" si="14"/>
        <v>0.64722222222222225</v>
      </c>
      <c r="T150">
        <f>Prams!B$5/(S150-Prams!B$6)</f>
        <v>105.3342294076444</v>
      </c>
      <c r="U150">
        <f t="shared" ca="1" si="15"/>
        <v>0.76388888888888895</v>
      </c>
      <c r="V150">
        <f ca="1">Prams!C$5/(U150-Prams!C$6)</f>
        <v>99.668075806971657</v>
      </c>
      <c r="W150">
        <f t="shared" ca="1" si="16"/>
        <v>0.77865684224196607</v>
      </c>
    </row>
    <row r="151" spans="1:23" hidden="1" x14ac:dyDescent="0.55000000000000004">
      <c r="A151" s="1" t="s">
        <v>514</v>
      </c>
      <c r="B151" s="1">
        <v>141</v>
      </c>
      <c r="C151">
        <v>640.5</v>
      </c>
      <c r="D151">
        <v>611</v>
      </c>
      <c r="E151">
        <v>10.547610000000001</v>
      </c>
      <c r="F151" t="s">
        <v>506</v>
      </c>
      <c r="G151" s="10" t="s">
        <v>629</v>
      </c>
      <c r="H151">
        <v>101</v>
      </c>
      <c r="I151" t="s">
        <v>488</v>
      </c>
      <c r="J151">
        <f ca="1">VLOOKUP(G151,INDIRECT("球速変換!A$1:B$" &amp; Prams!$B$8),2,)</f>
        <v>121</v>
      </c>
      <c r="K151" t="str">
        <f ca="1">VLOOKUP(I151,INDIRECT("投手名変換!A$1:B$" &amp; Prams!$B$9),2,)</f>
        <v>DD021</v>
      </c>
      <c r="L151">
        <f t="shared" si="12"/>
        <v>40</v>
      </c>
      <c r="M151">
        <f ca="1">(B151-VLOOKUP(K151,INDIRECT("投手データ!B1:D"&amp;Prams!$B$1),3,FALSE)*2)</f>
        <v>47</v>
      </c>
      <c r="N151" t="str">
        <f ca="1">VLOOKUP(F151,INDIRECT("球種変換表!A$1:B$" &amp; Prams!$B$2),2,)</f>
        <v>パーム</v>
      </c>
      <c r="O151">
        <f ca="1">VLOOKUP(N151,球種情報!A:B,2,FALSE)</f>
        <v>17</v>
      </c>
      <c r="P151">
        <f ca="1">VLOOKUP(K151,投手データ!B:AI,output!O151+6,FALSE)</f>
        <v>7</v>
      </c>
      <c r="R151">
        <f t="shared" ca="1" si="13"/>
        <v>8.2644628099173556E-3</v>
      </c>
      <c r="S151">
        <f t="shared" si="14"/>
        <v>0.65902777777777777</v>
      </c>
      <c r="T151">
        <f>Prams!B$5/(S151-Prams!B$6)</f>
        <v>103.25727700401778</v>
      </c>
      <c r="U151">
        <f t="shared" ca="1" si="15"/>
        <v>0.77569444444444435</v>
      </c>
      <c r="V151">
        <f ca="1">Prams!C$5/(U151-Prams!C$6)</f>
        <v>97.80658656846289</v>
      </c>
      <c r="W151">
        <f t="shared" ca="1" si="16"/>
        <v>0.80831889726002393</v>
      </c>
    </row>
    <row r="152" spans="1:23" hidden="1" x14ac:dyDescent="0.55000000000000004">
      <c r="A152" s="1" t="s">
        <v>1962</v>
      </c>
      <c r="B152" s="1">
        <v>128</v>
      </c>
      <c r="C152">
        <v>642</v>
      </c>
      <c r="D152">
        <v>610</v>
      </c>
      <c r="E152">
        <v>10.04998</v>
      </c>
      <c r="F152" t="s">
        <v>0</v>
      </c>
      <c r="G152" s="10" t="s">
        <v>2436</v>
      </c>
      <c r="H152">
        <v>99</v>
      </c>
      <c r="I152" t="s">
        <v>517</v>
      </c>
      <c r="J152">
        <f ca="1">VLOOKUP(G152,INDIRECT("球速変換!A$1:B$" &amp; Prams!$B$8),2,)</f>
        <v>149</v>
      </c>
      <c r="K152" t="str">
        <f ca="1">VLOOKUP(I152,INDIRECT("投手名変換!A$1:B$" &amp; Prams!$B$9),2,)</f>
        <v>DD003</v>
      </c>
      <c r="L152">
        <f t="shared" si="12"/>
        <v>29</v>
      </c>
      <c r="M152">
        <f ca="1">(B152-VLOOKUP(K152,INDIRECT("投手データ!B1:D"&amp;Prams!$B$1),3,FALSE)*2)</f>
        <v>34</v>
      </c>
      <c r="N152" t="str">
        <f ca="1">VLOOKUP(F152,INDIRECT("球種変換表!A$1:B$" &amp; Prams!$B$2),2,)</f>
        <v>ストレート</v>
      </c>
      <c r="O152">
        <f ca="1">VLOOKUP(N152,球種情報!A:B,2,FALSE)</f>
        <v>1</v>
      </c>
      <c r="P152">
        <f ca="1">VLOOKUP(K152,投手データ!B:AI,output!O152+6,FALSE)</f>
        <v>1</v>
      </c>
      <c r="R152">
        <f t="shared" ca="1" si="13"/>
        <v>6.7114093959731542E-3</v>
      </c>
      <c r="S152">
        <f t="shared" si="14"/>
        <v>0.47638888888888886</v>
      </c>
      <c r="T152">
        <f>Prams!B$5/(S152-Prams!B$6)</f>
        <v>148.58123264259774</v>
      </c>
      <c r="U152">
        <f t="shared" ca="1" si="15"/>
        <v>0.55972222222222223</v>
      </c>
      <c r="V152">
        <f ca="1">Prams!C$5/(U152-Prams!C$6)</f>
        <v>148.56933059197351</v>
      </c>
      <c r="W152">
        <f t="shared" ca="1" si="16"/>
        <v>0.99710960128841286</v>
      </c>
    </row>
    <row r="153" spans="1:23" hidden="1" x14ac:dyDescent="0.55000000000000004">
      <c r="A153" s="1" t="s">
        <v>1963</v>
      </c>
      <c r="B153" s="1">
        <v>129</v>
      </c>
      <c r="C153">
        <v>636.02270999999996</v>
      </c>
      <c r="D153">
        <v>620</v>
      </c>
      <c r="E153">
        <v>11.02285</v>
      </c>
      <c r="F153" t="s">
        <v>516</v>
      </c>
      <c r="G153" s="10" t="s">
        <v>611</v>
      </c>
      <c r="H153">
        <v>99</v>
      </c>
      <c r="I153" t="s">
        <v>517</v>
      </c>
      <c r="J153">
        <f ca="1">VLOOKUP(G153,INDIRECT("球速変換!A$1:B$" &amp; Prams!$B$8),2,)</f>
        <v>146</v>
      </c>
      <c r="K153" t="str">
        <f ca="1">VLOOKUP(I153,INDIRECT("投手名変換!A$1:B$" &amp; Prams!$B$9),2,)</f>
        <v>DD003</v>
      </c>
      <c r="L153">
        <f t="shared" si="12"/>
        <v>30</v>
      </c>
      <c r="M153">
        <f ca="1">(B153-VLOOKUP(K153,INDIRECT("投手データ!B1:D"&amp;Prams!$B$1),3,FALSE)*2)</f>
        <v>35</v>
      </c>
      <c r="N153" t="str">
        <f ca="1">VLOOKUP(F153,INDIRECT("球種変換表!A$1:B$" &amp; Prams!$B$2),2,)</f>
        <v>ストレート</v>
      </c>
      <c r="O153">
        <f ca="1">VLOOKUP(N153,球種情報!A:B,2,FALSE)</f>
        <v>1</v>
      </c>
      <c r="P153">
        <f ca="1">VLOOKUP(K153,投手データ!B:AI,output!O153+6,FALSE)</f>
        <v>1</v>
      </c>
      <c r="R153">
        <f t="shared" ca="1" si="13"/>
        <v>6.8493150684931503E-3</v>
      </c>
      <c r="S153">
        <f t="shared" si="14"/>
        <v>0.4861111111111111</v>
      </c>
      <c r="T153">
        <f>Prams!B$5/(S153-Prams!B$6)</f>
        <v>145.18879002165804</v>
      </c>
      <c r="U153">
        <f t="shared" ca="1" si="15"/>
        <v>0.56944444444444442</v>
      </c>
      <c r="V153">
        <f ca="1">Prams!C$5/(U153-Prams!C$6)</f>
        <v>145.17742524656893</v>
      </c>
      <c r="W153">
        <f t="shared" ca="1" si="16"/>
        <v>0.99436592634636256</v>
      </c>
    </row>
    <row r="154" spans="1:23" hidden="1" x14ac:dyDescent="0.55000000000000004">
      <c r="A154" s="1" t="s">
        <v>1965</v>
      </c>
      <c r="B154" s="1">
        <v>128</v>
      </c>
      <c r="C154">
        <v>641.90002000000004</v>
      </c>
      <c r="D154">
        <v>607</v>
      </c>
      <c r="E154">
        <v>10.10008</v>
      </c>
      <c r="F154" t="s">
        <v>656</v>
      </c>
      <c r="G154" s="10" t="s">
        <v>635</v>
      </c>
      <c r="H154">
        <v>99</v>
      </c>
      <c r="I154" t="s">
        <v>1964</v>
      </c>
      <c r="J154">
        <f ca="1">VLOOKUP(G154,INDIRECT("球速変換!A$1:B$" &amp; Prams!$B$8),2,)</f>
        <v>148</v>
      </c>
      <c r="K154" t="str">
        <f ca="1">VLOOKUP(I154,INDIRECT("投手名変換!A$1:B$" &amp; Prams!$B$9),2,)</f>
        <v>DD003</v>
      </c>
      <c r="L154">
        <f t="shared" si="12"/>
        <v>29</v>
      </c>
      <c r="M154">
        <f ca="1">(B154-VLOOKUP(K154,INDIRECT("投手データ!B1:D"&amp;Prams!$B$1),3,FALSE)*2)</f>
        <v>34</v>
      </c>
      <c r="N154" t="str">
        <f ca="1">VLOOKUP(F154,INDIRECT("球種変換表!A$1:B$" &amp; Prams!$B$2),2,)</f>
        <v>ストレート</v>
      </c>
      <c r="O154">
        <f ca="1">VLOOKUP(N154,球種情報!A:B,2,FALSE)</f>
        <v>1</v>
      </c>
      <c r="P154">
        <f ca="1">VLOOKUP(K154,投手データ!B:AI,output!O154+6,FALSE)</f>
        <v>1</v>
      </c>
      <c r="R154">
        <f t="shared" ca="1" si="13"/>
        <v>6.7567567567567571E-3</v>
      </c>
      <c r="S154">
        <f t="shared" si="14"/>
        <v>0.47847222222222219</v>
      </c>
      <c r="T154">
        <f>Prams!B$5/(S154-Prams!B$6)</f>
        <v>147.84100118239431</v>
      </c>
      <c r="U154">
        <f t="shared" ca="1" si="15"/>
        <v>0.56180555555555556</v>
      </c>
      <c r="V154">
        <f ca="1">Prams!C$5/(U154-Prams!C$6)</f>
        <v>147.82921742364866</v>
      </c>
      <c r="W154">
        <f t="shared" ca="1" si="16"/>
        <v>0.99884606367330175</v>
      </c>
    </row>
    <row r="155" spans="1:23" hidden="1" x14ac:dyDescent="0.55000000000000004">
      <c r="A155" s="1" t="s">
        <v>1966</v>
      </c>
      <c r="B155" s="1">
        <v>128</v>
      </c>
      <c r="C155">
        <v>635.5</v>
      </c>
      <c r="D155">
        <v>606.5</v>
      </c>
      <c r="E155">
        <v>11.510960000000001</v>
      </c>
      <c r="F155" t="s">
        <v>0</v>
      </c>
      <c r="G155" s="10" t="s">
        <v>640</v>
      </c>
      <c r="H155">
        <v>99</v>
      </c>
      <c r="I155" t="s">
        <v>518</v>
      </c>
      <c r="J155">
        <f ca="1">VLOOKUP(G155,INDIRECT("球速変換!A$1:B$" &amp; Prams!$B$8),2,)</f>
        <v>148</v>
      </c>
      <c r="K155" t="str">
        <f ca="1">VLOOKUP(I155,INDIRECT("投手名変換!A$1:B$" &amp; Prams!$B$9),2,)</f>
        <v>DD003</v>
      </c>
      <c r="L155">
        <f t="shared" si="12"/>
        <v>29</v>
      </c>
      <c r="M155">
        <f ca="1">(B155-VLOOKUP(K155,INDIRECT("投手データ!B1:D"&amp;Prams!$B$1),3,FALSE)*2)</f>
        <v>34</v>
      </c>
      <c r="N155" t="str">
        <f ca="1">VLOOKUP(F155,INDIRECT("球種変換表!A$1:B$" &amp; Prams!$B$2),2,)</f>
        <v>ストレート</v>
      </c>
      <c r="O155">
        <f ca="1">VLOOKUP(N155,球種情報!A:B,2,FALSE)</f>
        <v>1</v>
      </c>
      <c r="P155">
        <f ca="1">VLOOKUP(K155,投手データ!B:AI,output!O155+6,FALSE)</f>
        <v>1</v>
      </c>
      <c r="R155">
        <f t="shared" ca="1" si="13"/>
        <v>6.7567567567567571E-3</v>
      </c>
      <c r="S155">
        <f t="shared" si="14"/>
        <v>0.47881944444444446</v>
      </c>
      <c r="T155">
        <f>Prams!B$5/(S155-Prams!B$6)</f>
        <v>147.71834575587224</v>
      </c>
      <c r="U155">
        <f t="shared" ca="1" si="15"/>
        <v>0.56215277777777772</v>
      </c>
      <c r="V155">
        <f ca="1">Prams!C$5/(U155-Prams!C$6)</f>
        <v>147.70658154089159</v>
      </c>
      <c r="W155">
        <f t="shared" ca="1" si="16"/>
        <v>0.99801744284386207</v>
      </c>
    </row>
    <row r="156" spans="1:23" hidden="1" x14ac:dyDescent="0.55000000000000004">
      <c r="A156" s="1" t="s">
        <v>1967</v>
      </c>
      <c r="B156" s="1">
        <v>129</v>
      </c>
      <c r="C156">
        <v>646</v>
      </c>
      <c r="D156">
        <v>620.5</v>
      </c>
      <c r="E156">
        <v>11.01146</v>
      </c>
      <c r="F156" t="s">
        <v>0</v>
      </c>
      <c r="G156" s="10" t="s">
        <v>2433</v>
      </c>
      <c r="H156">
        <v>99</v>
      </c>
      <c r="I156" t="s">
        <v>517</v>
      </c>
      <c r="J156">
        <f ca="1">VLOOKUP(G156,INDIRECT("球速変換!A$1:B$" &amp; Prams!$B$8),2,)</f>
        <v>146</v>
      </c>
      <c r="K156" t="str">
        <f ca="1">VLOOKUP(I156,INDIRECT("投手名変換!A$1:B$" &amp; Prams!$B$9),2,)</f>
        <v>DD003</v>
      </c>
      <c r="L156">
        <f t="shared" si="12"/>
        <v>30</v>
      </c>
      <c r="M156">
        <f ca="1">(B156-VLOOKUP(K156,INDIRECT("投手データ!B1:D"&amp;Prams!$B$1),3,FALSE)*2)</f>
        <v>35</v>
      </c>
      <c r="N156" t="str">
        <f ca="1">VLOOKUP(F156,INDIRECT("球種変換表!A$1:B$" &amp; Prams!$B$2),2,)</f>
        <v>ストレート</v>
      </c>
      <c r="O156">
        <f ca="1">VLOOKUP(N156,球種情報!A:B,2,FALSE)</f>
        <v>1</v>
      </c>
      <c r="P156">
        <f ca="1">VLOOKUP(K156,投手データ!B:AI,output!O156+6,FALSE)</f>
        <v>1</v>
      </c>
      <c r="R156">
        <f t="shared" ca="1" si="13"/>
        <v>6.8493150684931503E-3</v>
      </c>
      <c r="S156">
        <f t="shared" si="14"/>
        <v>0.48576388888888888</v>
      </c>
      <c r="T156">
        <f>Prams!B$5/(S156-Prams!B$6)</f>
        <v>145.30727898307077</v>
      </c>
      <c r="U156">
        <f t="shared" ca="1" si="15"/>
        <v>0.56909722222222225</v>
      </c>
      <c r="V156">
        <f ca="1">Prams!C$5/(U156-Prams!C$6)</f>
        <v>145.29589565149269</v>
      </c>
      <c r="W156">
        <f t="shared" ca="1" si="16"/>
        <v>0.99517736747597729</v>
      </c>
    </row>
    <row r="157" spans="1:23" hidden="1" x14ac:dyDescent="0.55000000000000004">
      <c r="A157" s="1" t="s">
        <v>1969</v>
      </c>
      <c r="B157" s="1">
        <v>128</v>
      </c>
      <c r="C157">
        <v>643.5</v>
      </c>
      <c r="D157">
        <v>610.5</v>
      </c>
      <c r="E157">
        <v>11.510960000000001</v>
      </c>
      <c r="F157" t="s">
        <v>0</v>
      </c>
      <c r="G157" s="10" t="s">
        <v>2436</v>
      </c>
      <c r="H157">
        <v>99</v>
      </c>
      <c r="I157" t="s">
        <v>1968</v>
      </c>
      <c r="J157">
        <f ca="1">VLOOKUP(G157,INDIRECT("球速変換!A$1:B$" &amp; Prams!$B$8),2,)</f>
        <v>149</v>
      </c>
      <c r="K157" t="str">
        <f ca="1">VLOOKUP(I157,INDIRECT("投手名変換!A$1:B$" &amp; Prams!$B$9),2,)</f>
        <v>DD003</v>
      </c>
      <c r="L157">
        <f t="shared" si="12"/>
        <v>29</v>
      </c>
      <c r="M157">
        <f ca="1">(B157-VLOOKUP(K157,INDIRECT("投手データ!B1:D"&amp;Prams!$B$1),3,FALSE)*2)</f>
        <v>34</v>
      </c>
      <c r="N157" t="str">
        <f ca="1">VLOOKUP(F157,INDIRECT("球種変換表!A$1:B$" &amp; Prams!$B$2),2,)</f>
        <v>ストレート</v>
      </c>
      <c r="O157">
        <f ca="1">VLOOKUP(N157,球種情報!A:B,2,FALSE)</f>
        <v>1</v>
      </c>
      <c r="P157">
        <f ca="1">VLOOKUP(K157,投手データ!B:AI,output!O157+6,FALSE)</f>
        <v>1</v>
      </c>
      <c r="R157">
        <f t="shared" ca="1" si="13"/>
        <v>6.7114093959731542E-3</v>
      </c>
      <c r="S157">
        <f t="shared" si="14"/>
        <v>0.47604166666666664</v>
      </c>
      <c r="T157">
        <f>Prams!B$5/(S157-Prams!B$6)</f>
        <v>148.7053258233278</v>
      </c>
      <c r="U157">
        <f t="shared" ca="1" si="15"/>
        <v>0.55937499999999996</v>
      </c>
      <c r="V157">
        <f ca="1">Prams!C$5/(U157-Prams!C$6)</f>
        <v>148.69340388431246</v>
      </c>
      <c r="W157">
        <f t="shared" ca="1" si="16"/>
        <v>0.99794230794840577</v>
      </c>
    </row>
    <row r="158" spans="1:23" hidden="1" x14ac:dyDescent="0.55000000000000004">
      <c r="A158" s="1" t="s">
        <v>1970</v>
      </c>
      <c r="B158" s="1">
        <v>128</v>
      </c>
      <c r="C158">
        <v>640.5</v>
      </c>
      <c r="D158">
        <v>606.5</v>
      </c>
      <c r="E158">
        <v>10.512</v>
      </c>
      <c r="F158" t="s">
        <v>0</v>
      </c>
      <c r="G158" s="10" t="s">
        <v>642</v>
      </c>
      <c r="H158">
        <v>99</v>
      </c>
      <c r="I158" t="s">
        <v>523</v>
      </c>
      <c r="J158">
        <f ca="1">VLOOKUP(G158,INDIRECT("球速変換!A$1:B$" &amp; Prams!$B$8),2,)</f>
        <v>148</v>
      </c>
      <c r="K158" t="str">
        <f ca="1">VLOOKUP(I158,INDIRECT("投手名変換!A$1:B$" &amp; Prams!$B$9),2,)</f>
        <v>DD003</v>
      </c>
      <c r="L158">
        <f t="shared" si="12"/>
        <v>29</v>
      </c>
      <c r="M158">
        <f ca="1">(B158-VLOOKUP(K158,INDIRECT("投手データ!B1:D"&amp;Prams!$B$1),3,FALSE)*2)</f>
        <v>34</v>
      </c>
      <c r="N158" t="str">
        <f ca="1">VLOOKUP(F158,INDIRECT("球種変換表!A$1:B$" &amp; Prams!$B$2),2,)</f>
        <v>ストレート</v>
      </c>
      <c r="O158">
        <f ca="1">VLOOKUP(N158,球種情報!A:B,2,FALSE)</f>
        <v>1</v>
      </c>
      <c r="P158">
        <f ca="1">VLOOKUP(K158,投手データ!B:AI,output!O158+6,FALSE)</f>
        <v>1</v>
      </c>
      <c r="R158">
        <f t="shared" ca="1" si="13"/>
        <v>6.7567567567567571E-3</v>
      </c>
      <c r="S158">
        <f t="shared" si="14"/>
        <v>0.47881944444444446</v>
      </c>
      <c r="T158">
        <f>Prams!B$5/(S158-Prams!B$6)</f>
        <v>147.71834575587224</v>
      </c>
      <c r="U158">
        <f t="shared" ca="1" si="15"/>
        <v>0.56215277777777772</v>
      </c>
      <c r="V158">
        <f ca="1">Prams!C$5/(U158-Prams!C$6)</f>
        <v>147.70658154089159</v>
      </c>
      <c r="W158">
        <f t="shared" ca="1" si="16"/>
        <v>0.99801744284386207</v>
      </c>
    </row>
    <row r="159" spans="1:23" hidden="1" x14ac:dyDescent="0.55000000000000004">
      <c r="A159" s="1" t="s">
        <v>1971</v>
      </c>
      <c r="B159" s="1">
        <v>128</v>
      </c>
      <c r="C159">
        <v>636.5</v>
      </c>
      <c r="D159">
        <v>601.5</v>
      </c>
      <c r="E159">
        <v>10.512</v>
      </c>
      <c r="F159" t="s">
        <v>656</v>
      </c>
      <c r="G159" s="10" t="s">
        <v>619</v>
      </c>
      <c r="H159">
        <v>99</v>
      </c>
      <c r="I159" t="s">
        <v>1553</v>
      </c>
      <c r="J159">
        <f ca="1">VLOOKUP(G159,INDIRECT("球速変換!A$1:B$" &amp; Prams!$B$8),2,)</f>
        <v>146</v>
      </c>
      <c r="K159" t="str">
        <f ca="1">VLOOKUP(I159,INDIRECT("投手名変換!A$1:B$" &amp; Prams!$B$9),2,)</f>
        <v>DD003</v>
      </c>
      <c r="L159">
        <f t="shared" si="12"/>
        <v>29</v>
      </c>
      <c r="M159">
        <f ca="1">(B159-VLOOKUP(K159,INDIRECT("投手データ!B1:D"&amp;Prams!$B$1),3,FALSE)*2)</f>
        <v>34</v>
      </c>
      <c r="N159" t="str">
        <f ca="1">VLOOKUP(F159,INDIRECT("球種変換表!A$1:B$" &amp; Prams!$B$2),2,)</f>
        <v>ストレート</v>
      </c>
      <c r="O159">
        <f ca="1">VLOOKUP(N159,球種情報!A:B,2,FALSE)</f>
        <v>1</v>
      </c>
      <c r="P159">
        <f ca="1">VLOOKUP(K159,投手データ!B:AI,output!O159+6,FALSE)</f>
        <v>1</v>
      </c>
      <c r="R159">
        <f t="shared" ca="1" si="13"/>
        <v>6.8493150684931503E-3</v>
      </c>
      <c r="S159">
        <f t="shared" si="14"/>
        <v>0.48229166666666667</v>
      </c>
      <c r="T159">
        <f>Prams!B$5/(S159-Prams!B$6)</f>
        <v>146.50289302711349</v>
      </c>
      <c r="U159">
        <f t="shared" ca="1" si="15"/>
        <v>0.56562500000000004</v>
      </c>
      <c r="V159">
        <f ca="1">Prams!C$5/(U159-Prams!C$6)</f>
        <v>146.49132160417037</v>
      </c>
      <c r="W159">
        <f t="shared" ca="1" si="16"/>
        <v>1.0033652164669202</v>
      </c>
    </row>
    <row r="160" spans="1:23" hidden="1" x14ac:dyDescent="0.55000000000000004">
      <c r="A160" s="1" t="s">
        <v>1974</v>
      </c>
      <c r="B160" s="1">
        <v>128</v>
      </c>
      <c r="C160">
        <v>636.5</v>
      </c>
      <c r="D160">
        <v>601.5</v>
      </c>
      <c r="E160">
        <v>10.512</v>
      </c>
      <c r="F160" t="s">
        <v>0</v>
      </c>
      <c r="G160" s="10" t="s">
        <v>1972</v>
      </c>
      <c r="H160">
        <v>99</v>
      </c>
      <c r="I160" t="s">
        <v>1973</v>
      </c>
      <c r="J160">
        <f ca="1">VLOOKUP(G160,INDIRECT("球速変換!A$1:B$" &amp; Prams!$B$8),2,)</f>
        <v>145</v>
      </c>
      <c r="K160" t="str">
        <f ca="1">VLOOKUP(I160,INDIRECT("投手名変換!A$1:B$" &amp; Prams!$B$9),2,)</f>
        <v>DD003</v>
      </c>
      <c r="L160">
        <f t="shared" si="12"/>
        <v>29</v>
      </c>
      <c r="M160">
        <f ca="1">(B160-VLOOKUP(K160,INDIRECT("投手データ!B1:D"&amp;Prams!$B$1),3,FALSE)*2)</f>
        <v>34</v>
      </c>
      <c r="N160" t="str">
        <f ca="1">VLOOKUP(F160,INDIRECT("球種変換表!A$1:B$" &amp; Prams!$B$2),2,)</f>
        <v>ストレート</v>
      </c>
      <c r="O160">
        <f ca="1">VLOOKUP(N160,球種情報!A:B,2,FALSE)</f>
        <v>1</v>
      </c>
      <c r="P160">
        <f ca="1">VLOOKUP(K160,投手データ!B:AI,output!O160+6,FALSE)</f>
        <v>1</v>
      </c>
      <c r="R160">
        <f t="shared" ca="1" si="13"/>
        <v>6.8965517241379309E-3</v>
      </c>
      <c r="S160">
        <f t="shared" si="14"/>
        <v>0.48229166666666667</v>
      </c>
      <c r="T160">
        <f>Prams!B$5/(S160-Prams!B$6)</f>
        <v>146.50289302711349</v>
      </c>
      <c r="U160">
        <f t="shared" ca="1" si="15"/>
        <v>0.56562500000000004</v>
      </c>
      <c r="V160">
        <f ca="1">Prams!C$5/(U160-Prams!C$6)</f>
        <v>146.49132160417037</v>
      </c>
      <c r="W160">
        <f t="shared" ca="1" si="16"/>
        <v>1.0102849765804853</v>
      </c>
    </row>
    <row r="161" spans="1:24" hidden="1" x14ac:dyDescent="0.55000000000000004">
      <c r="A161" s="1" t="s">
        <v>521</v>
      </c>
      <c r="B161" s="1">
        <v>100</v>
      </c>
      <c r="C161">
        <v>639.5</v>
      </c>
      <c r="D161">
        <v>601.5</v>
      </c>
      <c r="E161">
        <v>10.512</v>
      </c>
      <c r="F161" t="s">
        <v>343</v>
      </c>
      <c r="G161" s="10" t="s">
        <v>2437</v>
      </c>
      <c r="H161">
        <v>74</v>
      </c>
      <c r="I161" t="s">
        <v>517</v>
      </c>
      <c r="J161">
        <f ca="1">VLOOKUP(G161,INDIRECT("球速変換!A$1:B$" &amp; Prams!$B$8),2,)</f>
        <v>150</v>
      </c>
      <c r="K161" t="str">
        <f ca="1">VLOOKUP(I161,INDIRECT("投手名変換!A$1:B$" &amp; Prams!$B$9),2,)</f>
        <v>DD003</v>
      </c>
      <c r="L161">
        <f t="shared" si="12"/>
        <v>26</v>
      </c>
      <c r="M161">
        <f ca="1">(B161-VLOOKUP(K161,INDIRECT("投手データ!B1:D"&amp;Prams!$B$1),3,FALSE)*2)</f>
        <v>6</v>
      </c>
      <c r="N161" t="str">
        <f ca="1">VLOOKUP(F161,INDIRECT("球種変換表!A$1:B$" &amp; Prams!$B$2),2,)</f>
        <v>全力ストレート</v>
      </c>
      <c r="O161">
        <f ca="1">VLOOKUP(N161,球種情報!A:B,2,FALSE)</f>
        <v>2</v>
      </c>
      <c r="P161">
        <f ca="1">VLOOKUP(K161,投手データ!B:AI,output!O161+6,FALSE)</f>
        <v>1</v>
      </c>
      <c r="R161">
        <f t="shared" ca="1" si="13"/>
        <v>6.6666666666666671E-3</v>
      </c>
      <c r="S161">
        <f t="shared" si="14"/>
        <v>0.43229166666666669</v>
      </c>
      <c r="T161">
        <f>Prams!B$5/(S161-Prams!B$6)</f>
        <v>166.19458321198951</v>
      </c>
      <c r="U161">
        <f t="shared" ca="1" si="15"/>
        <v>9.8958333333333329E-2</v>
      </c>
      <c r="V161">
        <f ca="1">Prams!C$5/(U161-Prams!C$6)</f>
        <v>-1384.8721299234644</v>
      </c>
      <c r="W161">
        <f t="shared" ca="1" si="16"/>
        <v>-9.232480866156429</v>
      </c>
      <c r="X161" t="s">
        <v>1888</v>
      </c>
    </row>
    <row r="162" spans="1:24" hidden="1" x14ac:dyDescent="0.55000000000000004">
      <c r="A162" s="1" t="s">
        <v>522</v>
      </c>
      <c r="B162" s="1">
        <v>125</v>
      </c>
      <c r="C162">
        <v>641.45239000000004</v>
      </c>
      <c r="D162">
        <v>619.5</v>
      </c>
      <c r="E162">
        <v>10.55955</v>
      </c>
      <c r="F162" t="s">
        <v>343</v>
      </c>
      <c r="G162" s="10" t="s">
        <v>931</v>
      </c>
      <c r="H162">
        <v>98</v>
      </c>
      <c r="I162" t="s">
        <v>518</v>
      </c>
      <c r="J162">
        <f ca="1">VLOOKUP(G162,INDIRECT("球速変換!A$1:B$" &amp; Prams!$B$8),2,)</f>
        <v>147</v>
      </c>
      <c r="K162" t="str">
        <f ca="1">VLOOKUP(I162,INDIRECT("投手名変換!A$1:B$" &amp; Prams!$B$9),2,)</f>
        <v>DD003</v>
      </c>
      <c r="L162">
        <f t="shared" si="12"/>
        <v>27</v>
      </c>
      <c r="M162">
        <f ca="1">(B162-VLOOKUP(K162,INDIRECT("投手データ!B1:D"&amp;Prams!$B$1),3,FALSE)*2)</f>
        <v>31</v>
      </c>
      <c r="N162" t="str">
        <f ca="1">VLOOKUP(F162,INDIRECT("球種変換表!A$1:B$" &amp; Prams!$B$2),2,)</f>
        <v>全力ストレート</v>
      </c>
      <c r="O162">
        <f ca="1">VLOOKUP(N162,球種情報!A:B,2,FALSE)</f>
        <v>2</v>
      </c>
      <c r="P162">
        <f ca="1">VLOOKUP(K162,投手データ!B:AI,output!O162+6,FALSE)</f>
        <v>1</v>
      </c>
      <c r="R162">
        <f t="shared" ca="1" si="13"/>
        <v>6.8027210884353739E-3</v>
      </c>
      <c r="S162">
        <f t="shared" si="14"/>
        <v>0.43645833333333334</v>
      </c>
      <c r="T162">
        <f>Prams!B$5/(S162-Prams!B$6)</f>
        <v>164.35366312944461</v>
      </c>
      <c r="U162">
        <f t="shared" ca="1" si="15"/>
        <v>0.50312500000000004</v>
      </c>
      <c r="V162">
        <f ca="1">Prams!C$5/(U162-Prams!C$6)</f>
        <v>171.95744384952366</v>
      </c>
      <c r="W162">
        <f t="shared" ca="1" si="16"/>
        <v>1.1697785295885963</v>
      </c>
    </row>
    <row r="163" spans="1:24" hidden="1" x14ac:dyDescent="0.55000000000000004">
      <c r="A163" s="1" t="s">
        <v>524</v>
      </c>
      <c r="B163" s="1">
        <v>125</v>
      </c>
      <c r="C163">
        <v>641.5</v>
      </c>
      <c r="D163">
        <v>621.5</v>
      </c>
      <c r="E163">
        <v>10.512</v>
      </c>
      <c r="F163" t="s">
        <v>343</v>
      </c>
      <c r="G163" s="10" t="s">
        <v>638</v>
      </c>
      <c r="H163">
        <v>98</v>
      </c>
      <c r="I163" t="s">
        <v>518</v>
      </c>
      <c r="J163">
        <f ca="1">VLOOKUP(G163,INDIRECT("球速変換!A$1:B$" &amp; Prams!$B$8),2,)</f>
        <v>147</v>
      </c>
      <c r="K163" t="str">
        <f ca="1">VLOOKUP(I163,INDIRECT("投手名変換!A$1:B$" &amp; Prams!$B$9),2,)</f>
        <v>DD003</v>
      </c>
      <c r="L163">
        <f t="shared" si="12"/>
        <v>27</v>
      </c>
      <c r="M163">
        <f ca="1">(B163-VLOOKUP(K163,INDIRECT("投手データ!B1:D"&amp;Prams!$B$1),3,FALSE)*2)</f>
        <v>31</v>
      </c>
      <c r="N163" t="str">
        <f ca="1">VLOOKUP(F163,INDIRECT("球種変換表!A$1:B$" &amp; Prams!$B$2),2,)</f>
        <v>全力ストレート</v>
      </c>
      <c r="O163">
        <f ca="1">VLOOKUP(N163,球種情報!A:B,2,FALSE)</f>
        <v>2</v>
      </c>
      <c r="P163">
        <f ca="1">VLOOKUP(K163,投手データ!B:AI,output!O163+6,FALSE)</f>
        <v>1</v>
      </c>
      <c r="R163">
        <f t="shared" ca="1" si="13"/>
        <v>6.8027210884353739E-3</v>
      </c>
      <c r="S163">
        <f t="shared" si="14"/>
        <v>0.43506944444444445</v>
      </c>
      <c r="T163">
        <f>Prams!B$5/(S163-Prams!B$6)</f>
        <v>164.96275487892558</v>
      </c>
      <c r="U163">
        <f t="shared" ca="1" si="15"/>
        <v>0.50173611111111116</v>
      </c>
      <c r="V163">
        <f ca="1">Prams!C$5/(U163-Prams!C$6)</f>
        <v>172.62431260616307</v>
      </c>
      <c r="W163">
        <f t="shared" ca="1" si="16"/>
        <v>1.174315051742606</v>
      </c>
    </row>
    <row r="164" spans="1:24" hidden="1" x14ac:dyDescent="0.55000000000000004">
      <c r="A164" s="1" t="s">
        <v>526</v>
      </c>
      <c r="B164" s="1">
        <v>125</v>
      </c>
      <c r="C164">
        <v>641.95001000000002</v>
      </c>
      <c r="D164">
        <v>623.5</v>
      </c>
      <c r="E164">
        <v>10.062519999999999</v>
      </c>
      <c r="F164" t="s">
        <v>343</v>
      </c>
      <c r="G164" s="10" t="s">
        <v>967</v>
      </c>
      <c r="H164">
        <v>98</v>
      </c>
      <c r="I164" t="s">
        <v>518</v>
      </c>
      <c r="J164">
        <f ca="1">VLOOKUP(G164,INDIRECT("球速変換!A$1:B$" &amp; Prams!$B$8),2,)</f>
        <v>148</v>
      </c>
      <c r="K164" t="str">
        <f ca="1">VLOOKUP(I164,INDIRECT("投手名変換!A$1:B$" &amp; Prams!$B$9),2,)</f>
        <v>DD003</v>
      </c>
      <c r="L164">
        <f t="shared" si="12"/>
        <v>27</v>
      </c>
      <c r="M164">
        <f ca="1">(B164-VLOOKUP(K164,INDIRECT("投手データ!B1:D"&amp;Prams!$B$1),3,FALSE)*2)</f>
        <v>31</v>
      </c>
      <c r="N164" t="str">
        <f ca="1">VLOOKUP(F164,INDIRECT("球種変換表!A$1:B$" &amp; Prams!$B$2),2,)</f>
        <v>全力ストレート</v>
      </c>
      <c r="O164">
        <f ca="1">VLOOKUP(N164,球種情報!A:B,2,FALSE)</f>
        <v>2</v>
      </c>
      <c r="P164">
        <f ca="1">VLOOKUP(K164,投手データ!B:AI,output!O164+6,FALSE)</f>
        <v>1</v>
      </c>
      <c r="R164">
        <f t="shared" ca="1" si="13"/>
        <v>6.7567567567567571E-3</v>
      </c>
      <c r="S164">
        <f t="shared" si="14"/>
        <v>0.43368055555555551</v>
      </c>
      <c r="T164">
        <f>Prams!B$5/(S164-Prams!B$6)</f>
        <v>165.57637798790336</v>
      </c>
      <c r="U164">
        <f t="shared" ca="1" si="15"/>
        <v>0.50034722222222217</v>
      </c>
      <c r="V164">
        <f ca="1">Prams!C$5/(U164-Prams!C$6)</f>
        <v>173.29637387194484</v>
      </c>
      <c r="W164">
        <f t="shared" ca="1" si="16"/>
        <v>1.1709214450807084</v>
      </c>
    </row>
    <row r="165" spans="1:24" hidden="1" x14ac:dyDescent="0.55000000000000004">
      <c r="A165" s="1" t="s">
        <v>527</v>
      </c>
      <c r="B165" s="1">
        <v>125</v>
      </c>
      <c r="C165">
        <v>641.95001000000002</v>
      </c>
      <c r="D165">
        <v>622.5</v>
      </c>
      <c r="E165">
        <v>10.062519999999999</v>
      </c>
      <c r="F165" t="s">
        <v>343</v>
      </c>
      <c r="G165" s="10" t="s">
        <v>1382</v>
      </c>
      <c r="H165">
        <v>98</v>
      </c>
      <c r="I165" t="s">
        <v>1548</v>
      </c>
      <c r="J165">
        <f ca="1">VLOOKUP(G165,INDIRECT("球速変換!A$1:B$" &amp; Prams!$B$8),2,)</f>
        <v>148</v>
      </c>
      <c r="K165" t="str">
        <f ca="1">VLOOKUP(I165,INDIRECT("投手名変換!A$1:B$" &amp; Prams!$B$9),2,)</f>
        <v>DD003</v>
      </c>
      <c r="L165">
        <f t="shared" si="12"/>
        <v>27</v>
      </c>
      <c r="M165">
        <f ca="1">(B165-VLOOKUP(K165,INDIRECT("投手データ!B1:D"&amp;Prams!$B$1),3,FALSE)*2)</f>
        <v>31</v>
      </c>
      <c r="N165" t="str">
        <f ca="1">VLOOKUP(F165,INDIRECT("球種変換表!A$1:B$" &amp; Prams!$B$2),2,)</f>
        <v>全力ストレート</v>
      </c>
      <c r="O165">
        <f ca="1">VLOOKUP(N165,球種情報!A:B,2,FALSE)</f>
        <v>2</v>
      </c>
      <c r="P165">
        <f ca="1">VLOOKUP(K165,投手データ!B:AI,output!O165+6,FALSE)</f>
        <v>1</v>
      </c>
      <c r="R165">
        <f t="shared" ca="1" si="13"/>
        <v>6.7567567567567571E-3</v>
      </c>
      <c r="S165">
        <f t="shared" si="14"/>
        <v>0.43437500000000001</v>
      </c>
      <c r="T165">
        <f>Prams!B$5/(S165-Prams!B$6)</f>
        <v>165.26899685891868</v>
      </c>
      <c r="U165">
        <f t="shared" ca="1" si="15"/>
        <v>0.50104166666666672</v>
      </c>
      <c r="V165">
        <f ca="1">Prams!C$5/(U165-Prams!C$6)</f>
        <v>172.9596903923717</v>
      </c>
      <c r="W165">
        <f t="shared" ca="1" si="16"/>
        <v>1.1686465567052142</v>
      </c>
    </row>
    <row r="166" spans="1:24" hidden="1" x14ac:dyDescent="0.55000000000000004">
      <c r="A166" s="1" t="s">
        <v>528</v>
      </c>
      <c r="B166" s="1">
        <v>125</v>
      </c>
      <c r="C166">
        <v>641.5</v>
      </c>
      <c r="D166">
        <v>621.5</v>
      </c>
      <c r="E166">
        <v>10.512</v>
      </c>
      <c r="F166" t="s">
        <v>343</v>
      </c>
      <c r="G166" s="10" t="s">
        <v>931</v>
      </c>
      <c r="H166">
        <v>98</v>
      </c>
      <c r="I166" t="s">
        <v>520</v>
      </c>
      <c r="J166">
        <f ca="1">VLOOKUP(G166,INDIRECT("球速変換!A$1:B$" &amp; Prams!$B$8),2,)</f>
        <v>147</v>
      </c>
      <c r="K166" t="str">
        <f ca="1">VLOOKUP(I166,INDIRECT("投手名変換!A$1:B$" &amp; Prams!$B$9),2,)</f>
        <v>DD003</v>
      </c>
      <c r="L166">
        <f t="shared" si="12"/>
        <v>27</v>
      </c>
      <c r="M166">
        <f ca="1">(B166-VLOOKUP(K166,INDIRECT("投手データ!B1:D"&amp;Prams!$B$1),3,FALSE)*2)</f>
        <v>31</v>
      </c>
      <c r="N166" t="str">
        <f ca="1">VLOOKUP(F166,INDIRECT("球種変換表!A$1:B$" &amp; Prams!$B$2),2,)</f>
        <v>全力ストレート</v>
      </c>
      <c r="O166">
        <f ca="1">VLOOKUP(N166,球種情報!A:B,2,FALSE)</f>
        <v>2</v>
      </c>
      <c r="P166">
        <f ca="1">VLOOKUP(K166,投手データ!B:AI,output!O166+6,FALSE)</f>
        <v>1</v>
      </c>
      <c r="R166">
        <f t="shared" ca="1" si="13"/>
        <v>6.8027210884353739E-3</v>
      </c>
      <c r="S166">
        <f t="shared" si="14"/>
        <v>0.43506944444444445</v>
      </c>
      <c r="T166">
        <f>Prams!B$5/(S166-Prams!B$6)</f>
        <v>164.96275487892558</v>
      </c>
      <c r="U166">
        <f t="shared" ca="1" si="15"/>
        <v>0.50173611111111116</v>
      </c>
      <c r="V166">
        <f ca="1">Prams!C$5/(U166-Prams!C$6)</f>
        <v>172.62431260616307</v>
      </c>
      <c r="W166">
        <f t="shared" ca="1" si="16"/>
        <v>1.174315051742606</v>
      </c>
    </row>
    <row r="167" spans="1:24" hidden="1" x14ac:dyDescent="0.55000000000000004">
      <c r="A167" s="1" t="s">
        <v>529</v>
      </c>
      <c r="B167" s="1">
        <v>125</v>
      </c>
      <c r="C167">
        <v>642</v>
      </c>
      <c r="D167">
        <v>624.5</v>
      </c>
      <c r="E167">
        <v>11.01146</v>
      </c>
      <c r="F167" t="s">
        <v>343</v>
      </c>
      <c r="G167" s="10" t="s">
        <v>640</v>
      </c>
      <c r="H167">
        <v>98</v>
      </c>
      <c r="I167" t="s">
        <v>518</v>
      </c>
      <c r="J167">
        <f ca="1">VLOOKUP(G167,INDIRECT("球速変換!A$1:B$" &amp; Prams!$B$8),2,)</f>
        <v>148</v>
      </c>
      <c r="K167" t="str">
        <f ca="1">VLOOKUP(I167,INDIRECT("投手名変換!A$1:B$" &amp; Prams!$B$9),2,)</f>
        <v>DD003</v>
      </c>
      <c r="L167">
        <f t="shared" si="12"/>
        <v>27</v>
      </c>
      <c r="M167">
        <f ca="1">(B167-VLOOKUP(K167,INDIRECT("投手データ!B1:D"&amp;Prams!$B$1),3,FALSE)*2)</f>
        <v>31</v>
      </c>
      <c r="N167" t="str">
        <f ca="1">VLOOKUP(F167,INDIRECT("球種変換表!A$1:B$" &amp; Prams!$B$2),2,)</f>
        <v>全力ストレート</v>
      </c>
      <c r="O167">
        <f ca="1">VLOOKUP(N167,球種情報!A:B,2,FALSE)</f>
        <v>2</v>
      </c>
      <c r="P167">
        <f ca="1">VLOOKUP(K167,投手データ!B:AI,output!O167+6,FALSE)</f>
        <v>1</v>
      </c>
      <c r="R167">
        <f t="shared" ca="1" si="13"/>
        <v>6.7567567567567571E-3</v>
      </c>
      <c r="S167">
        <f t="shared" si="14"/>
        <v>0.43298611111111113</v>
      </c>
      <c r="T167">
        <f>Prams!B$5/(S167-Prams!B$6)</f>
        <v>165.88490463377732</v>
      </c>
      <c r="U167">
        <f t="shared" ca="1" si="15"/>
        <v>0.49965277777777778</v>
      </c>
      <c r="V167">
        <f ca="1">Prams!C$5/(U167-Prams!C$6)</f>
        <v>173.63437068474556</v>
      </c>
      <c r="W167">
        <f t="shared" ca="1" si="16"/>
        <v>1.173205207329362</v>
      </c>
    </row>
    <row r="168" spans="1:24" hidden="1" x14ac:dyDescent="0.55000000000000004">
      <c r="A168" s="1" t="s">
        <v>530</v>
      </c>
      <c r="B168" s="1">
        <v>125</v>
      </c>
      <c r="C168">
        <v>641.5</v>
      </c>
      <c r="D168">
        <v>619.5</v>
      </c>
      <c r="E168">
        <v>10.512</v>
      </c>
      <c r="F168" t="s">
        <v>343</v>
      </c>
      <c r="G168" s="10" t="s">
        <v>613</v>
      </c>
      <c r="H168">
        <v>98</v>
      </c>
      <c r="I168" t="s">
        <v>547</v>
      </c>
      <c r="J168">
        <f ca="1">VLOOKUP(G168,INDIRECT("球速変換!A$1:B$" &amp; Prams!$B$8),2,)</f>
        <v>147</v>
      </c>
      <c r="K168" t="str">
        <f ca="1">VLOOKUP(I168,INDIRECT("投手名変換!A$1:B$" &amp; Prams!$B$9),2,)</f>
        <v>DD003</v>
      </c>
      <c r="L168">
        <f t="shared" si="12"/>
        <v>27</v>
      </c>
      <c r="M168">
        <f ca="1">(B168-VLOOKUP(K168,INDIRECT("投手データ!B1:D"&amp;Prams!$B$1),3,FALSE)*2)</f>
        <v>31</v>
      </c>
      <c r="N168" t="str">
        <f ca="1">VLOOKUP(F168,INDIRECT("球種変換表!A$1:B$" &amp; Prams!$B$2),2,)</f>
        <v>全力ストレート</v>
      </c>
      <c r="O168">
        <f ca="1">VLOOKUP(N168,球種情報!A:B,2,FALSE)</f>
        <v>2</v>
      </c>
      <c r="P168">
        <f ca="1">VLOOKUP(K168,投手データ!B:AI,output!O168+6,FALSE)</f>
        <v>1</v>
      </c>
      <c r="R168">
        <f t="shared" ca="1" si="13"/>
        <v>6.8027210884353739E-3</v>
      </c>
      <c r="S168">
        <f t="shared" si="14"/>
        <v>0.43645833333333334</v>
      </c>
      <c r="T168">
        <f>Prams!B$5/(S168-Prams!B$6)</f>
        <v>164.35366312944461</v>
      </c>
      <c r="U168">
        <f t="shared" ca="1" si="15"/>
        <v>0.50312500000000004</v>
      </c>
      <c r="V168">
        <f ca="1">Prams!C$5/(U168-Prams!C$6)</f>
        <v>171.95744384952366</v>
      </c>
      <c r="W168">
        <f t="shared" ca="1" si="16"/>
        <v>1.1697785295885963</v>
      </c>
    </row>
    <row r="169" spans="1:24" hidden="1" x14ac:dyDescent="0.55000000000000004">
      <c r="A169" s="1" t="s">
        <v>532</v>
      </c>
      <c r="B169" s="1">
        <v>124</v>
      </c>
      <c r="C169">
        <v>638.5</v>
      </c>
      <c r="D169">
        <v>600.5</v>
      </c>
      <c r="E169">
        <v>10.512</v>
      </c>
      <c r="F169" t="s">
        <v>343</v>
      </c>
      <c r="G169" s="10" t="s">
        <v>644</v>
      </c>
      <c r="H169">
        <v>98</v>
      </c>
      <c r="I169" t="s">
        <v>536</v>
      </c>
      <c r="J169">
        <f ca="1">VLOOKUP(G169,INDIRECT("球速変換!A$1:B$" &amp; Prams!$B$8),2,)</f>
        <v>149</v>
      </c>
      <c r="K169" t="str">
        <f ca="1">VLOOKUP(I169,INDIRECT("投手名変換!A$1:B$" &amp; Prams!$B$9),2,)</f>
        <v>DD003</v>
      </c>
      <c r="L169">
        <f t="shared" si="12"/>
        <v>26</v>
      </c>
      <c r="M169">
        <f ca="1">(B169-VLOOKUP(K169,INDIRECT("投手データ!B1:D"&amp;Prams!$B$1),3,FALSE)*2)</f>
        <v>30</v>
      </c>
      <c r="N169" t="str">
        <f ca="1">VLOOKUP(F169,INDIRECT("球種変換表!A$1:B$" &amp; Prams!$B$2),2,)</f>
        <v>全力ストレート</v>
      </c>
      <c r="O169">
        <f ca="1">VLOOKUP(N169,球種情報!A:B,2,FALSE)</f>
        <v>2</v>
      </c>
      <c r="P169">
        <f ca="1">VLOOKUP(K169,投手データ!B:AI,output!O169+6,FALSE)</f>
        <v>1</v>
      </c>
      <c r="R169">
        <f t="shared" ca="1" si="13"/>
        <v>6.7114093959731542E-3</v>
      </c>
      <c r="S169">
        <f t="shared" si="14"/>
        <v>0.43298611111111113</v>
      </c>
      <c r="T169">
        <f>Prams!B$5/(S169-Prams!B$6)</f>
        <v>165.88490463377732</v>
      </c>
      <c r="U169">
        <f t="shared" ca="1" si="15"/>
        <v>0.49965277777777778</v>
      </c>
      <c r="V169">
        <f ca="1">Prams!C$5/(U169-Prams!C$6)</f>
        <v>173.63437068474556</v>
      </c>
      <c r="W169">
        <f t="shared" ca="1" si="16"/>
        <v>1.1653313468774871</v>
      </c>
    </row>
    <row r="170" spans="1:24" hidden="1" x14ac:dyDescent="0.55000000000000004">
      <c r="A170" s="1" t="s">
        <v>534</v>
      </c>
      <c r="B170" s="1">
        <v>125</v>
      </c>
      <c r="C170">
        <v>641</v>
      </c>
      <c r="D170">
        <v>618</v>
      </c>
      <c r="E170">
        <v>11.0001</v>
      </c>
      <c r="F170" t="s">
        <v>343</v>
      </c>
      <c r="G170" s="10" t="s">
        <v>2433</v>
      </c>
      <c r="H170">
        <v>98</v>
      </c>
      <c r="I170" t="s">
        <v>525</v>
      </c>
      <c r="J170">
        <f ca="1">VLOOKUP(G170,INDIRECT("球速変換!A$1:B$" &amp; Prams!$B$8),2,)</f>
        <v>146</v>
      </c>
      <c r="K170" t="str">
        <f ca="1">VLOOKUP(I170,INDIRECT("投手名変換!A$1:B$" &amp; Prams!$B$9),2,)</f>
        <v>DD003</v>
      </c>
      <c r="L170">
        <f t="shared" si="12"/>
        <v>27</v>
      </c>
      <c r="M170">
        <f ca="1">(B170-VLOOKUP(K170,INDIRECT("投手データ!B1:D"&amp;Prams!$B$1),3,FALSE)*2)</f>
        <v>31</v>
      </c>
      <c r="N170" t="str">
        <f ca="1">VLOOKUP(F170,INDIRECT("球種変換表!A$1:B$" &amp; Prams!$B$2),2,)</f>
        <v>全力ストレート</v>
      </c>
      <c r="O170">
        <f ca="1">VLOOKUP(N170,球種情報!A:B,2,FALSE)</f>
        <v>2</v>
      </c>
      <c r="P170">
        <f ca="1">VLOOKUP(K170,投手データ!B:AI,output!O170+6,FALSE)</f>
        <v>1</v>
      </c>
      <c r="R170">
        <f t="shared" ca="1" si="13"/>
        <v>6.8493150684931503E-3</v>
      </c>
      <c r="S170">
        <f t="shared" si="14"/>
        <v>0.4375</v>
      </c>
      <c r="T170">
        <f>Prams!B$5/(S170-Prams!B$6)</f>
        <v>163.89978791092258</v>
      </c>
      <c r="U170">
        <f t="shared" ca="1" si="15"/>
        <v>0.50416666666666665</v>
      </c>
      <c r="V170">
        <f ca="1">Prams!C$5/(U170-Prams!C$6)</f>
        <v>171.4606637699917</v>
      </c>
      <c r="W170">
        <f t="shared" ca="1" si="16"/>
        <v>1.1743881080136418</v>
      </c>
    </row>
    <row r="171" spans="1:24" hidden="1" x14ac:dyDescent="0.55000000000000004">
      <c r="A171" s="1" t="s">
        <v>537</v>
      </c>
      <c r="B171" s="1">
        <v>132</v>
      </c>
      <c r="C171">
        <v>651.5</v>
      </c>
      <c r="D171">
        <v>615.5</v>
      </c>
      <c r="E171">
        <v>11.510960000000001</v>
      </c>
      <c r="F171" t="s">
        <v>15</v>
      </c>
      <c r="G171" s="10" t="s">
        <v>1099</v>
      </c>
      <c r="H171">
        <v>101</v>
      </c>
      <c r="I171" t="s">
        <v>538</v>
      </c>
      <c r="J171">
        <f ca="1">VLOOKUP(G171,INDIRECT("球速変換!A$1:B$" &amp; Prams!$B$8),2,)</f>
        <v>142</v>
      </c>
      <c r="K171" t="str">
        <f ca="1">VLOOKUP(I171,INDIRECT("投手名変換!A$1:B$" &amp; Prams!$B$9),2,)</f>
        <v>DD003</v>
      </c>
      <c r="L171">
        <f t="shared" si="12"/>
        <v>31</v>
      </c>
      <c r="M171">
        <f ca="1">(B171-VLOOKUP(K171,INDIRECT("投手データ!B1:D"&amp;Prams!$B$1),3,FALSE)*2)</f>
        <v>38</v>
      </c>
      <c r="N171" t="str">
        <f ca="1">VLOOKUP(F171,INDIRECT("球種変換表!A$1:B$" &amp; Prams!$B$2),2,)</f>
        <v>カットボール</v>
      </c>
      <c r="O171">
        <f ca="1">VLOOKUP(N171,球種情報!A:B,2,FALSE)</f>
        <v>8</v>
      </c>
      <c r="P171">
        <f ca="1">VLOOKUP(K171,投手データ!B:AI,output!O171+6,FALSE)</f>
        <v>2</v>
      </c>
      <c r="R171">
        <f t="shared" ca="1" si="13"/>
        <v>7.0422535211267607E-3</v>
      </c>
      <c r="S171">
        <f t="shared" si="14"/>
        <v>0.50590277777777781</v>
      </c>
      <c r="T171">
        <f>Prams!B$5/(S171-Prams!B$6)</f>
        <v>138.7401584620084</v>
      </c>
      <c r="U171">
        <f t="shared" ca="1" si="15"/>
        <v>0.6225694444444444</v>
      </c>
      <c r="V171">
        <f ca="1">Prams!C$5/(U171-Prams!C$6)</f>
        <v>129.07503958150892</v>
      </c>
      <c r="W171">
        <f t="shared" ca="1" si="16"/>
        <v>0.90897915198245716</v>
      </c>
    </row>
    <row r="172" spans="1:24" hidden="1" x14ac:dyDescent="0.55000000000000004">
      <c r="A172" s="1" t="s">
        <v>539</v>
      </c>
      <c r="B172" s="1">
        <v>132</v>
      </c>
      <c r="C172">
        <v>641.95001000000002</v>
      </c>
      <c r="D172">
        <v>605.5</v>
      </c>
      <c r="E172">
        <v>10.062519999999999</v>
      </c>
      <c r="F172" t="s">
        <v>1549</v>
      </c>
      <c r="G172" s="10" t="s">
        <v>2416</v>
      </c>
      <c r="H172">
        <v>101</v>
      </c>
      <c r="I172" t="s">
        <v>538</v>
      </c>
      <c r="J172">
        <f ca="1">VLOOKUP(G172,INDIRECT("球速変換!A$1:B$" &amp; Prams!$B$8),2,)</f>
        <v>140</v>
      </c>
      <c r="K172" t="str">
        <f ca="1">VLOOKUP(I172,INDIRECT("投手名変換!A$1:B$" &amp; Prams!$B$9),2,)</f>
        <v>DD003</v>
      </c>
      <c r="L172">
        <f t="shared" si="12"/>
        <v>31</v>
      </c>
      <c r="M172">
        <f ca="1">(B172-VLOOKUP(K172,INDIRECT("投手データ!B1:D"&amp;Prams!$B$1),3,FALSE)*2)</f>
        <v>38</v>
      </c>
      <c r="N172" t="str">
        <f ca="1">VLOOKUP(F172,INDIRECT("球種変換表!A$1:B$" &amp; Prams!$B$2),2,)</f>
        <v>カットボール</v>
      </c>
      <c r="O172">
        <f ca="1">VLOOKUP(N172,球種情報!A:B,2,FALSE)</f>
        <v>8</v>
      </c>
      <c r="P172">
        <f ca="1">VLOOKUP(K172,投手データ!B:AI,output!O172+6,FALSE)</f>
        <v>2</v>
      </c>
      <c r="R172">
        <f t="shared" ca="1" si="13"/>
        <v>7.1428571428571426E-3</v>
      </c>
      <c r="S172">
        <f t="shared" si="14"/>
        <v>0.51284722222222223</v>
      </c>
      <c r="T172">
        <f>Prams!B$5/(S172-Prams!B$6)</f>
        <v>136.61115782883309</v>
      </c>
      <c r="U172">
        <f t="shared" ca="1" si="15"/>
        <v>0.62951388888888893</v>
      </c>
      <c r="V172">
        <f ca="1">Prams!C$5/(U172-Prams!C$6)</f>
        <v>127.23036203259608</v>
      </c>
      <c r="W172">
        <f t="shared" ca="1" si="16"/>
        <v>0.90878830023282908</v>
      </c>
    </row>
    <row r="173" spans="1:24" hidden="1" x14ac:dyDescent="0.55000000000000004">
      <c r="A173" s="1" t="s">
        <v>540</v>
      </c>
      <c r="B173" s="1">
        <v>132</v>
      </c>
      <c r="C173">
        <v>646.5</v>
      </c>
      <c r="D173">
        <v>604.5</v>
      </c>
      <c r="E173">
        <v>10.512</v>
      </c>
      <c r="F173" t="s">
        <v>15</v>
      </c>
      <c r="G173" s="10" t="s">
        <v>2416</v>
      </c>
      <c r="H173">
        <v>101</v>
      </c>
      <c r="I173" t="s">
        <v>518</v>
      </c>
      <c r="J173">
        <f ca="1">VLOOKUP(G173,INDIRECT("球速変換!A$1:B$" &amp; Prams!$B$8),2,)</f>
        <v>140</v>
      </c>
      <c r="K173" t="str">
        <f ca="1">VLOOKUP(I173,INDIRECT("投手名変換!A$1:B$" &amp; Prams!$B$9),2,)</f>
        <v>DD003</v>
      </c>
      <c r="L173">
        <f t="shared" si="12"/>
        <v>31</v>
      </c>
      <c r="M173">
        <f ca="1">(B173-VLOOKUP(K173,INDIRECT("投手データ!B1:D"&amp;Prams!$B$1),3,FALSE)*2)</f>
        <v>38</v>
      </c>
      <c r="N173" t="str">
        <f ca="1">VLOOKUP(F173,INDIRECT("球種変換表!A$1:B$" &amp; Prams!$B$2),2,)</f>
        <v>カットボール</v>
      </c>
      <c r="O173">
        <f ca="1">VLOOKUP(N173,球種情報!A:B,2,FALSE)</f>
        <v>8</v>
      </c>
      <c r="P173">
        <f ca="1">VLOOKUP(K173,投手データ!B:AI,output!O173+6,FALSE)</f>
        <v>2</v>
      </c>
      <c r="R173">
        <f t="shared" ca="1" si="13"/>
        <v>7.1428571428571426E-3</v>
      </c>
      <c r="S173">
        <f t="shared" si="14"/>
        <v>0.51354166666666667</v>
      </c>
      <c r="T173">
        <f>Prams!B$5/(S173-Prams!B$6)</f>
        <v>136.40184596149956</v>
      </c>
      <c r="U173">
        <f t="shared" ca="1" si="15"/>
        <v>0.63020833333333337</v>
      </c>
      <c r="V173">
        <f ca="1">Prams!C$5/(U173-Prams!C$6)</f>
        <v>127.04879009470312</v>
      </c>
      <c r="W173">
        <f t="shared" ca="1" si="16"/>
        <v>0.90749135781930801</v>
      </c>
    </row>
    <row r="174" spans="1:24" hidden="1" x14ac:dyDescent="0.55000000000000004">
      <c r="A174" s="1" t="s">
        <v>541</v>
      </c>
      <c r="B174" s="1">
        <v>132</v>
      </c>
      <c r="C174">
        <v>646</v>
      </c>
      <c r="D174">
        <v>613.5</v>
      </c>
      <c r="E174">
        <v>11.01146</v>
      </c>
      <c r="F174" t="s">
        <v>15</v>
      </c>
      <c r="G174" s="10" t="s">
        <v>1099</v>
      </c>
      <c r="H174">
        <v>101</v>
      </c>
      <c r="I174" t="s">
        <v>518</v>
      </c>
      <c r="J174">
        <f ca="1">VLOOKUP(G174,INDIRECT("球速変換!A$1:B$" &amp; Prams!$B$8),2,)</f>
        <v>142</v>
      </c>
      <c r="K174" t="str">
        <f ca="1">VLOOKUP(I174,INDIRECT("投手名変換!A$1:B$" &amp; Prams!$B$9),2,)</f>
        <v>DD003</v>
      </c>
      <c r="L174">
        <f t="shared" si="12"/>
        <v>31</v>
      </c>
      <c r="M174">
        <f ca="1">(B174-VLOOKUP(K174,INDIRECT("投手データ!B1:D"&amp;Prams!$B$1),3,FALSE)*2)</f>
        <v>38</v>
      </c>
      <c r="N174" t="str">
        <f ca="1">VLOOKUP(F174,INDIRECT("球種変換表!A$1:B$" &amp; Prams!$B$2),2,)</f>
        <v>カットボール</v>
      </c>
      <c r="O174">
        <f ca="1">VLOOKUP(N174,球種情報!A:B,2,FALSE)</f>
        <v>8</v>
      </c>
      <c r="P174">
        <f ca="1">VLOOKUP(K174,投手データ!B:AI,output!O174+6,FALSE)</f>
        <v>2</v>
      </c>
      <c r="R174">
        <f t="shared" ca="1" si="13"/>
        <v>7.0422535211267607E-3</v>
      </c>
      <c r="S174">
        <f t="shared" si="14"/>
        <v>0.5072916666666667</v>
      </c>
      <c r="T174">
        <f>Prams!B$5/(S174-Prams!B$6)</f>
        <v>138.30906616454445</v>
      </c>
      <c r="U174">
        <f t="shared" ca="1" si="15"/>
        <v>0.62395833333333328</v>
      </c>
      <c r="V174">
        <f ca="1">Prams!C$5/(U174-Prams!C$6)</f>
        <v>128.70183717016812</v>
      </c>
      <c r="W174">
        <f t="shared" ca="1" si="16"/>
        <v>0.90635096598709941</v>
      </c>
    </row>
    <row r="175" spans="1:24" hidden="1" x14ac:dyDescent="0.55000000000000004">
      <c r="A175" s="1" t="s">
        <v>542</v>
      </c>
      <c r="B175" s="1">
        <v>132</v>
      </c>
      <c r="C175">
        <v>644.5</v>
      </c>
      <c r="D175">
        <v>606</v>
      </c>
      <c r="E175">
        <v>10.547610000000001</v>
      </c>
      <c r="F175" t="s">
        <v>15</v>
      </c>
      <c r="G175" s="10" t="s">
        <v>2416</v>
      </c>
      <c r="H175">
        <v>101</v>
      </c>
      <c r="I175" t="s">
        <v>538</v>
      </c>
      <c r="J175">
        <f ca="1">VLOOKUP(G175,INDIRECT("球速変換!A$1:B$" &amp; Prams!$B$8),2,)</f>
        <v>140</v>
      </c>
      <c r="K175" t="str">
        <f ca="1">VLOOKUP(I175,INDIRECT("投手名変換!A$1:B$" &amp; Prams!$B$9),2,)</f>
        <v>DD003</v>
      </c>
      <c r="L175">
        <f t="shared" si="12"/>
        <v>31</v>
      </c>
      <c r="M175">
        <f ca="1">(B175-VLOOKUP(K175,INDIRECT("投手データ!B1:D"&amp;Prams!$B$1),3,FALSE)*2)</f>
        <v>38</v>
      </c>
      <c r="N175" t="str">
        <f ca="1">VLOOKUP(F175,INDIRECT("球種変換表!A$1:B$" &amp; Prams!$B$2),2,)</f>
        <v>カットボール</v>
      </c>
      <c r="O175">
        <f ca="1">VLOOKUP(N175,球種情報!A:B,2,FALSE)</f>
        <v>8</v>
      </c>
      <c r="P175">
        <f ca="1">VLOOKUP(K175,投手データ!B:AI,output!O175+6,FALSE)</f>
        <v>2</v>
      </c>
      <c r="R175">
        <f t="shared" ca="1" si="13"/>
        <v>7.1428571428571426E-3</v>
      </c>
      <c r="S175">
        <f t="shared" si="14"/>
        <v>0.51249999999999996</v>
      </c>
      <c r="T175">
        <f>Prams!B$5/(S175-Prams!B$6)</f>
        <v>136.71605484298985</v>
      </c>
      <c r="U175">
        <f t="shared" ca="1" si="15"/>
        <v>0.62916666666666665</v>
      </c>
      <c r="V175">
        <f ca="1">Prams!C$5/(U175-Prams!C$6)</f>
        <v>127.32134276103523</v>
      </c>
      <c r="W175">
        <f t="shared" ca="1" si="16"/>
        <v>0.90943816257882304</v>
      </c>
    </row>
    <row r="176" spans="1:24" hidden="1" x14ac:dyDescent="0.55000000000000004">
      <c r="A176" s="1" t="s">
        <v>543</v>
      </c>
      <c r="B176" s="1">
        <v>132</v>
      </c>
      <c r="C176">
        <v>652.54760999999996</v>
      </c>
      <c r="D176">
        <v>610.5</v>
      </c>
      <c r="E176">
        <v>10.55958</v>
      </c>
      <c r="F176" t="s">
        <v>15</v>
      </c>
      <c r="G176" s="10" t="s">
        <v>584</v>
      </c>
      <c r="H176">
        <v>101</v>
      </c>
      <c r="I176" t="s">
        <v>517</v>
      </c>
      <c r="J176">
        <f ca="1">VLOOKUP(G176,INDIRECT("球速変換!A$1:B$" &amp; Prams!$B$8),2,)</f>
        <v>141</v>
      </c>
      <c r="K176" t="str">
        <f ca="1">VLOOKUP(I176,INDIRECT("投手名変換!A$1:B$" &amp; Prams!$B$9),2,)</f>
        <v>DD003</v>
      </c>
      <c r="L176">
        <f t="shared" si="12"/>
        <v>31</v>
      </c>
      <c r="M176">
        <f ca="1">(B176-VLOOKUP(K176,INDIRECT("投手データ!B1:D"&amp;Prams!$B$1),3,FALSE)*2)</f>
        <v>38</v>
      </c>
      <c r="N176" t="str">
        <f ca="1">VLOOKUP(F176,INDIRECT("球種変換表!A$1:B$" &amp; Prams!$B$2),2,)</f>
        <v>カットボール</v>
      </c>
      <c r="O176">
        <f ca="1">VLOOKUP(N176,球種情報!A:B,2,FALSE)</f>
        <v>8</v>
      </c>
      <c r="P176">
        <f ca="1">VLOOKUP(K176,投手データ!B:AI,output!O176+6,FALSE)</f>
        <v>2</v>
      </c>
      <c r="R176">
        <f t="shared" ca="1" si="13"/>
        <v>7.0921985815602835E-3</v>
      </c>
      <c r="S176">
        <f t="shared" si="14"/>
        <v>0.50937500000000002</v>
      </c>
      <c r="T176">
        <f>Prams!B$5/(S176-Prams!B$6)</f>
        <v>137.66742748984024</v>
      </c>
      <c r="U176">
        <f t="shared" ca="1" si="15"/>
        <v>0.62604166666666672</v>
      </c>
      <c r="V176">
        <f ca="1">Prams!C$5/(U176-Prams!C$6)</f>
        <v>128.14606256369507</v>
      </c>
      <c r="W176">
        <f t="shared" ca="1" si="16"/>
        <v>0.90883732314677357</v>
      </c>
    </row>
    <row r="177" spans="1:24" hidden="1" x14ac:dyDescent="0.55000000000000004">
      <c r="A177" s="1" t="s">
        <v>544</v>
      </c>
      <c r="B177" s="1">
        <v>132</v>
      </c>
      <c r="C177">
        <v>641</v>
      </c>
      <c r="D177">
        <v>601</v>
      </c>
      <c r="E177">
        <v>10.04998</v>
      </c>
      <c r="F177" t="s">
        <v>15</v>
      </c>
      <c r="G177" s="10" t="s">
        <v>2417</v>
      </c>
      <c r="H177">
        <v>101</v>
      </c>
      <c r="I177" t="s">
        <v>517</v>
      </c>
      <c r="J177">
        <f ca="1">VLOOKUP(G177,INDIRECT("球速変換!A$1:B$" &amp; Prams!$B$8),2,)</f>
        <v>139</v>
      </c>
      <c r="K177" t="str">
        <f ca="1">VLOOKUP(I177,INDIRECT("投手名変換!A$1:B$" &amp; Prams!$B$9),2,)</f>
        <v>DD003</v>
      </c>
      <c r="L177">
        <f t="shared" si="12"/>
        <v>31</v>
      </c>
      <c r="M177">
        <f ca="1">(B177-VLOOKUP(K177,INDIRECT("投手データ!B1:D"&amp;Prams!$B$1),3,FALSE)*2)</f>
        <v>38</v>
      </c>
      <c r="N177" t="str">
        <f ca="1">VLOOKUP(F177,INDIRECT("球種変換表!A$1:B$" &amp; Prams!$B$2),2,)</f>
        <v>カットボール</v>
      </c>
      <c r="O177">
        <f ca="1">VLOOKUP(N177,球種情報!A:B,2,FALSE)</f>
        <v>8</v>
      </c>
      <c r="P177">
        <f ca="1">VLOOKUP(K177,投手データ!B:AI,output!O177+6,FALSE)</f>
        <v>2</v>
      </c>
      <c r="R177">
        <f t="shared" ca="1" si="13"/>
        <v>7.1942446043165471E-3</v>
      </c>
      <c r="S177">
        <f t="shared" si="14"/>
        <v>0.51597222222222217</v>
      </c>
      <c r="T177">
        <f>Prams!B$5/(S177-Prams!B$6)</f>
        <v>135.67427853842312</v>
      </c>
      <c r="U177">
        <f t="shared" ca="1" si="15"/>
        <v>0.63263888888888897</v>
      </c>
      <c r="V177">
        <f ca="1">Prams!C$5/(U177-Prams!C$6)</f>
        <v>126.41734922239766</v>
      </c>
      <c r="W177">
        <f t="shared" ca="1" si="16"/>
        <v>0.90947733253523499</v>
      </c>
    </row>
    <row r="178" spans="1:24" hidden="1" x14ac:dyDescent="0.55000000000000004">
      <c r="A178" s="1" t="s">
        <v>546</v>
      </c>
      <c r="B178" s="1">
        <v>132</v>
      </c>
      <c r="C178">
        <v>640.5</v>
      </c>
      <c r="D178">
        <v>606</v>
      </c>
      <c r="E178">
        <v>10.547610000000001</v>
      </c>
      <c r="F178" t="s">
        <v>15</v>
      </c>
      <c r="G178" s="10" t="s">
        <v>2416</v>
      </c>
      <c r="H178">
        <v>101</v>
      </c>
      <c r="I178" t="s">
        <v>518</v>
      </c>
      <c r="J178">
        <f ca="1">VLOOKUP(G178,INDIRECT("球速変換!A$1:B$" &amp; Prams!$B$8),2,)</f>
        <v>140</v>
      </c>
      <c r="K178" t="str">
        <f ca="1">VLOOKUP(I178,INDIRECT("投手名変換!A$1:B$" &amp; Prams!$B$9),2,)</f>
        <v>DD003</v>
      </c>
      <c r="L178">
        <f t="shared" si="12"/>
        <v>31</v>
      </c>
      <c r="M178">
        <f ca="1">(B178-VLOOKUP(K178,INDIRECT("投手データ!B1:D"&amp;Prams!$B$1),3,FALSE)*2)</f>
        <v>38</v>
      </c>
      <c r="N178" t="str">
        <f ca="1">VLOOKUP(F178,INDIRECT("球種変換表!A$1:B$" &amp; Prams!$B$2),2,)</f>
        <v>カットボール</v>
      </c>
      <c r="O178">
        <f ca="1">VLOOKUP(N178,球種情報!A:B,2,FALSE)</f>
        <v>8</v>
      </c>
      <c r="P178">
        <f ca="1">VLOOKUP(K178,投手データ!B:AI,output!O178+6,FALSE)</f>
        <v>2</v>
      </c>
      <c r="R178">
        <f t="shared" ca="1" si="13"/>
        <v>7.1428571428571426E-3</v>
      </c>
      <c r="S178">
        <f t="shared" si="14"/>
        <v>0.51249999999999996</v>
      </c>
      <c r="T178">
        <f>Prams!B$5/(S178-Prams!B$6)</f>
        <v>136.71605484298985</v>
      </c>
      <c r="U178">
        <f t="shared" ca="1" si="15"/>
        <v>0.62916666666666665</v>
      </c>
      <c r="V178">
        <f ca="1">Prams!C$5/(U178-Prams!C$6)</f>
        <v>127.32134276103523</v>
      </c>
      <c r="W178">
        <f t="shared" ca="1" si="16"/>
        <v>0.90943816257882304</v>
      </c>
    </row>
    <row r="179" spans="1:24" hidden="1" x14ac:dyDescent="0.55000000000000004">
      <c r="A179" s="1" t="s">
        <v>548</v>
      </c>
      <c r="B179" s="1">
        <v>132</v>
      </c>
      <c r="C179">
        <v>640.47619999999995</v>
      </c>
      <c r="D179">
        <v>609</v>
      </c>
      <c r="E179">
        <v>10.523899999999999</v>
      </c>
      <c r="F179" t="s">
        <v>15</v>
      </c>
      <c r="G179" s="10" t="s">
        <v>1550</v>
      </c>
      <c r="H179">
        <v>101</v>
      </c>
      <c r="I179" t="s">
        <v>518</v>
      </c>
      <c r="J179">
        <f ca="1">VLOOKUP(G179,INDIRECT("球速変換!A$1:B$" &amp; Prams!$B$8),2,)</f>
        <v>141</v>
      </c>
      <c r="K179" t="str">
        <f ca="1">VLOOKUP(I179,INDIRECT("投手名変換!A$1:B$" &amp; Prams!$B$9),2,)</f>
        <v>DD003</v>
      </c>
      <c r="L179">
        <f t="shared" si="12"/>
        <v>31</v>
      </c>
      <c r="M179">
        <f ca="1">(B179-VLOOKUP(K179,INDIRECT("投手データ!B1:D"&amp;Prams!$B$1),3,FALSE)*2)</f>
        <v>38</v>
      </c>
      <c r="N179" t="str">
        <f ca="1">VLOOKUP(F179,INDIRECT("球種変換表!A$1:B$" &amp; Prams!$B$2),2,)</f>
        <v>カットボール</v>
      </c>
      <c r="O179">
        <f ca="1">VLOOKUP(N179,球種情報!A:B,2,FALSE)</f>
        <v>8</v>
      </c>
      <c r="P179">
        <f ca="1">VLOOKUP(K179,投手データ!B:AI,output!O179+6,FALSE)</f>
        <v>2</v>
      </c>
      <c r="R179">
        <f t="shared" ca="1" si="13"/>
        <v>7.0921985815602835E-3</v>
      </c>
      <c r="S179">
        <f t="shared" si="14"/>
        <v>0.51041666666666663</v>
      </c>
      <c r="T179">
        <f>Prams!B$5/(S179-Prams!B$6)</f>
        <v>137.34883548709595</v>
      </c>
      <c r="U179">
        <f t="shared" ca="1" si="15"/>
        <v>0.62708333333333333</v>
      </c>
      <c r="V179">
        <f ca="1">Prams!C$5/(U179-Prams!C$6)</f>
        <v>127.86997138818988</v>
      </c>
      <c r="W179">
        <f t="shared" ca="1" si="16"/>
        <v>0.90687922970347434</v>
      </c>
    </row>
    <row r="180" spans="1:24" hidden="1" x14ac:dyDescent="0.55000000000000004">
      <c r="A180" s="1" t="s">
        <v>549</v>
      </c>
      <c r="B180" s="1">
        <v>132</v>
      </c>
      <c r="C180">
        <v>636.5</v>
      </c>
      <c r="D180">
        <v>602</v>
      </c>
      <c r="E180">
        <v>10.547610000000001</v>
      </c>
      <c r="F180" t="s">
        <v>15</v>
      </c>
      <c r="G180" s="10" t="s">
        <v>583</v>
      </c>
      <c r="H180">
        <v>101</v>
      </c>
      <c r="I180" t="s">
        <v>517</v>
      </c>
      <c r="J180">
        <f ca="1">VLOOKUP(G180,INDIRECT("球速変換!A$1:B$" &amp; Prams!$B$8),2,)</f>
        <v>139</v>
      </c>
      <c r="K180" t="str">
        <f ca="1">VLOOKUP(I180,INDIRECT("投手名変換!A$1:B$" &amp; Prams!$B$9),2,)</f>
        <v>DD003</v>
      </c>
      <c r="L180">
        <f t="shared" si="12"/>
        <v>31</v>
      </c>
      <c r="M180">
        <f ca="1">(B180-VLOOKUP(K180,INDIRECT("投手データ!B1:D"&amp;Prams!$B$1),3,FALSE)*2)</f>
        <v>38</v>
      </c>
      <c r="N180" t="str">
        <f ca="1">VLOOKUP(F180,INDIRECT("球種変換表!A$1:B$" &amp; Prams!$B$2),2,)</f>
        <v>カットボール</v>
      </c>
      <c r="O180">
        <f ca="1">VLOOKUP(N180,球種情報!A:B,2,FALSE)</f>
        <v>8</v>
      </c>
      <c r="P180">
        <f ca="1">VLOOKUP(K180,投手データ!B:AI,output!O180+6,FALSE)</f>
        <v>2</v>
      </c>
      <c r="R180">
        <f t="shared" ca="1" si="13"/>
        <v>7.1942446043165471E-3</v>
      </c>
      <c r="S180">
        <f t="shared" si="14"/>
        <v>0.51527777777777783</v>
      </c>
      <c r="T180">
        <f>Prams!B$5/(S180-Prams!B$6)</f>
        <v>135.88136172706848</v>
      </c>
      <c r="U180">
        <f t="shared" ca="1" si="15"/>
        <v>0.63194444444444442</v>
      </c>
      <c r="V180">
        <f ca="1">Prams!C$5/(U180-Prams!C$6)</f>
        <v>126.59711951946487</v>
      </c>
      <c r="W180">
        <f t="shared" ca="1" si="16"/>
        <v>0.91077064402492713</v>
      </c>
    </row>
    <row r="181" spans="1:24" hidden="1" x14ac:dyDescent="0.55000000000000004">
      <c r="A181" s="1" t="s">
        <v>551</v>
      </c>
      <c r="B181" s="1">
        <v>117</v>
      </c>
      <c r="C181">
        <v>641.42107999999996</v>
      </c>
      <c r="D181">
        <v>608</v>
      </c>
      <c r="E181">
        <v>9.6310699999999994</v>
      </c>
      <c r="F181">
        <v>7</v>
      </c>
      <c r="G181" s="10" t="s">
        <v>591</v>
      </c>
      <c r="H181">
        <v>79</v>
      </c>
      <c r="I181" t="s">
        <v>550</v>
      </c>
      <c r="J181">
        <f ca="1">VLOOKUP(G181,INDIRECT("球速変換!A$1:B$" &amp; Prams!$B$8),2,)</f>
        <v>128</v>
      </c>
      <c r="K181" t="str">
        <f ca="1">VLOOKUP(I181,INDIRECT("投手名変換!A$1:B$" &amp; Prams!$B$9),2,)</f>
        <v>DD003</v>
      </c>
      <c r="L181">
        <f t="shared" si="12"/>
        <v>38</v>
      </c>
      <c r="M181">
        <f ca="1">(B181-VLOOKUP(K181,INDIRECT("投手データ!B1:D"&amp;Prams!$B$1),3,FALSE)*2)</f>
        <v>23</v>
      </c>
      <c r="N181" t="str">
        <f ca="1">VLOOKUP(F181,INDIRECT("球種変換表!A$1:B$" &amp; Prams!$B$2),2,)</f>
        <v>ドロップ</v>
      </c>
      <c r="O181">
        <f ca="1">VLOOKUP(N181,球種情報!A:B,2,FALSE)</f>
        <v>11</v>
      </c>
      <c r="P181">
        <f ca="1">VLOOKUP(K181,投手データ!B:AI,output!O181+6,FALSE)</f>
        <v>4</v>
      </c>
      <c r="R181">
        <f t="shared" ca="1" si="13"/>
        <v>7.8125E-3</v>
      </c>
      <c r="S181">
        <f t="shared" si="14"/>
        <v>0.62777777777777777</v>
      </c>
      <c r="T181">
        <f>Prams!B$5/(S181-Prams!B$6)</f>
        <v>108.94347306796155</v>
      </c>
      <c r="U181">
        <f t="shared" ca="1" si="15"/>
        <v>0.37777777777777782</v>
      </c>
      <c r="V181">
        <f ca="1">Prams!C$5/(U181-Prams!C$6)</f>
        <v>264.00028468400069</v>
      </c>
      <c r="W181">
        <f t="shared" ca="1" si="16"/>
        <v>2.0625022240937554</v>
      </c>
    </row>
    <row r="182" spans="1:24" hidden="1" x14ac:dyDescent="0.55000000000000004">
      <c r="A182" s="1" t="s">
        <v>552</v>
      </c>
      <c r="B182" s="1">
        <v>139</v>
      </c>
      <c r="C182">
        <v>642.5</v>
      </c>
      <c r="D182">
        <v>609</v>
      </c>
      <c r="E182">
        <v>10.547610000000001</v>
      </c>
      <c r="F182" t="s">
        <v>39</v>
      </c>
      <c r="G182" s="10" t="s">
        <v>623</v>
      </c>
      <c r="H182">
        <v>101</v>
      </c>
      <c r="I182" t="s">
        <v>538</v>
      </c>
      <c r="J182">
        <f ca="1">VLOOKUP(G182,INDIRECT("球速変換!A$1:B$" &amp; Prams!$B$8),2,)</f>
        <v>120</v>
      </c>
      <c r="K182" t="str">
        <f ca="1">VLOOKUP(I182,INDIRECT("投手名変換!A$1:B$" &amp; Prams!$B$9),2,)</f>
        <v>DD003</v>
      </c>
      <c r="L182">
        <f t="shared" si="12"/>
        <v>38</v>
      </c>
      <c r="M182">
        <f ca="1">(B182-VLOOKUP(K182,INDIRECT("投手データ!B1:D"&amp;Prams!$B$1),3,FALSE)*2)</f>
        <v>45</v>
      </c>
      <c r="N182" t="str">
        <f ca="1">VLOOKUP(F182,INDIRECT("球種変換表!A$1:B$" &amp; Prams!$B$2),2,)</f>
        <v>ドロップ</v>
      </c>
      <c r="O182">
        <f ca="1">VLOOKUP(N182,球種情報!A:B,2,FALSE)</f>
        <v>11</v>
      </c>
      <c r="P182">
        <f ca="1">VLOOKUP(K182,投手データ!B:AI,output!O182+6,FALSE)</f>
        <v>4</v>
      </c>
      <c r="R182">
        <f t="shared" ca="1" si="13"/>
        <v>8.3333333333333332E-3</v>
      </c>
      <c r="S182">
        <f t="shared" si="14"/>
        <v>0.62708333333333333</v>
      </c>
      <c r="T182">
        <f>Prams!B$5/(S182-Prams!B$6)</f>
        <v>109.07695474461141</v>
      </c>
      <c r="U182">
        <f t="shared" ca="1" si="15"/>
        <v>0.74375000000000002</v>
      </c>
      <c r="V182">
        <f ca="1">Prams!C$5/(U182-Prams!C$6)</f>
        <v>103.01258018828626</v>
      </c>
      <c r="W182">
        <f t="shared" ca="1" si="16"/>
        <v>0.85843816823571883</v>
      </c>
    </row>
    <row r="183" spans="1:24" hidden="1" x14ac:dyDescent="0.55000000000000004">
      <c r="A183" s="1" t="s">
        <v>553</v>
      </c>
      <c r="B183" s="1">
        <v>139</v>
      </c>
      <c r="C183">
        <v>645</v>
      </c>
      <c r="D183">
        <v>602.5</v>
      </c>
      <c r="E183">
        <v>10.111969999999999</v>
      </c>
      <c r="F183" t="s">
        <v>39</v>
      </c>
      <c r="G183" s="10" t="s">
        <v>1551</v>
      </c>
      <c r="H183">
        <v>101</v>
      </c>
      <c r="I183" t="s">
        <v>515</v>
      </c>
      <c r="J183">
        <f ca="1">VLOOKUP(G183,INDIRECT("球速変換!A$1:B$" &amp; Prams!$B$8),2,)</f>
        <v>124</v>
      </c>
      <c r="K183" t="str">
        <f ca="1">VLOOKUP(I183,INDIRECT("投手名変換!A$1:B$" &amp; Prams!$B$9),2,)</f>
        <v>DD003</v>
      </c>
      <c r="L183">
        <f t="shared" si="12"/>
        <v>38</v>
      </c>
      <c r="M183">
        <f ca="1">(B183-VLOOKUP(K183,INDIRECT("投手データ!B1:D"&amp;Prams!$B$1),3,FALSE)*2)</f>
        <v>45</v>
      </c>
      <c r="N183" t="str">
        <f ca="1">VLOOKUP(F183,INDIRECT("球種変換表!A$1:B$" &amp; Prams!$B$2),2,)</f>
        <v>ドロップ</v>
      </c>
      <c r="O183">
        <f ca="1">VLOOKUP(N183,球種情報!A:B,2,FALSE)</f>
        <v>11</v>
      </c>
      <c r="P183">
        <f ca="1">VLOOKUP(K183,投手データ!B:AI,output!O183+6,FALSE)</f>
        <v>4</v>
      </c>
      <c r="R183">
        <f t="shared" ca="1" si="13"/>
        <v>8.0645161290322578E-3</v>
      </c>
      <c r="S183">
        <f t="shared" si="14"/>
        <v>0.63159722222222225</v>
      </c>
      <c r="T183">
        <f>Prams!B$5/(S183-Prams!B$6)</f>
        <v>108.21512444874482</v>
      </c>
      <c r="U183">
        <f t="shared" ca="1" si="15"/>
        <v>0.74826388888888895</v>
      </c>
      <c r="V183">
        <f ca="1">Prams!C$5/(U183-Prams!C$6)</f>
        <v>102.24357884775289</v>
      </c>
      <c r="W183">
        <f t="shared" ca="1" si="16"/>
        <v>0.82454499070768461</v>
      </c>
    </row>
    <row r="184" spans="1:24" hidden="1" x14ac:dyDescent="0.55000000000000004">
      <c r="A184" s="1" t="s">
        <v>555</v>
      </c>
      <c r="B184" s="1">
        <v>138</v>
      </c>
      <c r="C184">
        <v>641.95001000000002</v>
      </c>
      <c r="D184">
        <v>602.5</v>
      </c>
      <c r="E184">
        <v>10.062519999999999</v>
      </c>
      <c r="F184" t="s">
        <v>554</v>
      </c>
      <c r="G184" s="10" t="s">
        <v>2419</v>
      </c>
      <c r="H184">
        <v>101</v>
      </c>
      <c r="I184" t="s">
        <v>545</v>
      </c>
      <c r="J184">
        <f ca="1">VLOOKUP(G184,INDIRECT("球速変換!A$1:B$" &amp; Prams!$B$8),2,)</f>
        <v>126</v>
      </c>
      <c r="K184" t="str">
        <f ca="1">VLOOKUP(I184,INDIRECT("投手名変換!A$1:B$" &amp; Prams!$B$9),2,)</f>
        <v>DD003</v>
      </c>
      <c r="L184">
        <f t="shared" si="12"/>
        <v>37</v>
      </c>
      <c r="M184">
        <f ca="1">(B184-VLOOKUP(K184,INDIRECT("投手データ!B1:D"&amp;Prams!$B$1),3,FALSE)*2)</f>
        <v>44</v>
      </c>
      <c r="N184" t="str">
        <f ca="1">VLOOKUP(F184,INDIRECT("球種変換表!A$1:B$" &amp; Prams!$B$2),2,)</f>
        <v>ドロップ</v>
      </c>
      <c r="O184">
        <f ca="1">VLOOKUP(N184,球種情報!A:B,2,FALSE)</f>
        <v>11</v>
      </c>
      <c r="P184">
        <f ca="1">VLOOKUP(K184,投手データ!B:AI,output!O184+6,FALSE)</f>
        <v>4</v>
      </c>
      <c r="R184">
        <f t="shared" ca="1" si="13"/>
        <v>7.9365079365079361E-3</v>
      </c>
      <c r="S184">
        <f t="shared" si="14"/>
        <v>0.61493055555555565</v>
      </c>
      <c r="T184">
        <f>Prams!B$5/(S184-Prams!B$6)</f>
        <v>111.46699254258338</v>
      </c>
      <c r="U184">
        <f t="shared" ca="1" si="15"/>
        <v>0.73159722222222223</v>
      </c>
      <c r="V184">
        <f ca="1">Prams!C$5/(U184-Prams!C$6)</f>
        <v>105.14165316351645</v>
      </c>
      <c r="W184">
        <f t="shared" ca="1" si="16"/>
        <v>0.83445756478981314</v>
      </c>
    </row>
    <row r="185" spans="1:24" hidden="1" x14ac:dyDescent="0.55000000000000004">
      <c r="A185" s="1" t="s">
        <v>556</v>
      </c>
      <c r="B185" s="1">
        <v>138</v>
      </c>
      <c r="C185">
        <v>650</v>
      </c>
      <c r="D185">
        <v>601.5</v>
      </c>
      <c r="E185">
        <v>10.012589999999999</v>
      </c>
      <c r="F185">
        <v>7</v>
      </c>
      <c r="G185" s="10" t="s">
        <v>2419</v>
      </c>
      <c r="H185">
        <v>101</v>
      </c>
      <c r="I185" t="s">
        <v>1552</v>
      </c>
      <c r="J185">
        <f ca="1">VLOOKUP(G185,INDIRECT("球速変換!A$1:B$" &amp; Prams!$B$8),2,)</f>
        <v>126</v>
      </c>
      <c r="K185" t="str">
        <f ca="1">VLOOKUP(I185,INDIRECT("投手名変換!A$1:B$" &amp; Prams!$B$9),2,)</f>
        <v>DD003</v>
      </c>
      <c r="L185">
        <f t="shared" si="12"/>
        <v>37</v>
      </c>
      <c r="M185">
        <f ca="1">(B185-VLOOKUP(K185,INDIRECT("投手データ!B1:D"&amp;Prams!$B$1),3,FALSE)*2)</f>
        <v>44</v>
      </c>
      <c r="N185" t="str">
        <f ca="1">VLOOKUP(F185,INDIRECT("球種変換表!A$1:B$" &amp; Prams!$B$2),2,)</f>
        <v>ドロップ</v>
      </c>
      <c r="O185">
        <f ca="1">VLOOKUP(N185,球種情報!A:B,2,FALSE)</f>
        <v>11</v>
      </c>
      <c r="P185">
        <f ca="1">VLOOKUP(K185,投手データ!B:AI,output!O185+6,FALSE)</f>
        <v>4</v>
      </c>
      <c r="R185">
        <f t="shared" ca="1" si="13"/>
        <v>7.9365079365079361E-3</v>
      </c>
      <c r="S185">
        <f t="shared" si="14"/>
        <v>0.61562499999999998</v>
      </c>
      <c r="T185">
        <f>Prams!B$5/(S185-Prams!B$6)</f>
        <v>111.32760095439609</v>
      </c>
      <c r="U185">
        <f t="shared" ca="1" si="15"/>
        <v>0.73229166666666667</v>
      </c>
      <c r="V185">
        <f ca="1">Prams!C$5/(U185-Prams!C$6)</f>
        <v>105.01762382684768</v>
      </c>
      <c r="W185">
        <f t="shared" ca="1" si="16"/>
        <v>0.83347320497498156</v>
      </c>
    </row>
    <row r="186" spans="1:24" hidden="1" x14ac:dyDescent="0.55000000000000004">
      <c r="A186" s="1" t="s">
        <v>557</v>
      </c>
      <c r="B186" s="1">
        <v>139</v>
      </c>
      <c r="C186">
        <v>643.5</v>
      </c>
      <c r="D186">
        <v>607.5</v>
      </c>
      <c r="E186">
        <v>11.510960000000001</v>
      </c>
      <c r="F186" t="s">
        <v>39</v>
      </c>
      <c r="G186" s="10" t="s">
        <v>622</v>
      </c>
      <c r="H186">
        <v>101</v>
      </c>
      <c r="I186" t="s">
        <v>1553</v>
      </c>
      <c r="J186">
        <f ca="1">VLOOKUP(G186,INDIRECT("球速変換!A$1:B$" &amp; Prams!$B$8),2,)</f>
        <v>128</v>
      </c>
      <c r="K186" t="str">
        <f ca="1">VLOOKUP(I186,INDIRECT("投手名変換!A$1:B$" &amp; Prams!$B$9),2,)</f>
        <v>DD003</v>
      </c>
      <c r="L186">
        <f t="shared" si="12"/>
        <v>38</v>
      </c>
      <c r="M186">
        <f ca="1">(B186-VLOOKUP(K186,INDIRECT("投手データ!B1:D"&amp;Prams!$B$1),3,FALSE)*2)</f>
        <v>45</v>
      </c>
      <c r="N186" t="str">
        <f ca="1">VLOOKUP(F186,INDIRECT("球種変換表!A$1:B$" &amp; Prams!$B$2),2,)</f>
        <v>ドロップ</v>
      </c>
      <c r="O186">
        <f ca="1">VLOOKUP(N186,球種情報!A:B,2,FALSE)</f>
        <v>11</v>
      </c>
      <c r="P186">
        <f ca="1">VLOOKUP(K186,投手データ!B:AI,output!O186+6,FALSE)</f>
        <v>4</v>
      </c>
      <c r="R186">
        <f t="shared" ca="1" si="13"/>
        <v>7.8125E-3</v>
      </c>
      <c r="S186">
        <f t="shared" si="14"/>
        <v>0.62812500000000004</v>
      </c>
      <c r="T186">
        <f>Prams!B$5/(S186-Prams!B$6)</f>
        <v>108.87685466472945</v>
      </c>
      <c r="U186">
        <f t="shared" ca="1" si="15"/>
        <v>0.74479166666666663</v>
      </c>
      <c r="V186">
        <f ca="1">Prams!C$5/(U186-Prams!C$6)</f>
        <v>102.83409339783488</v>
      </c>
      <c r="W186">
        <f t="shared" ca="1" si="16"/>
        <v>0.80339135467058498</v>
      </c>
    </row>
    <row r="187" spans="1:24" hidden="1" x14ac:dyDescent="0.55000000000000004">
      <c r="A187" s="1" t="s">
        <v>558</v>
      </c>
      <c r="B187" s="1">
        <v>139</v>
      </c>
      <c r="C187">
        <v>650</v>
      </c>
      <c r="D187">
        <v>601.5</v>
      </c>
      <c r="E187">
        <v>10.111969999999999</v>
      </c>
      <c r="F187" t="s">
        <v>554</v>
      </c>
      <c r="G187" s="10" t="s">
        <v>2424</v>
      </c>
      <c r="H187">
        <v>101</v>
      </c>
      <c r="I187" t="s">
        <v>517</v>
      </c>
      <c r="J187">
        <f ca="1">VLOOKUP(G187,INDIRECT("球速変換!A$1:B$" &amp; Prams!$B$8),2,)</f>
        <v>123</v>
      </c>
      <c r="K187" t="str">
        <f ca="1">VLOOKUP(I187,INDIRECT("投手名変換!A$1:B$" &amp; Prams!$B$9),2,)</f>
        <v>DD003</v>
      </c>
      <c r="L187">
        <f t="shared" si="12"/>
        <v>38</v>
      </c>
      <c r="M187">
        <f ca="1">(B187-VLOOKUP(K187,INDIRECT("投手データ!B1:D"&amp;Prams!$B$1),3,FALSE)*2)</f>
        <v>45</v>
      </c>
      <c r="N187" t="str">
        <f ca="1">VLOOKUP(F187,INDIRECT("球種変換表!A$1:B$" &amp; Prams!$B$2),2,)</f>
        <v>ドロップ</v>
      </c>
      <c r="O187">
        <f ca="1">VLOOKUP(N187,球種情報!A:B,2,FALSE)</f>
        <v>11</v>
      </c>
      <c r="P187">
        <f ca="1">VLOOKUP(K187,投手データ!B:AI,output!O187+6,FALSE)</f>
        <v>4</v>
      </c>
      <c r="R187">
        <f t="shared" ca="1" si="13"/>
        <v>8.130081300813009E-3</v>
      </c>
      <c r="S187">
        <f t="shared" si="14"/>
        <v>0.6322916666666667</v>
      </c>
      <c r="T187">
        <f>Prams!B$5/(S187-Prams!B$6)</f>
        <v>108.08374247876571</v>
      </c>
      <c r="U187">
        <f t="shared" ca="1" si="15"/>
        <v>0.74895833333333328</v>
      </c>
      <c r="V187">
        <f ca="1">Prams!C$5/(U187-Prams!C$6)</f>
        <v>102.12628883719012</v>
      </c>
      <c r="W187">
        <f t="shared" ca="1" si="16"/>
        <v>0.83029503119666759</v>
      </c>
    </row>
    <row r="188" spans="1:24" hidden="1" x14ac:dyDescent="0.55000000000000004">
      <c r="A188" s="1" t="s">
        <v>559</v>
      </c>
      <c r="B188" s="1">
        <v>140</v>
      </c>
      <c r="C188">
        <v>650.40479000000005</v>
      </c>
      <c r="D188">
        <v>615</v>
      </c>
      <c r="E188">
        <v>10.59531</v>
      </c>
      <c r="F188" t="s">
        <v>554</v>
      </c>
      <c r="G188" s="10" t="s">
        <v>591</v>
      </c>
      <c r="H188">
        <v>101</v>
      </c>
      <c r="I188" t="s">
        <v>518</v>
      </c>
      <c r="J188">
        <f ca="1">VLOOKUP(G188,INDIRECT("球速変換!A$1:B$" &amp; Prams!$B$8),2,)</f>
        <v>128</v>
      </c>
      <c r="K188" t="str">
        <f ca="1">VLOOKUP(I188,INDIRECT("投手名変換!A$1:B$" &amp; Prams!$B$9),2,)</f>
        <v>DD003</v>
      </c>
      <c r="L188">
        <f t="shared" si="12"/>
        <v>39</v>
      </c>
      <c r="M188">
        <f ca="1">(B188-VLOOKUP(K188,INDIRECT("投手データ!B1:D"&amp;Prams!$B$1),3,FALSE)*2)</f>
        <v>46</v>
      </c>
      <c r="N188" t="str">
        <f ca="1">VLOOKUP(F188,INDIRECT("球種変換表!A$1:B$" &amp; Prams!$B$2),2,)</f>
        <v>ドロップ</v>
      </c>
      <c r="O188">
        <f ca="1">VLOOKUP(N188,球種情報!A:B,2,FALSE)</f>
        <v>11</v>
      </c>
      <c r="P188">
        <f ca="1">VLOOKUP(K188,投手データ!B:AI,output!O188+6,FALSE)</f>
        <v>4</v>
      </c>
      <c r="R188">
        <f t="shared" ca="1" si="13"/>
        <v>7.8125E-3</v>
      </c>
      <c r="S188">
        <f t="shared" si="14"/>
        <v>0.63958333333333328</v>
      </c>
      <c r="T188">
        <f>Prams!B$5/(S188-Prams!B$6)</f>
        <v>106.72324999280721</v>
      </c>
      <c r="U188">
        <f t="shared" ca="1" si="15"/>
        <v>0.75624999999999998</v>
      </c>
      <c r="V188">
        <f ca="1">Prams!C$5/(U188-Prams!C$6)</f>
        <v>100.91079735574962</v>
      </c>
      <c r="W188">
        <f t="shared" ca="1" si="16"/>
        <v>0.78836560434179392</v>
      </c>
    </row>
    <row r="189" spans="1:24" hidden="1" x14ac:dyDescent="0.55000000000000004">
      <c r="A189" s="1" t="s">
        <v>560</v>
      </c>
      <c r="B189" s="1">
        <v>139</v>
      </c>
      <c r="C189">
        <v>649.95001000000002</v>
      </c>
      <c r="D189">
        <v>610.5</v>
      </c>
      <c r="E189">
        <v>10.062519999999999</v>
      </c>
      <c r="F189" t="s">
        <v>39</v>
      </c>
      <c r="G189" s="10" t="s">
        <v>623</v>
      </c>
      <c r="H189">
        <v>101</v>
      </c>
      <c r="I189" t="s">
        <v>523</v>
      </c>
      <c r="J189">
        <f ca="1">VLOOKUP(G189,INDIRECT("球速変換!A$1:B$" &amp; Prams!$B$8),2,)</f>
        <v>120</v>
      </c>
      <c r="K189" t="str">
        <f ca="1">VLOOKUP(I189,INDIRECT("投手名変換!A$1:B$" &amp; Prams!$B$9),2,)</f>
        <v>DD003</v>
      </c>
      <c r="L189">
        <f t="shared" si="12"/>
        <v>38</v>
      </c>
      <c r="M189">
        <f ca="1">(B189-VLOOKUP(K189,INDIRECT("投手データ!B1:D"&amp;Prams!$B$1),3,FALSE)*2)</f>
        <v>45</v>
      </c>
      <c r="N189" t="str">
        <f ca="1">VLOOKUP(F189,INDIRECT("球種変換表!A$1:B$" &amp; Prams!$B$2),2,)</f>
        <v>ドロップ</v>
      </c>
      <c r="O189">
        <f ca="1">VLOOKUP(N189,球種情報!A:B,2,FALSE)</f>
        <v>11</v>
      </c>
      <c r="P189">
        <f ca="1">VLOOKUP(K189,投手データ!B:AI,output!O189+6,FALSE)</f>
        <v>4</v>
      </c>
      <c r="R189">
        <f t="shared" ca="1" si="13"/>
        <v>8.3333333333333332E-3</v>
      </c>
      <c r="S189">
        <f t="shared" si="14"/>
        <v>0.62604166666666672</v>
      </c>
      <c r="T189">
        <f>Prams!B$5/(S189-Prams!B$6)</f>
        <v>109.27779168937529</v>
      </c>
      <c r="U189">
        <f t="shared" ca="1" si="15"/>
        <v>0.7427083333333333</v>
      </c>
      <c r="V189">
        <f ca="1">Prams!C$5/(U189-Prams!C$6)</f>
        <v>103.19168764691973</v>
      </c>
      <c r="W189">
        <f t="shared" ca="1" si="16"/>
        <v>0.85993073039099777</v>
      </c>
    </row>
    <row r="190" spans="1:24" hidden="1" x14ac:dyDescent="0.55000000000000004">
      <c r="A190" s="1" t="s">
        <v>561</v>
      </c>
      <c r="B190" s="1">
        <v>139</v>
      </c>
      <c r="C190">
        <v>653.5</v>
      </c>
      <c r="D190">
        <v>603.5</v>
      </c>
      <c r="E190">
        <v>10.512</v>
      </c>
      <c r="F190" t="s">
        <v>39</v>
      </c>
      <c r="G190" s="10" t="s">
        <v>625</v>
      </c>
      <c r="H190">
        <v>101</v>
      </c>
      <c r="I190" t="s">
        <v>538</v>
      </c>
      <c r="J190">
        <f ca="1">VLOOKUP(G190,INDIRECT("球速変換!A$1:B$" &amp; Prams!$B$8),2,)</f>
        <v>123</v>
      </c>
      <c r="K190" t="str">
        <f ca="1">VLOOKUP(I190,INDIRECT("投手名変換!A$1:B$" &amp; Prams!$B$9),2,)</f>
        <v>DD003</v>
      </c>
      <c r="L190">
        <f t="shared" si="12"/>
        <v>38</v>
      </c>
      <c r="M190">
        <f ca="1">(B190-VLOOKUP(K190,INDIRECT("投手データ!B1:D"&amp;Prams!$B$1),3,FALSE)*2)</f>
        <v>45</v>
      </c>
      <c r="N190" t="str">
        <f ca="1">VLOOKUP(F190,INDIRECT("球種変換表!A$1:B$" &amp; Prams!$B$2),2,)</f>
        <v>ドロップ</v>
      </c>
      <c r="O190">
        <f ca="1">VLOOKUP(N190,球種情報!A:B,2,FALSE)</f>
        <v>11</v>
      </c>
      <c r="P190">
        <f ca="1">VLOOKUP(K190,投手データ!B:AI,output!O190+6,FALSE)</f>
        <v>4</v>
      </c>
      <c r="R190">
        <f t="shared" ca="1" si="13"/>
        <v>8.130081300813009E-3</v>
      </c>
      <c r="S190">
        <f t="shared" si="14"/>
        <v>0.6309027777777777</v>
      </c>
      <c r="T190">
        <f>Prams!B$5/(S190-Prams!B$6)</f>
        <v>108.34682621204674</v>
      </c>
      <c r="U190">
        <f t="shared" ca="1" si="15"/>
        <v>0.7475694444444444</v>
      </c>
      <c r="V190">
        <f ca="1">Prams!C$5/(U190-Prams!C$6)</f>
        <v>102.36113857857049</v>
      </c>
      <c r="W190">
        <f t="shared" ca="1" si="16"/>
        <v>0.83220437868756492</v>
      </c>
    </row>
    <row r="191" spans="1:24" hidden="1" x14ac:dyDescent="0.55000000000000004">
      <c r="A191" s="1" t="s">
        <v>562</v>
      </c>
      <c r="B191" s="1">
        <v>58</v>
      </c>
      <c r="C191">
        <v>629.5</v>
      </c>
      <c r="D191">
        <v>612</v>
      </c>
      <c r="E191">
        <v>10.547610000000001</v>
      </c>
      <c r="F191" t="s">
        <v>6</v>
      </c>
      <c r="G191" s="10" t="s">
        <v>2431</v>
      </c>
      <c r="H191">
        <v>24</v>
      </c>
      <c r="I191" t="s">
        <v>520</v>
      </c>
      <c r="J191">
        <f ca="1">VLOOKUP(G191,INDIRECT("球速変換!A$1:B$" &amp; Prams!$B$8),2,)</f>
        <v>130</v>
      </c>
      <c r="K191" t="str">
        <f ca="1">VLOOKUP(I191,INDIRECT("投手名変換!A$1:B$" &amp; Prams!$B$9),2,)</f>
        <v>DD003</v>
      </c>
      <c r="L191">
        <f t="shared" si="12"/>
        <v>34</v>
      </c>
      <c r="M191">
        <f ca="1">(B191-VLOOKUP(K191,INDIRECT("投手データ!B1:D"&amp;Prams!$B$1),3,FALSE)*2)</f>
        <v>-36</v>
      </c>
      <c r="N191" t="str">
        <f ca="1">VLOOKUP(F191,INDIRECT("球種変換表!A$1:B$" &amp; Prams!$B$2),2,)</f>
        <v>フォーク</v>
      </c>
      <c r="O191">
        <f ca="1">VLOOKUP(N191,球種情報!A:B,2,FALSE)</f>
        <v>16</v>
      </c>
      <c r="P191">
        <f ca="1">VLOOKUP(K191,投手データ!B:AI,output!O191+6,FALSE)</f>
        <v>2</v>
      </c>
      <c r="R191">
        <f t="shared" ca="1" si="13"/>
        <v>7.6923076923076927E-3</v>
      </c>
      <c r="S191">
        <f t="shared" si="14"/>
        <v>0.55833333333333335</v>
      </c>
      <c r="T191">
        <f>Prams!B$5/(S191-Prams!B$6)</f>
        <v>124.13426142828459</v>
      </c>
      <c r="U191">
        <f t="shared" ca="1" si="15"/>
        <v>-0.60833333333333328</v>
      </c>
      <c r="V191">
        <f ca="1">Prams!C$5/(U191-Prams!C$6)</f>
        <v>-82.218725064278743</v>
      </c>
      <c r="W191">
        <f t="shared" ca="1" si="16"/>
        <v>-0.63245173126368259</v>
      </c>
      <c r="X191" t="s">
        <v>2738</v>
      </c>
    </row>
    <row r="192" spans="1:24" hidden="1" x14ac:dyDescent="0.55000000000000004">
      <c r="A192" s="1" t="s">
        <v>563</v>
      </c>
      <c r="B192" s="1">
        <v>132</v>
      </c>
      <c r="C192">
        <v>645.07501000000002</v>
      </c>
      <c r="D192">
        <v>610</v>
      </c>
      <c r="E192">
        <v>10.12459</v>
      </c>
      <c r="F192" t="s">
        <v>6</v>
      </c>
      <c r="G192" s="10" t="s">
        <v>2431</v>
      </c>
      <c r="H192">
        <v>98</v>
      </c>
      <c r="I192" t="s">
        <v>519</v>
      </c>
      <c r="J192">
        <f ca="1">VLOOKUP(G192,INDIRECT("球速変換!A$1:B$" &amp; Prams!$B$8),2,)</f>
        <v>130</v>
      </c>
      <c r="K192" t="str">
        <f ca="1">VLOOKUP(I192,INDIRECT("投手名変換!A$1:B$" &amp; Prams!$B$9),2,)</f>
        <v>DD003</v>
      </c>
      <c r="L192">
        <f t="shared" si="12"/>
        <v>34</v>
      </c>
      <c r="M192">
        <f ca="1">(B192-VLOOKUP(K192,INDIRECT("投手データ!B1:D"&amp;Prams!$B$1),3,FALSE)*2)</f>
        <v>38</v>
      </c>
      <c r="N192" t="str">
        <f ca="1">VLOOKUP(F192,INDIRECT("球種変換表!A$1:B$" &amp; Prams!$B$2),2,)</f>
        <v>フォーク</v>
      </c>
      <c r="O192">
        <f ca="1">VLOOKUP(N192,球種情報!A:B,2,FALSE)</f>
        <v>16</v>
      </c>
      <c r="P192">
        <f ca="1">VLOOKUP(K192,投手データ!B:AI,output!O192+6,FALSE)</f>
        <v>2</v>
      </c>
      <c r="R192">
        <f t="shared" ca="1" si="13"/>
        <v>7.6923076923076927E-3</v>
      </c>
      <c r="S192">
        <f t="shared" si="14"/>
        <v>0.55972222222222223</v>
      </c>
      <c r="T192">
        <f>Prams!B$5/(S192-Prams!B$6)</f>
        <v>123.78904511880395</v>
      </c>
      <c r="U192">
        <f t="shared" ca="1" si="15"/>
        <v>0.62638888888888888</v>
      </c>
      <c r="V192">
        <f ca="1">Prams!C$5/(U192-Prams!C$6)</f>
        <v>128.05389979517159</v>
      </c>
      <c r="W192">
        <f t="shared" ca="1" si="16"/>
        <v>0.98502999842439687</v>
      </c>
    </row>
    <row r="193" spans="1:23" hidden="1" x14ac:dyDescent="0.55000000000000004">
      <c r="A193" s="1" t="s">
        <v>564</v>
      </c>
      <c r="B193" s="1">
        <v>133</v>
      </c>
      <c r="C193">
        <v>635.5</v>
      </c>
      <c r="D193">
        <v>614.5</v>
      </c>
      <c r="E193">
        <v>11.510960000000001</v>
      </c>
      <c r="F193" t="s">
        <v>6</v>
      </c>
      <c r="G193" s="10" t="s">
        <v>2420</v>
      </c>
      <c r="H193">
        <v>98</v>
      </c>
      <c r="I193" t="s">
        <v>1554</v>
      </c>
      <c r="J193">
        <f ca="1">VLOOKUP(G193,INDIRECT("球速変換!A$1:B$" &amp; Prams!$B$8),2,)</f>
        <v>127</v>
      </c>
      <c r="K193" t="str">
        <f ca="1">VLOOKUP(I193,INDIRECT("投手名変換!A$1:B$" &amp; Prams!$B$9),2,)</f>
        <v>DD003</v>
      </c>
      <c r="L193">
        <f t="shared" si="12"/>
        <v>35</v>
      </c>
      <c r="M193">
        <f ca="1">(B193-VLOOKUP(K193,INDIRECT("投手データ!B1:D"&amp;Prams!$B$1),3,FALSE)*2)</f>
        <v>39</v>
      </c>
      <c r="N193" t="str">
        <f ca="1">VLOOKUP(F193,INDIRECT("球種変換表!A$1:B$" &amp; Prams!$B$2),2,)</f>
        <v>フォーク</v>
      </c>
      <c r="O193">
        <f ca="1">VLOOKUP(N193,球種情報!A:B,2,FALSE)</f>
        <v>16</v>
      </c>
      <c r="P193">
        <f ca="1">VLOOKUP(K193,投手データ!B:AI,output!O193+6,FALSE)</f>
        <v>2</v>
      </c>
      <c r="R193">
        <f t="shared" ca="1" si="13"/>
        <v>7.874015748031496E-3</v>
      </c>
      <c r="S193">
        <f t="shared" si="14"/>
        <v>0.57326388888888891</v>
      </c>
      <c r="T193">
        <f>Prams!B$5/(S193-Prams!B$6)</f>
        <v>120.52115429394532</v>
      </c>
      <c r="U193">
        <f t="shared" ca="1" si="15"/>
        <v>0.63993055555555556</v>
      </c>
      <c r="V193">
        <f ca="1">Prams!C$5/(U193-Prams!C$6)</f>
        <v>124.56013297589533</v>
      </c>
      <c r="W193">
        <f t="shared" ca="1" si="16"/>
        <v>0.98078844862909709</v>
      </c>
    </row>
    <row r="194" spans="1:23" hidden="1" x14ac:dyDescent="0.55000000000000004">
      <c r="A194" s="1" t="s">
        <v>565</v>
      </c>
      <c r="B194" s="1">
        <v>133</v>
      </c>
      <c r="C194">
        <v>643.54345999999998</v>
      </c>
      <c r="D194">
        <v>615.5</v>
      </c>
      <c r="E194">
        <v>11.55442</v>
      </c>
      <c r="F194" t="s">
        <v>6</v>
      </c>
      <c r="G194" s="10" t="s">
        <v>2420</v>
      </c>
      <c r="H194">
        <v>98</v>
      </c>
      <c r="I194" t="s">
        <v>525</v>
      </c>
      <c r="J194">
        <f ca="1">VLOOKUP(G194,INDIRECT("球速変換!A$1:B$" &amp; Prams!$B$8),2,)</f>
        <v>127</v>
      </c>
      <c r="K194" t="str">
        <f ca="1">VLOOKUP(I194,INDIRECT("投手名変換!A$1:B$" &amp; Prams!$B$9),2,)</f>
        <v>DD003</v>
      </c>
      <c r="L194">
        <f t="shared" si="12"/>
        <v>35</v>
      </c>
      <c r="M194">
        <f ca="1">(B194-VLOOKUP(K194,INDIRECT("投手データ!B1:D"&amp;Prams!$B$1),3,FALSE)*2)</f>
        <v>39</v>
      </c>
      <c r="N194" t="str">
        <f ca="1">VLOOKUP(F194,INDIRECT("球種変換表!A$1:B$" &amp; Prams!$B$2),2,)</f>
        <v>フォーク</v>
      </c>
      <c r="O194">
        <f ca="1">VLOOKUP(N194,球種情報!A:B,2,FALSE)</f>
        <v>16</v>
      </c>
      <c r="P194">
        <f ca="1">VLOOKUP(K194,投手データ!B:AI,output!O194+6,FALSE)</f>
        <v>2</v>
      </c>
      <c r="R194">
        <f t="shared" ca="1" si="13"/>
        <v>7.874015748031496E-3</v>
      </c>
      <c r="S194">
        <f t="shared" si="14"/>
        <v>0.57256944444444435</v>
      </c>
      <c r="T194">
        <f>Prams!B$5/(S194-Prams!B$6)</f>
        <v>120.6845355905367</v>
      </c>
      <c r="U194">
        <f t="shared" ca="1" si="15"/>
        <v>0.63923611111111112</v>
      </c>
      <c r="V194">
        <f ca="1">Prams!C$5/(U194-Prams!C$6)</f>
        <v>124.73465636191426</v>
      </c>
      <c r="W194">
        <f t="shared" ca="1" si="16"/>
        <v>0.98216264851900992</v>
      </c>
    </row>
    <row r="195" spans="1:23" hidden="1" x14ac:dyDescent="0.55000000000000004">
      <c r="A195" s="1" t="s">
        <v>566</v>
      </c>
      <c r="B195" s="1">
        <v>132</v>
      </c>
      <c r="C195">
        <v>629.04998999999998</v>
      </c>
      <c r="D195">
        <v>601.5</v>
      </c>
      <c r="E195">
        <v>10.06254</v>
      </c>
      <c r="F195" t="s">
        <v>6</v>
      </c>
      <c r="G195" s="10" t="s">
        <v>624</v>
      </c>
      <c r="H195">
        <v>98</v>
      </c>
      <c r="I195" t="s">
        <v>517</v>
      </c>
      <c r="J195">
        <f ca="1">VLOOKUP(G195,INDIRECT("球速変換!A$1:B$" &amp; Prams!$B$8),2,)</f>
        <v>128</v>
      </c>
      <c r="K195" t="str">
        <f ca="1">VLOOKUP(I195,INDIRECT("投手名変換!A$1:B$" &amp; Prams!$B$9),2,)</f>
        <v>DD003</v>
      </c>
      <c r="L195">
        <f t="shared" ref="L195:L258" si="17">B195-H195</f>
        <v>34</v>
      </c>
      <c r="M195">
        <f ca="1">(B195-VLOOKUP(K195,INDIRECT("投手データ!B1:D"&amp;Prams!$B$1),3,FALSE)*2)</f>
        <v>38</v>
      </c>
      <c r="N195" t="str">
        <f ca="1">VLOOKUP(F195,INDIRECT("球種変換表!A$1:B$" &amp; Prams!$B$2),2,)</f>
        <v>フォーク</v>
      </c>
      <c r="O195">
        <f ca="1">VLOOKUP(N195,球種情報!A:B,2,FALSE)</f>
        <v>16</v>
      </c>
      <c r="P195">
        <f ca="1">VLOOKUP(K195,投手データ!B:AI,output!O195+6,FALSE)</f>
        <v>2</v>
      </c>
      <c r="R195">
        <f t="shared" ca="1" si="13"/>
        <v>7.8125E-3</v>
      </c>
      <c r="S195">
        <f t="shared" si="14"/>
        <v>0.56562500000000004</v>
      </c>
      <c r="T195">
        <f>Prams!B$5/(S195-Prams!B$6)</f>
        <v>122.34304655419778</v>
      </c>
      <c r="U195">
        <f t="shared" ca="1" si="15"/>
        <v>0.6322916666666667</v>
      </c>
      <c r="V195">
        <f ca="1">Prams!C$5/(U195-Prams!C$6)</f>
        <v>126.50717050628379</v>
      </c>
      <c r="W195">
        <f t="shared" ca="1" si="16"/>
        <v>0.98833726958034207</v>
      </c>
    </row>
    <row r="196" spans="1:23" hidden="1" x14ac:dyDescent="0.55000000000000004">
      <c r="A196" s="1" t="s">
        <v>567</v>
      </c>
      <c r="B196" s="1">
        <v>132</v>
      </c>
      <c r="C196">
        <v>628.52380000000005</v>
      </c>
      <c r="D196">
        <v>602</v>
      </c>
      <c r="E196">
        <v>10.52392</v>
      </c>
      <c r="F196" t="s">
        <v>6</v>
      </c>
      <c r="G196" s="10" t="s">
        <v>591</v>
      </c>
      <c r="H196">
        <v>98</v>
      </c>
      <c r="I196" t="s">
        <v>518</v>
      </c>
      <c r="J196">
        <f ca="1">VLOOKUP(G196,INDIRECT("球速変換!A$1:B$" &amp; Prams!$B$8),2,)</f>
        <v>128</v>
      </c>
      <c r="K196" t="str">
        <f ca="1">VLOOKUP(I196,INDIRECT("投手名変換!A$1:B$" &amp; Prams!$B$9),2,)</f>
        <v>DD003</v>
      </c>
      <c r="L196">
        <f t="shared" si="17"/>
        <v>34</v>
      </c>
      <c r="M196">
        <f ca="1">(B196-VLOOKUP(K196,INDIRECT("投手データ!B1:D"&amp;Prams!$B$1),3,FALSE)*2)</f>
        <v>38</v>
      </c>
      <c r="N196" t="str">
        <f ca="1">VLOOKUP(F196,INDIRECT("球種変換表!A$1:B$" &amp; Prams!$B$2),2,)</f>
        <v>フォーク</v>
      </c>
      <c r="O196">
        <f ca="1">VLOOKUP(N196,球種情報!A:B,2,FALSE)</f>
        <v>16</v>
      </c>
      <c r="P196">
        <f ca="1">VLOOKUP(K196,投手データ!B:AI,output!O196+6,FALSE)</f>
        <v>2</v>
      </c>
      <c r="R196">
        <f t="shared" ca="1" si="13"/>
        <v>7.8125E-3</v>
      </c>
      <c r="S196">
        <f t="shared" si="14"/>
        <v>0.56527777777777777</v>
      </c>
      <c r="T196">
        <f>Prams!B$5/(S196-Prams!B$6)</f>
        <v>122.42716951240979</v>
      </c>
      <c r="U196">
        <f t="shared" ca="1" si="15"/>
        <v>0.63194444444444442</v>
      </c>
      <c r="V196">
        <f ca="1">Prams!C$5/(U196-Prams!C$6)</f>
        <v>126.59711951946487</v>
      </c>
      <c r="W196">
        <f t="shared" ca="1" si="16"/>
        <v>0.98903999624581929</v>
      </c>
    </row>
    <row r="197" spans="1:23" hidden="1" x14ac:dyDescent="0.55000000000000004">
      <c r="A197" s="1" t="s">
        <v>568</v>
      </c>
      <c r="B197" s="1">
        <v>133</v>
      </c>
      <c r="C197">
        <v>633.5</v>
      </c>
      <c r="D197">
        <v>614.5</v>
      </c>
      <c r="E197">
        <v>10.512</v>
      </c>
      <c r="F197" t="s">
        <v>6</v>
      </c>
      <c r="G197" s="10" t="s">
        <v>589</v>
      </c>
      <c r="H197">
        <v>98</v>
      </c>
      <c r="I197" t="s">
        <v>525</v>
      </c>
      <c r="J197">
        <f ca="1">VLOOKUP(G197,INDIRECT("球速変換!A$1:B$" &amp; Prams!$B$8),2,)</f>
        <v>127</v>
      </c>
      <c r="K197" t="str">
        <f ca="1">VLOOKUP(I197,INDIRECT("投手名変換!A$1:B$" &amp; Prams!$B$9),2,)</f>
        <v>DD003</v>
      </c>
      <c r="L197">
        <f t="shared" si="17"/>
        <v>35</v>
      </c>
      <c r="M197">
        <f ca="1">(B197-VLOOKUP(K197,INDIRECT("投手データ!B1:D"&amp;Prams!$B$1),3,FALSE)*2)</f>
        <v>39</v>
      </c>
      <c r="N197" t="str">
        <f ca="1">VLOOKUP(F197,INDIRECT("球種変換表!A$1:B$" &amp; Prams!$B$2),2,)</f>
        <v>フォーク</v>
      </c>
      <c r="O197">
        <f ca="1">VLOOKUP(N197,球種情報!A:B,2,FALSE)</f>
        <v>16</v>
      </c>
      <c r="P197">
        <f ca="1">VLOOKUP(K197,投手データ!B:AI,output!O197+6,FALSE)</f>
        <v>2</v>
      </c>
      <c r="R197">
        <f t="shared" ref="R197:R260" ca="1" si="18">1/J197</f>
        <v>7.874015748031496E-3</v>
      </c>
      <c r="S197">
        <f t="shared" ref="S197:S260" si="19">(L197-(D197-600)/24)*2/120</f>
        <v>0.57326388888888891</v>
      </c>
      <c r="T197">
        <f>Prams!B$5/(S197-Prams!B$6)</f>
        <v>120.52115429394532</v>
      </c>
      <c r="U197">
        <f t="shared" ref="U197:U260" ca="1" si="20">(M197-(D197-600)/24)*2/120</f>
        <v>0.63993055555555556</v>
      </c>
      <c r="V197">
        <f ca="1">Prams!C$5/(U197-Prams!C$6)</f>
        <v>124.56013297589533</v>
      </c>
      <c r="W197">
        <f t="shared" ref="W197:W260" ca="1" si="21">V197/J197</f>
        <v>0.98078844862909709</v>
      </c>
    </row>
    <row r="198" spans="1:23" hidden="1" x14ac:dyDescent="0.55000000000000004">
      <c r="A198" s="1" t="s">
        <v>569</v>
      </c>
      <c r="B198" s="1">
        <v>132</v>
      </c>
      <c r="C198">
        <v>630</v>
      </c>
      <c r="D198">
        <v>607</v>
      </c>
      <c r="E198">
        <v>11.0001</v>
      </c>
      <c r="F198" t="s">
        <v>6</v>
      </c>
      <c r="G198" s="10" t="s">
        <v>2418</v>
      </c>
      <c r="H198">
        <v>98</v>
      </c>
      <c r="I198" t="s">
        <v>517</v>
      </c>
      <c r="J198">
        <f ca="1">VLOOKUP(G198,INDIRECT("球速変換!A$1:B$" &amp; Prams!$B$8),2,)</f>
        <v>129</v>
      </c>
      <c r="K198" t="str">
        <f ca="1">VLOOKUP(I198,INDIRECT("投手名変換!A$1:B$" &amp; Prams!$B$9),2,)</f>
        <v>DD003</v>
      </c>
      <c r="L198">
        <f t="shared" si="17"/>
        <v>34</v>
      </c>
      <c r="M198">
        <f ca="1">(B198-VLOOKUP(K198,INDIRECT("投手データ!B1:D"&amp;Prams!$B$1),3,FALSE)*2)</f>
        <v>38</v>
      </c>
      <c r="N198" t="str">
        <f ca="1">VLOOKUP(F198,INDIRECT("球種変換表!A$1:B$" &amp; Prams!$B$2),2,)</f>
        <v>フォーク</v>
      </c>
      <c r="O198">
        <f ca="1">VLOOKUP(N198,球種情報!A:B,2,FALSE)</f>
        <v>16</v>
      </c>
      <c r="P198">
        <f ca="1">VLOOKUP(K198,投手データ!B:AI,output!O198+6,FALSE)</f>
        <v>2</v>
      </c>
      <c r="R198">
        <f t="shared" ca="1" si="18"/>
        <v>7.7519379844961239E-3</v>
      </c>
      <c r="S198">
        <f t="shared" si="19"/>
        <v>0.56180555555555556</v>
      </c>
      <c r="T198">
        <f>Prams!B$5/(S198-Prams!B$6)</f>
        <v>123.27480586234782</v>
      </c>
      <c r="U198">
        <f t="shared" ca="1" si="20"/>
        <v>0.62847222222222221</v>
      </c>
      <c r="V198">
        <f ca="1">Prams!C$5/(U198-Prams!C$6)</f>
        <v>127.50369513159252</v>
      </c>
      <c r="W198">
        <f t="shared" ca="1" si="21"/>
        <v>0.98840073745420565</v>
      </c>
    </row>
    <row r="199" spans="1:23" hidden="1" x14ac:dyDescent="0.55000000000000004">
      <c r="A199" s="1" t="s">
        <v>570</v>
      </c>
      <c r="B199" s="1">
        <v>132</v>
      </c>
      <c r="C199">
        <v>639</v>
      </c>
      <c r="D199">
        <v>608.5</v>
      </c>
      <c r="E199">
        <v>11.01146</v>
      </c>
      <c r="F199" t="s">
        <v>6</v>
      </c>
      <c r="G199" s="10" t="s">
        <v>2418</v>
      </c>
      <c r="H199">
        <v>98</v>
      </c>
      <c r="I199" t="s">
        <v>523</v>
      </c>
      <c r="J199">
        <f ca="1">VLOOKUP(G199,INDIRECT("球速変換!A$1:B$" &amp; Prams!$B$8),2,)</f>
        <v>129</v>
      </c>
      <c r="K199" t="str">
        <f ca="1">VLOOKUP(I199,INDIRECT("投手名変換!A$1:B$" &amp; Prams!$B$9),2,)</f>
        <v>DD003</v>
      </c>
      <c r="L199">
        <f t="shared" si="17"/>
        <v>34</v>
      </c>
      <c r="M199">
        <f ca="1">(B199-VLOOKUP(K199,INDIRECT("投手データ!B1:D"&amp;Prams!$B$1),3,FALSE)*2)</f>
        <v>38</v>
      </c>
      <c r="N199" t="str">
        <f ca="1">VLOOKUP(F199,INDIRECT("球種変換表!A$1:B$" &amp; Prams!$B$2),2,)</f>
        <v>フォーク</v>
      </c>
      <c r="O199">
        <f ca="1">VLOOKUP(N199,球種情報!A:B,2,FALSE)</f>
        <v>16</v>
      </c>
      <c r="P199">
        <f ca="1">VLOOKUP(K199,投手データ!B:AI,output!O199+6,FALSE)</f>
        <v>2</v>
      </c>
      <c r="R199">
        <f t="shared" ca="1" si="18"/>
        <v>7.7519379844961239E-3</v>
      </c>
      <c r="S199">
        <f t="shared" si="19"/>
        <v>0.56076388888888895</v>
      </c>
      <c r="T199">
        <f>Prams!B$5/(S199-Prams!B$6)</f>
        <v>123.53139032120198</v>
      </c>
      <c r="U199">
        <f t="shared" ca="1" si="20"/>
        <v>0.6274305555555556</v>
      </c>
      <c r="V199">
        <f ca="1">Prams!C$5/(U199-Prams!C$6)</f>
        <v>127.77820517972889</v>
      </c>
      <c r="W199">
        <f t="shared" ca="1" si="21"/>
        <v>0.99052872232347977</v>
      </c>
    </row>
    <row r="200" spans="1:23" hidden="1" x14ac:dyDescent="0.55000000000000004">
      <c r="A200" s="1" t="s">
        <v>571</v>
      </c>
      <c r="B200" s="1">
        <v>133</v>
      </c>
      <c r="C200">
        <v>640</v>
      </c>
      <c r="D200">
        <v>618.5</v>
      </c>
      <c r="E200">
        <v>11.01146</v>
      </c>
      <c r="F200" t="s">
        <v>6</v>
      </c>
      <c r="G200" s="10" t="s">
        <v>652</v>
      </c>
      <c r="H200">
        <v>98</v>
      </c>
      <c r="I200" t="s">
        <v>517</v>
      </c>
      <c r="J200">
        <f ca="1">VLOOKUP(G200,INDIRECT("球速変換!A$1:B$" &amp; Prams!$B$8),2,)</f>
        <v>127</v>
      </c>
      <c r="K200" t="str">
        <f ca="1">VLOOKUP(I200,INDIRECT("投手名変換!A$1:B$" &amp; Prams!$B$9),2,)</f>
        <v>DD003</v>
      </c>
      <c r="L200">
        <f t="shared" si="17"/>
        <v>35</v>
      </c>
      <c r="M200">
        <f ca="1">(B200-VLOOKUP(K200,INDIRECT("投手データ!B1:D"&amp;Prams!$B$1),3,FALSE)*2)</f>
        <v>39</v>
      </c>
      <c r="N200" t="str">
        <f ca="1">VLOOKUP(F200,INDIRECT("球種変換表!A$1:B$" &amp; Prams!$B$2),2,)</f>
        <v>フォーク</v>
      </c>
      <c r="O200">
        <f ca="1">VLOOKUP(N200,球種情報!A:B,2,FALSE)</f>
        <v>16</v>
      </c>
      <c r="P200">
        <f ca="1">VLOOKUP(K200,投手データ!B:AI,output!O200+6,FALSE)</f>
        <v>2</v>
      </c>
      <c r="R200">
        <f t="shared" ca="1" si="18"/>
        <v>7.874015748031496E-3</v>
      </c>
      <c r="S200">
        <f t="shared" si="19"/>
        <v>0.57048611111111103</v>
      </c>
      <c r="T200">
        <f>Prams!B$5/(S200-Prams!B$6)</f>
        <v>121.17734813548435</v>
      </c>
      <c r="U200">
        <f t="shared" ca="1" si="20"/>
        <v>0.63715277777777779</v>
      </c>
      <c r="V200">
        <f ca="1">Prams!C$5/(U200-Prams!C$6)</f>
        <v>125.26117323938114</v>
      </c>
      <c r="W200">
        <f t="shared" ca="1" si="21"/>
        <v>0.98630845070378848</v>
      </c>
    </row>
    <row r="201" spans="1:23" hidden="1" x14ac:dyDescent="0.55000000000000004">
      <c r="A201" s="1" t="s">
        <v>1977</v>
      </c>
      <c r="B201" s="1">
        <v>150</v>
      </c>
      <c r="C201">
        <v>636.02270999999996</v>
      </c>
      <c r="D201">
        <v>610</v>
      </c>
      <c r="E201">
        <v>11.02285</v>
      </c>
      <c r="F201" t="s">
        <v>0</v>
      </c>
      <c r="G201" s="10" t="s">
        <v>653</v>
      </c>
      <c r="H201">
        <v>99</v>
      </c>
      <c r="I201" t="s">
        <v>1976</v>
      </c>
      <c r="J201">
        <f ca="1">VLOOKUP(G201,INDIRECT("球速変換!A$1:B$" &amp; Prams!$B$8),2,)</f>
        <v>79</v>
      </c>
      <c r="K201" t="str">
        <f ca="1">VLOOKUP(I201,INDIRECT("投手名変換!A$1:B$" &amp; Prams!$B$9),2,)</f>
        <v>DD010</v>
      </c>
      <c r="L201">
        <f t="shared" si="17"/>
        <v>51</v>
      </c>
      <c r="M201">
        <f ca="1">(B201-VLOOKUP(K201,INDIRECT("投手データ!B1:D"&amp;Prams!$B$1),3,FALSE)*2)</f>
        <v>56</v>
      </c>
      <c r="N201" t="str">
        <f ca="1">VLOOKUP(F201,INDIRECT("球種変換表!A$1:B$" &amp; Prams!$B$2),2,)</f>
        <v>ストレート</v>
      </c>
      <c r="O201">
        <f ca="1">VLOOKUP(N201,球種情報!A:B,2,FALSE)</f>
        <v>1</v>
      </c>
      <c r="P201">
        <f ca="1">VLOOKUP(K201,投手データ!B:AI,output!O201+6,FALSE)</f>
        <v>1</v>
      </c>
      <c r="R201">
        <f t="shared" ca="1" si="18"/>
        <v>1.2658227848101266E-2</v>
      </c>
      <c r="S201">
        <f t="shared" si="19"/>
        <v>0.84305555555555556</v>
      </c>
      <c r="T201">
        <f>Prams!B$5/(S201-Prams!B$6)</f>
        <v>78.981234385646147</v>
      </c>
      <c r="U201">
        <f t="shared" ca="1" si="20"/>
        <v>0.92638888888888893</v>
      </c>
      <c r="V201">
        <f ca="1">Prams!C$5/(U201-Prams!C$6)</f>
        <v>78.977871144483387</v>
      </c>
      <c r="W201">
        <f t="shared" ca="1" si="21"/>
        <v>0.999719887904853</v>
      </c>
    </row>
    <row r="202" spans="1:23" hidden="1" x14ac:dyDescent="0.55000000000000004">
      <c r="A202" s="1" t="s">
        <v>1980</v>
      </c>
      <c r="B202" s="1">
        <v>149</v>
      </c>
      <c r="C202">
        <v>636</v>
      </c>
      <c r="D202">
        <v>601</v>
      </c>
      <c r="E202">
        <v>11.0001</v>
      </c>
      <c r="F202" t="s">
        <v>0</v>
      </c>
      <c r="G202" s="10" t="s">
        <v>1978</v>
      </c>
      <c r="H202">
        <v>99</v>
      </c>
      <c r="I202" t="s">
        <v>1979</v>
      </c>
      <c r="J202">
        <v>80</v>
      </c>
      <c r="K202" t="str">
        <f ca="1">VLOOKUP(I202,INDIRECT("投手名変換!A$1:B$" &amp; Prams!$B$9),2,)</f>
        <v>DD010</v>
      </c>
      <c r="L202">
        <f t="shared" si="17"/>
        <v>50</v>
      </c>
      <c r="M202">
        <f ca="1">(B202-VLOOKUP(K202,INDIRECT("投手データ!B1:D"&amp;Prams!$B$1),3,FALSE)*2)</f>
        <v>55</v>
      </c>
      <c r="N202" t="str">
        <f ca="1">VLOOKUP(F202,INDIRECT("球種変換表!A$1:B$" &amp; Prams!$B$2),2,)</f>
        <v>ストレート</v>
      </c>
      <c r="O202">
        <f ca="1">VLOOKUP(N202,球種情報!A:B,2,FALSE)</f>
        <v>1</v>
      </c>
      <c r="P202">
        <f ca="1">VLOOKUP(K202,投手データ!B:AI,output!O202+6,FALSE)</f>
        <v>1</v>
      </c>
      <c r="R202">
        <f t="shared" si="18"/>
        <v>1.2500000000000001E-2</v>
      </c>
      <c r="S202">
        <f t="shared" si="19"/>
        <v>0.83263888888888893</v>
      </c>
      <c r="T202">
        <f>Prams!B$5/(S202-Prams!B$6)</f>
        <v>80.046467799828804</v>
      </c>
      <c r="U202">
        <f t="shared" ca="1" si="20"/>
        <v>0.9159722222222223</v>
      </c>
      <c r="V202">
        <f ca="1">Prams!C$5/(U202-Prams!C$6)</f>
        <v>80.043013227646426</v>
      </c>
      <c r="W202">
        <f t="shared" ca="1" si="21"/>
        <v>1.0005376653455804</v>
      </c>
    </row>
    <row r="203" spans="1:23" hidden="1" x14ac:dyDescent="0.55000000000000004">
      <c r="A203" s="1" t="s">
        <v>1982</v>
      </c>
      <c r="B203" s="1">
        <v>150</v>
      </c>
      <c r="C203">
        <v>638.5</v>
      </c>
      <c r="D203">
        <v>608.5</v>
      </c>
      <c r="E203">
        <v>10.512</v>
      </c>
      <c r="F203" t="s">
        <v>656</v>
      </c>
      <c r="G203" s="10" t="s">
        <v>1981</v>
      </c>
      <c r="H203">
        <v>99</v>
      </c>
      <c r="I203" t="s">
        <v>663</v>
      </c>
      <c r="J203">
        <f ca="1">VLOOKUP(G203,INDIRECT("球速変換!A$1:B$" &amp; Prams!$B$8),2,)</f>
        <v>79</v>
      </c>
      <c r="K203" t="str">
        <f ca="1">VLOOKUP(I203,INDIRECT("投手名変換!A$1:B$" &amp; Prams!$B$9),2,)</f>
        <v>DD010</v>
      </c>
      <c r="L203">
        <f t="shared" si="17"/>
        <v>51</v>
      </c>
      <c r="M203">
        <f ca="1">(B203-VLOOKUP(K203,INDIRECT("投手データ!B1:D"&amp;Prams!$B$1),3,FALSE)*2)</f>
        <v>56</v>
      </c>
      <c r="N203" t="str">
        <f ca="1">VLOOKUP(F203,INDIRECT("球種変換表!A$1:B$" &amp; Prams!$B$2),2,)</f>
        <v>ストレート</v>
      </c>
      <c r="O203">
        <f ca="1">VLOOKUP(N203,球種情報!A:B,2,FALSE)</f>
        <v>1</v>
      </c>
      <c r="P203">
        <f ca="1">VLOOKUP(K203,投手データ!B:AI,output!O203+6,FALSE)</f>
        <v>1</v>
      </c>
      <c r="R203">
        <f t="shared" ca="1" si="18"/>
        <v>1.2658227848101266E-2</v>
      </c>
      <c r="S203">
        <f t="shared" si="19"/>
        <v>0.84409722222222228</v>
      </c>
      <c r="T203">
        <f>Prams!B$5/(S203-Prams!B$6)</f>
        <v>78.876268309192781</v>
      </c>
      <c r="U203">
        <f t="shared" ca="1" si="20"/>
        <v>0.92743055555555565</v>
      </c>
      <c r="V203">
        <f ca="1">Prams!C$5/(U203-Prams!C$6)</f>
        <v>78.872914001396268</v>
      </c>
      <c r="W203">
        <f t="shared" ca="1" si="21"/>
        <v>0.99839131647337043</v>
      </c>
    </row>
    <row r="204" spans="1:23" hidden="1" x14ac:dyDescent="0.55000000000000004">
      <c r="A204" s="1" t="s">
        <v>1984</v>
      </c>
      <c r="B204" s="1">
        <v>151</v>
      </c>
      <c r="C204">
        <v>640.5</v>
      </c>
      <c r="D204">
        <v>610.5</v>
      </c>
      <c r="E204">
        <v>10.512</v>
      </c>
      <c r="F204" t="s">
        <v>0</v>
      </c>
      <c r="G204" s="10" t="s">
        <v>665</v>
      </c>
      <c r="H204">
        <v>99</v>
      </c>
      <c r="I204" t="s">
        <v>1983</v>
      </c>
      <c r="J204">
        <f ca="1">VLOOKUP(G204,INDIRECT("球速変換!A$1:B$" &amp; Prams!$B$8),2,)</f>
        <v>79</v>
      </c>
      <c r="K204" t="str">
        <f ca="1">VLOOKUP(I204,INDIRECT("投手名変換!A$1:B$" &amp; Prams!$B$9),2,)</f>
        <v>DD010</v>
      </c>
      <c r="L204">
        <f t="shared" si="17"/>
        <v>52</v>
      </c>
      <c r="M204">
        <f ca="1">(B204-VLOOKUP(K204,INDIRECT("投手データ!B1:D"&amp;Prams!$B$1),3,FALSE)*2)</f>
        <v>57</v>
      </c>
      <c r="N204" t="str">
        <f ca="1">VLOOKUP(F204,INDIRECT("球種変換表!A$1:B$" &amp; Prams!$B$2),2,)</f>
        <v>ストレート</v>
      </c>
      <c r="O204">
        <f ca="1">VLOOKUP(N204,球種情報!A:B,2,FALSE)</f>
        <v>1</v>
      </c>
      <c r="P204">
        <f ca="1">VLOOKUP(K204,投手データ!B:AI,output!O204+6,FALSE)</f>
        <v>1</v>
      </c>
      <c r="R204">
        <f t="shared" ca="1" si="18"/>
        <v>1.2658227848101266E-2</v>
      </c>
      <c r="S204">
        <f t="shared" si="19"/>
        <v>0.859375</v>
      </c>
      <c r="T204">
        <f>Prams!B$5/(S204-Prams!B$6)</f>
        <v>77.368206989331412</v>
      </c>
      <c r="U204">
        <f t="shared" ca="1" si="20"/>
        <v>0.94270833333333337</v>
      </c>
      <c r="V204">
        <f ca="1">Prams!C$5/(U204-Prams!C$6)</f>
        <v>77.364979716976222</v>
      </c>
      <c r="W204">
        <f t="shared" ca="1" si="21"/>
        <v>0.97930354072121806</v>
      </c>
    </row>
    <row r="205" spans="1:23" hidden="1" x14ac:dyDescent="0.55000000000000004">
      <c r="A205" s="1" t="s">
        <v>1986</v>
      </c>
      <c r="B205" s="1">
        <v>151</v>
      </c>
      <c r="C205">
        <v>634.5</v>
      </c>
      <c r="D205">
        <v>611</v>
      </c>
      <c r="E205">
        <v>10.547610000000001</v>
      </c>
      <c r="F205" t="s">
        <v>656</v>
      </c>
      <c r="G205" s="10" t="s">
        <v>1985</v>
      </c>
      <c r="H205">
        <v>99</v>
      </c>
      <c r="I205" t="s">
        <v>655</v>
      </c>
      <c r="J205">
        <f ca="1">VLOOKUP(G205,INDIRECT("球速変換!A$1:B$" &amp; Prams!$B$8),2,)</f>
        <v>78</v>
      </c>
      <c r="K205" t="str">
        <f ca="1">VLOOKUP(I205,INDIRECT("投手名変換!A$1:B$" &amp; Prams!$B$9),2,)</f>
        <v>DD010</v>
      </c>
      <c r="L205">
        <f t="shared" si="17"/>
        <v>52</v>
      </c>
      <c r="M205">
        <f ca="1">(B205-VLOOKUP(K205,INDIRECT("投手データ!B1:D"&amp;Prams!$B$1),3,FALSE)*2)</f>
        <v>57</v>
      </c>
      <c r="N205" t="str">
        <f ca="1">VLOOKUP(F205,INDIRECT("球種変換表!A$1:B$" &amp; Prams!$B$2),2,)</f>
        <v>ストレート</v>
      </c>
      <c r="O205">
        <f ca="1">VLOOKUP(N205,球種情報!A:B,2,FALSE)</f>
        <v>1</v>
      </c>
      <c r="P205">
        <f ca="1">VLOOKUP(K205,投手データ!B:AI,output!O205+6,FALSE)</f>
        <v>1</v>
      </c>
      <c r="R205">
        <f t="shared" ca="1" si="18"/>
        <v>1.282051282051282E-2</v>
      </c>
      <c r="S205">
        <f t="shared" si="19"/>
        <v>0.85902777777777772</v>
      </c>
      <c r="T205">
        <f>Prams!B$5/(S205-Prams!B$6)</f>
        <v>77.401840426789832</v>
      </c>
      <c r="U205">
        <f t="shared" ca="1" si="20"/>
        <v>0.94236111111111109</v>
      </c>
      <c r="V205">
        <f ca="1">Prams!C$5/(U205-Prams!C$6)</f>
        <v>77.398610347969438</v>
      </c>
      <c r="W205">
        <f t="shared" ca="1" si="21"/>
        <v>0.99228987625601839</v>
      </c>
    </row>
    <row r="206" spans="1:23" hidden="1" x14ac:dyDescent="0.55000000000000004">
      <c r="A206" s="1" t="s">
        <v>1989</v>
      </c>
      <c r="B206" s="1">
        <v>150</v>
      </c>
      <c r="C206">
        <v>642.45239000000004</v>
      </c>
      <c r="D206">
        <v>608.5</v>
      </c>
      <c r="E206">
        <v>10.55955</v>
      </c>
      <c r="F206" t="s">
        <v>656</v>
      </c>
      <c r="G206" s="10" t="s">
        <v>2438</v>
      </c>
      <c r="H206">
        <v>99</v>
      </c>
      <c r="I206" t="s">
        <v>1988</v>
      </c>
      <c r="J206">
        <f ca="1">VLOOKUP(G206,INDIRECT("球速変換!A$1:B$" &amp; Prams!$B$8),2,)</f>
        <v>79</v>
      </c>
      <c r="K206" t="str">
        <f ca="1">VLOOKUP(I206,INDIRECT("投手名変換!A$1:B$" &amp; Prams!$B$9),2,)</f>
        <v>DD010</v>
      </c>
      <c r="L206">
        <f t="shared" si="17"/>
        <v>51</v>
      </c>
      <c r="M206">
        <f ca="1">(B206-VLOOKUP(K206,INDIRECT("投手データ!B1:D"&amp;Prams!$B$1),3,FALSE)*2)</f>
        <v>56</v>
      </c>
      <c r="N206" t="str">
        <f ca="1">VLOOKUP(F206,INDIRECT("球種変換表!A$1:B$" &amp; Prams!$B$2),2,)</f>
        <v>ストレート</v>
      </c>
      <c r="O206">
        <f ca="1">VLOOKUP(N206,球種情報!A:B,2,FALSE)</f>
        <v>1</v>
      </c>
      <c r="P206">
        <f ca="1">VLOOKUP(K206,投手データ!B:AI,output!O206+6,FALSE)</f>
        <v>1</v>
      </c>
      <c r="R206">
        <f t="shared" ca="1" si="18"/>
        <v>1.2658227848101266E-2</v>
      </c>
      <c r="S206">
        <f t="shared" si="19"/>
        <v>0.84409722222222228</v>
      </c>
      <c r="T206">
        <f>Prams!B$5/(S206-Prams!B$6)</f>
        <v>78.876268309192781</v>
      </c>
      <c r="U206">
        <f t="shared" ca="1" si="20"/>
        <v>0.92743055555555565</v>
      </c>
      <c r="V206">
        <f ca="1">Prams!C$5/(U206-Prams!C$6)</f>
        <v>78.872914001396268</v>
      </c>
      <c r="W206">
        <f t="shared" ca="1" si="21"/>
        <v>0.99839131647337043</v>
      </c>
    </row>
    <row r="207" spans="1:23" hidden="1" x14ac:dyDescent="0.55000000000000004">
      <c r="A207" s="1" t="s">
        <v>1990</v>
      </c>
      <c r="B207" s="1">
        <v>150</v>
      </c>
      <c r="C207">
        <v>634.5</v>
      </c>
      <c r="D207">
        <v>601.5</v>
      </c>
      <c r="E207">
        <v>10.512</v>
      </c>
      <c r="F207" t="s">
        <v>0</v>
      </c>
      <c r="G207" s="10" t="s">
        <v>653</v>
      </c>
      <c r="H207">
        <v>99</v>
      </c>
      <c r="I207" t="s">
        <v>1573</v>
      </c>
      <c r="J207">
        <f ca="1">VLOOKUP(G207,INDIRECT("球速変換!A$1:B$" &amp; Prams!$B$8),2,)</f>
        <v>79</v>
      </c>
      <c r="K207" t="str">
        <f ca="1">VLOOKUP(I207,INDIRECT("投手名変換!A$1:B$" &amp; Prams!$B$9),2,)</f>
        <v>DD010</v>
      </c>
      <c r="L207">
        <f t="shared" si="17"/>
        <v>51</v>
      </c>
      <c r="M207">
        <f ca="1">(B207-VLOOKUP(K207,INDIRECT("投手データ!B1:D"&amp;Prams!$B$1),3,FALSE)*2)</f>
        <v>56</v>
      </c>
      <c r="N207" t="str">
        <f ca="1">VLOOKUP(F207,INDIRECT("球種変換表!A$1:B$" &amp; Prams!$B$2),2,)</f>
        <v>ストレート</v>
      </c>
      <c r="O207">
        <f ca="1">VLOOKUP(N207,球種情報!A:B,2,FALSE)</f>
        <v>1</v>
      </c>
      <c r="P207">
        <f ca="1">VLOOKUP(K207,投手データ!B:AI,output!O207+6,FALSE)</f>
        <v>1</v>
      </c>
      <c r="R207">
        <f t="shared" ca="1" si="18"/>
        <v>1.2658227848101266E-2</v>
      </c>
      <c r="S207">
        <f t="shared" si="19"/>
        <v>0.84895833333333337</v>
      </c>
      <c r="T207">
        <f>Prams!B$5/(S207-Prams!B$6)</f>
        <v>78.390092879256969</v>
      </c>
      <c r="U207">
        <f t="shared" ca="1" si="20"/>
        <v>0.93229166666666663</v>
      </c>
      <c r="V207">
        <f ca="1">Prams!C$5/(U207-Prams!C$6)</f>
        <v>78.386779793539944</v>
      </c>
      <c r="W207">
        <f t="shared" ca="1" si="21"/>
        <v>0.99223771890556889</v>
      </c>
    </row>
    <row r="208" spans="1:23" hidden="1" x14ac:dyDescent="0.55000000000000004">
      <c r="A208" s="1" t="s">
        <v>1991</v>
      </c>
      <c r="B208" s="1">
        <v>150</v>
      </c>
      <c r="C208">
        <v>635.5</v>
      </c>
      <c r="D208">
        <v>605</v>
      </c>
      <c r="E208">
        <v>11.5001</v>
      </c>
      <c r="F208" t="s">
        <v>0</v>
      </c>
      <c r="G208" s="10" t="s">
        <v>653</v>
      </c>
      <c r="H208">
        <v>99</v>
      </c>
      <c r="I208" t="s">
        <v>655</v>
      </c>
      <c r="J208">
        <f ca="1">VLOOKUP(G208,INDIRECT("球速変換!A$1:B$" &amp; Prams!$B$8),2,)</f>
        <v>79</v>
      </c>
      <c r="K208" t="str">
        <f ca="1">VLOOKUP(I208,INDIRECT("投手名変換!A$1:B$" &amp; Prams!$B$9),2,)</f>
        <v>DD010</v>
      </c>
      <c r="L208">
        <f t="shared" si="17"/>
        <v>51</v>
      </c>
      <c r="M208">
        <f ca="1">(B208-VLOOKUP(K208,INDIRECT("投手データ!B1:D"&amp;Prams!$B$1),3,FALSE)*2)</f>
        <v>56</v>
      </c>
      <c r="N208" t="str">
        <f ca="1">VLOOKUP(F208,INDIRECT("球種変換表!A$1:B$" &amp; Prams!$B$2),2,)</f>
        <v>ストレート</v>
      </c>
      <c r="O208">
        <f ca="1">VLOOKUP(N208,球種情報!A:B,2,FALSE)</f>
        <v>1</v>
      </c>
      <c r="P208">
        <f ca="1">VLOOKUP(K208,投手データ!B:AI,output!O208+6,FALSE)</f>
        <v>1</v>
      </c>
      <c r="R208">
        <f t="shared" ca="1" si="18"/>
        <v>1.2658227848101266E-2</v>
      </c>
      <c r="S208">
        <f t="shared" si="19"/>
        <v>0.84652777777777777</v>
      </c>
      <c r="T208">
        <f>Prams!B$5/(S208-Prams!B$6)</f>
        <v>78.632429109460787</v>
      </c>
      <c r="U208">
        <f t="shared" ca="1" si="20"/>
        <v>0.92986111111111103</v>
      </c>
      <c r="V208">
        <f ca="1">Prams!C$5/(U208-Prams!C$6)</f>
        <v>78.629095508277572</v>
      </c>
      <c r="W208">
        <f t="shared" ca="1" si="21"/>
        <v>0.9953050064338933</v>
      </c>
    </row>
    <row r="209" spans="1:23" hidden="1" x14ac:dyDescent="0.55000000000000004">
      <c r="A209" s="1" t="s">
        <v>1992</v>
      </c>
      <c r="B209" s="1">
        <v>150</v>
      </c>
      <c r="C209">
        <v>640</v>
      </c>
      <c r="D209">
        <v>602.5</v>
      </c>
      <c r="E209">
        <v>10.012589999999999</v>
      </c>
      <c r="F209" t="s">
        <v>0</v>
      </c>
      <c r="G209" s="10" t="s">
        <v>664</v>
      </c>
      <c r="H209">
        <v>99</v>
      </c>
      <c r="I209" t="s">
        <v>655</v>
      </c>
      <c r="J209">
        <f ca="1">VLOOKUP(G209,INDIRECT("球速変換!A$1:B$" &amp; Prams!$B$8),2,)</f>
        <v>78</v>
      </c>
      <c r="K209" t="str">
        <f ca="1">VLOOKUP(I209,INDIRECT("投手名変換!A$1:B$" &amp; Prams!$B$9),2,)</f>
        <v>DD010</v>
      </c>
      <c r="L209">
        <f t="shared" si="17"/>
        <v>51</v>
      </c>
      <c r="M209">
        <f ca="1">(B209-VLOOKUP(K209,INDIRECT("投手データ!B1:D"&amp;Prams!$B$1),3,FALSE)*2)</f>
        <v>56</v>
      </c>
      <c r="N209" t="str">
        <f ca="1">VLOOKUP(F209,INDIRECT("球種変換表!A$1:B$" &amp; Prams!$B$2),2,)</f>
        <v>ストレート</v>
      </c>
      <c r="O209">
        <f ca="1">VLOOKUP(N209,球種情報!A:B,2,FALSE)</f>
        <v>1</v>
      </c>
      <c r="P209">
        <f ca="1">VLOOKUP(K209,投手データ!B:AI,output!O209+6,FALSE)</f>
        <v>1</v>
      </c>
      <c r="R209">
        <f t="shared" ca="1" si="18"/>
        <v>1.282051282051282E-2</v>
      </c>
      <c r="S209">
        <f t="shared" si="19"/>
        <v>0.84826388888888893</v>
      </c>
      <c r="T209">
        <f>Prams!B$5/(S209-Prams!B$6)</f>
        <v>78.459179248908043</v>
      </c>
      <c r="U209">
        <f t="shared" ca="1" si="20"/>
        <v>0.9315972222222223</v>
      </c>
      <c r="V209">
        <f ca="1">Prams!C$5/(U209-Prams!C$6)</f>
        <v>78.455860320996621</v>
      </c>
      <c r="W209">
        <f t="shared" ca="1" si="21"/>
        <v>1.0058443630897003</v>
      </c>
    </row>
    <row r="210" spans="1:23" hidden="1" x14ac:dyDescent="0.55000000000000004">
      <c r="A210" s="1" t="s">
        <v>1994</v>
      </c>
      <c r="B210" s="1">
        <v>150</v>
      </c>
      <c r="C210">
        <v>637</v>
      </c>
      <c r="D210">
        <v>608</v>
      </c>
      <c r="E210">
        <v>10.04998</v>
      </c>
      <c r="F210" t="s">
        <v>0</v>
      </c>
      <c r="G210" s="10" t="s">
        <v>653</v>
      </c>
      <c r="H210">
        <v>99</v>
      </c>
      <c r="I210" t="s">
        <v>1993</v>
      </c>
      <c r="J210">
        <f ca="1">VLOOKUP(G210,INDIRECT("球速変換!A$1:B$" &amp; Prams!$B$8),2,)</f>
        <v>79</v>
      </c>
      <c r="K210" t="str">
        <f ca="1">VLOOKUP(I210,INDIRECT("投手名変換!A$1:B$" &amp; Prams!$B$9),2,)</f>
        <v>DD010</v>
      </c>
      <c r="L210">
        <f t="shared" si="17"/>
        <v>51</v>
      </c>
      <c r="M210">
        <f ca="1">(B210-VLOOKUP(K210,INDIRECT("投手データ!B1:D"&amp;Prams!$B$1),3,FALSE)*2)</f>
        <v>56</v>
      </c>
      <c r="N210" t="str">
        <f ca="1">VLOOKUP(F210,INDIRECT("球種変換表!A$1:B$" &amp; Prams!$B$2),2,)</f>
        <v>ストレート</v>
      </c>
      <c r="O210">
        <f ca="1">VLOOKUP(N210,球種情報!A:B,2,FALSE)</f>
        <v>1</v>
      </c>
      <c r="P210">
        <f ca="1">VLOOKUP(K210,投手データ!B:AI,output!O210+6,FALSE)</f>
        <v>1</v>
      </c>
      <c r="R210">
        <f t="shared" ca="1" si="18"/>
        <v>1.2658227848101266E-2</v>
      </c>
      <c r="S210">
        <f t="shared" si="19"/>
        <v>0.84444444444444444</v>
      </c>
      <c r="T210">
        <f>Prams!B$5/(S210-Prams!B$6)</f>
        <v>78.841341589559747</v>
      </c>
      <c r="U210">
        <f t="shared" ca="1" si="20"/>
        <v>0.9277777777777777</v>
      </c>
      <c r="V210">
        <f ca="1">Prams!C$5/(U210-Prams!C$6)</f>
        <v>78.837990251643632</v>
      </c>
      <c r="W210">
        <f t="shared" ca="1" si="21"/>
        <v>0.99794924369169158</v>
      </c>
    </row>
    <row r="211" spans="1:23" hidden="1" x14ac:dyDescent="0.55000000000000004">
      <c r="A211" s="1" t="s">
        <v>669</v>
      </c>
      <c r="B211" s="1">
        <v>139</v>
      </c>
      <c r="C211">
        <v>640.5</v>
      </c>
      <c r="D211">
        <v>614.5</v>
      </c>
      <c r="E211">
        <v>10.512</v>
      </c>
      <c r="F211" t="s">
        <v>343</v>
      </c>
      <c r="G211" s="10" t="s">
        <v>2439</v>
      </c>
      <c r="H211">
        <v>98</v>
      </c>
      <c r="I211" t="s">
        <v>1563</v>
      </c>
      <c r="J211">
        <f ca="1">VLOOKUP(G211,INDIRECT("球速変換!A$1:B$" &amp; Prams!$B$8),2,)</f>
        <v>78</v>
      </c>
      <c r="K211" t="str">
        <f ca="1">VLOOKUP(I211,INDIRECT("投手名変換!A$1:B$" &amp; Prams!$B$9),2,)</f>
        <v>DD010</v>
      </c>
      <c r="L211">
        <f t="shared" si="17"/>
        <v>41</v>
      </c>
      <c r="M211">
        <f ca="1">(B211-VLOOKUP(K211,INDIRECT("投手データ!B1:D"&amp;Prams!$B$1),3,FALSE)*2)</f>
        <v>45</v>
      </c>
      <c r="N211" t="str">
        <f ca="1">VLOOKUP(F211,INDIRECT("球種変換表!A$1:B$" &amp; Prams!$B$2),2,)</f>
        <v>全力ストレート</v>
      </c>
      <c r="O211">
        <f ca="1">VLOOKUP(N211,球種情報!A:B,2,FALSE)</f>
        <v>2</v>
      </c>
      <c r="P211">
        <f ca="1">VLOOKUP(K211,投手データ!B:AI,output!O211+6,FALSE)</f>
        <v>1</v>
      </c>
      <c r="R211">
        <f t="shared" ca="1" si="18"/>
        <v>1.282051282051282E-2</v>
      </c>
      <c r="S211">
        <f t="shared" si="19"/>
        <v>0.67326388888888888</v>
      </c>
      <c r="T211">
        <f>Prams!B$5/(S211-Prams!B$6)</f>
        <v>100.85912256930126</v>
      </c>
      <c r="U211">
        <f t="shared" ca="1" si="20"/>
        <v>0.73993055555555565</v>
      </c>
      <c r="V211">
        <f ca="1">Prams!C$5/(U211-Prams!C$6)</f>
        <v>103.67236664974217</v>
      </c>
      <c r="W211">
        <f t="shared" ca="1" si="21"/>
        <v>1.3291329057659254</v>
      </c>
    </row>
    <row r="212" spans="1:23" hidden="1" x14ac:dyDescent="0.55000000000000004">
      <c r="A212" s="1" t="s">
        <v>670</v>
      </c>
      <c r="B212" s="1">
        <v>139</v>
      </c>
      <c r="C212">
        <v>640.5</v>
      </c>
      <c r="D212">
        <v>614</v>
      </c>
      <c r="E212">
        <v>10.547610000000001</v>
      </c>
      <c r="F212" t="s">
        <v>343</v>
      </c>
      <c r="G212" s="10" t="s">
        <v>664</v>
      </c>
      <c r="H212">
        <v>98</v>
      </c>
      <c r="I212" t="s">
        <v>1563</v>
      </c>
      <c r="J212">
        <f ca="1">VLOOKUP(G212,INDIRECT("球速変換!A$1:B$" &amp; Prams!$B$8),2,)</f>
        <v>78</v>
      </c>
      <c r="K212" t="str">
        <f ca="1">VLOOKUP(I212,INDIRECT("投手名変換!A$1:B$" &amp; Prams!$B$9),2,)</f>
        <v>DD010</v>
      </c>
      <c r="L212">
        <f t="shared" si="17"/>
        <v>41</v>
      </c>
      <c r="M212">
        <f ca="1">(B212-VLOOKUP(K212,INDIRECT("投手データ!B1:D"&amp;Prams!$B$1),3,FALSE)*2)</f>
        <v>45</v>
      </c>
      <c r="N212" t="str">
        <f ca="1">VLOOKUP(F212,INDIRECT("球種変換表!A$1:B$" &amp; Prams!$B$2),2,)</f>
        <v>全力ストレート</v>
      </c>
      <c r="O212">
        <f ca="1">VLOOKUP(N212,球種情報!A:B,2,FALSE)</f>
        <v>2</v>
      </c>
      <c r="P212">
        <f ca="1">VLOOKUP(K212,投手データ!B:AI,output!O212+6,FALSE)</f>
        <v>1</v>
      </c>
      <c r="R212">
        <f t="shared" ca="1" si="18"/>
        <v>1.282051282051282E-2</v>
      </c>
      <c r="S212">
        <f t="shared" si="19"/>
        <v>0.67361111111111105</v>
      </c>
      <c r="T212">
        <f>Prams!B$5/(S212-Prams!B$6)</f>
        <v>100.80202181238452</v>
      </c>
      <c r="U212">
        <f t="shared" ca="1" si="20"/>
        <v>0.7402777777777777</v>
      </c>
      <c r="V212">
        <f ca="1">Prams!C$5/(U212-Prams!C$6)</f>
        <v>103.61203701979481</v>
      </c>
      <c r="W212">
        <f t="shared" ca="1" si="21"/>
        <v>1.3283594489717283</v>
      </c>
    </row>
    <row r="213" spans="1:23" hidden="1" x14ac:dyDescent="0.55000000000000004">
      <c r="A213" s="1" t="s">
        <v>672</v>
      </c>
      <c r="B213" s="1">
        <v>138</v>
      </c>
      <c r="C213">
        <v>639</v>
      </c>
      <c r="D213">
        <v>605</v>
      </c>
      <c r="E213">
        <v>11.0001</v>
      </c>
      <c r="F213" t="s">
        <v>343</v>
      </c>
      <c r="G213" s="10" t="s">
        <v>1978</v>
      </c>
      <c r="H213">
        <v>98</v>
      </c>
      <c r="I213" t="s">
        <v>1564</v>
      </c>
      <c r="J213">
        <v>80</v>
      </c>
      <c r="K213" t="str">
        <f ca="1">VLOOKUP(I213,INDIRECT("投手名変換!A$1:B$" &amp; Prams!$B$9),2,)</f>
        <v>DD010</v>
      </c>
      <c r="L213">
        <f t="shared" si="17"/>
        <v>40</v>
      </c>
      <c r="M213">
        <f ca="1">(B213-VLOOKUP(K213,INDIRECT("投手データ!B1:D"&amp;Prams!$B$1),3,FALSE)*2)</f>
        <v>44</v>
      </c>
      <c r="N213" t="str">
        <f ca="1">VLOOKUP(F213,INDIRECT("球種変換表!A$1:B$" &amp; Prams!$B$2),2,)</f>
        <v>全力ストレート</v>
      </c>
      <c r="O213">
        <f ca="1">VLOOKUP(N213,球種情報!A:B,2,FALSE)</f>
        <v>2</v>
      </c>
      <c r="P213">
        <f ca="1">VLOOKUP(K213,投手データ!B:AI,output!O213+6,FALSE)</f>
        <v>1</v>
      </c>
      <c r="R213">
        <f t="shared" si="18"/>
        <v>1.2500000000000001E-2</v>
      </c>
      <c r="S213">
        <f t="shared" si="19"/>
        <v>0.66319444444444442</v>
      </c>
      <c r="T213">
        <f>Prams!B$5/(S213-Prams!B$6)</f>
        <v>102.54365514508713</v>
      </c>
      <c r="U213">
        <f t="shared" ca="1" si="20"/>
        <v>0.72986111111111107</v>
      </c>
      <c r="V213">
        <f ca="1">Prams!C$5/(U213-Prams!C$6)</f>
        <v>105.45301202535843</v>
      </c>
      <c r="W213">
        <f t="shared" ca="1" si="21"/>
        <v>1.3181626503169803</v>
      </c>
    </row>
    <row r="214" spans="1:23" hidden="1" x14ac:dyDescent="0.55000000000000004">
      <c r="A214" s="1" t="s">
        <v>673</v>
      </c>
      <c r="B214" s="1">
        <v>139</v>
      </c>
      <c r="C214">
        <v>640</v>
      </c>
      <c r="D214">
        <v>611.5</v>
      </c>
      <c r="E214">
        <v>11.01146</v>
      </c>
      <c r="F214" t="s">
        <v>343</v>
      </c>
      <c r="G214" s="10" t="s">
        <v>1565</v>
      </c>
      <c r="H214">
        <v>98</v>
      </c>
      <c r="I214" t="s">
        <v>1566</v>
      </c>
      <c r="J214">
        <f ca="1">VLOOKUP(G214,INDIRECT("球速変換!A$1:B$" &amp; Prams!$B$8),2,)</f>
        <v>78</v>
      </c>
      <c r="K214" t="str">
        <f ca="1">VLOOKUP(I214,INDIRECT("投手名変換!A$1:B$" &amp; Prams!$B$9),2,)</f>
        <v>DD010</v>
      </c>
      <c r="L214">
        <f t="shared" si="17"/>
        <v>41</v>
      </c>
      <c r="M214">
        <f ca="1">(B214-VLOOKUP(K214,INDIRECT("投手データ!B1:D"&amp;Prams!$B$1),3,FALSE)*2)</f>
        <v>45</v>
      </c>
      <c r="N214" t="str">
        <f ca="1">VLOOKUP(F214,INDIRECT("球種変換表!A$1:B$" &amp; Prams!$B$2),2,)</f>
        <v>全力ストレート</v>
      </c>
      <c r="O214">
        <f ca="1">VLOOKUP(N214,球種情報!A:B,2,FALSE)</f>
        <v>2</v>
      </c>
      <c r="P214">
        <f ca="1">VLOOKUP(K214,投手データ!B:AI,output!O214+6,FALSE)</f>
        <v>1</v>
      </c>
      <c r="R214">
        <f t="shared" ca="1" si="18"/>
        <v>1.282051282051282E-2</v>
      </c>
      <c r="S214">
        <f t="shared" si="19"/>
        <v>0.67534722222222221</v>
      </c>
      <c r="T214">
        <f>Prams!B$5/(S214-Prams!B$6)</f>
        <v>100.51748510728626</v>
      </c>
      <c r="U214">
        <f t="shared" ca="1" si="20"/>
        <v>0.74201388888888897</v>
      </c>
      <c r="V214">
        <f ca="1">Prams!C$5/(U214-Prams!C$6)</f>
        <v>103.31143903559871</v>
      </c>
      <c r="W214">
        <f t="shared" ca="1" si="21"/>
        <v>1.324505628661522</v>
      </c>
    </row>
    <row r="215" spans="1:23" hidden="1" x14ac:dyDescent="0.55000000000000004">
      <c r="A215" s="1" t="s">
        <v>675</v>
      </c>
      <c r="B215" s="1">
        <v>138</v>
      </c>
      <c r="C215">
        <v>638.5</v>
      </c>
      <c r="D215">
        <v>602.5</v>
      </c>
      <c r="E215">
        <v>10.512</v>
      </c>
      <c r="F215" t="s">
        <v>343</v>
      </c>
      <c r="G215" s="10" t="s">
        <v>2438</v>
      </c>
      <c r="H215">
        <v>98</v>
      </c>
      <c r="I215" t="s">
        <v>1567</v>
      </c>
      <c r="J215">
        <f ca="1">VLOOKUP(G215,INDIRECT("球速変換!A$1:B$" &amp; Prams!$B$8),2,)</f>
        <v>79</v>
      </c>
      <c r="K215" t="str">
        <f ca="1">VLOOKUP(I215,INDIRECT("投手名変換!A$1:B$" &amp; Prams!$B$9),2,)</f>
        <v>DD010</v>
      </c>
      <c r="L215">
        <f t="shared" si="17"/>
        <v>40</v>
      </c>
      <c r="M215">
        <f ca="1">(B215-VLOOKUP(K215,INDIRECT("投手データ!B1:D"&amp;Prams!$B$1),3,FALSE)*2)</f>
        <v>44</v>
      </c>
      <c r="N215" t="str">
        <f ca="1">VLOOKUP(F215,INDIRECT("球種変換表!A$1:B$" &amp; Prams!$B$2),2,)</f>
        <v>全力ストレート</v>
      </c>
      <c r="O215">
        <f ca="1">VLOOKUP(N215,球種情報!A:B,2,FALSE)</f>
        <v>2</v>
      </c>
      <c r="P215">
        <f ca="1">VLOOKUP(K215,投手データ!B:AI,output!O215+6,FALSE)</f>
        <v>1</v>
      </c>
      <c r="R215">
        <f t="shared" ca="1" si="18"/>
        <v>1.2658227848101266E-2</v>
      </c>
      <c r="S215">
        <f t="shared" si="19"/>
        <v>0.66493055555555558</v>
      </c>
      <c r="T215">
        <f>Prams!B$5/(S215-Prams!B$6)</f>
        <v>102.24921554484602</v>
      </c>
      <c r="U215">
        <f t="shared" ca="1" si="20"/>
        <v>0.73159722222222223</v>
      </c>
      <c r="V215">
        <f ca="1">Prams!C$5/(U215-Prams!C$6)</f>
        <v>105.14165316351645</v>
      </c>
      <c r="W215">
        <f t="shared" ca="1" si="21"/>
        <v>1.3309070020698286</v>
      </c>
    </row>
    <row r="216" spans="1:23" hidden="1" x14ac:dyDescent="0.55000000000000004">
      <c r="A216" s="1" t="s">
        <v>677</v>
      </c>
      <c r="B216" s="1">
        <v>138</v>
      </c>
      <c r="C216">
        <v>638.5</v>
      </c>
      <c r="D216">
        <v>602.5</v>
      </c>
      <c r="E216">
        <v>10.512</v>
      </c>
      <c r="F216" t="s">
        <v>531</v>
      </c>
      <c r="G216" s="10" t="s">
        <v>653</v>
      </c>
      <c r="H216">
        <v>98</v>
      </c>
      <c r="I216" t="s">
        <v>683</v>
      </c>
      <c r="J216">
        <f ca="1">VLOOKUP(G216,INDIRECT("球速変換!A$1:B$" &amp; Prams!$B$8),2,)</f>
        <v>79</v>
      </c>
      <c r="K216" t="str">
        <f ca="1">VLOOKUP(I216,INDIRECT("投手名変換!A$1:B$" &amp; Prams!$B$9),2,)</f>
        <v>DD010</v>
      </c>
      <c r="L216">
        <f t="shared" si="17"/>
        <v>40</v>
      </c>
      <c r="M216">
        <f ca="1">(B216-VLOOKUP(K216,INDIRECT("投手データ!B1:D"&amp;Prams!$B$1),3,FALSE)*2)</f>
        <v>44</v>
      </c>
      <c r="N216" t="str">
        <f ca="1">VLOOKUP(F216,INDIRECT("球種変換表!A$1:B$" &amp; Prams!$B$2),2,)</f>
        <v>全力ストレート</v>
      </c>
      <c r="O216">
        <f ca="1">VLOOKUP(N216,球種情報!A:B,2,FALSE)</f>
        <v>2</v>
      </c>
      <c r="P216">
        <f ca="1">VLOOKUP(K216,投手データ!B:AI,output!O216+6,FALSE)</f>
        <v>1</v>
      </c>
      <c r="R216">
        <f t="shared" ca="1" si="18"/>
        <v>1.2658227848101266E-2</v>
      </c>
      <c r="S216">
        <f t="shared" si="19"/>
        <v>0.66493055555555558</v>
      </c>
      <c r="T216">
        <f>Prams!B$5/(S216-Prams!B$6)</f>
        <v>102.24921554484602</v>
      </c>
      <c r="U216">
        <f t="shared" ca="1" si="20"/>
        <v>0.73159722222222223</v>
      </c>
      <c r="V216">
        <f ca="1">Prams!C$5/(U216-Prams!C$6)</f>
        <v>105.14165316351645</v>
      </c>
      <c r="W216">
        <f t="shared" ca="1" si="21"/>
        <v>1.3309070020698286</v>
      </c>
    </row>
    <row r="217" spans="1:23" hidden="1" x14ac:dyDescent="0.55000000000000004">
      <c r="A217" s="1" t="s">
        <v>679</v>
      </c>
      <c r="B217" s="1">
        <v>138</v>
      </c>
      <c r="C217">
        <v>639</v>
      </c>
      <c r="D217">
        <v>605</v>
      </c>
      <c r="E217">
        <v>11.0001</v>
      </c>
      <c r="F217" t="s">
        <v>343</v>
      </c>
      <c r="G217" s="10" t="s">
        <v>1978</v>
      </c>
      <c r="H217">
        <v>98</v>
      </c>
      <c r="I217" t="s">
        <v>676</v>
      </c>
      <c r="J217">
        <v>80</v>
      </c>
      <c r="K217" t="str">
        <f ca="1">VLOOKUP(I217,INDIRECT("投手名変換!A$1:B$" &amp; Prams!$B$9),2,)</f>
        <v>DD010</v>
      </c>
      <c r="L217">
        <f t="shared" si="17"/>
        <v>40</v>
      </c>
      <c r="M217">
        <f ca="1">(B217-VLOOKUP(K217,INDIRECT("投手データ!B1:D"&amp;Prams!$B$1),3,FALSE)*2)</f>
        <v>44</v>
      </c>
      <c r="N217" t="str">
        <f ca="1">VLOOKUP(F217,INDIRECT("球種変換表!A$1:B$" &amp; Prams!$B$2),2,)</f>
        <v>全力ストレート</v>
      </c>
      <c r="O217">
        <f ca="1">VLOOKUP(N217,球種情報!A:B,2,FALSE)</f>
        <v>2</v>
      </c>
      <c r="P217">
        <f ca="1">VLOOKUP(K217,投手データ!B:AI,output!O217+6,FALSE)</f>
        <v>1</v>
      </c>
      <c r="R217">
        <f t="shared" si="18"/>
        <v>1.2500000000000001E-2</v>
      </c>
      <c r="S217">
        <f t="shared" si="19"/>
        <v>0.66319444444444442</v>
      </c>
      <c r="T217">
        <f>Prams!B$5/(S217-Prams!B$6)</f>
        <v>102.54365514508713</v>
      </c>
      <c r="U217">
        <f t="shared" ca="1" si="20"/>
        <v>0.72986111111111107</v>
      </c>
      <c r="V217">
        <f ca="1">Prams!C$5/(U217-Prams!C$6)</f>
        <v>105.45301202535843</v>
      </c>
      <c r="W217">
        <f t="shared" ca="1" si="21"/>
        <v>1.3181626503169803</v>
      </c>
    </row>
    <row r="218" spans="1:23" hidden="1" x14ac:dyDescent="0.55000000000000004">
      <c r="A218" s="1" t="s">
        <v>681</v>
      </c>
      <c r="B218" s="1">
        <v>139</v>
      </c>
      <c r="C218">
        <v>640</v>
      </c>
      <c r="D218">
        <v>615.5</v>
      </c>
      <c r="E218">
        <v>11.01146</v>
      </c>
      <c r="F218" t="s">
        <v>343</v>
      </c>
      <c r="G218" s="10" t="s">
        <v>664</v>
      </c>
      <c r="H218">
        <v>98</v>
      </c>
      <c r="I218" t="s">
        <v>1568</v>
      </c>
      <c r="J218">
        <f ca="1">VLOOKUP(G218,INDIRECT("球速変換!A$1:B$" &amp; Prams!$B$8),2,)</f>
        <v>78</v>
      </c>
      <c r="K218" t="str">
        <f ca="1">VLOOKUP(I218,INDIRECT("投手名変換!A$1:B$" &amp; Prams!$B$9),2,)</f>
        <v>DD010</v>
      </c>
      <c r="L218">
        <f t="shared" si="17"/>
        <v>41</v>
      </c>
      <c r="M218">
        <f ca="1">(B218-VLOOKUP(K218,INDIRECT("投手データ!B1:D"&amp;Prams!$B$1),3,FALSE)*2)</f>
        <v>45</v>
      </c>
      <c r="N218" t="str">
        <f ca="1">VLOOKUP(F218,INDIRECT("球種変換表!A$1:B$" &amp; Prams!$B$2),2,)</f>
        <v>全力ストレート</v>
      </c>
      <c r="O218">
        <f ca="1">VLOOKUP(N218,球種情報!A:B,2,FALSE)</f>
        <v>2</v>
      </c>
      <c r="P218">
        <f ca="1">VLOOKUP(K218,投手データ!B:AI,output!O218+6,FALSE)</f>
        <v>1</v>
      </c>
      <c r="R218">
        <f t="shared" ca="1" si="18"/>
        <v>1.282051282051282E-2</v>
      </c>
      <c r="S218">
        <f t="shared" si="19"/>
        <v>0.67256944444444444</v>
      </c>
      <c r="T218">
        <f>Prams!B$5/(S218-Prams!B$6)</f>
        <v>100.97351837653176</v>
      </c>
      <c r="U218">
        <f t="shared" ca="1" si="20"/>
        <v>0.73923611111111109</v>
      </c>
      <c r="V218">
        <f ca="1">Prams!C$5/(U218-Prams!C$6)</f>
        <v>103.79323692224467</v>
      </c>
      <c r="W218">
        <f t="shared" ca="1" si="21"/>
        <v>1.3306825246441625</v>
      </c>
    </row>
    <row r="219" spans="1:23" hidden="1" x14ac:dyDescent="0.55000000000000004">
      <c r="A219" s="1" t="s">
        <v>682</v>
      </c>
      <c r="B219" s="1">
        <v>139</v>
      </c>
      <c r="C219">
        <v>640.5</v>
      </c>
      <c r="D219">
        <v>611.5</v>
      </c>
      <c r="E219">
        <v>10.512</v>
      </c>
      <c r="F219" t="s">
        <v>343</v>
      </c>
      <c r="G219" s="10" t="s">
        <v>2440</v>
      </c>
      <c r="H219">
        <v>98</v>
      </c>
      <c r="I219" t="s">
        <v>1569</v>
      </c>
      <c r="J219">
        <f ca="1">VLOOKUP(G219,INDIRECT("球速変換!A$1:B$" &amp; Prams!$B$8),2,)</f>
        <v>77</v>
      </c>
      <c r="K219" t="str">
        <f ca="1">VLOOKUP(I219,INDIRECT("投手名変換!A$1:B$" &amp; Prams!$B$9),2,)</f>
        <v>DD010</v>
      </c>
      <c r="L219">
        <f t="shared" si="17"/>
        <v>41</v>
      </c>
      <c r="M219">
        <f ca="1">(B219-VLOOKUP(K219,INDIRECT("投手データ!B1:D"&amp;Prams!$B$1),3,FALSE)*2)</f>
        <v>45</v>
      </c>
      <c r="N219" t="str">
        <f ca="1">VLOOKUP(F219,INDIRECT("球種変換表!A$1:B$" &amp; Prams!$B$2),2,)</f>
        <v>全力ストレート</v>
      </c>
      <c r="O219">
        <f ca="1">VLOOKUP(N219,球種情報!A:B,2,FALSE)</f>
        <v>2</v>
      </c>
      <c r="P219">
        <f ca="1">VLOOKUP(K219,投手データ!B:AI,output!O219+6,FALSE)</f>
        <v>1</v>
      </c>
      <c r="R219">
        <f t="shared" ca="1" si="18"/>
        <v>1.2987012987012988E-2</v>
      </c>
      <c r="S219">
        <f t="shared" si="19"/>
        <v>0.67534722222222221</v>
      </c>
      <c r="T219">
        <f>Prams!B$5/(S219-Prams!B$6)</f>
        <v>100.51748510728626</v>
      </c>
      <c r="U219">
        <f t="shared" ca="1" si="20"/>
        <v>0.74201388888888897</v>
      </c>
      <c r="V219">
        <f ca="1">Prams!C$5/(U219-Prams!C$6)</f>
        <v>103.31143903559871</v>
      </c>
      <c r="W219">
        <f t="shared" ca="1" si="21"/>
        <v>1.3417070004623208</v>
      </c>
    </row>
    <row r="220" spans="1:23" hidden="1" x14ac:dyDescent="0.55000000000000004">
      <c r="A220" s="1" t="s">
        <v>684</v>
      </c>
      <c r="B220" s="1">
        <v>139</v>
      </c>
      <c r="C220">
        <v>640.5</v>
      </c>
      <c r="D220">
        <v>615.5</v>
      </c>
      <c r="E220">
        <v>10.512</v>
      </c>
      <c r="F220" t="s">
        <v>343</v>
      </c>
      <c r="G220" s="10" t="s">
        <v>653</v>
      </c>
      <c r="H220">
        <v>98</v>
      </c>
      <c r="I220" t="s">
        <v>1570</v>
      </c>
      <c r="J220">
        <f ca="1">VLOOKUP(G220,INDIRECT("球速変換!A$1:B$" &amp; Prams!$B$8),2,)</f>
        <v>79</v>
      </c>
      <c r="K220" t="str">
        <f ca="1">VLOOKUP(I220,INDIRECT("投手名変換!A$1:B$" &amp; Prams!$B$9),2,)</f>
        <v>DD010</v>
      </c>
      <c r="L220">
        <f t="shared" si="17"/>
        <v>41</v>
      </c>
      <c r="M220">
        <f ca="1">(B220-VLOOKUP(K220,INDIRECT("投手データ!B1:D"&amp;Prams!$B$1),3,FALSE)*2)</f>
        <v>45</v>
      </c>
      <c r="N220" t="str">
        <f ca="1">VLOOKUP(F220,INDIRECT("球種変換表!A$1:B$" &amp; Prams!$B$2),2,)</f>
        <v>全力ストレート</v>
      </c>
      <c r="O220">
        <f ca="1">VLOOKUP(N220,球種情報!A:B,2,FALSE)</f>
        <v>2</v>
      </c>
      <c r="P220">
        <f ca="1">VLOOKUP(K220,投手データ!B:AI,output!O220+6,FALSE)</f>
        <v>1</v>
      </c>
      <c r="R220">
        <f t="shared" ca="1" si="18"/>
        <v>1.2658227848101266E-2</v>
      </c>
      <c r="S220">
        <f t="shared" si="19"/>
        <v>0.67256944444444444</v>
      </c>
      <c r="T220">
        <f>Prams!B$5/(S220-Prams!B$6)</f>
        <v>100.97351837653176</v>
      </c>
      <c r="U220">
        <f t="shared" ca="1" si="20"/>
        <v>0.73923611111111109</v>
      </c>
      <c r="V220">
        <f ca="1">Prams!C$5/(U220-Prams!C$6)</f>
        <v>103.79323692224467</v>
      </c>
      <c r="W220">
        <f t="shared" ca="1" si="21"/>
        <v>1.3138384420537301</v>
      </c>
    </row>
    <row r="221" spans="1:23" hidden="1" x14ac:dyDescent="0.55000000000000004">
      <c r="A221" s="1" t="s">
        <v>686</v>
      </c>
      <c r="B221" s="1">
        <v>166</v>
      </c>
      <c r="C221">
        <v>626</v>
      </c>
      <c r="D221">
        <v>606.5</v>
      </c>
      <c r="E221">
        <v>11.01146</v>
      </c>
      <c r="F221" t="s">
        <v>346</v>
      </c>
      <c r="G221" s="10" t="s">
        <v>2344</v>
      </c>
      <c r="H221">
        <v>88</v>
      </c>
      <c r="I221" t="s">
        <v>685</v>
      </c>
      <c r="J221">
        <f ca="1">VLOOKUP(G221,INDIRECT("球速変換!A$1:B$" &amp; Prams!$B$8),2,)</f>
        <v>70</v>
      </c>
      <c r="K221" t="str">
        <f ca="1">VLOOKUP(I221,INDIRECT("投手名変換!A$1:B$" &amp; Prams!$B$9),2,)</f>
        <v>DD010</v>
      </c>
      <c r="L221">
        <f t="shared" si="17"/>
        <v>78</v>
      </c>
      <c r="M221">
        <f ca="1">(B221-VLOOKUP(K221,INDIRECT("投手データ!B1:D"&amp;Prams!$B$1),3,FALSE)*2)</f>
        <v>72</v>
      </c>
      <c r="N221" t="str">
        <f ca="1">VLOOKUP(F221,INDIRECT("球種変換表!A$1:B$" &amp; Prams!$B$2),2,)</f>
        <v>カーブ</v>
      </c>
      <c r="O221">
        <f ca="1">VLOOKUP(N221,球種情報!A:B,2,FALSE)</f>
        <v>9</v>
      </c>
      <c r="P221">
        <f ca="1">VLOOKUP(K221,投手データ!B:AI,output!O221+6,FALSE)</f>
        <v>1</v>
      </c>
      <c r="R221">
        <f t="shared" ca="1" si="18"/>
        <v>1.4285714285714285E-2</v>
      </c>
      <c r="S221">
        <f t="shared" si="19"/>
        <v>1.2954861111111111</v>
      </c>
      <c r="T221">
        <f>Prams!B$5/(S221-Prams!B$6)</f>
        <v>50.051566677986003</v>
      </c>
      <c r="U221">
        <f t="shared" ca="1" si="20"/>
        <v>1.1954861111111112</v>
      </c>
      <c r="V221">
        <f ca="1">Prams!C$5/(U221-Prams!C$6)</f>
        <v>58.773473047092644</v>
      </c>
      <c r="W221">
        <f t="shared" ca="1" si="21"/>
        <v>0.83962104352989486</v>
      </c>
    </row>
    <row r="222" spans="1:23" hidden="1" x14ac:dyDescent="0.55000000000000004">
      <c r="A222" s="1" t="s">
        <v>689</v>
      </c>
      <c r="B222" s="1">
        <v>179</v>
      </c>
      <c r="C222">
        <v>632.5</v>
      </c>
      <c r="D222">
        <v>606.5</v>
      </c>
      <c r="E222">
        <v>10.512</v>
      </c>
      <c r="F222" t="s">
        <v>346</v>
      </c>
      <c r="G222" s="10" t="s">
        <v>2344</v>
      </c>
      <c r="H222">
        <v>101</v>
      </c>
      <c r="I222" t="s">
        <v>655</v>
      </c>
      <c r="J222">
        <f ca="1">VLOOKUP(G222,INDIRECT("球速変換!A$1:B$" &amp; Prams!$B$8),2,)</f>
        <v>70</v>
      </c>
      <c r="K222" t="str">
        <f ca="1">VLOOKUP(I222,INDIRECT("投手名変換!A$1:B$" &amp; Prams!$B$9),2,)</f>
        <v>DD010</v>
      </c>
      <c r="L222">
        <f t="shared" si="17"/>
        <v>78</v>
      </c>
      <c r="M222">
        <f ca="1">(B222-VLOOKUP(K222,INDIRECT("投手データ!B1:D"&amp;Prams!$B$1),3,FALSE)*2)</f>
        <v>85</v>
      </c>
      <c r="N222" t="str">
        <f ca="1">VLOOKUP(F222,INDIRECT("球種変換表!A$1:B$" &amp; Prams!$B$2),2,)</f>
        <v>カーブ</v>
      </c>
      <c r="O222">
        <f ca="1">VLOOKUP(N222,球種情報!A:B,2,FALSE)</f>
        <v>9</v>
      </c>
      <c r="P222">
        <f ca="1">VLOOKUP(K222,投手データ!B:AI,output!O222+6,FALSE)</f>
        <v>1</v>
      </c>
      <c r="R222">
        <f t="shared" ca="1" si="18"/>
        <v>1.4285714285714285E-2</v>
      </c>
      <c r="S222">
        <f t="shared" si="19"/>
        <v>1.2954861111111111</v>
      </c>
      <c r="T222">
        <f>Prams!B$5/(S222-Prams!B$6)</f>
        <v>50.051566677986003</v>
      </c>
      <c r="U222">
        <f t="shared" ca="1" si="20"/>
        <v>1.4121527777777778</v>
      </c>
      <c r="V222">
        <f ca="1">Prams!C$5/(U222-Prams!C$6)</f>
        <v>48.735063359602691</v>
      </c>
      <c r="W222">
        <f t="shared" ca="1" si="21"/>
        <v>0.69621519085146699</v>
      </c>
    </row>
    <row r="223" spans="1:23" hidden="1" x14ac:dyDescent="0.55000000000000004">
      <c r="A223" s="1" t="s">
        <v>692</v>
      </c>
      <c r="B223" s="1">
        <v>179</v>
      </c>
      <c r="C223">
        <v>632</v>
      </c>
      <c r="D223">
        <v>606.5</v>
      </c>
      <c r="E223">
        <v>11.01146</v>
      </c>
      <c r="F223" t="s">
        <v>346</v>
      </c>
      <c r="G223" s="10" t="s">
        <v>2344</v>
      </c>
      <c r="H223">
        <v>101</v>
      </c>
      <c r="I223" t="s">
        <v>655</v>
      </c>
      <c r="J223">
        <f ca="1">VLOOKUP(G223,INDIRECT("球速変換!A$1:B$" &amp; Prams!$B$8),2,)</f>
        <v>70</v>
      </c>
      <c r="K223" t="str">
        <f ca="1">VLOOKUP(I223,INDIRECT("投手名変換!A$1:B$" &amp; Prams!$B$9),2,)</f>
        <v>DD010</v>
      </c>
      <c r="L223">
        <f t="shared" si="17"/>
        <v>78</v>
      </c>
      <c r="M223">
        <f ca="1">(B223-VLOOKUP(K223,INDIRECT("投手データ!B1:D"&amp;Prams!$B$1),3,FALSE)*2)</f>
        <v>85</v>
      </c>
      <c r="N223" t="str">
        <f ca="1">VLOOKUP(F223,INDIRECT("球種変換表!A$1:B$" &amp; Prams!$B$2),2,)</f>
        <v>カーブ</v>
      </c>
      <c r="O223">
        <f ca="1">VLOOKUP(N223,球種情報!A:B,2,FALSE)</f>
        <v>9</v>
      </c>
      <c r="P223">
        <f ca="1">VLOOKUP(K223,投手データ!B:AI,output!O223+6,FALSE)</f>
        <v>1</v>
      </c>
      <c r="R223">
        <f t="shared" ca="1" si="18"/>
        <v>1.4285714285714285E-2</v>
      </c>
      <c r="S223">
        <f t="shared" si="19"/>
        <v>1.2954861111111111</v>
      </c>
      <c r="T223">
        <f>Prams!B$5/(S223-Prams!B$6)</f>
        <v>50.051566677986003</v>
      </c>
      <c r="U223">
        <f t="shared" ca="1" si="20"/>
        <v>1.4121527777777778</v>
      </c>
      <c r="V223">
        <f ca="1">Prams!C$5/(U223-Prams!C$6)</f>
        <v>48.735063359602691</v>
      </c>
      <c r="W223">
        <f t="shared" ca="1" si="21"/>
        <v>0.69621519085146699</v>
      </c>
    </row>
    <row r="224" spans="1:23" hidden="1" x14ac:dyDescent="0.55000000000000004">
      <c r="A224" s="1" t="s">
        <v>695</v>
      </c>
      <c r="B224" s="1">
        <v>179</v>
      </c>
      <c r="C224">
        <v>626.5</v>
      </c>
      <c r="D224">
        <v>606</v>
      </c>
      <c r="E224">
        <v>10.547610000000001</v>
      </c>
      <c r="F224" t="s">
        <v>346</v>
      </c>
      <c r="G224" s="10" t="s">
        <v>693</v>
      </c>
      <c r="H224">
        <v>101</v>
      </c>
      <c r="I224" t="s">
        <v>1571</v>
      </c>
      <c r="J224">
        <f ca="1">VLOOKUP(G224,INDIRECT("球速変換!A$1:B$" &amp; Prams!$B$8),2,)</f>
        <v>70</v>
      </c>
      <c r="K224" t="str">
        <f ca="1">VLOOKUP(I224,INDIRECT("投手名変換!A$1:B$" &amp; Prams!$B$9),2,)</f>
        <v>DD010</v>
      </c>
      <c r="L224">
        <f t="shared" si="17"/>
        <v>78</v>
      </c>
      <c r="M224">
        <f ca="1">(B224-VLOOKUP(K224,INDIRECT("投手データ!B1:D"&amp;Prams!$B$1),3,FALSE)*2)</f>
        <v>85</v>
      </c>
      <c r="N224" t="str">
        <f ca="1">VLOOKUP(F224,INDIRECT("球種変換表!A$1:B$" &amp; Prams!$B$2),2,)</f>
        <v>カーブ</v>
      </c>
      <c r="O224">
        <f ca="1">VLOOKUP(N224,球種情報!A:B,2,FALSE)</f>
        <v>9</v>
      </c>
      <c r="P224">
        <f ca="1">VLOOKUP(K224,投手データ!B:AI,output!O224+6,FALSE)</f>
        <v>1</v>
      </c>
      <c r="R224">
        <f t="shared" ca="1" si="18"/>
        <v>1.4285714285714285E-2</v>
      </c>
      <c r="S224">
        <f t="shared" si="19"/>
        <v>1.2958333333333334</v>
      </c>
      <c r="T224">
        <f>Prams!B$5/(S224-Prams!B$6)</f>
        <v>50.037500674472561</v>
      </c>
      <c r="U224">
        <f t="shared" ca="1" si="20"/>
        <v>1.4125000000000001</v>
      </c>
      <c r="V224">
        <f ca="1">Prams!C$5/(U224-Prams!C$6)</f>
        <v>48.721727480494913</v>
      </c>
      <c r="W224">
        <f t="shared" ca="1" si="21"/>
        <v>0.69602467829278447</v>
      </c>
    </row>
    <row r="225" spans="1:23" hidden="1" x14ac:dyDescent="0.55000000000000004">
      <c r="A225" s="1" t="s">
        <v>696</v>
      </c>
      <c r="B225" s="1">
        <v>179</v>
      </c>
      <c r="C225">
        <v>635</v>
      </c>
      <c r="D225">
        <v>606.5</v>
      </c>
      <c r="E225">
        <v>11.01146</v>
      </c>
      <c r="F225" t="s">
        <v>346</v>
      </c>
      <c r="G225" s="10" t="s">
        <v>687</v>
      </c>
      <c r="H225">
        <v>101</v>
      </c>
      <c r="I225" t="s">
        <v>1572</v>
      </c>
      <c r="J225">
        <f ca="1">VLOOKUP(G225,INDIRECT("球速変換!A$1:B$" &amp; Prams!$B$8),2,)</f>
        <v>70</v>
      </c>
      <c r="K225" t="str">
        <f ca="1">VLOOKUP(I225,INDIRECT("投手名変換!A$1:B$" &amp; Prams!$B$9),2,)</f>
        <v>DD010</v>
      </c>
      <c r="L225">
        <f t="shared" si="17"/>
        <v>78</v>
      </c>
      <c r="M225">
        <f ca="1">(B225-VLOOKUP(K225,INDIRECT("投手データ!B1:D"&amp;Prams!$B$1),3,FALSE)*2)</f>
        <v>85</v>
      </c>
      <c r="N225" t="str">
        <f ca="1">VLOOKUP(F225,INDIRECT("球種変換表!A$1:B$" &amp; Prams!$B$2),2,)</f>
        <v>カーブ</v>
      </c>
      <c r="O225">
        <f ca="1">VLOOKUP(N225,球種情報!A:B,2,FALSE)</f>
        <v>9</v>
      </c>
      <c r="P225">
        <f ca="1">VLOOKUP(K225,投手データ!B:AI,output!O225+6,FALSE)</f>
        <v>1</v>
      </c>
      <c r="R225">
        <f t="shared" ca="1" si="18"/>
        <v>1.4285714285714285E-2</v>
      </c>
      <c r="S225">
        <f t="shared" si="19"/>
        <v>1.2954861111111111</v>
      </c>
      <c r="T225">
        <f>Prams!B$5/(S225-Prams!B$6)</f>
        <v>50.051566677986003</v>
      </c>
      <c r="U225">
        <f t="shared" ca="1" si="20"/>
        <v>1.4121527777777778</v>
      </c>
      <c r="V225">
        <f ca="1">Prams!C$5/(U225-Prams!C$6)</f>
        <v>48.735063359602691</v>
      </c>
      <c r="W225">
        <f t="shared" ca="1" si="21"/>
        <v>0.69621519085146699</v>
      </c>
    </row>
    <row r="226" spans="1:23" hidden="1" x14ac:dyDescent="0.55000000000000004">
      <c r="A226" s="1" t="s">
        <v>698</v>
      </c>
      <c r="B226" s="1">
        <v>179</v>
      </c>
      <c r="C226">
        <v>634.5</v>
      </c>
      <c r="D226">
        <v>606.5</v>
      </c>
      <c r="E226">
        <v>10.512</v>
      </c>
      <c r="F226" t="s">
        <v>346</v>
      </c>
      <c r="G226" s="10" t="s">
        <v>2344</v>
      </c>
      <c r="H226">
        <v>101</v>
      </c>
      <c r="I226" t="s">
        <v>706</v>
      </c>
      <c r="J226">
        <f ca="1">VLOOKUP(G226,INDIRECT("球速変換!A$1:B$" &amp; Prams!$B$8),2,)</f>
        <v>70</v>
      </c>
      <c r="K226" t="str">
        <f ca="1">VLOOKUP(I226,INDIRECT("投手名変換!A$1:B$" &amp; Prams!$B$9),2,)</f>
        <v>DD010</v>
      </c>
      <c r="L226">
        <f t="shared" si="17"/>
        <v>78</v>
      </c>
      <c r="M226">
        <f ca="1">(B226-VLOOKUP(K226,INDIRECT("投手データ!B1:D"&amp;Prams!$B$1),3,FALSE)*2)</f>
        <v>85</v>
      </c>
      <c r="N226" t="str">
        <f ca="1">VLOOKUP(F226,INDIRECT("球種変換表!A$1:B$" &amp; Prams!$B$2),2,)</f>
        <v>カーブ</v>
      </c>
      <c r="O226">
        <f ca="1">VLOOKUP(N226,球種情報!A:B,2,FALSE)</f>
        <v>9</v>
      </c>
      <c r="P226">
        <f ca="1">VLOOKUP(K226,投手データ!B:AI,output!O226+6,FALSE)</f>
        <v>1</v>
      </c>
      <c r="R226">
        <f t="shared" ca="1" si="18"/>
        <v>1.4285714285714285E-2</v>
      </c>
      <c r="S226">
        <f t="shared" si="19"/>
        <v>1.2954861111111111</v>
      </c>
      <c r="T226">
        <f>Prams!B$5/(S226-Prams!B$6)</f>
        <v>50.051566677986003</v>
      </c>
      <c r="U226">
        <f t="shared" ca="1" si="20"/>
        <v>1.4121527777777778</v>
      </c>
      <c r="V226">
        <f ca="1">Prams!C$5/(U226-Prams!C$6)</f>
        <v>48.735063359602691</v>
      </c>
      <c r="W226">
        <f t="shared" ca="1" si="21"/>
        <v>0.69621519085146699</v>
      </c>
    </row>
    <row r="227" spans="1:23" hidden="1" x14ac:dyDescent="0.55000000000000004">
      <c r="A227" s="1" t="s">
        <v>700</v>
      </c>
      <c r="B227" s="1">
        <v>179</v>
      </c>
      <c r="C227">
        <v>631</v>
      </c>
      <c r="D227">
        <v>606.5</v>
      </c>
      <c r="E227">
        <v>11.01146</v>
      </c>
      <c r="F227" t="s">
        <v>347</v>
      </c>
      <c r="G227" s="10" t="s">
        <v>693</v>
      </c>
      <c r="H227">
        <v>101</v>
      </c>
      <c r="I227" t="s">
        <v>699</v>
      </c>
      <c r="J227">
        <f ca="1">VLOOKUP(G227,INDIRECT("球速変換!A$1:B$" &amp; Prams!$B$8),2,)</f>
        <v>70</v>
      </c>
      <c r="K227" t="str">
        <f ca="1">VLOOKUP(I227,INDIRECT("投手名変換!A$1:B$" &amp; Prams!$B$9),2,)</f>
        <v>DD010</v>
      </c>
      <c r="L227">
        <f t="shared" si="17"/>
        <v>78</v>
      </c>
      <c r="M227">
        <f ca="1">(B227-VLOOKUP(K227,INDIRECT("投手データ!B1:D"&amp;Prams!$B$1),3,FALSE)*2)</f>
        <v>85</v>
      </c>
      <c r="N227" t="str">
        <f ca="1">VLOOKUP(F227,INDIRECT("球種変換表!A$1:B$" &amp; Prams!$B$2),2,)</f>
        <v>カーブ</v>
      </c>
      <c r="O227">
        <f ca="1">VLOOKUP(N227,球種情報!A:B,2,FALSE)</f>
        <v>9</v>
      </c>
      <c r="P227">
        <f ca="1">VLOOKUP(K227,投手データ!B:AI,output!O227+6,FALSE)</f>
        <v>1</v>
      </c>
      <c r="R227">
        <f t="shared" ca="1" si="18"/>
        <v>1.4285714285714285E-2</v>
      </c>
      <c r="S227">
        <f t="shared" si="19"/>
        <v>1.2954861111111111</v>
      </c>
      <c r="T227">
        <f>Prams!B$5/(S227-Prams!B$6)</f>
        <v>50.051566677986003</v>
      </c>
      <c r="U227">
        <f t="shared" ca="1" si="20"/>
        <v>1.4121527777777778</v>
      </c>
      <c r="V227">
        <f ca="1">Prams!C$5/(U227-Prams!C$6)</f>
        <v>48.735063359602691</v>
      </c>
      <c r="W227">
        <f t="shared" ca="1" si="21"/>
        <v>0.69621519085146699</v>
      </c>
    </row>
    <row r="228" spans="1:23" hidden="1" x14ac:dyDescent="0.55000000000000004">
      <c r="A228" s="1" t="s">
        <v>702</v>
      </c>
      <c r="B228" s="1">
        <v>179</v>
      </c>
      <c r="C228">
        <v>625.95001000000002</v>
      </c>
      <c r="D228">
        <v>606.5</v>
      </c>
      <c r="E228">
        <v>10.062519999999999</v>
      </c>
      <c r="F228" t="s">
        <v>346</v>
      </c>
      <c r="G228" s="10" t="s">
        <v>690</v>
      </c>
      <c r="H228">
        <v>101</v>
      </c>
      <c r="I228" t="s">
        <v>655</v>
      </c>
      <c r="J228">
        <f ca="1">VLOOKUP(G228,INDIRECT("球速変換!A$1:B$" &amp; Prams!$B$8),2,)</f>
        <v>70</v>
      </c>
      <c r="K228" t="str">
        <f ca="1">VLOOKUP(I228,INDIRECT("投手名変換!A$1:B$" &amp; Prams!$B$9),2,)</f>
        <v>DD010</v>
      </c>
      <c r="L228">
        <f t="shared" si="17"/>
        <v>78</v>
      </c>
      <c r="M228">
        <f ca="1">(B228-VLOOKUP(K228,INDIRECT("投手データ!B1:D"&amp;Prams!$B$1),3,FALSE)*2)</f>
        <v>85</v>
      </c>
      <c r="N228" t="str">
        <f ca="1">VLOOKUP(F228,INDIRECT("球種変換表!A$1:B$" &amp; Prams!$B$2),2,)</f>
        <v>カーブ</v>
      </c>
      <c r="O228">
        <f ca="1">VLOOKUP(N228,球種情報!A:B,2,FALSE)</f>
        <v>9</v>
      </c>
      <c r="P228">
        <f ca="1">VLOOKUP(K228,投手データ!B:AI,output!O228+6,FALSE)</f>
        <v>1</v>
      </c>
      <c r="R228">
        <f t="shared" ca="1" si="18"/>
        <v>1.4285714285714285E-2</v>
      </c>
      <c r="S228">
        <f t="shared" si="19"/>
        <v>1.2954861111111111</v>
      </c>
      <c r="T228">
        <f>Prams!B$5/(S228-Prams!B$6)</f>
        <v>50.051566677986003</v>
      </c>
      <c r="U228">
        <f t="shared" ca="1" si="20"/>
        <v>1.4121527777777778</v>
      </c>
      <c r="V228">
        <f ca="1">Prams!C$5/(U228-Prams!C$6)</f>
        <v>48.735063359602691</v>
      </c>
      <c r="W228">
        <f t="shared" ca="1" si="21"/>
        <v>0.69621519085146699</v>
      </c>
    </row>
    <row r="229" spans="1:23" hidden="1" x14ac:dyDescent="0.55000000000000004">
      <c r="A229" s="1" t="s">
        <v>705</v>
      </c>
      <c r="B229" s="1">
        <v>179</v>
      </c>
      <c r="C229">
        <v>627.5</v>
      </c>
      <c r="D229">
        <v>606</v>
      </c>
      <c r="E229">
        <v>11.5435</v>
      </c>
      <c r="F229" t="s">
        <v>703</v>
      </c>
      <c r="G229" s="10" t="s">
        <v>2344</v>
      </c>
      <c r="H229">
        <v>101</v>
      </c>
      <c r="I229" t="s">
        <v>663</v>
      </c>
      <c r="J229">
        <f ca="1">VLOOKUP(G229,INDIRECT("球速変換!A$1:B$" &amp; Prams!$B$8),2,)</f>
        <v>70</v>
      </c>
      <c r="K229" t="str">
        <f ca="1">VLOOKUP(I229,INDIRECT("投手名変換!A$1:B$" &amp; Prams!$B$9),2,)</f>
        <v>DD010</v>
      </c>
      <c r="L229">
        <f t="shared" si="17"/>
        <v>78</v>
      </c>
      <c r="M229">
        <f ca="1">(B229-VLOOKUP(K229,INDIRECT("投手データ!B1:D"&amp;Prams!$B$1),3,FALSE)*2)</f>
        <v>85</v>
      </c>
      <c r="N229" t="str">
        <f ca="1">VLOOKUP(F229,INDIRECT("球種変換表!A$1:B$" &amp; Prams!$B$2),2,)</f>
        <v>カーブ</v>
      </c>
      <c r="O229">
        <f ca="1">VLOOKUP(N229,球種情報!A:B,2,FALSE)</f>
        <v>9</v>
      </c>
      <c r="P229">
        <f ca="1">VLOOKUP(K229,投手データ!B:AI,output!O229+6,FALSE)</f>
        <v>1</v>
      </c>
      <c r="R229">
        <f t="shared" ca="1" si="18"/>
        <v>1.4285714285714285E-2</v>
      </c>
      <c r="S229">
        <f t="shared" si="19"/>
        <v>1.2958333333333334</v>
      </c>
      <c r="T229">
        <f>Prams!B$5/(S229-Prams!B$6)</f>
        <v>50.037500674472561</v>
      </c>
      <c r="U229">
        <f t="shared" ca="1" si="20"/>
        <v>1.4125000000000001</v>
      </c>
      <c r="V229">
        <f ca="1">Prams!C$5/(U229-Prams!C$6)</f>
        <v>48.721727480494913</v>
      </c>
      <c r="W229">
        <f t="shared" ca="1" si="21"/>
        <v>0.69602467829278447</v>
      </c>
    </row>
    <row r="230" spans="1:23" hidden="1" x14ac:dyDescent="0.55000000000000004">
      <c r="A230" s="1" t="s">
        <v>707</v>
      </c>
      <c r="B230" s="1">
        <v>179</v>
      </c>
      <c r="C230">
        <v>627.5</v>
      </c>
      <c r="D230">
        <v>607</v>
      </c>
      <c r="E230">
        <v>11.5435</v>
      </c>
      <c r="F230" t="s">
        <v>346</v>
      </c>
      <c r="G230" s="10" t="s">
        <v>693</v>
      </c>
      <c r="H230">
        <v>101</v>
      </c>
      <c r="I230" t="s">
        <v>1573</v>
      </c>
      <c r="J230">
        <f ca="1">VLOOKUP(G230,INDIRECT("球速変換!A$1:B$" &amp; Prams!$B$8),2,)</f>
        <v>70</v>
      </c>
      <c r="K230" t="str">
        <f ca="1">VLOOKUP(I230,INDIRECT("投手名変換!A$1:B$" &amp; Prams!$B$9),2,)</f>
        <v>DD010</v>
      </c>
      <c r="L230">
        <f t="shared" si="17"/>
        <v>78</v>
      </c>
      <c r="M230">
        <f ca="1">(B230-VLOOKUP(K230,INDIRECT("投手データ!B1:D"&amp;Prams!$B$1),3,FALSE)*2)</f>
        <v>85</v>
      </c>
      <c r="N230" t="str">
        <f ca="1">VLOOKUP(F230,INDIRECT("球種変換表!A$1:B$" &amp; Prams!$B$2),2,)</f>
        <v>カーブ</v>
      </c>
      <c r="O230">
        <f ca="1">VLOOKUP(N230,球種情報!A:B,2,FALSE)</f>
        <v>9</v>
      </c>
      <c r="P230">
        <f ca="1">VLOOKUP(K230,投手データ!B:AI,output!O230+6,FALSE)</f>
        <v>1</v>
      </c>
      <c r="R230">
        <f t="shared" ca="1" si="18"/>
        <v>1.4285714285714285E-2</v>
      </c>
      <c r="S230">
        <f t="shared" si="19"/>
        <v>1.2951388888888888</v>
      </c>
      <c r="T230">
        <f>Prams!B$5/(S230-Prams!B$6)</f>
        <v>50.06564059189008</v>
      </c>
      <c r="U230">
        <f t="shared" ca="1" si="20"/>
        <v>1.4118055555555555</v>
      </c>
      <c r="V230">
        <f ca="1">Prams!C$5/(U230-Prams!C$6)</f>
        <v>48.748406541175854</v>
      </c>
      <c r="W230">
        <f t="shared" ca="1" si="21"/>
        <v>0.69640580773108363</v>
      </c>
    </row>
    <row r="231" spans="1:23" hidden="1" x14ac:dyDescent="0.55000000000000004">
      <c r="A231" s="1" t="s">
        <v>1998</v>
      </c>
      <c r="B231" s="1">
        <v>147</v>
      </c>
      <c r="C231">
        <v>640</v>
      </c>
      <c r="D231">
        <v>611.5</v>
      </c>
      <c r="E231">
        <v>10.012589999999999</v>
      </c>
      <c r="F231" t="s">
        <v>0</v>
      </c>
      <c r="G231" s="10" t="s">
        <v>1997</v>
      </c>
      <c r="H231">
        <v>99</v>
      </c>
      <c r="I231" t="s">
        <v>721</v>
      </c>
      <c r="J231">
        <f ca="1">VLOOKUP(G231,INDIRECT("球速変換!A$1:B$" &amp; Prams!$B$8),2,)</f>
        <v>85</v>
      </c>
      <c r="K231" t="str">
        <f ca="1">VLOOKUP(I231,INDIRECT("投手名変換!A$1:B$" &amp; Prams!$B$9),2,)</f>
        <v>DD011</v>
      </c>
      <c r="L231">
        <f t="shared" si="17"/>
        <v>48</v>
      </c>
      <c r="M231">
        <f ca="1">(B231-VLOOKUP(K231,INDIRECT("投手データ!B1:D"&amp;Prams!$B$1),3,FALSE)*2)</f>
        <v>53</v>
      </c>
      <c r="N231" t="str">
        <f ca="1">VLOOKUP(F231,INDIRECT("球種変換表!A$1:B$" &amp; Prams!$B$2),2,)</f>
        <v>ストレート</v>
      </c>
      <c r="O231">
        <f ca="1">VLOOKUP(N231,球種情報!A:B,2,FALSE)</f>
        <v>1</v>
      </c>
      <c r="P231">
        <f ca="1">VLOOKUP(K231,投手データ!B:AI,output!O231+6,FALSE)</f>
        <v>1</v>
      </c>
      <c r="R231">
        <f t="shared" ca="1" si="18"/>
        <v>1.1764705882352941E-2</v>
      </c>
      <c r="S231">
        <f t="shared" si="19"/>
        <v>0.79201388888888891</v>
      </c>
      <c r="T231">
        <f>Prams!B$5/(S231-Prams!B$6)</f>
        <v>84.490674481905117</v>
      </c>
      <c r="U231">
        <f t="shared" ca="1" si="20"/>
        <v>0.87534722222222228</v>
      </c>
      <c r="V231">
        <f ca="1">Prams!C$5/(U231-Prams!C$6)</f>
        <v>84.486825672192495</v>
      </c>
      <c r="W231">
        <f t="shared" ca="1" si="21"/>
        <v>0.99396265496697056</v>
      </c>
    </row>
    <row r="232" spans="1:23" hidden="1" x14ac:dyDescent="0.55000000000000004">
      <c r="A232" s="1" t="s">
        <v>1999</v>
      </c>
      <c r="B232" s="1">
        <v>147</v>
      </c>
      <c r="C232">
        <v>637</v>
      </c>
      <c r="D232">
        <v>609</v>
      </c>
      <c r="E232">
        <v>10.04998</v>
      </c>
      <c r="F232" t="s">
        <v>0</v>
      </c>
      <c r="G232" s="10" t="s">
        <v>1613</v>
      </c>
      <c r="H232">
        <v>99</v>
      </c>
      <c r="I232" t="s">
        <v>738</v>
      </c>
      <c r="J232">
        <f ca="1">VLOOKUP(G232,INDIRECT("球速変換!A$1:B$" &amp; Prams!$B$8),2,)</f>
        <v>84</v>
      </c>
      <c r="K232" t="str">
        <f ca="1">VLOOKUP(I232,INDIRECT("投手名変換!A$1:B$" &amp; Prams!$B$9),2,)</f>
        <v>DD011</v>
      </c>
      <c r="L232">
        <f t="shared" si="17"/>
        <v>48</v>
      </c>
      <c r="M232">
        <f ca="1">(B232-VLOOKUP(K232,INDIRECT("投手データ!B1:D"&amp;Prams!$B$1),3,FALSE)*2)</f>
        <v>53</v>
      </c>
      <c r="N232" t="str">
        <f ca="1">VLOOKUP(F232,INDIRECT("球種変換表!A$1:B$" &amp; Prams!$B$2),2,)</f>
        <v>ストレート</v>
      </c>
      <c r="O232">
        <f ca="1">VLOOKUP(N232,球種情報!A:B,2,FALSE)</f>
        <v>1</v>
      </c>
      <c r="P232">
        <f ca="1">VLOOKUP(K232,投手データ!B:AI,output!O232+6,FALSE)</f>
        <v>1</v>
      </c>
      <c r="R232">
        <f t="shared" ca="1" si="18"/>
        <v>1.1904761904761904E-2</v>
      </c>
      <c r="S232">
        <f t="shared" si="19"/>
        <v>0.79374999999999996</v>
      </c>
      <c r="T232">
        <f>Prams!B$5/(S232-Prams!B$6)</f>
        <v>84.290681028018284</v>
      </c>
      <c r="U232">
        <f t="shared" ca="1" si="20"/>
        <v>0.87708333333333333</v>
      </c>
      <c r="V232">
        <f ca="1">Prams!C$5/(U232-Prams!C$6)</f>
        <v>84.286850416960178</v>
      </c>
      <c r="W232">
        <f t="shared" ca="1" si="21"/>
        <v>1.0034148859161927</v>
      </c>
    </row>
    <row r="233" spans="1:23" hidden="1" x14ac:dyDescent="0.55000000000000004">
      <c r="A233" s="1" t="s">
        <v>2000</v>
      </c>
      <c r="B233" s="1">
        <v>147</v>
      </c>
      <c r="C233">
        <v>638.5</v>
      </c>
      <c r="D233">
        <v>606</v>
      </c>
      <c r="E233">
        <v>10.547610000000001</v>
      </c>
      <c r="F233" t="s">
        <v>0</v>
      </c>
      <c r="G233" s="10" t="s">
        <v>722</v>
      </c>
      <c r="H233">
        <v>99</v>
      </c>
      <c r="I233" t="s">
        <v>709</v>
      </c>
      <c r="J233">
        <f ca="1">VLOOKUP(G233,INDIRECT("球速変換!A$1:B$" &amp; Prams!$B$8),2,)</f>
        <v>84</v>
      </c>
      <c r="K233" t="str">
        <f ca="1">VLOOKUP(I233,INDIRECT("投手名変換!A$1:B$" &amp; Prams!$B$9),2,)</f>
        <v>DD011</v>
      </c>
      <c r="L233">
        <f t="shared" si="17"/>
        <v>48</v>
      </c>
      <c r="M233">
        <f ca="1">(B233-VLOOKUP(K233,INDIRECT("投手データ!B1:D"&amp;Prams!$B$1),3,FALSE)*2)</f>
        <v>53</v>
      </c>
      <c r="N233" t="str">
        <f ca="1">VLOOKUP(F233,INDIRECT("球種変換表!A$1:B$" &amp; Prams!$B$2),2,)</f>
        <v>ストレート</v>
      </c>
      <c r="O233">
        <f ca="1">VLOOKUP(N233,球種情報!A:B,2,FALSE)</f>
        <v>1</v>
      </c>
      <c r="P233">
        <f ca="1">VLOOKUP(K233,投手データ!B:AI,output!O233+6,FALSE)</f>
        <v>1</v>
      </c>
      <c r="R233">
        <f t="shared" ca="1" si="18"/>
        <v>1.1904761904761904E-2</v>
      </c>
      <c r="S233">
        <f t="shared" si="19"/>
        <v>0.79583333333333328</v>
      </c>
      <c r="T233">
        <f>Prams!B$5/(S233-Prams!B$6)</f>
        <v>84.051935103779584</v>
      </c>
      <c r="U233">
        <f t="shared" ca="1" si="20"/>
        <v>0.87916666666666665</v>
      </c>
      <c r="V233">
        <f ca="1">Prams!C$5/(U233-Prams!C$6)</f>
        <v>84.048126161236226</v>
      </c>
      <c r="W233">
        <f t="shared" ca="1" si="21"/>
        <v>1.0005729304909075</v>
      </c>
    </row>
    <row r="234" spans="1:23" hidden="1" x14ac:dyDescent="0.55000000000000004">
      <c r="A234" s="1" t="s">
        <v>2002</v>
      </c>
      <c r="B234" s="1">
        <v>147</v>
      </c>
      <c r="C234">
        <v>642.45239000000004</v>
      </c>
      <c r="D234">
        <v>612.5</v>
      </c>
      <c r="E234">
        <v>10.55955</v>
      </c>
      <c r="F234" t="s">
        <v>0</v>
      </c>
      <c r="G234" s="10" t="s">
        <v>2001</v>
      </c>
      <c r="H234">
        <v>99</v>
      </c>
      <c r="I234" t="s">
        <v>715</v>
      </c>
      <c r="J234">
        <f ca="1">VLOOKUP(G234,INDIRECT("球速変換!A$1:B$" &amp; Prams!$B$8),2,)</f>
        <v>85</v>
      </c>
      <c r="K234" t="str">
        <f ca="1">VLOOKUP(I234,INDIRECT("投手名変換!A$1:B$" &amp; Prams!$B$9),2,)</f>
        <v>DD011</v>
      </c>
      <c r="L234">
        <f t="shared" si="17"/>
        <v>48</v>
      </c>
      <c r="M234">
        <f ca="1">(B234-VLOOKUP(K234,INDIRECT("投手データ!B1:D"&amp;Prams!$B$1),3,FALSE)*2)</f>
        <v>53</v>
      </c>
      <c r="N234" t="str">
        <f ca="1">VLOOKUP(F234,INDIRECT("球種変換表!A$1:B$" &amp; Prams!$B$2),2,)</f>
        <v>ストレート</v>
      </c>
      <c r="O234">
        <f ca="1">VLOOKUP(N234,球種情報!A:B,2,FALSE)</f>
        <v>1</v>
      </c>
      <c r="P234">
        <f ca="1">VLOOKUP(K234,投手データ!B:AI,output!O234+6,FALSE)</f>
        <v>1</v>
      </c>
      <c r="R234">
        <f t="shared" ca="1" si="18"/>
        <v>1.1764705882352941E-2</v>
      </c>
      <c r="S234">
        <f t="shared" si="19"/>
        <v>0.79131944444444435</v>
      </c>
      <c r="T234">
        <f>Prams!B$5/(S234-Prams!B$6)</f>
        <v>84.57093784555056</v>
      </c>
      <c r="U234">
        <f t="shared" ca="1" si="20"/>
        <v>0.87465277777777772</v>
      </c>
      <c r="V234">
        <f ca="1">Prams!C$5/(U234-Prams!C$6)</f>
        <v>84.567081720046048</v>
      </c>
      <c r="W234">
        <f t="shared" ca="1" si="21"/>
        <v>0.99490684376524763</v>
      </c>
    </row>
    <row r="235" spans="1:23" hidden="1" x14ac:dyDescent="0.55000000000000004">
      <c r="A235" s="1" t="s">
        <v>2004</v>
      </c>
      <c r="B235" s="1">
        <v>147</v>
      </c>
      <c r="C235">
        <v>638.5</v>
      </c>
      <c r="D235">
        <v>602</v>
      </c>
      <c r="E235">
        <v>10.5001</v>
      </c>
      <c r="F235" t="s">
        <v>716</v>
      </c>
      <c r="G235" s="10" t="s">
        <v>2441</v>
      </c>
      <c r="H235">
        <v>99</v>
      </c>
      <c r="I235" t="s">
        <v>738</v>
      </c>
      <c r="J235">
        <f ca="1">VLOOKUP(G235,INDIRECT("球速変換!A$1:B$" &amp; Prams!$B$8),2,)</f>
        <v>83</v>
      </c>
      <c r="K235" t="str">
        <f ca="1">VLOOKUP(I235,INDIRECT("投手名変換!A$1:B$" &amp; Prams!$B$9),2,)</f>
        <v>DD011</v>
      </c>
      <c r="L235">
        <f t="shared" si="17"/>
        <v>48</v>
      </c>
      <c r="M235">
        <f ca="1">(B235-VLOOKUP(K235,INDIRECT("投手データ!B1:D"&amp;Prams!$B$1),3,FALSE)*2)</f>
        <v>53</v>
      </c>
      <c r="N235" t="str">
        <f ca="1">VLOOKUP(F235,INDIRECT("球種変換表!A$1:B$" &amp; Prams!$B$2),2,)</f>
        <v>ストレート</v>
      </c>
      <c r="O235">
        <f ca="1">VLOOKUP(N235,球種情報!A:B,2,FALSE)</f>
        <v>1</v>
      </c>
      <c r="P235">
        <f ca="1">VLOOKUP(K235,投手データ!B:AI,output!O235+6,FALSE)</f>
        <v>1</v>
      </c>
      <c r="R235">
        <f t="shared" ca="1" si="18"/>
        <v>1.2048192771084338E-2</v>
      </c>
      <c r="S235">
        <f t="shared" si="19"/>
        <v>0.79861111111111105</v>
      </c>
      <c r="T235">
        <f>Prams!B$5/(S235-Prams!B$6)</f>
        <v>83.735703106188311</v>
      </c>
      <c r="U235">
        <f t="shared" ca="1" si="20"/>
        <v>0.88194444444444442</v>
      </c>
      <c r="V235">
        <f ca="1">Prams!C$5/(U235-Prams!C$6)</f>
        <v>83.731922770161475</v>
      </c>
      <c r="W235">
        <f t="shared" ca="1" si="21"/>
        <v>1.0088183466284515</v>
      </c>
    </row>
    <row r="236" spans="1:23" hidden="1" x14ac:dyDescent="0.55000000000000004">
      <c r="A236" s="1" t="s">
        <v>2005</v>
      </c>
      <c r="B236" s="1">
        <v>147</v>
      </c>
      <c r="C236">
        <v>641.95001000000002</v>
      </c>
      <c r="D236">
        <v>606.5</v>
      </c>
      <c r="E236">
        <v>10.062519999999999</v>
      </c>
      <c r="F236" t="s">
        <v>0</v>
      </c>
      <c r="G236" s="10" t="s">
        <v>1245</v>
      </c>
      <c r="H236">
        <v>99</v>
      </c>
      <c r="I236" t="s">
        <v>709</v>
      </c>
      <c r="J236">
        <v>84</v>
      </c>
      <c r="K236" t="str">
        <f ca="1">VLOOKUP(I236,INDIRECT("投手名変換!A$1:B$" &amp; Prams!$B$9),2,)</f>
        <v>DD011</v>
      </c>
      <c r="L236">
        <f t="shared" si="17"/>
        <v>48</v>
      </c>
      <c r="M236">
        <f ca="1">(B236-VLOOKUP(K236,INDIRECT("投手データ!B1:D"&amp;Prams!$B$1),3,FALSE)*2)</f>
        <v>53</v>
      </c>
      <c r="N236" t="str">
        <f ca="1">VLOOKUP(F236,INDIRECT("球種変換表!A$1:B$" &amp; Prams!$B$2),2,)</f>
        <v>ストレート</v>
      </c>
      <c r="O236">
        <f ca="1">VLOOKUP(N236,球種情報!A:B,2,FALSE)</f>
        <v>1</v>
      </c>
      <c r="P236">
        <f ca="1">VLOOKUP(K236,投手データ!B:AI,output!O236+6,FALSE)</f>
        <v>1</v>
      </c>
      <c r="R236">
        <f t="shared" si="18"/>
        <v>1.1904761904761904E-2</v>
      </c>
      <c r="S236">
        <f t="shared" si="19"/>
        <v>0.79548611111111112</v>
      </c>
      <c r="T236">
        <f>Prams!B$5/(S236-Prams!B$6)</f>
        <v>84.091632126407902</v>
      </c>
      <c r="U236">
        <f t="shared" ca="1" si="20"/>
        <v>0.87881944444444438</v>
      </c>
      <c r="V236">
        <f ca="1">Prams!C$5/(U236-Prams!C$6)</f>
        <v>84.087819585233433</v>
      </c>
      <c r="W236">
        <f t="shared" ca="1" si="21"/>
        <v>1.001045471252779</v>
      </c>
    </row>
    <row r="237" spans="1:23" hidden="1" x14ac:dyDescent="0.55000000000000004">
      <c r="A237" s="1" t="s">
        <v>2007</v>
      </c>
      <c r="B237" s="1">
        <v>146</v>
      </c>
      <c r="C237">
        <v>643</v>
      </c>
      <c r="D237">
        <v>604.5</v>
      </c>
      <c r="E237">
        <v>11.01146</v>
      </c>
      <c r="F237" t="s">
        <v>0</v>
      </c>
      <c r="G237" s="10" t="s">
        <v>2442</v>
      </c>
      <c r="H237">
        <v>99</v>
      </c>
      <c r="I237" t="s">
        <v>738</v>
      </c>
      <c r="J237">
        <f ca="1">VLOOKUP(G237,INDIRECT("球速変換!A$1:B$" &amp; Prams!$B$8),2,)</f>
        <v>86</v>
      </c>
      <c r="K237" t="str">
        <f ca="1">VLOOKUP(I237,INDIRECT("投手名変換!A$1:B$" &amp; Prams!$B$9),2,)</f>
        <v>DD011</v>
      </c>
      <c r="L237">
        <f t="shared" si="17"/>
        <v>47</v>
      </c>
      <c r="M237">
        <f ca="1">(B237-VLOOKUP(K237,INDIRECT("投手データ!B1:D"&amp;Prams!$B$1),3,FALSE)*2)</f>
        <v>52</v>
      </c>
      <c r="N237" t="str">
        <f ca="1">VLOOKUP(F237,INDIRECT("球種変換表!A$1:B$" &amp; Prams!$B$2),2,)</f>
        <v>ストレート</v>
      </c>
      <c r="O237">
        <f ca="1">VLOOKUP(N237,球種情報!A:B,2,FALSE)</f>
        <v>1</v>
      </c>
      <c r="P237">
        <f ca="1">VLOOKUP(K237,投手データ!B:AI,output!O237+6,FALSE)</f>
        <v>1</v>
      </c>
      <c r="R237">
        <f t="shared" ca="1" si="18"/>
        <v>1.1627906976744186E-2</v>
      </c>
      <c r="S237">
        <f t="shared" si="19"/>
        <v>0.78020833333333328</v>
      </c>
      <c r="T237">
        <f>Prams!B$5/(S237-Prams!B$6)</f>
        <v>85.876211091689925</v>
      </c>
      <c r="U237">
        <f t="shared" ca="1" si="20"/>
        <v>0.86354166666666665</v>
      </c>
      <c r="V237">
        <f ca="1">Prams!C$5/(U237-Prams!C$6)</f>
        <v>85.872235019040886</v>
      </c>
      <c r="W237">
        <f t="shared" ca="1" si="21"/>
        <v>0.99851436068652188</v>
      </c>
    </row>
    <row r="238" spans="1:23" hidden="1" x14ac:dyDescent="0.55000000000000004">
      <c r="A238" s="1" t="s">
        <v>2009</v>
      </c>
      <c r="B238" s="1">
        <v>147</v>
      </c>
      <c r="C238">
        <v>637</v>
      </c>
      <c r="D238">
        <v>612.5</v>
      </c>
      <c r="E238">
        <v>10.111969999999999</v>
      </c>
      <c r="F238" t="s">
        <v>0</v>
      </c>
      <c r="G238" s="10" t="s">
        <v>714</v>
      </c>
      <c r="H238">
        <v>99</v>
      </c>
      <c r="I238" t="s">
        <v>2008</v>
      </c>
      <c r="J238">
        <f ca="1">VLOOKUP(G238,INDIRECT("球速変換!A$1:B$" &amp; Prams!$B$8),2,)</f>
        <v>84</v>
      </c>
      <c r="K238" t="str">
        <f ca="1">VLOOKUP(I238,INDIRECT("投手名変換!A$1:B$" &amp; Prams!$B$9),2,)</f>
        <v>DD011</v>
      </c>
      <c r="L238">
        <f t="shared" si="17"/>
        <v>48</v>
      </c>
      <c r="M238">
        <f ca="1">(B238-VLOOKUP(K238,INDIRECT("投手データ!B1:D"&amp;Prams!$B$1),3,FALSE)*2)</f>
        <v>53</v>
      </c>
      <c r="N238" t="str">
        <f ca="1">VLOOKUP(F238,INDIRECT("球種変換表!A$1:B$" &amp; Prams!$B$2),2,)</f>
        <v>ストレート</v>
      </c>
      <c r="O238">
        <f ca="1">VLOOKUP(N238,球種情報!A:B,2,FALSE)</f>
        <v>1</v>
      </c>
      <c r="P238">
        <f ca="1">VLOOKUP(K238,投手データ!B:AI,output!O238+6,FALSE)</f>
        <v>1</v>
      </c>
      <c r="R238">
        <f t="shared" ca="1" si="18"/>
        <v>1.1904761904761904E-2</v>
      </c>
      <c r="S238">
        <f t="shared" si="19"/>
        <v>0.79131944444444435</v>
      </c>
      <c r="T238">
        <f>Prams!B$5/(S238-Prams!B$6)</f>
        <v>84.57093784555056</v>
      </c>
      <c r="U238">
        <f t="shared" ca="1" si="20"/>
        <v>0.87465277777777772</v>
      </c>
      <c r="V238">
        <f ca="1">Prams!C$5/(U238-Prams!C$6)</f>
        <v>84.567081720046048</v>
      </c>
      <c r="W238">
        <f t="shared" ca="1" si="21"/>
        <v>1.0067509728576911</v>
      </c>
    </row>
    <row r="239" spans="1:23" hidden="1" x14ac:dyDescent="0.55000000000000004">
      <c r="A239" s="1" t="s">
        <v>2010</v>
      </c>
      <c r="B239" s="1">
        <v>146</v>
      </c>
      <c r="C239">
        <v>639</v>
      </c>
      <c r="D239">
        <v>604.5</v>
      </c>
      <c r="E239">
        <v>10.012589999999999</v>
      </c>
      <c r="F239" t="s">
        <v>0</v>
      </c>
      <c r="G239" s="10" t="s">
        <v>720</v>
      </c>
      <c r="H239">
        <v>99</v>
      </c>
      <c r="I239" t="s">
        <v>709</v>
      </c>
      <c r="J239">
        <f ca="1">VLOOKUP(G239,INDIRECT("球速変換!A$1:B$" &amp; Prams!$B$8),2,)</f>
        <v>86</v>
      </c>
      <c r="K239" t="str">
        <f ca="1">VLOOKUP(I239,INDIRECT("投手名変換!A$1:B$" &amp; Prams!$B$9),2,)</f>
        <v>DD011</v>
      </c>
      <c r="L239">
        <f t="shared" si="17"/>
        <v>47</v>
      </c>
      <c r="M239">
        <f ca="1">(B239-VLOOKUP(K239,INDIRECT("投手データ!B1:D"&amp;Prams!$B$1),3,FALSE)*2)</f>
        <v>52</v>
      </c>
      <c r="N239" t="str">
        <f ca="1">VLOOKUP(F239,INDIRECT("球種変換表!A$1:B$" &amp; Prams!$B$2),2,)</f>
        <v>ストレート</v>
      </c>
      <c r="O239">
        <f ca="1">VLOOKUP(N239,球種情報!A:B,2,FALSE)</f>
        <v>1</v>
      </c>
      <c r="P239">
        <f ca="1">VLOOKUP(K239,投手データ!B:AI,output!O239+6,FALSE)</f>
        <v>1</v>
      </c>
      <c r="R239">
        <f t="shared" ca="1" si="18"/>
        <v>1.1627906976744186E-2</v>
      </c>
      <c r="S239">
        <f t="shared" si="19"/>
        <v>0.78020833333333328</v>
      </c>
      <c r="T239">
        <f>Prams!B$5/(S239-Prams!B$6)</f>
        <v>85.876211091689925</v>
      </c>
      <c r="U239">
        <f t="shared" ca="1" si="20"/>
        <v>0.86354166666666665</v>
      </c>
      <c r="V239">
        <f ca="1">Prams!C$5/(U239-Prams!C$6)</f>
        <v>85.872235019040886</v>
      </c>
      <c r="W239">
        <f t="shared" ca="1" si="21"/>
        <v>0.99851436068652188</v>
      </c>
    </row>
    <row r="240" spans="1:23" hidden="1" x14ac:dyDescent="0.55000000000000004">
      <c r="A240" s="1" t="s">
        <v>2011</v>
      </c>
      <c r="B240" s="1">
        <v>147</v>
      </c>
      <c r="C240">
        <v>640</v>
      </c>
      <c r="D240">
        <v>610.5</v>
      </c>
      <c r="E240">
        <v>11.01146</v>
      </c>
      <c r="F240" t="s">
        <v>0</v>
      </c>
      <c r="G240" s="10" t="s">
        <v>722</v>
      </c>
      <c r="H240">
        <v>99</v>
      </c>
      <c r="I240" t="s">
        <v>730</v>
      </c>
      <c r="J240">
        <f ca="1">VLOOKUP(G240,INDIRECT("球速変換!A$1:B$" &amp; Prams!$B$8),2,)</f>
        <v>84</v>
      </c>
      <c r="K240" t="str">
        <f ca="1">VLOOKUP(I240,INDIRECT("投手名変換!A$1:B$" &amp; Prams!$B$9),2,)</f>
        <v>DD011</v>
      </c>
      <c r="L240">
        <f t="shared" si="17"/>
        <v>48</v>
      </c>
      <c r="M240">
        <f ca="1">(B240-VLOOKUP(K240,INDIRECT("投手データ!B1:D"&amp;Prams!$B$1),3,FALSE)*2)</f>
        <v>53</v>
      </c>
      <c r="N240" t="str">
        <f ca="1">VLOOKUP(F240,INDIRECT("球種変換表!A$1:B$" &amp; Prams!$B$2),2,)</f>
        <v>ストレート</v>
      </c>
      <c r="O240">
        <f ca="1">VLOOKUP(N240,球種情報!A:B,2,FALSE)</f>
        <v>1</v>
      </c>
      <c r="P240">
        <f ca="1">VLOOKUP(K240,投手データ!B:AI,output!O240+6,FALSE)</f>
        <v>1</v>
      </c>
      <c r="R240">
        <f t="shared" ca="1" si="18"/>
        <v>1.1904761904761904E-2</v>
      </c>
      <c r="S240">
        <f t="shared" si="19"/>
        <v>0.79270833333333335</v>
      </c>
      <c r="T240">
        <f>Prams!B$5/(S240-Prams!B$6)</f>
        <v>84.410563324193021</v>
      </c>
      <c r="U240">
        <f t="shared" ca="1" si="20"/>
        <v>0.87604166666666672</v>
      </c>
      <c r="V240">
        <f ca="1">Prams!C$5/(U240-Prams!C$6)</f>
        <v>84.406721809472884</v>
      </c>
      <c r="W240">
        <f t="shared" ca="1" si="21"/>
        <v>1.0048419263032486</v>
      </c>
    </row>
    <row r="241" spans="1:23" hidden="1" x14ac:dyDescent="0.55000000000000004">
      <c r="A241" s="1" t="s">
        <v>723</v>
      </c>
      <c r="B241" s="1">
        <v>137</v>
      </c>
      <c r="C241">
        <v>640.5</v>
      </c>
      <c r="D241">
        <v>611.5</v>
      </c>
      <c r="E241">
        <v>10.512</v>
      </c>
      <c r="F241" t="s">
        <v>343</v>
      </c>
      <c r="G241" s="10" t="s">
        <v>722</v>
      </c>
      <c r="H241">
        <v>98</v>
      </c>
      <c r="I241" t="s">
        <v>709</v>
      </c>
      <c r="J241">
        <f ca="1">VLOOKUP(G241,INDIRECT("球速変換!A$1:B$" &amp; Prams!$B$8),2,)</f>
        <v>84</v>
      </c>
      <c r="K241" t="str">
        <f ca="1">VLOOKUP(I241,INDIRECT("投手名変換!A$1:B$" &amp; Prams!$B$9),2,)</f>
        <v>DD011</v>
      </c>
      <c r="L241">
        <f t="shared" si="17"/>
        <v>39</v>
      </c>
      <c r="M241">
        <f ca="1">(B241-VLOOKUP(K241,INDIRECT("投手データ!B1:D"&amp;Prams!$B$1),3,FALSE)*2)</f>
        <v>43</v>
      </c>
      <c r="N241" t="str">
        <f ca="1">VLOOKUP(F241,INDIRECT("球種変換表!A$1:B$" &amp; Prams!$B$2),2,)</f>
        <v>全力ストレート</v>
      </c>
      <c r="O241">
        <f ca="1">VLOOKUP(N241,球種情報!A:B,2,FALSE)</f>
        <v>2</v>
      </c>
      <c r="P241">
        <f ca="1">VLOOKUP(K241,投手データ!B:AI,output!O241+6,FALSE)</f>
        <v>1</v>
      </c>
      <c r="R241">
        <f t="shared" ca="1" si="18"/>
        <v>1.1904761904761904E-2</v>
      </c>
      <c r="S241">
        <f t="shared" si="19"/>
        <v>0.64201388888888888</v>
      </c>
      <c r="T241">
        <f>Prams!B$5/(S241-Prams!B$6)</f>
        <v>106.27733183074918</v>
      </c>
      <c r="U241">
        <f t="shared" ca="1" si="20"/>
        <v>0.70868055555555565</v>
      </c>
      <c r="V241">
        <f ca="1">Prams!C$5/(U241-Prams!C$6)</f>
        <v>109.40564029710612</v>
      </c>
      <c r="W241">
        <f t="shared" ca="1" si="21"/>
        <v>1.3024480987750728</v>
      </c>
    </row>
    <row r="242" spans="1:23" hidden="1" x14ac:dyDescent="0.55000000000000004">
      <c r="A242" s="1" t="s">
        <v>726</v>
      </c>
      <c r="B242" s="1">
        <v>137</v>
      </c>
      <c r="C242">
        <v>641</v>
      </c>
      <c r="D242">
        <v>612.5</v>
      </c>
      <c r="E242">
        <v>11.01146</v>
      </c>
      <c r="F242" t="s">
        <v>343</v>
      </c>
      <c r="G242" s="10" t="s">
        <v>1577</v>
      </c>
      <c r="H242">
        <v>98</v>
      </c>
      <c r="I242" t="s">
        <v>709</v>
      </c>
      <c r="J242">
        <f ca="1">VLOOKUP(G242,INDIRECT("球速変換!A$1:B$" &amp; Prams!$B$8),2,)</f>
        <v>84</v>
      </c>
      <c r="K242" t="str">
        <f ca="1">VLOOKUP(I242,INDIRECT("投手名変換!A$1:B$" &amp; Prams!$B$9),2,)</f>
        <v>DD011</v>
      </c>
      <c r="L242">
        <f t="shared" si="17"/>
        <v>39</v>
      </c>
      <c r="M242">
        <f ca="1">(B242-VLOOKUP(K242,INDIRECT("投手データ!B1:D"&amp;Prams!$B$1),3,FALSE)*2)</f>
        <v>43</v>
      </c>
      <c r="N242" t="str">
        <f ca="1">VLOOKUP(F242,INDIRECT("球種変換表!A$1:B$" &amp; Prams!$B$2),2,)</f>
        <v>全力ストレート</v>
      </c>
      <c r="O242">
        <f ca="1">VLOOKUP(N242,球種情報!A:B,2,FALSE)</f>
        <v>2</v>
      </c>
      <c r="P242">
        <f ca="1">VLOOKUP(K242,投手データ!B:AI,output!O242+6,FALSE)</f>
        <v>1</v>
      </c>
      <c r="R242">
        <f t="shared" ca="1" si="18"/>
        <v>1.1904761904761904E-2</v>
      </c>
      <c r="S242">
        <f t="shared" si="19"/>
        <v>0.64131944444444444</v>
      </c>
      <c r="T242">
        <f>Prams!B$5/(S242-Prams!B$6)</f>
        <v>106.404356327719</v>
      </c>
      <c r="U242">
        <f t="shared" ca="1" si="20"/>
        <v>0.70798611111111109</v>
      </c>
      <c r="V242">
        <f ca="1">Prams!C$5/(U242-Prams!C$6)</f>
        <v>109.54025760536277</v>
      </c>
      <c r="W242">
        <f t="shared" ca="1" si="21"/>
        <v>1.3040506857781282</v>
      </c>
    </row>
    <row r="243" spans="1:23" hidden="1" x14ac:dyDescent="0.55000000000000004">
      <c r="A243" s="1" t="s">
        <v>728</v>
      </c>
      <c r="B243" s="1">
        <v>137</v>
      </c>
      <c r="C243">
        <v>640</v>
      </c>
      <c r="D243">
        <v>607</v>
      </c>
      <c r="E243">
        <v>10.04998</v>
      </c>
      <c r="F243" t="s">
        <v>343</v>
      </c>
      <c r="G243" s="10" t="s">
        <v>722</v>
      </c>
      <c r="H243">
        <v>98</v>
      </c>
      <c r="I243" t="s">
        <v>709</v>
      </c>
      <c r="J243">
        <f ca="1">VLOOKUP(G243,INDIRECT("球速変換!A$1:B$" &amp; Prams!$B$8),2,)</f>
        <v>84</v>
      </c>
      <c r="K243" t="str">
        <f ca="1">VLOOKUP(I243,INDIRECT("投手名変換!A$1:B$" &amp; Prams!$B$9),2,)</f>
        <v>DD011</v>
      </c>
      <c r="L243">
        <f t="shared" si="17"/>
        <v>39</v>
      </c>
      <c r="M243">
        <f ca="1">(B243-VLOOKUP(K243,INDIRECT("投手データ!B1:D"&amp;Prams!$B$1),3,FALSE)*2)</f>
        <v>43</v>
      </c>
      <c r="N243" t="str">
        <f ca="1">VLOOKUP(F243,INDIRECT("球種変換表!A$1:B$" &amp; Prams!$B$2),2,)</f>
        <v>全力ストレート</v>
      </c>
      <c r="O243">
        <f ca="1">VLOOKUP(N243,球種情報!A:B,2,FALSE)</f>
        <v>2</v>
      </c>
      <c r="P243">
        <f ca="1">VLOOKUP(K243,投手データ!B:AI,output!O243+6,FALSE)</f>
        <v>1</v>
      </c>
      <c r="R243">
        <f t="shared" ca="1" si="18"/>
        <v>1.1904761904761904E-2</v>
      </c>
      <c r="S243">
        <f t="shared" si="19"/>
        <v>0.64513888888888893</v>
      </c>
      <c r="T243">
        <f>Prams!B$5/(S243-Prams!B$6)</f>
        <v>105.7094546456289</v>
      </c>
      <c r="U243">
        <f t="shared" ca="1" si="20"/>
        <v>0.71180555555555558</v>
      </c>
      <c r="V243">
        <f ca="1">Prams!C$5/(U243-Prams!C$6)</f>
        <v>108.80393441340672</v>
      </c>
      <c r="W243">
        <f t="shared" ca="1" si="21"/>
        <v>1.2952849334929373</v>
      </c>
    </row>
    <row r="244" spans="1:23" hidden="1" x14ac:dyDescent="0.55000000000000004">
      <c r="A244" s="1" t="s">
        <v>731</v>
      </c>
      <c r="B244" s="1">
        <v>137</v>
      </c>
      <c r="C244">
        <v>641.5</v>
      </c>
      <c r="D244">
        <v>618.5</v>
      </c>
      <c r="E244">
        <v>10.512</v>
      </c>
      <c r="F244" t="s">
        <v>1578</v>
      </c>
      <c r="G244" s="10" t="s">
        <v>2443</v>
      </c>
      <c r="H244">
        <v>98</v>
      </c>
      <c r="I244" t="s">
        <v>709</v>
      </c>
      <c r="J244">
        <v>86</v>
      </c>
      <c r="K244" t="str">
        <f ca="1">VLOOKUP(I244,INDIRECT("投手名変換!A$1:B$" &amp; Prams!$B$9),2,)</f>
        <v>DD011</v>
      </c>
      <c r="L244">
        <f t="shared" si="17"/>
        <v>39</v>
      </c>
      <c r="M244">
        <f ca="1">(B244-VLOOKUP(K244,INDIRECT("投手データ!B1:D"&amp;Prams!$B$1),3,FALSE)*2)</f>
        <v>43</v>
      </c>
      <c r="N244" t="str">
        <f ca="1">VLOOKUP(F244,INDIRECT("球種変換表!A$1:B$" &amp; Prams!$B$2),2,)</f>
        <v>全力ストレート</v>
      </c>
      <c r="O244">
        <f ca="1">VLOOKUP(N244,球種情報!A:B,2,FALSE)</f>
        <v>2</v>
      </c>
      <c r="P244">
        <f ca="1">VLOOKUP(K244,投手データ!B:AI,output!O244+6,FALSE)</f>
        <v>1</v>
      </c>
      <c r="R244">
        <f t="shared" si="18"/>
        <v>1.1627906976744186E-2</v>
      </c>
      <c r="S244">
        <f t="shared" si="19"/>
        <v>0.63715277777777779</v>
      </c>
      <c r="T244">
        <f>Prams!B$5/(S244-Prams!B$6)</f>
        <v>107.17292588615427</v>
      </c>
      <c r="U244">
        <f t="shared" ca="1" si="20"/>
        <v>0.70381944444444444</v>
      </c>
      <c r="V244">
        <f ca="1">Prams!C$5/(U244-Prams!C$6)</f>
        <v>110.35497002662649</v>
      </c>
      <c r="W244">
        <f t="shared" ca="1" si="21"/>
        <v>1.2831973258910057</v>
      </c>
    </row>
    <row r="245" spans="1:23" hidden="1" x14ac:dyDescent="0.55000000000000004">
      <c r="A245" s="1" t="s">
        <v>733</v>
      </c>
      <c r="B245" s="1">
        <v>137</v>
      </c>
      <c r="C245">
        <v>641</v>
      </c>
      <c r="D245">
        <v>613.5</v>
      </c>
      <c r="E245">
        <v>11.01146</v>
      </c>
      <c r="F245" t="s">
        <v>343</v>
      </c>
      <c r="G245" s="10" t="s">
        <v>1579</v>
      </c>
      <c r="H245">
        <v>98</v>
      </c>
      <c r="I245" t="s">
        <v>1580</v>
      </c>
      <c r="J245">
        <f ca="1">VLOOKUP(G245,INDIRECT("球速変換!A$1:B$" &amp; Prams!$B$8),2,)</f>
        <v>85</v>
      </c>
      <c r="K245" t="str">
        <f ca="1">VLOOKUP(I245,INDIRECT("投手名変換!A$1:B$" &amp; Prams!$B$9),2,)</f>
        <v>DD011</v>
      </c>
      <c r="L245">
        <f t="shared" si="17"/>
        <v>39</v>
      </c>
      <c r="M245">
        <f ca="1">(B245-VLOOKUP(K245,INDIRECT("投手データ!B1:D"&amp;Prams!$B$1),3,FALSE)*2)</f>
        <v>43</v>
      </c>
      <c r="N245" t="str">
        <f ca="1">VLOOKUP(F245,INDIRECT("球種変換表!A$1:B$" &amp; Prams!$B$2),2,)</f>
        <v>全力ストレート</v>
      </c>
      <c r="O245">
        <f ca="1">VLOOKUP(N245,球種情報!A:B,2,FALSE)</f>
        <v>2</v>
      </c>
      <c r="P245">
        <f ca="1">VLOOKUP(K245,投手データ!B:AI,output!O245+6,FALSE)</f>
        <v>1</v>
      </c>
      <c r="R245">
        <f t="shared" ca="1" si="18"/>
        <v>1.1764705882352941E-2</v>
      </c>
      <c r="S245">
        <f t="shared" si="19"/>
        <v>0.640625</v>
      </c>
      <c r="T245">
        <f>Prams!B$5/(S245-Prams!B$6)</f>
        <v>106.53168483177531</v>
      </c>
      <c r="U245">
        <f t="shared" ca="1" si="20"/>
        <v>0.70729166666666665</v>
      </c>
      <c r="V245">
        <f ca="1">Prams!C$5/(U245-Prams!C$6)</f>
        <v>109.67520659935248</v>
      </c>
      <c r="W245">
        <f t="shared" ca="1" si="21"/>
        <v>1.2902965482276763</v>
      </c>
    </row>
    <row r="246" spans="1:23" hidden="1" x14ac:dyDescent="0.55000000000000004">
      <c r="A246" s="1" t="s">
        <v>734</v>
      </c>
      <c r="B246" s="1">
        <v>137</v>
      </c>
      <c r="C246">
        <v>641</v>
      </c>
      <c r="D246">
        <v>613.5</v>
      </c>
      <c r="E246">
        <v>11.01146</v>
      </c>
      <c r="F246" t="s">
        <v>1581</v>
      </c>
      <c r="G246" s="10" t="s">
        <v>714</v>
      </c>
      <c r="H246">
        <v>98</v>
      </c>
      <c r="I246" t="s">
        <v>709</v>
      </c>
      <c r="J246">
        <f ca="1">VLOOKUP(G246,INDIRECT("球速変換!A$1:B$" &amp; Prams!$B$8),2,)</f>
        <v>84</v>
      </c>
      <c r="K246" t="str">
        <f ca="1">VLOOKUP(I246,INDIRECT("投手名変換!A$1:B$" &amp; Prams!$B$9),2,)</f>
        <v>DD011</v>
      </c>
      <c r="L246">
        <f t="shared" si="17"/>
        <v>39</v>
      </c>
      <c r="M246">
        <f ca="1">(B246-VLOOKUP(K246,INDIRECT("投手データ!B1:D"&amp;Prams!$B$1),3,FALSE)*2)</f>
        <v>43</v>
      </c>
      <c r="N246" t="str">
        <f ca="1">VLOOKUP(F246,INDIRECT("球種変換表!A$1:B$" &amp; Prams!$B$2),2,)</f>
        <v>全力ストレート</v>
      </c>
      <c r="O246">
        <f ca="1">VLOOKUP(N246,球種情報!A:B,2,FALSE)</f>
        <v>2</v>
      </c>
      <c r="P246">
        <f ca="1">VLOOKUP(K246,投手データ!B:AI,output!O246+6,FALSE)</f>
        <v>1</v>
      </c>
      <c r="R246">
        <f t="shared" ca="1" si="18"/>
        <v>1.1904761904761904E-2</v>
      </c>
      <c r="S246">
        <f t="shared" si="19"/>
        <v>0.640625</v>
      </c>
      <c r="T246">
        <f>Prams!B$5/(S246-Prams!B$6)</f>
        <v>106.53168483177531</v>
      </c>
      <c r="U246">
        <f t="shared" ca="1" si="20"/>
        <v>0.70729166666666665</v>
      </c>
      <c r="V246">
        <f ca="1">Prams!C$5/(U246-Prams!C$6)</f>
        <v>109.67520659935248</v>
      </c>
      <c r="W246">
        <f t="shared" ca="1" si="21"/>
        <v>1.3056572214208628</v>
      </c>
    </row>
    <row r="247" spans="1:23" hidden="1" x14ac:dyDescent="0.55000000000000004">
      <c r="A247" s="1" t="s">
        <v>735</v>
      </c>
      <c r="B247" s="1">
        <v>137</v>
      </c>
      <c r="C247">
        <v>641.5</v>
      </c>
      <c r="D247">
        <v>619.5</v>
      </c>
      <c r="E247">
        <v>10.512</v>
      </c>
      <c r="F247" t="s">
        <v>343</v>
      </c>
      <c r="G247" s="10" t="s">
        <v>2442</v>
      </c>
      <c r="H247">
        <v>98</v>
      </c>
      <c r="I247" t="s">
        <v>709</v>
      </c>
      <c r="J247">
        <f ca="1">VLOOKUP(G247,INDIRECT("球速変換!A$1:B$" &amp; Prams!$B$8),2,)</f>
        <v>86</v>
      </c>
      <c r="K247" t="str">
        <f ca="1">VLOOKUP(I247,INDIRECT("投手名変換!A$1:B$" &amp; Prams!$B$9),2,)</f>
        <v>DD011</v>
      </c>
      <c r="L247">
        <f t="shared" si="17"/>
        <v>39</v>
      </c>
      <c r="M247">
        <f ca="1">(B247-VLOOKUP(K247,INDIRECT("投手データ!B1:D"&amp;Prams!$B$1),3,FALSE)*2)</f>
        <v>43</v>
      </c>
      <c r="N247" t="str">
        <f ca="1">VLOOKUP(F247,INDIRECT("球種変換表!A$1:B$" &amp; Prams!$B$2),2,)</f>
        <v>全力ストレート</v>
      </c>
      <c r="O247">
        <f ca="1">VLOOKUP(N247,球種情報!A:B,2,FALSE)</f>
        <v>2</v>
      </c>
      <c r="P247">
        <f ca="1">VLOOKUP(K247,投手データ!B:AI,output!O247+6,FALSE)</f>
        <v>1</v>
      </c>
      <c r="R247">
        <f t="shared" ca="1" si="18"/>
        <v>1.1627906976744186E-2</v>
      </c>
      <c r="S247">
        <f t="shared" si="19"/>
        <v>0.63645833333333335</v>
      </c>
      <c r="T247">
        <f>Prams!B$5/(S247-Prams!B$6)</f>
        <v>107.30210156351697</v>
      </c>
      <c r="U247">
        <f t="shared" ca="1" si="20"/>
        <v>0.703125</v>
      </c>
      <c r="V247">
        <f ca="1">Prams!C$5/(U247-Prams!C$6)</f>
        <v>110.49193512354228</v>
      </c>
      <c r="W247">
        <f t="shared" ca="1" si="21"/>
        <v>1.2847899432970031</v>
      </c>
    </row>
    <row r="248" spans="1:23" hidden="1" x14ac:dyDescent="0.55000000000000004">
      <c r="A248" s="1" t="s">
        <v>736</v>
      </c>
      <c r="B248" s="1">
        <v>137</v>
      </c>
      <c r="C248">
        <v>640</v>
      </c>
      <c r="D248">
        <v>607</v>
      </c>
      <c r="E248">
        <v>10.04998</v>
      </c>
      <c r="F248" t="s">
        <v>343</v>
      </c>
      <c r="G248" s="10" t="s">
        <v>722</v>
      </c>
      <c r="H248">
        <v>98</v>
      </c>
      <c r="I248" t="s">
        <v>709</v>
      </c>
      <c r="J248">
        <f ca="1">VLOOKUP(G248,INDIRECT("球速変換!A$1:B$" &amp; Prams!$B$8),2,)</f>
        <v>84</v>
      </c>
      <c r="K248" t="str">
        <f ca="1">VLOOKUP(I248,INDIRECT("投手名変換!A$1:B$" &amp; Prams!$B$9),2,)</f>
        <v>DD011</v>
      </c>
      <c r="L248">
        <f t="shared" si="17"/>
        <v>39</v>
      </c>
      <c r="M248">
        <f ca="1">(B248-VLOOKUP(K248,INDIRECT("投手データ!B1:D"&amp;Prams!$B$1),3,FALSE)*2)</f>
        <v>43</v>
      </c>
      <c r="N248" t="str">
        <f ca="1">VLOOKUP(F248,INDIRECT("球種変換表!A$1:B$" &amp; Prams!$B$2),2,)</f>
        <v>全力ストレート</v>
      </c>
      <c r="O248">
        <f ca="1">VLOOKUP(N248,球種情報!A:B,2,FALSE)</f>
        <v>2</v>
      </c>
      <c r="P248">
        <f ca="1">VLOOKUP(K248,投手データ!B:AI,output!O248+6,FALSE)</f>
        <v>1</v>
      </c>
      <c r="R248">
        <f t="shared" ca="1" si="18"/>
        <v>1.1904761904761904E-2</v>
      </c>
      <c r="S248">
        <f t="shared" si="19"/>
        <v>0.64513888888888893</v>
      </c>
      <c r="T248">
        <f>Prams!B$5/(S248-Prams!B$6)</f>
        <v>105.7094546456289</v>
      </c>
      <c r="U248">
        <f t="shared" ca="1" si="20"/>
        <v>0.71180555555555558</v>
      </c>
      <c r="V248">
        <f ca="1">Prams!C$5/(U248-Prams!C$6)</f>
        <v>108.80393441340672</v>
      </c>
      <c r="W248">
        <f t="shared" ca="1" si="21"/>
        <v>1.2952849334929373</v>
      </c>
    </row>
    <row r="249" spans="1:23" hidden="1" x14ac:dyDescent="0.55000000000000004">
      <c r="A249" s="1" t="s">
        <v>739</v>
      </c>
      <c r="B249" s="1">
        <v>137</v>
      </c>
      <c r="C249">
        <v>641</v>
      </c>
      <c r="D249">
        <v>618.5</v>
      </c>
      <c r="E249">
        <v>11.01146</v>
      </c>
      <c r="F249" t="s">
        <v>343</v>
      </c>
      <c r="G249" s="10" t="s">
        <v>1582</v>
      </c>
      <c r="H249">
        <v>98</v>
      </c>
      <c r="I249" t="s">
        <v>709</v>
      </c>
      <c r="J249">
        <f ca="1">VLOOKUP(G249,INDIRECT("球速変換!A$1:B$" &amp; Prams!$B$8),2,)</f>
        <v>86</v>
      </c>
      <c r="K249" t="str">
        <f ca="1">VLOOKUP(I249,INDIRECT("投手名変換!A$1:B$" &amp; Prams!$B$9),2,)</f>
        <v>DD011</v>
      </c>
      <c r="L249">
        <f t="shared" si="17"/>
        <v>39</v>
      </c>
      <c r="M249">
        <f ca="1">(B249-VLOOKUP(K249,INDIRECT("投手データ!B1:D"&amp;Prams!$B$1),3,FALSE)*2)</f>
        <v>43</v>
      </c>
      <c r="N249" t="str">
        <f ca="1">VLOOKUP(F249,INDIRECT("球種変換表!A$1:B$" &amp; Prams!$B$2),2,)</f>
        <v>全力ストレート</v>
      </c>
      <c r="O249">
        <f ca="1">VLOOKUP(N249,球種情報!A:B,2,FALSE)</f>
        <v>2</v>
      </c>
      <c r="P249">
        <f ca="1">VLOOKUP(K249,投手データ!B:AI,output!O249+6,FALSE)</f>
        <v>1</v>
      </c>
      <c r="R249">
        <f t="shared" ca="1" si="18"/>
        <v>1.1627906976744186E-2</v>
      </c>
      <c r="S249">
        <f t="shared" si="19"/>
        <v>0.63715277777777779</v>
      </c>
      <c r="T249">
        <f>Prams!B$5/(S249-Prams!B$6)</f>
        <v>107.17292588615427</v>
      </c>
      <c r="U249">
        <f t="shared" ca="1" si="20"/>
        <v>0.70381944444444444</v>
      </c>
      <c r="V249">
        <f ca="1">Prams!C$5/(U249-Prams!C$6)</f>
        <v>110.35497002662649</v>
      </c>
      <c r="W249">
        <f t="shared" ca="1" si="21"/>
        <v>1.2831973258910057</v>
      </c>
    </row>
    <row r="250" spans="1:23" hidden="1" x14ac:dyDescent="0.55000000000000004">
      <c r="A250" s="1" t="s">
        <v>740</v>
      </c>
      <c r="B250" s="1">
        <v>137</v>
      </c>
      <c r="C250">
        <v>641</v>
      </c>
      <c r="D250">
        <v>617.5</v>
      </c>
      <c r="E250">
        <v>10.012589999999999</v>
      </c>
      <c r="F250" t="s">
        <v>343</v>
      </c>
      <c r="G250" s="10" t="s">
        <v>2444</v>
      </c>
      <c r="H250">
        <v>98</v>
      </c>
      <c r="I250" t="s">
        <v>738</v>
      </c>
      <c r="J250">
        <f ca="1">VLOOKUP(G250,INDIRECT("球速変換!A$1:B$" &amp; Prams!$B$8),2,)</f>
        <v>85</v>
      </c>
      <c r="K250" t="str">
        <f ca="1">VLOOKUP(I250,INDIRECT("投手名変換!A$1:B$" &amp; Prams!$B$9),2,)</f>
        <v>DD011</v>
      </c>
      <c r="L250">
        <f t="shared" si="17"/>
        <v>39</v>
      </c>
      <c r="M250">
        <f ca="1">(B250-VLOOKUP(K250,INDIRECT("投手データ!B1:D"&amp;Prams!$B$1),3,FALSE)*2)</f>
        <v>43</v>
      </c>
      <c r="N250" t="str">
        <f ca="1">VLOOKUP(F250,INDIRECT("球種変換表!A$1:B$" &amp; Prams!$B$2),2,)</f>
        <v>全力ストレート</v>
      </c>
      <c r="O250">
        <f ca="1">VLOOKUP(N250,球種情報!A:B,2,FALSE)</f>
        <v>2</v>
      </c>
      <c r="P250">
        <f ca="1">VLOOKUP(K250,投手データ!B:AI,output!O250+6,FALSE)</f>
        <v>1</v>
      </c>
      <c r="R250">
        <f t="shared" ca="1" si="18"/>
        <v>1.1764705882352941E-2</v>
      </c>
      <c r="S250">
        <f t="shared" si="19"/>
        <v>0.63784722222222223</v>
      </c>
      <c r="T250">
        <f>Prams!B$5/(S250-Prams!B$6)</f>
        <v>107.04406085120505</v>
      </c>
      <c r="U250">
        <f t="shared" ca="1" si="20"/>
        <v>0.70451388888888888</v>
      </c>
      <c r="V250">
        <f ca="1">Prams!C$5/(U250-Prams!C$6)</f>
        <v>110.21834407143103</v>
      </c>
      <c r="W250">
        <f t="shared" ca="1" si="21"/>
        <v>1.2966864008403651</v>
      </c>
    </row>
    <row r="251" spans="1:23" hidden="1" x14ac:dyDescent="0.55000000000000004">
      <c r="A251" s="1" t="s">
        <v>2013</v>
      </c>
      <c r="B251" s="1">
        <v>143</v>
      </c>
      <c r="C251">
        <v>641.95001000000002</v>
      </c>
      <c r="D251">
        <v>606.5</v>
      </c>
      <c r="E251">
        <v>10.062519999999999</v>
      </c>
      <c r="F251" t="s">
        <v>0</v>
      </c>
      <c r="G251" s="10" t="s">
        <v>741</v>
      </c>
      <c r="H251">
        <v>99</v>
      </c>
      <c r="I251" t="s">
        <v>742</v>
      </c>
      <c r="J251">
        <f ca="1">VLOOKUP(G251,INDIRECT("球速変換!A$1:B$" &amp; Prams!$B$8),2,)</f>
        <v>92</v>
      </c>
      <c r="K251" t="str">
        <f ca="1">VLOOKUP(I251,INDIRECT("投手名変換!A$1:B$" &amp; Prams!$B$9),2,)</f>
        <v>DD012</v>
      </c>
      <c r="L251">
        <f t="shared" si="17"/>
        <v>44</v>
      </c>
      <c r="M251">
        <f ca="1">(B251-VLOOKUP(K251,INDIRECT("投手データ!B1:D"&amp;Prams!$B$1),3,FALSE)*2)</f>
        <v>49</v>
      </c>
      <c r="N251" t="str">
        <f ca="1">VLOOKUP(F251,INDIRECT("球種変換表!A$1:B$" &amp; Prams!$B$2),2,)</f>
        <v>ストレート</v>
      </c>
      <c r="O251">
        <f ca="1">VLOOKUP(N251,球種情報!A:B,2,FALSE)</f>
        <v>1</v>
      </c>
      <c r="P251">
        <f ca="1">VLOOKUP(K251,投手データ!B:AI,output!O251+6,FALSE)</f>
        <v>1</v>
      </c>
      <c r="R251">
        <f t="shared" ca="1" si="18"/>
        <v>1.0869565217391304E-2</v>
      </c>
      <c r="S251">
        <f t="shared" si="19"/>
        <v>0.72881944444444435</v>
      </c>
      <c r="T251">
        <f>Prams!B$5/(S251-Prams!B$6)</f>
        <v>92.477489643366155</v>
      </c>
      <c r="U251">
        <f t="shared" ca="1" si="20"/>
        <v>0.81215277777777772</v>
      </c>
      <c r="V251">
        <f ca="1">Prams!C$5/(U251-Prams!C$6)</f>
        <v>92.472878813689604</v>
      </c>
      <c r="W251">
        <f t="shared" ca="1" si="21"/>
        <v>1.0051399871053217</v>
      </c>
    </row>
    <row r="252" spans="1:23" hidden="1" x14ac:dyDescent="0.55000000000000004">
      <c r="A252" s="1" t="s">
        <v>2015</v>
      </c>
      <c r="B252" s="1">
        <v>144</v>
      </c>
      <c r="C252">
        <v>640.5</v>
      </c>
      <c r="D252">
        <v>614.5</v>
      </c>
      <c r="E252">
        <v>10.512</v>
      </c>
      <c r="F252" t="s">
        <v>0</v>
      </c>
      <c r="G252" s="10" t="s">
        <v>2014</v>
      </c>
      <c r="H252">
        <v>99</v>
      </c>
      <c r="I252" t="s">
        <v>876</v>
      </c>
      <c r="J252">
        <f ca="1">VLOOKUP(G252,INDIRECT("球速変換!A$1:B$" &amp; Prams!$B$8),2,)</f>
        <v>91</v>
      </c>
      <c r="K252" t="s">
        <v>1891</v>
      </c>
      <c r="L252">
        <f t="shared" si="17"/>
        <v>45</v>
      </c>
      <c r="M252">
        <f ca="1">(B252-VLOOKUP(K252,INDIRECT("投手データ!B1:D"&amp;Prams!$B$1),3,FALSE)*2)</f>
        <v>50</v>
      </c>
      <c r="N252" t="str">
        <f ca="1">VLOOKUP(F252,INDIRECT("球種変換表!A$1:B$" &amp; Prams!$B$2),2,)</f>
        <v>ストレート</v>
      </c>
      <c r="O252">
        <f ca="1">VLOOKUP(N252,球種情報!A:B,2,FALSE)</f>
        <v>1</v>
      </c>
      <c r="P252">
        <f ca="1">VLOOKUP(K252,投手データ!B:AI,output!O252+6,FALSE)</f>
        <v>1</v>
      </c>
      <c r="R252">
        <f t="shared" ca="1" si="18"/>
        <v>1.098901098901099E-2</v>
      </c>
      <c r="S252">
        <f t="shared" si="19"/>
        <v>0.73993055555555565</v>
      </c>
      <c r="T252">
        <f>Prams!B$5/(S252-Prams!B$6)</f>
        <v>90.965598139512068</v>
      </c>
      <c r="U252">
        <f t="shared" ca="1" si="20"/>
        <v>0.82326388888888891</v>
      </c>
      <c r="V252">
        <f ca="1">Prams!C$5/(U252-Prams!C$6)</f>
        <v>90.961136836426505</v>
      </c>
      <c r="W252">
        <f t="shared" ca="1" si="21"/>
        <v>0.99957293226842314</v>
      </c>
    </row>
    <row r="253" spans="1:23" hidden="1" x14ac:dyDescent="0.55000000000000004">
      <c r="A253" s="1" t="s">
        <v>2017</v>
      </c>
      <c r="B253" s="1">
        <v>144</v>
      </c>
      <c r="C253">
        <v>636.02270999999996</v>
      </c>
      <c r="D253">
        <v>605</v>
      </c>
      <c r="E253">
        <v>11.02285</v>
      </c>
      <c r="F253" t="s">
        <v>0</v>
      </c>
      <c r="G253" s="10" t="s">
        <v>745</v>
      </c>
      <c r="H253">
        <v>99</v>
      </c>
      <c r="I253" t="s">
        <v>2016</v>
      </c>
      <c r="J253">
        <f ca="1">VLOOKUP(G253,INDIRECT("球速変換!A$1:B$" &amp; Prams!$B$8),2,)</f>
        <v>90</v>
      </c>
      <c r="K253" t="str">
        <f ca="1">VLOOKUP(I253,INDIRECT("投手名変換!A$1:B$" &amp; Prams!$B$9),2,)</f>
        <v>DD012</v>
      </c>
      <c r="L253">
        <f t="shared" si="17"/>
        <v>45</v>
      </c>
      <c r="M253">
        <f ca="1">(B253-VLOOKUP(K253,INDIRECT("投手データ!B1:D"&amp;Prams!$B$1),3,FALSE)*2)</f>
        <v>50</v>
      </c>
      <c r="N253" t="str">
        <f ca="1">VLOOKUP(F253,INDIRECT("球種変換表!A$1:B$" &amp; Prams!$B$2),2,)</f>
        <v>ストレート</v>
      </c>
      <c r="O253">
        <f ca="1">VLOOKUP(N253,球種情報!A:B,2,FALSE)</f>
        <v>1</v>
      </c>
      <c r="P253">
        <f ca="1">VLOOKUP(K253,投手データ!B:AI,output!O253+6,FALSE)</f>
        <v>1</v>
      </c>
      <c r="R253">
        <f t="shared" ca="1" si="18"/>
        <v>1.1111111111111112E-2</v>
      </c>
      <c r="S253">
        <f t="shared" si="19"/>
        <v>0.74652777777777779</v>
      </c>
      <c r="T253">
        <f>Prams!B$5/(S253-Prams!B$6)</f>
        <v>90.091077630524367</v>
      </c>
      <c r="U253">
        <f t="shared" ca="1" si="20"/>
        <v>0.82986111111111105</v>
      </c>
      <c r="V253">
        <f ca="1">Prams!C$5/(U253-Prams!C$6)</f>
        <v>90.086701692747354</v>
      </c>
      <c r="W253">
        <f t="shared" ca="1" si="21"/>
        <v>1.0009633521416372</v>
      </c>
    </row>
    <row r="254" spans="1:23" hidden="1" x14ac:dyDescent="0.55000000000000004">
      <c r="A254" s="1" t="s">
        <v>2019</v>
      </c>
      <c r="B254" s="1">
        <v>143</v>
      </c>
      <c r="C254">
        <v>642</v>
      </c>
      <c r="D254">
        <v>601</v>
      </c>
      <c r="E254">
        <v>10.04998</v>
      </c>
      <c r="F254" t="s">
        <v>0</v>
      </c>
      <c r="G254" s="10" t="s">
        <v>743</v>
      </c>
      <c r="H254">
        <v>99</v>
      </c>
      <c r="I254" t="s">
        <v>2018</v>
      </c>
      <c r="J254">
        <f ca="1">VLOOKUP(G254,INDIRECT("球速変換!A$1:B$" &amp; Prams!$B$8),2,)</f>
        <v>91</v>
      </c>
      <c r="K254" t="str">
        <f ca="1">VLOOKUP(I254,INDIRECT("投手名変換!A$1:B$" &amp; Prams!$B$9),2,)</f>
        <v>DD012</v>
      </c>
      <c r="L254">
        <f t="shared" si="17"/>
        <v>44</v>
      </c>
      <c r="M254">
        <f ca="1">(B254-VLOOKUP(K254,INDIRECT("投手データ!B1:D"&amp;Prams!$B$1),3,FALSE)*2)</f>
        <v>49</v>
      </c>
      <c r="N254" t="str">
        <f ca="1">VLOOKUP(F254,INDIRECT("球種変換表!A$1:B$" &amp; Prams!$B$2),2,)</f>
        <v>ストレート</v>
      </c>
      <c r="O254">
        <f ca="1">VLOOKUP(N254,球種情報!A:B,2,FALSE)</f>
        <v>1</v>
      </c>
      <c r="P254">
        <f ca="1">VLOOKUP(K254,投手データ!B:AI,output!O254+6,FALSE)</f>
        <v>1</v>
      </c>
      <c r="R254">
        <f t="shared" ca="1" si="18"/>
        <v>1.098901098901099E-2</v>
      </c>
      <c r="S254">
        <f t="shared" si="19"/>
        <v>0.73263888888888895</v>
      </c>
      <c r="T254">
        <f>Prams!B$5/(S254-Prams!B$6)</f>
        <v>91.952140537592641</v>
      </c>
      <c r="U254">
        <f t="shared" ca="1" si="20"/>
        <v>0.81597222222222221</v>
      </c>
      <c r="V254">
        <f ca="1">Prams!C$5/(U254-Prams!C$6)</f>
        <v>91.947581944524785</v>
      </c>
      <c r="W254">
        <f t="shared" ca="1" si="21"/>
        <v>1.0104129884013713</v>
      </c>
    </row>
    <row r="255" spans="1:23" hidden="1" x14ac:dyDescent="0.55000000000000004">
      <c r="A255" s="1" t="s">
        <v>2021</v>
      </c>
      <c r="B255" s="1">
        <v>144</v>
      </c>
      <c r="C255">
        <v>638.5</v>
      </c>
      <c r="D255">
        <v>615</v>
      </c>
      <c r="E255">
        <v>11.5001</v>
      </c>
      <c r="F255" t="s">
        <v>0</v>
      </c>
      <c r="G255" s="10" t="s">
        <v>743</v>
      </c>
      <c r="H255">
        <v>99</v>
      </c>
      <c r="I255" t="s">
        <v>2020</v>
      </c>
      <c r="J255">
        <f ca="1">VLOOKUP(G255,INDIRECT("球速変換!A$1:B$" &amp; Prams!$B$8),2,)</f>
        <v>91</v>
      </c>
      <c r="K255" t="str">
        <f ca="1">VLOOKUP(I255,INDIRECT("投手名変換!A$1:B$" &amp; Prams!$B$9),2,)</f>
        <v>DD012</v>
      </c>
      <c r="L255">
        <f t="shared" si="17"/>
        <v>45</v>
      </c>
      <c r="M255">
        <f ca="1">(B255-VLOOKUP(K255,INDIRECT("投手データ!B1:D"&amp;Prams!$B$1),3,FALSE)*2)</f>
        <v>50</v>
      </c>
      <c r="N255" t="str">
        <f ca="1">VLOOKUP(F255,INDIRECT("球種変換表!A$1:B$" &amp; Prams!$B$2),2,)</f>
        <v>ストレート</v>
      </c>
      <c r="O255">
        <f ca="1">VLOOKUP(N255,球種情報!A:B,2,FALSE)</f>
        <v>1</v>
      </c>
      <c r="P255">
        <f ca="1">VLOOKUP(K255,投手データ!B:AI,output!O255+6,FALSE)</f>
        <v>1</v>
      </c>
      <c r="R255">
        <f t="shared" ca="1" si="18"/>
        <v>1.098901098901099E-2</v>
      </c>
      <c r="S255">
        <f t="shared" si="19"/>
        <v>0.73958333333333337</v>
      </c>
      <c r="T255">
        <f>Prams!B$5/(S255-Prams!B$6)</f>
        <v>91.01209608165469</v>
      </c>
      <c r="U255">
        <f t="shared" ca="1" si="20"/>
        <v>0.82291666666666663</v>
      </c>
      <c r="V255">
        <f ca="1">Prams!C$5/(U255-Prams!C$6)</f>
        <v>91.007630216639285</v>
      </c>
      <c r="W255">
        <f t="shared" ca="1" si="21"/>
        <v>1.0000838485344976</v>
      </c>
    </row>
    <row r="256" spans="1:23" hidden="1" x14ac:dyDescent="0.55000000000000004">
      <c r="A256" s="1" t="s">
        <v>2023</v>
      </c>
      <c r="B256" s="1">
        <v>144</v>
      </c>
      <c r="C256">
        <v>636.5</v>
      </c>
      <c r="D256">
        <v>614</v>
      </c>
      <c r="E256">
        <v>10.547610000000001</v>
      </c>
      <c r="F256" t="s">
        <v>0</v>
      </c>
      <c r="G256" s="10" t="s">
        <v>1599</v>
      </c>
      <c r="H256">
        <v>99</v>
      </c>
      <c r="I256" t="s">
        <v>2022</v>
      </c>
      <c r="J256">
        <v>91</v>
      </c>
      <c r="K256" t="str">
        <f ca="1">VLOOKUP(I256,INDIRECT("投手名変換!A$1:B$" &amp; Prams!$B$9),2,)</f>
        <v>DD012</v>
      </c>
      <c r="L256">
        <f t="shared" si="17"/>
        <v>45</v>
      </c>
      <c r="M256">
        <f ca="1">(B256-VLOOKUP(K256,INDIRECT("投手データ!B1:D"&amp;Prams!$B$1),3,FALSE)*2)</f>
        <v>50</v>
      </c>
      <c r="N256" t="str">
        <f ca="1">VLOOKUP(F256,INDIRECT("球種変換表!A$1:B$" &amp; Prams!$B$2),2,)</f>
        <v>ストレート</v>
      </c>
      <c r="O256">
        <f ca="1">VLOOKUP(N256,球種情報!A:B,2,FALSE)</f>
        <v>1</v>
      </c>
      <c r="P256">
        <f ca="1">VLOOKUP(K256,投手データ!B:AI,output!O256+6,FALSE)</f>
        <v>1</v>
      </c>
      <c r="R256">
        <f t="shared" si="18"/>
        <v>1.098901098901099E-2</v>
      </c>
      <c r="S256">
        <f t="shared" si="19"/>
        <v>0.7402777777777777</v>
      </c>
      <c r="T256">
        <f>Prams!B$5/(S256-Prams!B$6)</f>
        <v>90.919147684564862</v>
      </c>
      <c r="U256">
        <f t="shared" ca="1" si="20"/>
        <v>0.82361111111111107</v>
      </c>
      <c r="V256">
        <f ca="1">Prams!C$5/(U256-Prams!C$6)</f>
        <v>90.914690936422602</v>
      </c>
      <c r="W256">
        <f t="shared" ca="1" si="21"/>
        <v>0.99906253776288578</v>
      </c>
    </row>
    <row r="257" spans="1:23" hidden="1" x14ac:dyDescent="0.55000000000000004">
      <c r="A257" s="1" t="s">
        <v>2025</v>
      </c>
      <c r="B257" s="1">
        <v>144</v>
      </c>
      <c r="C257">
        <v>639</v>
      </c>
      <c r="D257">
        <v>607</v>
      </c>
      <c r="E257">
        <v>11.0001</v>
      </c>
      <c r="F257" t="s">
        <v>0</v>
      </c>
      <c r="G257" s="10" t="s">
        <v>2445</v>
      </c>
      <c r="H257">
        <v>99</v>
      </c>
      <c r="I257" t="s">
        <v>742</v>
      </c>
      <c r="J257">
        <f ca="1">VLOOKUP(G257,INDIRECT("球速変換!A$1:B$" &amp; Prams!$B$8),2,)</f>
        <v>90</v>
      </c>
      <c r="K257" t="str">
        <f ca="1">VLOOKUP(I257,INDIRECT("投手名変換!A$1:B$" &amp; Prams!$B$9),2,)</f>
        <v>DD012</v>
      </c>
      <c r="L257">
        <f t="shared" si="17"/>
        <v>45</v>
      </c>
      <c r="M257">
        <f ca="1">(B257-VLOOKUP(K257,INDIRECT("投手データ!B1:D"&amp;Prams!$B$1),3,FALSE)*2)</f>
        <v>50</v>
      </c>
      <c r="N257" t="str">
        <f ca="1">VLOOKUP(F257,INDIRECT("球種変換表!A$1:B$" &amp; Prams!$B$2),2,)</f>
        <v>ストレート</v>
      </c>
      <c r="O257">
        <f ca="1">VLOOKUP(N257,球種情報!A:B,2,FALSE)</f>
        <v>1</v>
      </c>
      <c r="P257">
        <f ca="1">VLOOKUP(K257,投手データ!B:AI,output!O257+6,FALSE)</f>
        <v>1</v>
      </c>
      <c r="R257">
        <f t="shared" ca="1" si="18"/>
        <v>1.1111111111111112E-2</v>
      </c>
      <c r="S257">
        <f t="shared" si="19"/>
        <v>0.74513888888888891</v>
      </c>
      <c r="T257">
        <f>Prams!B$5/(S257-Prams!B$6)</f>
        <v>90.27378702208955</v>
      </c>
      <c r="U257">
        <f t="shared" ca="1" si="20"/>
        <v>0.82847222222222228</v>
      </c>
      <c r="V257">
        <f ca="1">Prams!C$5/(U257-Prams!C$6)</f>
        <v>90.269393317488252</v>
      </c>
      <c r="W257">
        <f t="shared" ca="1" si="21"/>
        <v>1.0029932590832027</v>
      </c>
    </row>
    <row r="258" spans="1:23" hidden="1" x14ac:dyDescent="0.55000000000000004">
      <c r="A258" s="1" t="s">
        <v>2027</v>
      </c>
      <c r="B258" s="1">
        <v>144</v>
      </c>
      <c r="C258">
        <v>639</v>
      </c>
      <c r="D258">
        <v>607</v>
      </c>
      <c r="E258">
        <v>11.0001</v>
      </c>
      <c r="F258" t="s">
        <v>656</v>
      </c>
      <c r="G258" s="10" t="s">
        <v>2445</v>
      </c>
      <c r="H258">
        <v>99</v>
      </c>
      <c r="I258" t="s">
        <v>2026</v>
      </c>
      <c r="J258">
        <f ca="1">VLOOKUP(G258,INDIRECT("球速変換!A$1:B$" &amp; Prams!$B$8),2,)</f>
        <v>90</v>
      </c>
      <c r="K258" t="str">
        <f ca="1">VLOOKUP(I258,INDIRECT("投手名変換!A$1:B$" &amp; Prams!$B$9),2,)</f>
        <v>DD012</v>
      </c>
      <c r="L258">
        <f t="shared" si="17"/>
        <v>45</v>
      </c>
      <c r="M258">
        <f ca="1">(B258-VLOOKUP(K258,INDIRECT("投手データ!B1:D"&amp;Prams!$B$1),3,FALSE)*2)</f>
        <v>50</v>
      </c>
      <c r="N258" t="str">
        <f ca="1">VLOOKUP(F258,INDIRECT("球種変換表!A$1:B$" &amp; Prams!$B$2),2,)</f>
        <v>ストレート</v>
      </c>
      <c r="O258">
        <f ca="1">VLOOKUP(N258,球種情報!A:B,2,FALSE)</f>
        <v>1</v>
      </c>
      <c r="P258">
        <f ca="1">VLOOKUP(K258,投手データ!B:AI,output!O258+6,FALSE)</f>
        <v>1</v>
      </c>
      <c r="R258">
        <f t="shared" ca="1" si="18"/>
        <v>1.1111111111111112E-2</v>
      </c>
      <c r="S258">
        <f t="shared" si="19"/>
        <v>0.74513888888888891</v>
      </c>
      <c r="T258">
        <f>Prams!B$5/(S258-Prams!B$6)</f>
        <v>90.27378702208955</v>
      </c>
      <c r="U258">
        <f t="shared" ca="1" si="20"/>
        <v>0.82847222222222228</v>
      </c>
      <c r="V258">
        <f ca="1">Prams!C$5/(U258-Prams!C$6)</f>
        <v>90.269393317488252</v>
      </c>
      <c r="W258">
        <f t="shared" ca="1" si="21"/>
        <v>1.0029932590832027</v>
      </c>
    </row>
    <row r="259" spans="1:23" hidden="1" x14ac:dyDescent="0.55000000000000004">
      <c r="A259" s="1" t="s">
        <v>2029</v>
      </c>
      <c r="B259" s="1">
        <v>144</v>
      </c>
      <c r="C259">
        <v>639</v>
      </c>
      <c r="D259">
        <v>605.5</v>
      </c>
      <c r="E259">
        <v>10.012589999999999</v>
      </c>
      <c r="F259" t="s">
        <v>0</v>
      </c>
      <c r="G259" s="10" t="s">
        <v>2445</v>
      </c>
      <c r="H259">
        <v>99</v>
      </c>
      <c r="I259" t="s">
        <v>2028</v>
      </c>
      <c r="J259">
        <f ca="1">VLOOKUP(G259,INDIRECT("球速変換!A$1:B$" &amp; Prams!$B$8),2,)</f>
        <v>90</v>
      </c>
      <c r="K259" t="str">
        <f ca="1">VLOOKUP(I259,INDIRECT("投手名変換!A$1:B$" &amp; Prams!$B$9),2,)</f>
        <v>DD012</v>
      </c>
      <c r="L259">
        <f t="shared" ref="L259:L322" si="22">B259-H259</f>
        <v>45</v>
      </c>
      <c r="M259">
        <f ca="1">(B259-VLOOKUP(K259,INDIRECT("投手データ!B1:D"&amp;Prams!$B$1),3,FALSE)*2)</f>
        <v>50</v>
      </c>
      <c r="N259" t="str">
        <f ca="1">VLOOKUP(F259,INDIRECT("球種変換表!A$1:B$" &amp; Prams!$B$2),2,)</f>
        <v>ストレート</v>
      </c>
      <c r="O259">
        <f ca="1">VLOOKUP(N259,球種情報!A:B,2,FALSE)</f>
        <v>1</v>
      </c>
      <c r="P259">
        <f ca="1">VLOOKUP(K259,投手データ!B:AI,output!O259+6,FALSE)</f>
        <v>1</v>
      </c>
      <c r="R259">
        <f t="shared" ca="1" si="18"/>
        <v>1.1111111111111112E-2</v>
      </c>
      <c r="S259">
        <f t="shared" si="19"/>
        <v>0.74618055555555562</v>
      </c>
      <c r="T259">
        <f>Prams!B$5/(S259-Prams!B$6)</f>
        <v>90.136685606904337</v>
      </c>
      <c r="U259">
        <f t="shared" ca="1" si="20"/>
        <v>0.82951388888888888</v>
      </c>
      <c r="V259">
        <f ca="1">Prams!C$5/(U259-Prams!C$6)</f>
        <v>90.132305237537906</v>
      </c>
      <c r="W259">
        <f t="shared" ca="1" si="21"/>
        <v>1.0014700581948657</v>
      </c>
    </row>
    <row r="260" spans="1:23" hidden="1" x14ac:dyDescent="0.55000000000000004">
      <c r="A260" s="1" t="s">
        <v>2031</v>
      </c>
      <c r="B260" s="1">
        <v>144</v>
      </c>
      <c r="C260">
        <v>639.5</v>
      </c>
      <c r="D260">
        <v>610.5</v>
      </c>
      <c r="E260">
        <v>10.512</v>
      </c>
      <c r="F260" t="s">
        <v>0</v>
      </c>
      <c r="G260" s="10" t="s">
        <v>743</v>
      </c>
      <c r="H260">
        <v>99</v>
      </c>
      <c r="I260" t="s">
        <v>2030</v>
      </c>
      <c r="J260">
        <f ca="1">VLOOKUP(G260,INDIRECT("球速変換!A$1:B$" &amp; Prams!$B$8),2,)</f>
        <v>91</v>
      </c>
      <c r="K260" t="str">
        <f ca="1">VLOOKUP(I260,INDIRECT("投手名変換!A$1:B$" &amp; Prams!$B$9),2,)</f>
        <v>DD012</v>
      </c>
      <c r="L260">
        <f t="shared" si="22"/>
        <v>45</v>
      </c>
      <c r="M260">
        <f ca="1">(B260-VLOOKUP(K260,INDIRECT("投手データ!B1:D"&amp;Prams!$B$1),3,FALSE)*2)</f>
        <v>50</v>
      </c>
      <c r="N260" t="str">
        <f ca="1">VLOOKUP(F260,INDIRECT("球種変換表!A$1:B$" &amp; Prams!$B$2),2,)</f>
        <v>ストレート</v>
      </c>
      <c r="O260">
        <f ca="1">VLOOKUP(N260,球種情報!A:B,2,FALSE)</f>
        <v>1</v>
      </c>
      <c r="P260">
        <f ca="1">VLOOKUP(K260,投手データ!B:AI,output!O260+6,FALSE)</f>
        <v>1</v>
      </c>
      <c r="R260">
        <f t="shared" ca="1" si="18"/>
        <v>1.098901098901099E-2</v>
      </c>
      <c r="S260">
        <f t="shared" si="19"/>
        <v>0.7427083333333333</v>
      </c>
      <c r="T260">
        <f>Prams!B$5/(S260-Prams!B$6)</f>
        <v>90.595318052485695</v>
      </c>
      <c r="U260">
        <f t="shared" ca="1" si="20"/>
        <v>0.82604166666666667</v>
      </c>
      <c r="V260">
        <f ca="1">Prams!C$5/(U260-Prams!C$6)</f>
        <v>90.590892994517247</v>
      </c>
      <c r="W260">
        <f t="shared" ca="1" si="21"/>
        <v>0.9955043186210687</v>
      </c>
    </row>
    <row r="261" spans="1:23" hidden="1" x14ac:dyDescent="0.55000000000000004">
      <c r="A261" s="1" t="s">
        <v>756</v>
      </c>
      <c r="B261" s="1">
        <v>135</v>
      </c>
      <c r="C261">
        <v>640.5</v>
      </c>
      <c r="D261">
        <v>616.5</v>
      </c>
      <c r="E261">
        <v>10.512</v>
      </c>
      <c r="F261" t="s">
        <v>343</v>
      </c>
      <c r="G261" s="10" t="s">
        <v>1591</v>
      </c>
      <c r="H261">
        <v>98</v>
      </c>
      <c r="I261" t="s">
        <v>1592</v>
      </c>
      <c r="J261">
        <f ca="1">VLOOKUP(G261,INDIRECT("球速変換!A$1:B$" &amp; Prams!$B$8),2,)</f>
        <v>92</v>
      </c>
      <c r="K261" t="str">
        <f ca="1">VLOOKUP(I261,INDIRECT("投手名変換!A$1:B$" &amp; Prams!$B$9),2,)</f>
        <v>DD012</v>
      </c>
      <c r="L261">
        <f t="shared" si="22"/>
        <v>37</v>
      </c>
      <c r="M261">
        <f ca="1">(B261-VLOOKUP(K261,INDIRECT("投手データ!B1:D"&amp;Prams!$B$1),3,FALSE)*2)</f>
        <v>41</v>
      </c>
      <c r="N261" t="str">
        <f ca="1">VLOOKUP(F261,INDIRECT("球種変換表!A$1:B$" &amp; Prams!$B$2),2,)</f>
        <v>全力ストレート</v>
      </c>
      <c r="O261">
        <f ca="1">VLOOKUP(N261,球種情報!A:B,2,FALSE)</f>
        <v>2</v>
      </c>
      <c r="P261">
        <f ca="1">VLOOKUP(K261,投手データ!B:AI,output!O261+6,FALSE)</f>
        <v>1</v>
      </c>
      <c r="R261">
        <f t="shared" ref="R261:R324" ca="1" si="23">1/J261</f>
        <v>1.0869565217391304E-2</v>
      </c>
      <c r="S261">
        <f t="shared" ref="S261:S324" si="24">(L261-(D261-600)/24)*2/120</f>
        <v>0.60520833333333335</v>
      </c>
      <c r="T261">
        <f>Prams!B$5/(S261-Prams!B$6)</f>
        <v>113.45578002416309</v>
      </c>
      <c r="U261">
        <f t="shared" ref="U261:U324" ca="1" si="25">(M261-(D261-600)/24)*2/120</f>
        <v>0.671875</v>
      </c>
      <c r="V261">
        <f ca="1">Prams!C$5/(U261-Prams!C$6)</f>
        <v>117.0280630353509</v>
      </c>
      <c r="W261">
        <f t="shared" ref="W261:W324" ca="1" si="26">V261/J261</f>
        <v>1.2720441634277271</v>
      </c>
    </row>
    <row r="262" spans="1:23" hidden="1" x14ac:dyDescent="0.55000000000000004">
      <c r="A262" s="1" t="s">
        <v>758</v>
      </c>
      <c r="B262" s="1">
        <v>134</v>
      </c>
      <c r="C262">
        <v>639</v>
      </c>
      <c r="D262">
        <v>600.5</v>
      </c>
      <c r="E262">
        <v>10.012589999999999</v>
      </c>
      <c r="F262" t="s">
        <v>343</v>
      </c>
      <c r="G262" s="10" t="s">
        <v>2446</v>
      </c>
      <c r="H262">
        <v>98</v>
      </c>
      <c r="I262" t="s">
        <v>1593</v>
      </c>
      <c r="J262">
        <f ca="1">VLOOKUP(G262,INDIRECT("球速変換!A$1:B$" &amp; Prams!$B$8),2,)</f>
        <v>93</v>
      </c>
      <c r="K262" t="str">
        <f ca="1">VLOOKUP(I262,INDIRECT("投手名変換!A$1:B$" &amp; Prams!$B$9),2,)</f>
        <v>DD012</v>
      </c>
      <c r="L262">
        <f t="shared" si="22"/>
        <v>36</v>
      </c>
      <c r="M262">
        <f ca="1">(B262-VLOOKUP(K262,INDIRECT("投手データ!B1:D"&amp;Prams!$B$1),3,FALSE)*2)</f>
        <v>40</v>
      </c>
      <c r="N262" t="str">
        <f ca="1">VLOOKUP(F262,INDIRECT("球種変換表!A$1:B$" &amp; Prams!$B$2),2,)</f>
        <v>全力ストレート</v>
      </c>
      <c r="O262">
        <f ca="1">VLOOKUP(N262,球種情報!A:B,2,FALSE)</f>
        <v>2</v>
      </c>
      <c r="P262">
        <f ca="1">VLOOKUP(K262,投手データ!B:AI,output!O262+6,FALSE)</f>
        <v>1</v>
      </c>
      <c r="R262">
        <f t="shared" ca="1" si="23"/>
        <v>1.0752688172043012E-2</v>
      </c>
      <c r="S262">
        <f t="shared" si="24"/>
        <v>0.5996527777777777</v>
      </c>
      <c r="T262">
        <f>Prams!B$5/(S262-Prams!B$6)</f>
        <v>114.62442124562878</v>
      </c>
      <c r="U262">
        <f t="shared" ca="1" si="25"/>
        <v>0.66631944444444435</v>
      </c>
      <c r="V262">
        <f ca="1">Prams!C$5/(U262-Prams!C$6)</f>
        <v>118.27185817758627</v>
      </c>
      <c r="W262">
        <f t="shared" ca="1" si="26"/>
        <v>1.2717404105116803</v>
      </c>
    </row>
    <row r="263" spans="1:23" hidden="1" x14ac:dyDescent="0.55000000000000004">
      <c r="A263" s="1" t="s">
        <v>760</v>
      </c>
      <c r="B263" s="1">
        <v>135</v>
      </c>
      <c r="C263">
        <v>640</v>
      </c>
      <c r="D263">
        <v>608.5</v>
      </c>
      <c r="E263">
        <v>11.01146</v>
      </c>
      <c r="F263" t="s">
        <v>343</v>
      </c>
      <c r="G263" s="10" t="s">
        <v>745</v>
      </c>
      <c r="H263">
        <v>98</v>
      </c>
      <c r="I263" t="s">
        <v>1594</v>
      </c>
      <c r="J263">
        <f ca="1">VLOOKUP(G263,INDIRECT("球速変換!A$1:B$" &amp; Prams!$B$8),2,)</f>
        <v>90</v>
      </c>
      <c r="K263" t="str">
        <f ca="1">VLOOKUP(I263,INDIRECT("投手名変換!A$1:B$" &amp; Prams!$B$9),2,)</f>
        <v>DD012</v>
      </c>
      <c r="L263">
        <f t="shared" si="22"/>
        <v>37</v>
      </c>
      <c r="M263">
        <f ca="1">(B263-VLOOKUP(K263,INDIRECT("投手データ!B1:D"&amp;Prams!$B$1),3,FALSE)*2)</f>
        <v>41</v>
      </c>
      <c r="N263" t="str">
        <f ca="1">VLOOKUP(F263,INDIRECT("球種変換表!A$1:B$" &amp; Prams!$B$2),2,)</f>
        <v>全力ストレート</v>
      </c>
      <c r="O263">
        <f ca="1">VLOOKUP(N263,球種情報!A:B,2,FALSE)</f>
        <v>2</v>
      </c>
      <c r="P263">
        <f ca="1">VLOOKUP(K263,投手データ!B:AI,output!O263+6,FALSE)</f>
        <v>1</v>
      </c>
      <c r="R263">
        <f t="shared" ca="1" si="23"/>
        <v>1.1111111111111112E-2</v>
      </c>
      <c r="S263">
        <f t="shared" si="24"/>
        <v>0.61076388888888888</v>
      </c>
      <c r="T263">
        <f>Prams!B$5/(S263-Prams!B$6)</f>
        <v>112.31072782047465</v>
      </c>
      <c r="U263">
        <f t="shared" ca="1" si="25"/>
        <v>0.67743055555555565</v>
      </c>
      <c r="V263">
        <f ca="1">Prams!C$5/(U263-Prams!C$6)</f>
        <v>115.81015615649993</v>
      </c>
      <c r="W263">
        <f t="shared" ca="1" si="26"/>
        <v>1.2867795128499993</v>
      </c>
    </row>
    <row r="264" spans="1:23" hidden="1" x14ac:dyDescent="0.55000000000000004">
      <c r="A264" s="1" t="s">
        <v>761</v>
      </c>
      <c r="B264" s="1">
        <v>135</v>
      </c>
      <c r="C264">
        <v>640</v>
      </c>
      <c r="D264">
        <v>608.5</v>
      </c>
      <c r="E264">
        <v>11.01146</v>
      </c>
      <c r="F264" t="s">
        <v>343</v>
      </c>
      <c r="G264" s="10" t="s">
        <v>2445</v>
      </c>
      <c r="H264">
        <v>98</v>
      </c>
      <c r="I264" t="s">
        <v>1595</v>
      </c>
      <c r="J264">
        <f ca="1">VLOOKUP(G264,INDIRECT("球速変換!A$1:B$" &amp; Prams!$B$8),2,)</f>
        <v>90</v>
      </c>
      <c r="K264" t="str">
        <f ca="1">VLOOKUP(I264,INDIRECT("投手名変換!A$1:B$" &amp; Prams!$B$9),2,)</f>
        <v>DD012</v>
      </c>
      <c r="L264">
        <f t="shared" si="22"/>
        <v>37</v>
      </c>
      <c r="M264">
        <f ca="1">(B264-VLOOKUP(K264,INDIRECT("投手データ!B1:D"&amp;Prams!$B$1),3,FALSE)*2)</f>
        <v>41</v>
      </c>
      <c r="N264" t="str">
        <f ca="1">VLOOKUP(F264,INDIRECT("球種変換表!A$1:B$" &amp; Prams!$B$2),2,)</f>
        <v>全力ストレート</v>
      </c>
      <c r="O264">
        <f ca="1">VLOOKUP(N264,球種情報!A:B,2,FALSE)</f>
        <v>2</v>
      </c>
      <c r="P264">
        <f ca="1">VLOOKUP(K264,投手データ!B:AI,output!O264+6,FALSE)</f>
        <v>1</v>
      </c>
      <c r="R264">
        <f t="shared" ca="1" si="23"/>
        <v>1.1111111111111112E-2</v>
      </c>
      <c r="S264">
        <f t="shared" si="24"/>
        <v>0.61076388888888888</v>
      </c>
      <c r="T264">
        <f>Prams!B$5/(S264-Prams!B$6)</f>
        <v>112.31072782047465</v>
      </c>
      <c r="U264">
        <f t="shared" ca="1" si="25"/>
        <v>0.67743055555555565</v>
      </c>
      <c r="V264">
        <f ca="1">Prams!C$5/(U264-Prams!C$6)</f>
        <v>115.81015615649993</v>
      </c>
      <c r="W264">
        <f t="shared" ca="1" si="26"/>
        <v>1.2867795128499993</v>
      </c>
    </row>
    <row r="265" spans="1:23" hidden="1" x14ac:dyDescent="0.55000000000000004">
      <c r="A265" s="1" t="s">
        <v>764</v>
      </c>
      <c r="B265" s="1">
        <v>134</v>
      </c>
      <c r="C265">
        <v>639</v>
      </c>
      <c r="D265">
        <v>601</v>
      </c>
      <c r="E265">
        <v>10.04998</v>
      </c>
      <c r="F265" t="s">
        <v>343</v>
      </c>
      <c r="G265" s="10" t="s">
        <v>1596</v>
      </c>
      <c r="H265">
        <v>98</v>
      </c>
      <c r="I265" t="s">
        <v>1594</v>
      </c>
      <c r="J265">
        <f ca="1">VLOOKUP(G265,INDIRECT("球速変換!A$1:B$" &amp; Prams!$B$8),2,)</f>
        <v>93</v>
      </c>
      <c r="K265" t="str">
        <f ca="1">VLOOKUP(I265,INDIRECT("投手名変換!A$1:B$" &amp; Prams!$B$9),2,)</f>
        <v>DD012</v>
      </c>
      <c r="L265">
        <f t="shared" si="22"/>
        <v>36</v>
      </c>
      <c r="M265">
        <f ca="1">(B265-VLOOKUP(K265,INDIRECT("投手データ!B1:D"&amp;Prams!$B$1),3,FALSE)*2)</f>
        <v>40</v>
      </c>
      <c r="N265" t="str">
        <f ca="1">VLOOKUP(F265,INDIRECT("球種変換表!A$1:B$" &amp; Prams!$B$2),2,)</f>
        <v>全力ストレート</v>
      </c>
      <c r="O265">
        <f ca="1">VLOOKUP(N265,球種情報!A:B,2,FALSE)</f>
        <v>2</v>
      </c>
      <c r="P265">
        <f ca="1">VLOOKUP(K265,投手データ!B:AI,output!O265+6,FALSE)</f>
        <v>1</v>
      </c>
      <c r="R265">
        <f t="shared" ca="1" si="23"/>
        <v>1.0752688172043012E-2</v>
      </c>
      <c r="S265">
        <f t="shared" si="24"/>
        <v>0.59930555555555565</v>
      </c>
      <c r="T265">
        <f>Prams!B$5/(S265-Prams!B$6)</f>
        <v>114.69826120118323</v>
      </c>
      <c r="U265">
        <f t="shared" ca="1" si="25"/>
        <v>0.6659722222222223</v>
      </c>
      <c r="V265">
        <f ca="1">Prams!C$5/(U265-Prams!C$6)</f>
        <v>118.3504738000787</v>
      </c>
      <c r="W265">
        <f t="shared" ca="1" si="26"/>
        <v>1.2725857397857925</v>
      </c>
    </row>
    <row r="266" spans="1:23" hidden="1" x14ac:dyDescent="0.55000000000000004">
      <c r="A266" s="1" t="s">
        <v>766</v>
      </c>
      <c r="B266" s="1">
        <v>134</v>
      </c>
      <c r="C266">
        <v>638.5</v>
      </c>
      <c r="D266">
        <v>600.5</v>
      </c>
      <c r="E266">
        <v>10.512</v>
      </c>
      <c r="F266" t="s">
        <v>343</v>
      </c>
      <c r="G266" s="10" t="s">
        <v>762</v>
      </c>
      <c r="H266">
        <v>98</v>
      </c>
      <c r="I266" t="s">
        <v>1597</v>
      </c>
      <c r="J266">
        <f ca="1">VLOOKUP(G266,INDIRECT("球速変換!A$1:B$" &amp; Prams!$B$8),2,)</f>
        <v>93</v>
      </c>
      <c r="K266" t="str">
        <f ca="1">VLOOKUP(I266,INDIRECT("投手名変換!A$1:B$" &amp; Prams!$B$9),2,)</f>
        <v>DD012</v>
      </c>
      <c r="L266">
        <f t="shared" si="22"/>
        <v>36</v>
      </c>
      <c r="M266">
        <f ca="1">(B266-VLOOKUP(K266,INDIRECT("投手データ!B1:D"&amp;Prams!$B$1),3,FALSE)*2)</f>
        <v>40</v>
      </c>
      <c r="N266" t="str">
        <f ca="1">VLOOKUP(F266,INDIRECT("球種変換表!A$1:B$" &amp; Prams!$B$2),2,)</f>
        <v>全力ストレート</v>
      </c>
      <c r="O266">
        <f ca="1">VLOOKUP(N266,球種情報!A:B,2,FALSE)</f>
        <v>2</v>
      </c>
      <c r="P266">
        <f ca="1">VLOOKUP(K266,投手データ!B:AI,output!O266+6,FALSE)</f>
        <v>1</v>
      </c>
      <c r="R266">
        <f t="shared" ca="1" si="23"/>
        <v>1.0752688172043012E-2</v>
      </c>
      <c r="S266">
        <f t="shared" si="24"/>
        <v>0.5996527777777777</v>
      </c>
      <c r="T266">
        <f>Prams!B$5/(S266-Prams!B$6)</f>
        <v>114.62442124562878</v>
      </c>
      <c r="U266">
        <f t="shared" ca="1" si="25"/>
        <v>0.66631944444444435</v>
      </c>
      <c r="V266">
        <f ca="1">Prams!C$5/(U266-Prams!C$6)</f>
        <v>118.27185817758627</v>
      </c>
      <c r="W266">
        <f t="shared" ca="1" si="26"/>
        <v>1.2717404105116803</v>
      </c>
    </row>
    <row r="267" spans="1:23" hidden="1" x14ac:dyDescent="0.55000000000000004">
      <c r="A267" s="1" t="s">
        <v>768</v>
      </c>
      <c r="B267" s="1">
        <v>135</v>
      </c>
      <c r="C267">
        <v>639.5</v>
      </c>
      <c r="D267">
        <v>609</v>
      </c>
      <c r="E267">
        <v>10.547610000000001</v>
      </c>
      <c r="F267" t="s">
        <v>343</v>
      </c>
      <c r="G267" s="10" t="s">
        <v>1598</v>
      </c>
      <c r="H267">
        <v>98</v>
      </c>
      <c r="I267" t="s">
        <v>742</v>
      </c>
      <c r="J267">
        <f ca="1">VLOOKUP(G267,INDIRECT("球速変換!A$1:B$" &amp; Prams!$B$8),2,)</f>
        <v>90</v>
      </c>
      <c r="K267" t="str">
        <f ca="1">VLOOKUP(I267,INDIRECT("投手名変換!A$1:B$" &amp; Prams!$B$9),2,)</f>
        <v>DD012</v>
      </c>
      <c r="L267">
        <f t="shared" si="22"/>
        <v>37</v>
      </c>
      <c r="M267">
        <f ca="1">(B267-VLOOKUP(K267,INDIRECT("投手データ!B1:D"&amp;Prams!$B$1),3,FALSE)*2)</f>
        <v>41</v>
      </c>
      <c r="N267" t="str">
        <f ca="1">VLOOKUP(F267,INDIRECT("球種変換表!A$1:B$" &amp; Prams!$B$2),2,)</f>
        <v>全力ストレート</v>
      </c>
      <c r="O267">
        <f ca="1">VLOOKUP(N267,球種情報!A:B,2,FALSE)</f>
        <v>2</v>
      </c>
      <c r="P267">
        <f ca="1">VLOOKUP(K267,投手データ!B:AI,output!O267+6,FALSE)</f>
        <v>1</v>
      </c>
      <c r="R267">
        <f t="shared" ca="1" si="23"/>
        <v>1.1111111111111112E-2</v>
      </c>
      <c r="S267">
        <f t="shared" si="24"/>
        <v>0.61041666666666672</v>
      </c>
      <c r="T267">
        <f>Prams!B$5/(S267-Prams!B$6)</f>
        <v>112.38161602084406</v>
      </c>
      <c r="U267">
        <f t="shared" ca="1" si="25"/>
        <v>0.67708333333333337</v>
      </c>
      <c r="V267">
        <f ca="1">Prams!C$5/(U267-Prams!C$6)</f>
        <v>115.88553219407042</v>
      </c>
      <c r="W267">
        <f t="shared" ca="1" si="26"/>
        <v>1.2876170243785603</v>
      </c>
    </row>
    <row r="268" spans="1:23" hidden="1" x14ac:dyDescent="0.55000000000000004">
      <c r="A268" s="1" t="s">
        <v>770</v>
      </c>
      <c r="B268" s="1">
        <v>135</v>
      </c>
      <c r="C268">
        <v>640.5</v>
      </c>
      <c r="D268">
        <v>614.5</v>
      </c>
      <c r="E268">
        <v>10.512</v>
      </c>
      <c r="F268" t="s">
        <v>343</v>
      </c>
      <c r="G268" s="10" t="s">
        <v>1599</v>
      </c>
      <c r="H268">
        <v>98</v>
      </c>
      <c r="I268" t="s">
        <v>876</v>
      </c>
      <c r="J268">
        <v>91</v>
      </c>
      <c r="K268" t="s">
        <v>1891</v>
      </c>
      <c r="L268">
        <f t="shared" si="22"/>
        <v>37</v>
      </c>
      <c r="M268">
        <f ca="1">(B268-VLOOKUP(K268,INDIRECT("投手データ!B1:D"&amp;Prams!$B$1),3,FALSE)*2)</f>
        <v>41</v>
      </c>
      <c r="N268" t="str">
        <f ca="1">VLOOKUP(F268,INDIRECT("球種変換表!A$1:B$" &amp; Prams!$B$2),2,)</f>
        <v>全力ストレート</v>
      </c>
      <c r="O268">
        <f ca="1">VLOOKUP(N268,球種情報!A:B,2,FALSE)</f>
        <v>2</v>
      </c>
      <c r="P268">
        <f ca="1">VLOOKUP(K268,投手データ!B:AI,output!O268+6,FALSE)</f>
        <v>1</v>
      </c>
      <c r="R268">
        <f t="shared" si="23"/>
        <v>1.098901098901099E-2</v>
      </c>
      <c r="S268">
        <f t="shared" si="24"/>
        <v>0.60659722222222223</v>
      </c>
      <c r="T268">
        <f>Prams!B$5/(S268-Prams!B$6)</f>
        <v>113.16733361468879</v>
      </c>
      <c r="U268">
        <f t="shared" ca="1" si="25"/>
        <v>0.67326388888888888</v>
      </c>
      <c r="V268">
        <f ca="1">Prams!C$5/(U268-Prams!C$6)</f>
        <v>116.72119111176374</v>
      </c>
      <c r="W268">
        <f t="shared" ca="1" si="26"/>
        <v>1.2826504517776236</v>
      </c>
    </row>
    <row r="269" spans="1:23" hidden="1" x14ac:dyDescent="0.55000000000000004">
      <c r="A269" s="1" t="s">
        <v>772</v>
      </c>
      <c r="B269" s="1">
        <v>135</v>
      </c>
      <c r="C269">
        <v>639.5</v>
      </c>
      <c r="D269">
        <v>608</v>
      </c>
      <c r="E269">
        <v>10.5001</v>
      </c>
      <c r="F269" t="s">
        <v>667</v>
      </c>
      <c r="G269" s="10" t="s">
        <v>2445</v>
      </c>
      <c r="H269">
        <v>98</v>
      </c>
      <c r="I269" t="s">
        <v>1600</v>
      </c>
      <c r="J269">
        <f ca="1">VLOOKUP(G269,INDIRECT("球速変換!A$1:B$" &amp; Prams!$B$8),2,)</f>
        <v>90</v>
      </c>
      <c r="K269" t="str">
        <f ca="1">VLOOKUP(I269,INDIRECT("投手名変換!A$1:B$" &amp; Prams!$B$9),2,)</f>
        <v>DD012</v>
      </c>
      <c r="L269">
        <f t="shared" si="22"/>
        <v>37</v>
      </c>
      <c r="M269">
        <f ca="1">(B269-VLOOKUP(K269,INDIRECT("投手データ!B1:D"&amp;Prams!$B$1),3,FALSE)*2)</f>
        <v>41</v>
      </c>
      <c r="N269" t="str">
        <f ca="1">VLOOKUP(F269,INDIRECT("球種変換表!A$1:B$" &amp; Prams!$B$2),2,)</f>
        <v>全力ストレート</v>
      </c>
      <c r="O269">
        <f ca="1">VLOOKUP(N269,球種情報!A:B,2,FALSE)</f>
        <v>2</v>
      </c>
      <c r="P269">
        <f ca="1">VLOOKUP(K269,投手データ!B:AI,output!O269+6,FALSE)</f>
        <v>1</v>
      </c>
      <c r="R269">
        <f t="shared" ca="1" si="23"/>
        <v>1.1111111111111112E-2</v>
      </c>
      <c r="S269">
        <f t="shared" si="24"/>
        <v>0.61111111111111105</v>
      </c>
      <c r="T269">
        <f>Prams!B$5/(S269-Prams!B$6)</f>
        <v>112.2399289936054</v>
      </c>
      <c r="U269">
        <f t="shared" ca="1" si="25"/>
        <v>0.6777777777777777</v>
      </c>
      <c r="V269">
        <f ca="1">Prams!C$5/(U269-Prams!C$6)</f>
        <v>115.73487810965973</v>
      </c>
      <c r="W269">
        <f t="shared" ca="1" si="26"/>
        <v>1.2859430901073303</v>
      </c>
    </row>
    <row r="270" spans="1:23" hidden="1" x14ac:dyDescent="0.55000000000000004">
      <c r="A270" s="1" t="s">
        <v>2034</v>
      </c>
      <c r="B270" s="1">
        <v>141</v>
      </c>
      <c r="C270">
        <v>640</v>
      </c>
      <c r="D270">
        <v>609.5</v>
      </c>
      <c r="E270">
        <v>10.111969999999999</v>
      </c>
      <c r="F270" t="s">
        <v>0</v>
      </c>
      <c r="G270" s="10" t="s">
        <v>789</v>
      </c>
      <c r="H270">
        <v>99</v>
      </c>
      <c r="I270" t="s">
        <v>2033</v>
      </c>
      <c r="J270">
        <f ca="1">VLOOKUP(G270,INDIRECT("球速変換!A$1:B$" &amp; Prams!$B$8),2,)</f>
        <v>98</v>
      </c>
      <c r="K270" t="str">
        <f ca="1">VLOOKUP(I270,INDIRECT("投手名変換!A$1:B$" &amp; Prams!$B$9),2,)</f>
        <v>DD013</v>
      </c>
      <c r="L270">
        <f t="shared" si="22"/>
        <v>42</v>
      </c>
      <c r="M270">
        <f ca="1">(B270-VLOOKUP(K270,INDIRECT("投手データ!B1:D"&amp;Prams!$B$1),3,FALSE)*2)</f>
        <v>47</v>
      </c>
      <c r="N270" t="str">
        <f ca="1">VLOOKUP(F270,INDIRECT("球種変換表!A$1:B$" &amp; Prams!$B$2),2,)</f>
        <v>ストレート</v>
      </c>
      <c r="O270">
        <f ca="1">VLOOKUP(N270,球種情報!A:B,2,FALSE)</f>
        <v>1</v>
      </c>
      <c r="P270">
        <f ca="1">VLOOKUP(K270,投手データ!B:AI,output!O270+6,FALSE)</f>
        <v>1</v>
      </c>
      <c r="R270">
        <f t="shared" ca="1" si="23"/>
        <v>1.020408163265306E-2</v>
      </c>
      <c r="S270">
        <f t="shared" si="24"/>
        <v>0.6934027777777777</v>
      </c>
      <c r="T270">
        <f>Prams!B$5/(S270-Prams!B$6)</f>
        <v>97.650811479617602</v>
      </c>
      <c r="U270">
        <f t="shared" ca="1" si="25"/>
        <v>0.77673611111111107</v>
      </c>
      <c r="V270">
        <f ca="1">Prams!C$5/(U270-Prams!C$6)</f>
        <v>97.645670362261924</v>
      </c>
      <c r="W270">
        <f t="shared" ca="1" si="26"/>
        <v>0.99638439145165225</v>
      </c>
    </row>
    <row r="271" spans="1:23" hidden="1" x14ac:dyDescent="0.55000000000000004">
      <c r="A271" s="1" t="s">
        <v>2036</v>
      </c>
      <c r="B271" s="1">
        <v>141</v>
      </c>
      <c r="C271">
        <v>636</v>
      </c>
      <c r="D271">
        <v>606.5</v>
      </c>
      <c r="E271">
        <v>11.01146</v>
      </c>
      <c r="F271" t="s">
        <v>0</v>
      </c>
      <c r="G271" s="10" t="s">
        <v>2035</v>
      </c>
      <c r="H271">
        <v>99</v>
      </c>
      <c r="I271" t="s">
        <v>782</v>
      </c>
      <c r="J271">
        <f ca="1">VLOOKUP(G271,INDIRECT("球速変換!A$1:B$" &amp; Prams!$B$8),2,)</f>
        <v>97</v>
      </c>
      <c r="K271" t="str">
        <f ca="1">VLOOKUP(I271,INDIRECT("投手名変換!A$1:B$" &amp; Prams!$B$9),2,)</f>
        <v>DD013</v>
      </c>
      <c r="L271">
        <f t="shared" si="22"/>
        <v>42</v>
      </c>
      <c r="M271">
        <f ca="1">(B271-VLOOKUP(K271,INDIRECT("投手データ!B1:D"&amp;Prams!$B$1),3,FALSE)*2)</f>
        <v>47</v>
      </c>
      <c r="N271" t="str">
        <f ca="1">VLOOKUP(F271,INDIRECT("球種変換表!A$1:B$" &amp; Prams!$B$2),2,)</f>
        <v>ストレート</v>
      </c>
      <c r="O271">
        <f ca="1">VLOOKUP(N271,球種情報!A:B,2,FALSE)</f>
        <v>1</v>
      </c>
      <c r="P271">
        <f ca="1">VLOOKUP(K271,投手データ!B:AI,output!O271+6,FALSE)</f>
        <v>1</v>
      </c>
      <c r="R271">
        <f t="shared" ca="1" si="23"/>
        <v>1.0309278350515464E-2</v>
      </c>
      <c r="S271">
        <f t="shared" si="24"/>
        <v>0.69548611111111103</v>
      </c>
      <c r="T271">
        <f>Prams!B$5/(S271-Prams!B$6)</f>
        <v>97.330528672698748</v>
      </c>
      <c r="U271">
        <f t="shared" ca="1" si="25"/>
        <v>0.7788194444444444</v>
      </c>
      <c r="V271">
        <f ca="1">Prams!C$5/(U271-Prams!C$6)</f>
        <v>97.325421223636639</v>
      </c>
      <c r="W271">
        <f t="shared" ca="1" si="26"/>
        <v>1.0033548579756355</v>
      </c>
    </row>
    <row r="272" spans="1:23" hidden="1" x14ac:dyDescent="0.55000000000000004">
      <c r="A272" s="1" t="s">
        <v>2039</v>
      </c>
      <c r="B272" s="1">
        <v>141</v>
      </c>
      <c r="C272">
        <v>635.5</v>
      </c>
      <c r="D272">
        <v>601.5</v>
      </c>
      <c r="E272">
        <v>10.512</v>
      </c>
      <c r="F272" t="s">
        <v>0</v>
      </c>
      <c r="G272" s="10" t="s">
        <v>2447</v>
      </c>
      <c r="H272">
        <v>99</v>
      </c>
      <c r="I272" t="s">
        <v>2038</v>
      </c>
      <c r="J272">
        <f ca="1">VLOOKUP(G272,INDIRECT("球速変換!A$1:B$" &amp; Prams!$B$8),2,)</f>
        <v>96</v>
      </c>
      <c r="K272" t="str">
        <f ca="1">VLOOKUP(I272,INDIRECT("投手名変換!A$1:B$" &amp; Prams!$B$9),2,)</f>
        <v>DD013</v>
      </c>
      <c r="L272">
        <f t="shared" si="22"/>
        <v>42</v>
      </c>
      <c r="M272">
        <f ca="1">(B272-VLOOKUP(K272,INDIRECT("投手データ!B1:D"&amp;Prams!$B$1),3,FALSE)*2)</f>
        <v>47</v>
      </c>
      <c r="N272" t="str">
        <f ca="1">VLOOKUP(F272,INDIRECT("球種変換表!A$1:B$" &amp; Prams!$B$2),2,)</f>
        <v>ストレート</v>
      </c>
      <c r="O272">
        <f ca="1">VLOOKUP(N272,球種情報!A:B,2,FALSE)</f>
        <v>1</v>
      </c>
      <c r="P272">
        <f ca="1">VLOOKUP(K272,投手データ!B:AI,output!O272+6,FALSE)</f>
        <v>1</v>
      </c>
      <c r="R272">
        <f t="shared" ca="1" si="23"/>
        <v>1.0416666666666666E-2</v>
      </c>
      <c r="S272">
        <f t="shared" si="24"/>
        <v>0.69895833333333335</v>
      </c>
      <c r="T272">
        <f>Prams!B$5/(S272-Prams!B$6)</f>
        <v>96.801367449992824</v>
      </c>
      <c r="U272">
        <f t="shared" ca="1" si="25"/>
        <v>0.78229166666666672</v>
      </c>
      <c r="V272">
        <f ca="1">Prams!C$5/(U272-Prams!C$6)</f>
        <v>96.796315384314283</v>
      </c>
      <c r="W272">
        <f t="shared" ca="1" si="26"/>
        <v>1.0082949519199405</v>
      </c>
    </row>
    <row r="273" spans="1:23" hidden="1" x14ac:dyDescent="0.55000000000000004">
      <c r="A273" s="1" t="s">
        <v>2041</v>
      </c>
      <c r="B273" s="1">
        <v>142</v>
      </c>
      <c r="C273">
        <v>636.54760999999996</v>
      </c>
      <c r="D273">
        <v>611.5</v>
      </c>
      <c r="E273">
        <v>10.55958</v>
      </c>
      <c r="F273" t="s">
        <v>0</v>
      </c>
      <c r="G273" s="10" t="s">
        <v>2448</v>
      </c>
      <c r="H273">
        <v>99</v>
      </c>
      <c r="I273" t="s">
        <v>790</v>
      </c>
      <c r="J273">
        <f ca="1">VLOOKUP(G273,INDIRECT("球速変換!A$1:B$" &amp; Prams!$B$8),2,)</f>
        <v>95</v>
      </c>
      <c r="K273" t="str">
        <f ca="1">VLOOKUP(I273,INDIRECT("投手名変換!A$1:B$" &amp; Prams!$B$9),2,)</f>
        <v>DD013</v>
      </c>
      <c r="L273">
        <f t="shared" si="22"/>
        <v>43</v>
      </c>
      <c r="M273">
        <f ca="1">(B273-VLOOKUP(K273,INDIRECT("投手データ!B1:D"&amp;Prams!$B$1),3,FALSE)*2)</f>
        <v>48</v>
      </c>
      <c r="N273" t="str">
        <f ca="1">VLOOKUP(F273,INDIRECT("球種変換表!A$1:B$" &amp; Prams!$B$2),2,)</f>
        <v>ストレート</v>
      </c>
      <c r="O273">
        <f ca="1">VLOOKUP(N273,球種情報!A:B,2,FALSE)</f>
        <v>1</v>
      </c>
      <c r="P273">
        <f ca="1">VLOOKUP(K273,投手データ!B:AI,output!O273+6,FALSE)</f>
        <v>1</v>
      </c>
      <c r="R273">
        <f t="shared" ca="1" si="23"/>
        <v>1.0526315789473684E-2</v>
      </c>
      <c r="S273">
        <f t="shared" si="24"/>
        <v>0.70868055555555565</v>
      </c>
      <c r="T273">
        <f>Prams!B$5/(S273-Prams!B$6)</f>
        <v>95.349867404687743</v>
      </c>
      <c r="U273">
        <f t="shared" ca="1" si="25"/>
        <v>0.79201388888888891</v>
      </c>
      <c r="V273">
        <f ca="1">Prams!C$5/(U273-Prams!C$6)</f>
        <v>95.344965706917307</v>
      </c>
      <c r="W273">
        <f t="shared" ca="1" si="26"/>
        <v>1.0036312179675506</v>
      </c>
    </row>
    <row r="274" spans="1:23" hidden="1" x14ac:dyDescent="0.55000000000000004">
      <c r="A274" s="1" t="s">
        <v>2043</v>
      </c>
      <c r="B274" s="1">
        <v>142</v>
      </c>
      <c r="C274">
        <v>640</v>
      </c>
      <c r="D274">
        <v>613.5</v>
      </c>
      <c r="E274">
        <v>11.01146</v>
      </c>
      <c r="F274" t="s">
        <v>0</v>
      </c>
      <c r="G274" s="10" t="s">
        <v>779</v>
      </c>
      <c r="H274">
        <v>99</v>
      </c>
      <c r="I274" t="s">
        <v>2042</v>
      </c>
      <c r="J274">
        <f ca="1">VLOOKUP(G274,INDIRECT("球速変換!A$1:B$" &amp; Prams!$B$8),2,)</f>
        <v>96</v>
      </c>
      <c r="K274" t="str">
        <f ca="1">VLOOKUP(I274,INDIRECT("投手名変換!A$1:B$" &amp; Prams!$B$9),2,)</f>
        <v>DD013</v>
      </c>
      <c r="L274">
        <f t="shared" si="22"/>
        <v>43</v>
      </c>
      <c r="M274">
        <f ca="1">(B274-VLOOKUP(K274,INDIRECT("投手データ!B1:D"&amp;Prams!$B$1),3,FALSE)*2)</f>
        <v>48</v>
      </c>
      <c r="N274" t="str">
        <f ca="1">VLOOKUP(F274,INDIRECT("球種変換表!A$1:B$" &amp; Prams!$B$2),2,)</f>
        <v>ストレート</v>
      </c>
      <c r="O274">
        <f ca="1">VLOOKUP(N274,球種情報!A:B,2,FALSE)</f>
        <v>1</v>
      </c>
      <c r="P274">
        <f ca="1">VLOOKUP(K274,投手データ!B:AI,output!O274+6,FALSE)</f>
        <v>1</v>
      </c>
      <c r="R274">
        <f t="shared" ca="1" si="23"/>
        <v>1.0416666666666666E-2</v>
      </c>
      <c r="S274">
        <f t="shared" si="24"/>
        <v>0.70729166666666665</v>
      </c>
      <c r="T274">
        <f>Prams!B$5/(S274-Prams!B$6)</f>
        <v>95.554553768080481</v>
      </c>
      <c r="U274">
        <f t="shared" ca="1" si="25"/>
        <v>0.79062500000000002</v>
      </c>
      <c r="V274">
        <f ca="1">Prams!C$5/(U274-Prams!C$6)</f>
        <v>95.549631003438819</v>
      </c>
      <c r="W274">
        <f t="shared" ca="1" si="26"/>
        <v>0.99530865628582099</v>
      </c>
    </row>
    <row r="275" spans="1:23" hidden="1" x14ac:dyDescent="0.55000000000000004">
      <c r="A275" s="1" t="s">
        <v>2046</v>
      </c>
      <c r="B275" s="1">
        <v>141</v>
      </c>
      <c r="C275">
        <v>643.5</v>
      </c>
      <c r="D275">
        <v>609.5</v>
      </c>
      <c r="E275">
        <v>11.510960000000001</v>
      </c>
      <c r="F275" t="s">
        <v>0</v>
      </c>
      <c r="G275" s="10" t="s">
        <v>2044</v>
      </c>
      <c r="H275">
        <v>99</v>
      </c>
      <c r="I275" t="s">
        <v>2045</v>
      </c>
      <c r="J275">
        <f ca="1">VLOOKUP(G275,INDIRECT("球速変換!A$1:B$" &amp; Prams!$B$8),2,)</f>
        <v>98</v>
      </c>
      <c r="K275" t="str">
        <f ca="1">VLOOKUP(I275,INDIRECT("投手名変換!A$1:B$" &amp; Prams!$B$9),2,)</f>
        <v>DD013</v>
      </c>
      <c r="L275">
        <f t="shared" si="22"/>
        <v>42</v>
      </c>
      <c r="M275">
        <f ca="1">(B275-VLOOKUP(K275,INDIRECT("投手データ!B1:D"&amp;Prams!$B$1),3,FALSE)*2)</f>
        <v>47</v>
      </c>
      <c r="N275" t="str">
        <f ca="1">VLOOKUP(F275,INDIRECT("球種変換表!A$1:B$" &amp; Prams!$B$2),2,)</f>
        <v>ストレート</v>
      </c>
      <c r="O275">
        <f ca="1">VLOOKUP(N275,球種情報!A:B,2,FALSE)</f>
        <v>1</v>
      </c>
      <c r="P275">
        <f ca="1">VLOOKUP(K275,投手データ!B:AI,output!O275+6,FALSE)</f>
        <v>1</v>
      </c>
      <c r="R275">
        <f t="shared" ca="1" si="23"/>
        <v>1.020408163265306E-2</v>
      </c>
      <c r="S275">
        <f t="shared" si="24"/>
        <v>0.6934027777777777</v>
      </c>
      <c r="T275">
        <f>Prams!B$5/(S275-Prams!B$6)</f>
        <v>97.650811479617602</v>
      </c>
      <c r="U275">
        <f t="shared" ca="1" si="25"/>
        <v>0.77673611111111107</v>
      </c>
      <c r="V275">
        <f ca="1">Prams!C$5/(U275-Prams!C$6)</f>
        <v>97.645670362261924</v>
      </c>
      <c r="W275">
        <f t="shared" ca="1" si="26"/>
        <v>0.99638439145165225</v>
      </c>
    </row>
    <row r="276" spans="1:23" hidden="1" x14ac:dyDescent="0.55000000000000004">
      <c r="A276" s="1" t="s">
        <v>2048</v>
      </c>
      <c r="B276" s="1">
        <v>141</v>
      </c>
      <c r="C276">
        <v>640</v>
      </c>
      <c r="D276">
        <v>608.5</v>
      </c>
      <c r="E276">
        <v>11.01146</v>
      </c>
      <c r="F276" t="s">
        <v>0</v>
      </c>
      <c r="G276" s="10" t="s">
        <v>775</v>
      </c>
      <c r="H276">
        <v>99</v>
      </c>
      <c r="I276" t="s">
        <v>2047</v>
      </c>
      <c r="J276">
        <f ca="1">VLOOKUP(G276,INDIRECT("球速変換!A$1:B$" &amp; Prams!$B$8),2,)</f>
        <v>97</v>
      </c>
      <c r="K276" t="str">
        <f ca="1">VLOOKUP(I276,INDIRECT("投手名変換!A$1:B$" &amp; Prams!$B$9),2,)</f>
        <v>DD013</v>
      </c>
      <c r="L276">
        <f t="shared" si="22"/>
        <v>42</v>
      </c>
      <c r="M276">
        <f ca="1">(B276-VLOOKUP(K276,INDIRECT("投手データ!B1:D"&amp;Prams!$B$1),3,FALSE)*2)</f>
        <v>47</v>
      </c>
      <c r="N276" t="str">
        <f ca="1">VLOOKUP(F276,INDIRECT("球種変換表!A$1:B$" &amp; Prams!$B$2),2,)</f>
        <v>ストレート</v>
      </c>
      <c r="O276">
        <f ca="1">VLOOKUP(N276,球種情報!A:B,2,FALSE)</f>
        <v>1</v>
      </c>
      <c r="P276">
        <f ca="1">VLOOKUP(K276,投手データ!B:AI,output!O276+6,FALSE)</f>
        <v>1</v>
      </c>
      <c r="R276">
        <f t="shared" ca="1" si="23"/>
        <v>1.0309278350515464E-2</v>
      </c>
      <c r="S276">
        <f t="shared" si="24"/>
        <v>0.69409722222222225</v>
      </c>
      <c r="T276">
        <f>Prams!B$5/(S276-Prams!B$6)</f>
        <v>97.543816590479778</v>
      </c>
      <c r="U276">
        <f t="shared" ca="1" si="25"/>
        <v>0.77743055555555562</v>
      </c>
      <c r="V276">
        <f ca="1">Prams!C$5/(U276-Prams!C$6)</f>
        <v>97.538686732784328</v>
      </c>
      <c r="W276">
        <f t="shared" ca="1" si="26"/>
        <v>1.0055534714720034</v>
      </c>
    </row>
    <row r="277" spans="1:23" hidden="1" x14ac:dyDescent="0.55000000000000004">
      <c r="A277" s="1" t="s">
        <v>2049</v>
      </c>
      <c r="B277" s="1">
        <v>141</v>
      </c>
      <c r="C277">
        <v>639</v>
      </c>
      <c r="D277">
        <v>606</v>
      </c>
      <c r="E277">
        <v>10.04998</v>
      </c>
      <c r="F277" t="s">
        <v>656</v>
      </c>
      <c r="G277" s="10" t="s">
        <v>775</v>
      </c>
      <c r="H277">
        <v>99</v>
      </c>
      <c r="I277" t="s">
        <v>786</v>
      </c>
      <c r="J277">
        <f ca="1">VLOOKUP(G277,INDIRECT("球速変換!A$1:B$" &amp; Prams!$B$8),2,)</f>
        <v>97</v>
      </c>
      <c r="K277" t="str">
        <f ca="1">VLOOKUP(I277,INDIRECT("投手名変換!A$1:B$" &amp; Prams!$B$9),2,)</f>
        <v>DD013</v>
      </c>
      <c r="L277">
        <f t="shared" si="22"/>
        <v>42</v>
      </c>
      <c r="M277">
        <f ca="1">(B277-VLOOKUP(K277,INDIRECT("投手データ!B1:D"&amp;Prams!$B$1),3,FALSE)*2)</f>
        <v>47</v>
      </c>
      <c r="N277" t="str">
        <f ca="1">VLOOKUP(F277,INDIRECT("球種変換表!A$1:B$" &amp; Prams!$B$2),2,)</f>
        <v>ストレート</v>
      </c>
      <c r="O277">
        <f ca="1">VLOOKUP(N277,球種情報!A:B,2,FALSE)</f>
        <v>1</v>
      </c>
      <c r="P277">
        <f ca="1">VLOOKUP(K277,投手データ!B:AI,output!O277+6,FALSE)</f>
        <v>1</v>
      </c>
      <c r="R277">
        <f t="shared" ca="1" si="23"/>
        <v>1.0309278350515464E-2</v>
      </c>
      <c r="S277">
        <f t="shared" si="24"/>
        <v>0.6958333333333333</v>
      </c>
      <c r="T277">
        <f>Prams!B$5/(S277-Prams!B$6)</f>
        <v>97.277352354977452</v>
      </c>
      <c r="U277">
        <f t="shared" ca="1" si="25"/>
        <v>0.77916666666666667</v>
      </c>
      <c r="V277">
        <f ca="1">Prams!C$5/(U277-Prams!C$6)</f>
        <v>97.272250485131394</v>
      </c>
      <c r="W277">
        <f t="shared" ca="1" si="26"/>
        <v>1.0028067060322825</v>
      </c>
    </row>
    <row r="278" spans="1:23" hidden="1" x14ac:dyDescent="0.55000000000000004">
      <c r="A278" s="1" t="s">
        <v>2050</v>
      </c>
      <c r="B278" s="1">
        <v>141</v>
      </c>
      <c r="C278">
        <v>639.5</v>
      </c>
      <c r="D278">
        <v>609.5</v>
      </c>
      <c r="E278">
        <v>10.512</v>
      </c>
      <c r="F278" t="s">
        <v>0</v>
      </c>
      <c r="G278" s="10" t="s">
        <v>773</v>
      </c>
      <c r="H278">
        <v>99</v>
      </c>
      <c r="I278" t="s">
        <v>786</v>
      </c>
      <c r="J278">
        <f ca="1">VLOOKUP(G278,INDIRECT("球速変換!A$1:B$" &amp; Prams!$B$8),2,)</f>
        <v>98</v>
      </c>
      <c r="K278" t="str">
        <f ca="1">VLOOKUP(I278,INDIRECT("投手名変換!A$1:B$" &amp; Prams!$B$9),2,)</f>
        <v>DD013</v>
      </c>
      <c r="L278">
        <f t="shared" si="22"/>
        <v>42</v>
      </c>
      <c r="M278">
        <f ca="1">(B278-VLOOKUP(K278,INDIRECT("投手データ!B1:D"&amp;Prams!$B$1),3,FALSE)*2)</f>
        <v>47</v>
      </c>
      <c r="N278" t="str">
        <f ca="1">VLOOKUP(F278,INDIRECT("球種変換表!A$1:B$" &amp; Prams!$B$2),2,)</f>
        <v>ストレート</v>
      </c>
      <c r="O278">
        <f ca="1">VLOOKUP(N278,球種情報!A:B,2,FALSE)</f>
        <v>1</v>
      </c>
      <c r="P278">
        <f ca="1">VLOOKUP(K278,投手データ!B:AI,output!O278+6,FALSE)</f>
        <v>1</v>
      </c>
      <c r="R278">
        <f t="shared" ca="1" si="23"/>
        <v>1.020408163265306E-2</v>
      </c>
      <c r="S278">
        <f t="shared" si="24"/>
        <v>0.6934027777777777</v>
      </c>
      <c r="T278">
        <f>Prams!B$5/(S278-Prams!B$6)</f>
        <v>97.650811479617602</v>
      </c>
      <c r="U278">
        <f t="shared" ca="1" si="25"/>
        <v>0.77673611111111107</v>
      </c>
      <c r="V278">
        <f ca="1">Prams!C$5/(U278-Prams!C$6)</f>
        <v>97.645670362261924</v>
      </c>
      <c r="W278">
        <f t="shared" ca="1" si="26"/>
        <v>0.99638439145165225</v>
      </c>
    </row>
    <row r="279" spans="1:23" hidden="1" x14ac:dyDescent="0.55000000000000004">
      <c r="A279" s="1" t="s">
        <v>2052</v>
      </c>
      <c r="B279" s="1">
        <v>142</v>
      </c>
      <c r="C279">
        <v>641.90002000000004</v>
      </c>
      <c r="D279">
        <v>612</v>
      </c>
      <c r="E279">
        <v>10.10008</v>
      </c>
      <c r="F279" t="s">
        <v>0</v>
      </c>
      <c r="G279" s="10" t="s">
        <v>779</v>
      </c>
      <c r="H279">
        <v>99</v>
      </c>
      <c r="I279" t="s">
        <v>2051</v>
      </c>
      <c r="J279">
        <f ca="1">VLOOKUP(G279,INDIRECT("球速変換!A$1:B$" &amp; Prams!$B$8),2,)</f>
        <v>96</v>
      </c>
      <c r="K279" t="str">
        <f ca="1">VLOOKUP(I279,INDIRECT("投手名変換!A$1:B$" &amp; Prams!$B$9),2,)</f>
        <v>DD013</v>
      </c>
      <c r="L279">
        <f t="shared" si="22"/>
        <v>43</v>
      </c>
      <c r="M279">
        <f ca="1">(B279-VLOOKUP(K279,INDIRECT("投手データ!B1:D"&amp;Prams!$B$1),3,FALSE)*2)</f>
        <v>48</v>
      </c>
      <c r="N279" t="str">
        <f ca="1">VLOOKUP(F279,INDIRECT("球種変換表!A$1:B$" &amp; Prams!$B$2),2,)</f>
        <v>ストレート</v>
      </c>
      <c r="O279">
        <f ca="1">VLOOKUP(N279,球種情報!A:B,2,FALSE)</f>
        <v>1</v>
      </c>
      <c r="P279">
        <f ca="1">VLOOKUP(K279,投手データ!B:AI,output!O279+6,FALSE)</f>
        <v>1</v>
      </c>
      <c r="R279">
        <f t="shared" ca="1" si="23"/>
        <v>1.0416666666666666E-2</v>
      </c>
      <c r="S279">
        <f t="shared" si="24"/>
        <v>0.70833333333333337</v>
      </c>
      <c r="T279">
        <f>Prams!B$5/(S279-Prams!B$6)</f>
        <v>95.400956740908384</v>
      </c>
      <c r="U279">
        <f t="shared" ca="1" si="25"/>
        <v>0.79166666666666663</v>
      </c>
      <c r="V279">
        <f ca="1">Prams!C$5/(U279-Prams!C$6)</f>
        <v>95.396049789116361</v>
      </c>
      <c r="W279">
        <f t="shared" ca="1" si="26"/>
        <v>0.99370885196996206</v>
      </c>
    </row>
    <row r="280" spans="1:23" hidden="1" x14ac:dyDescent="0.55000000000000004">
      <c r="A280" s="1" t="s">
        <v>788</v>
      </c>
      <c r="B280" s="1">
        <v>134</v>
      </c>
      <c r="C280">
        <v>641.95001000000002</v>
      </c>
      <c r="D280">
        <v>620.5</v>
      </c>
      <c r="E280">
        <v>10.062519999999999</v>
      </c>
      <c r="F280" t="s">
        <v>343</v>
      </c>
      <c r="G280" s="10" t="s">
        <v>775</v>
      </c>
      <c r="H280">
        <v>98</v>
      </c>
      <c r="I280" t="s">
        <v>1609</v>
      </c>
      <c r="J280">
        <f ca="1">VLOOKUP(G280,INDIRECT("球速変換!A$1:B$" &amp; Prams!$B$8),2,)</f>
        <v>97</v>
      </c>
      <c r="K280" t="str">
        <f ca="1">VLOOKUP(I280,INDIRECT("投手名変換!A$1:B$" &amp; Prams!$B$9),2,)</f>
        <v>DD013</v>
      </c>
      <c r="L280">
        <f t="shared" si="22"/>
        <v>36</v>
      </c>
      <c r="M280">
        <f ca="1">(B280-VLOOKUP(K280,INDIRECT("投手データ!B1:D"&amp;Prams!$B$1),3,FALSE)*2)</f>
        <v>40</v>
      </c>
      <c r="N280" t="str">
        <f ca="1">VLOOKUP(F280,INDIRECT("球種変換表!A$1:B$" &amp; Prams!$B$2),2,)</f>
        <v>全力ストレート</v>
      </c>
      <c r="O280">
        <f ca="1">VLOOKUP(N280,球種情報!A:B,2,FALSE)</f>
        <v>2</v>
      </c>
      <c r="P280">
        <f ca="1">VLOOKUP(K280,投手データ!B:AI,output!O280+6,FALSE)</f>
        <v>1</v>
      </c>
      <c r="R280">
        <f t="shared" ca="1" si="23"/>
        <v>1.0309278350515464E-2</v>
      </c>
      <c r="S280">
        <f t="shared" si="24"/>
        <v>0.58576388888888897</v>
      </c>
      <c r="T280">
        <f>Prams!B$5/(S280-Prams!B$6)</f>
        <v>117.65413629227083</v>
      </c>
      <c r="U280">
        <f t="shared" ca="1" si="25"/>
        <v>0.65243055555555562</v>
      </c>
      <c r="V280">
        <f ca="1">Prams!C$5/(U280-Prams!C$6)</f>
        <v>121.50017196294333</v>
      </c>
      <c r="W280">
        <f t="shared" ca="1" si="26"/>
        <v>1.2525790924014777</v>
      </c>
    </row>
    <row r="281" spans="1:23" hidden="1" x14ac:dyDescent="0.55000000000000004">
      <c r="A281" s="1" t="s">
        <v>791</v>
      </c>
      <c r="B281" s="1">
        <v>133</v>
      </c>
      <c r="C281">
        <v>639</v>
      </c>
      <c r="D281">
        <v>603.5</v>
      </c>
      <c r="E281">
        <v>10.012589999999999</v>
      </c>
      <c r="F281" t="s">
        <v>343</v>
      </c>
      <c r="G281" s="10" t="s">
        <v>807</v>
      </c>
      <c r="H281">
        <v>98</v>
      </c>
      <c r="I281" t="s">
        <v>811</v>
      </c>
      <c r="J281">
        <f ca="1">VLOOKUP(G281,INDIRECT("球速変換!A$1:B$" &amp; Prams!$B$8),2,)</f>
        <v>98</v>
      </c>
      <c r="K281" t="str">
        <f ca="1">VLOOKUP(I281,INDIRECT("投手名変換!A$1:B$" &amp; Prams!$B$9),2,)</f>
        <v>DD014</v>
      </c>
      <c r="L281">
        <f t="shared" si="22"/>
        <v>35</v>
      </c>
      <c r="M281">
        <f ca="1">(B281-VLOOKUP(K281,INDIRECT("投手データ!B1:D"&amp;Prams!$B$1),3,FALSE)*2)</f>
        <v>39</v>
      </c>
      <c r="N281" t="str">
        <f ca="1">VLOOKUP(F281,INDIRECT("球種変換表!A$1:B$" &amp; Prams!$B$2),2,)</f>
        <v>全力ストレート</v>
      </c>
      <c r="O281">
        <f ca="1">VLOOKUP(N281,球種情報!A:B,2,FALSE)</f>
        <v>2</v>
      </c>
      <c r="P281">
        <f ca="1">VLOOKUP(K281,投手データ!B:AI,output!O281+6,FALSE)</f>
        <v>1</v>
      </c>
      <c r="R281">
        <f t="shared" ca="1" si="23"/>
        <v>1.020408163265306E-2</v>
      </c>
      <c r="S281">
        <f t="shared" si="24"/>
        <v>0.58090277777777777</v>
      </c>
      <c r="T281">
        <f>Prams!B$5/(S281-Prams!B$6)</f>
        <v>118.75272787420566</v>
      </c>
      <c r="U281">
        <f t="shared" ca="1" si="25"/>
        <v>0.64756944444444442</v>
      </c>
      <c r="V281">
        <f ca="1">Prams!C$5/(U281-Prams!C$6)</f>
        <v>122.67211967215825</v>
      </c>
      <c r="W281">
        <f t="shared" ca="1" si="26"/>
        <v>1.2517563231852882</v>
      </c>
    </row>
    <row r="282" spans="1:23" hidden="1" x14ac:dyDescent="0.55000000000000004">
      <c r="A282" s="1" t="s">
        <v>794</v>
      </c>
      <c r="B282" s="1">
        <v>134</v>
      </c>
      <c r="C282">
        <v>641.5</v>
      </c>
      <c r="D282">
        <v>619</v>
      </c>
      <c r="E282">
        <v>10.547610000000001</v>
      </c>
      <c r="F282" t="s">
        <v>343</v>
      </c>
      <c r="G282" s="10" t="s">
        <v>1610</v>
      </c>
      <c r="H282">
        <v>98</v>
      </c>
      <c r="I282" t="s">
        <v>1611</v>
      </c>
      <c r="J282">
        <f ca="1">VLOOKUP(G282,INDIRECT("球速変換!A$1:B$" &amp; Prams!$B$8),2,)</f>
        <v>96</v>
      </c>
      <c r="K282" t="str">
        <f ca="1">VLOOKUP(I282,INDIRECT("投手名変換!A$1:B$" &amp; Prams!$B$9),2,)</f>
        <v>DD013</v>
      </c>
      <c r="L282">
        <f t="shared" si="22"/>
        <v>36</v>
      </c>
      <c r="M282">
        <f ca="1">(B282-VLOOKUP(K282,INDIRECT("投手データ!B1:D"&amp;Prams!$B$1),3,FALSE)*2)</f>
        <v>40</v>
      </c>
      <c r="N282" t="str">
        <f ca="1">VLOOKUP(F282,INDIRECT("球種変換表!A$1:B$" &amp; Prams!$B$2),2,)</f>
        <v>全力ストレート</v>
      </c>
      <c r="O282">
        <f ca="1">VLOOKUP(N282,球種情報!A:B,2,FALSE)</f>
        <v>2</v>
      </c>
      <c r="P282">
        <f ca="1">VLOOKUP(K282,投手データ!B:AI,output!O282+6,FALSE)</f>
        <v>1</v>
      </c>
      <c r="R282">
        <f t="shared" ca="1" si="23"/>
        <v>1.0416666666666666E-2</v>
      </c>
      <c r="S282">
        <f t="shared" si="24"/>
        <v>0.58680555555555558</v>
      </c>
      <c r="T282">
        <f>Prams!B$5/(S282-Prams!B$6)</f>
        <v>117.42136307520234</v>
      </c>
      <c r="U282">
        <f t="shared" ca="1" si="25"/>
        <v>0.65347222222222223</v>
      </c>
      <c r="V282">
        <f ca="1">Prams!C$5/(U282-Prams!C$6)</f>
        <v>121.25194765573073</v>
      </c>
      <c r="W282">
        <f t="shared" ca="1" si="26"/>
        <v>1.2630411214138617</v>
      </c>
    </row>
    <row r="283" spans="1:23" hidden="1" x14ac:dyDescent="0.55000000000000004">
      <c r="A283" s="1" t="s">
        <v>796</v>
      </c>
      <c r="B283" s="1">
        <v>134</v>
      </c>
      <c r="C283">
        <v>640.5</v>
      </c>
      <c r="D283">
        <v>616.5</v>
      </c>
      <c r="E283">
        <v>10.512</v>
      </c>
      <c r="F283" t="s">
        <v>343</v>
      </c>
      <c r="G283" s="10" t="s">
        <v>792</v>
      </c>
      <c r="H283">
        <v>98</v>
      </c>
      <c r="I283" t="s">
        <v>1612</v>
      </c>
      <c r="J283">
        <f ca="1">VLOOKUP(G283,INDIRECT("球速変換!A$1:B$" &amp; Prams!$B$8),2,)</f>
        <v>96</v>
      </c>
      <c r="K283" t="str">
        <f ca="1">VLOOKUP(I283,INDIRECT("投手名変換!A$1:B$" &amp; Prams!$B$9),2,)</f>
        <v>DD013</v>
      </c>
      <c r="L283">
        <f t="shared" si="22"/>
        <v>36</v>
      </c>
      <c r="M283">
        <f ca="1">(B283-VLOOKUP(K283,INDIRECT("投手データ!B1:D"&amp;Prams!$B$1),3,FALSE)*2)</f>
        <v>40</v>
      </c>
      <c r="N283" t="str">
        <f ca="1">VLOOKUP(F283,INDIRECT("球種変換表!A$1:B$" &amp; Prams!$B$2),2,)</f>
        <v>全力ストレート</v>
      </c>
      <c r="O283">
        <f ca="1">VLOOKUP(N283,球種情報!A:B,2,FALSE)</f>
        <v>2</v>
      </c>
      <c r="P283">
        <f ca="1">VLOOKUP(K283,投手データ!B:AI,output!O283+6,FALSE)</f>
        <v>1</v>
      </c>
      <c r="R283">
        <f t="shared" ca="1" si="23"/>
        <v>1.0416666666666666E-2</v>
      </c>
      <c r="S283">
        <f t="shared" si="24"/>
        <v>0.58854166666666663</v>
      </c>
      <c r="T283">
        <f>Prams!B$5/(S283-Prams!B$6)</f>
        <v>117.03544779062615</v>
      </c>
      <c r="U283">
        <f t="shared" ca="1" si="25"/>
        <v>0.65520833333333328</v>
      </c>
      <c r="V283">
        <f ca="1">Prams!C$5/(U283-Prams!C$6)</f>
        <v>120.84048670043819</v>
      </c>
      <c r="W283">
        <f t="shared" ca="1" si="26"/>
        <v>1.2587550697962311</v>
      </c>
    </row>
    <row r="284" spans="1:23" hidden="1" x14ac:dyDescent="0.55000000000000004">
      <c r="A284" s="1" t="s">
        <v>799</v>
      </c>
      <c r="B284" s="1">
        <v>134</v>
      </c>
      <c r="C284">
        <v>640</v>
      </c>
      <c r="D284">
        <v>611.5</v>
      </c>
      <c r="E284">
        <v>11.01146</v>
      </c>
      <c r="F284" t="s">
        <v>343</v>
      </c>
      <c r="G284" s="10" t="s">
        <v>1613</v>
      </c>
      <c r="H284">
        <v>98</v>
      </c>
      <c r="I284" t="s">
        <v>1614</v>
      </c>
      <c r="J284">
        <v>95</v>
      </c>
      <c r="K284" t="str">
        <f ca="1">VLOOKUP(I284,INDIRECT("投手名変換!A$1:B$" &amp; Prams!$B$9),2,)</f>
        <v>DD013</v>
      </c>
      <c r="L284">
        <f t="shared" si="22"/>
        <v>36</v>
      </c>
      <c r="M284">
        <f ca="1">(B284-VLOOKUP(K284,INDIRECT("投手データ!B1:D"&amp;Prams!$B$1),3,FALSE)*2)</f>
        <v>40</v>
      </c>
      <c r="N284" t="str">
        <f ca="1">VLOOKUP(F284,INDIRECT("球種変換表!A$1:B$" &amp; Prams!$B$2),2,)</f>
        <v>全力ストレート</v>
      </c>
      <c r="O284">
        <f ca="1">VLOOKUP(N284,球種情報!A:B,2,FALSE)</f>
        <v>2</v>
      </c>
      <c r="P284">
        <f ca="1">VLOOKUP(K284,投手データ!B:AI,output!O284+6,FALSE)</f>
        <v>1</v>
      </c>
      <c r="R284">
        <f t="shared" si="23"/>
        <v>1.0526315789473684E-2</v>
      </c>
      <c r="S284">
        <f t="shared" si="24"/>
        <v>0.59201388888888895</v>
      </c>
      <c r="T284">
        <f>Prams!B$5/(S284-Prams!B$6)</f>
        <v>116.27117758610781</v>
      </c>
      <c r="U284">
        <f t="shared" ca="1" si="25"/>
        <v>0.6586805555555556</v>
      </c>
      <c r="V284">
        <f ca="1">Prams!C$5/(U284-Prams!C$6)</f>
        <v>120.02588591859957</v>
      </c>
      <c r="W284">
        <f t="shared" ca="1" si="26"/>
        <v>1.2634303780905218</v>
      </c>
    </row>
    <row r="285" spans="1:23" hidden="1" x14ac:dyDescent="0.55000000000000004">
      <c r="A285" s="1" t="s">
        <v>802</v>
      </c>
      <c r="B285" s="1">
        <v>133</v>
      </c>
      <c r="C285">
        <v>639</v>
      </c>
      <c r="D285">
        <v>603.5</v>
      </c>
      <c r="E285">
        <v>10.012589999999999</v>
      </c>
      <c r="F285" t="s">
        <v>343</v>
      </c>
      <c r="G285" s="10" t="s">
        <v>789</v>
      </c>
      <c r="H285">
        <v>98</v>
      </c>
      <c r="I285" t="s">
        <v>1615</v>
      </c>
      <c r="J285">
        <f ca="1">VLOOKUP(G285,INDIRECT("球速変換!A$1:B$" &amp; Prams!$B$8),2,)</f>
        <v>98</v>
      </c>
      <c r="K285" t="str">
        <f ca="1">VLOOKUP(I285,INDIRECT("投手名変換!A$1:B$" &amp; Prams!$B$9),2,)</f>
        <v>DD013</v>
      </c>
      <c r="L285">
        <f t="shared" si="22"/>
        <v>35</v>
      </c>
      <c r="M285">
        <f ca="1">(B285-VLOOKUP(K285,INDIRECT("投手データ!B1:D"&amp;Prams!$B$1),3,FALSE)*2)</f>
        <v>39</v>
      </c>
      <c r="N285" t="str">
        <f ca="1">VLOOKUP(F285,INDIRECT("球種変換表!A$1:B$" &amp; Prams!$B$2),2,)</f>
        <v>全力ストレート</v>
      </c>
      <c r="O285">
        <f ca="1">VLOOKUP(N285,球種情報!A:B,2,FALSE)</f>
        <v>2</v>
      </c>
      <c r="P285">
        <f ca="1">VLOOKUP(K285,投手データ!B:AI,output!O285+6,FALSE)</f>
        <v>1</v>
      </c>
      <c r="R285">
        <f t="shared" ca="1" si="23"/>
        <v>1.020408163265306E-2</v>
      </c>
      <c r="S285">
        <f t="shared" si="24"/>
        <v>0.58090277777777777</v>
      </c>
      <c r="T285">
        <f>Prams!B$5/(S285-Prams!B$6)</f>
        <v>118.75272787420566</v>
      </c>
      <c r="U285">
        <f t="shared" ca="1" si="25"/>
        <v>0.64756944444444442</v>
      </c>
      <c r="V285">
        <f ca="1">Prams!C$5/(U285-Prams!C$6)</f>
        <v>122.67211967215825</v>
      </c>
      <c r="W285">
        <f t="shared" ca="1" si="26"/>
        <v>1.2517563231852882</v>
      </c>
    </row>
    <row r="286" spans="1:23" hidden="1" x14ac:dyDescent="0.55000000000000004">
      <c r="A286" s="1" t="s">
        <v>805</v>
      </c>
      <c r="B286" s="1">
        <v>134</v>
      </c>
      <c r="C286">
        <v>641</v>
      </c>
      <c r="D286">
        <v>614.5</v>
      </c>
      <c r="E286">
        <v>11.01146</v>
      </c>
      <c r="F286" t="s">
        <v>343</v>
      </c>
      <c r="G286" s="10" t="s">
        <v>1616</v>
      </c>
      <c r="H286">
        <v>98</v>
      </c>
      <c r="I286" t="s">
        <v>1617</v>
      </c>
      <c r="J286">
        <f ca="1">VLOOKUP(G286,INDIRECT("球速変換!A$1:B$" &amp; Prams!$B$8),2,)</f>
        <v>95</v>
      </c>
      <c r="K286" t="str">
        <f ca="1">VLOOKUP(I286,INDIRECT("投手名変換!A$1:B$" &amp; Prams!$B$9),2,)</f>
        <v>DD013</v>
      </c>
      <c r="L286">
        <f t="shared" si="22"/>
        <v>36</v>
      </c>
      <c r="M286">
        <f ca="1">(B286-VLOOKUP(K286,INDIRECT("投手データ!B1:D"&amp;Prams!$B$1),3,FALSE)*2)</f>
        <v>40</v>
      </c>
      <c r="N286" t="str">
        <f ca="1">VLOOKUP(F286,INDIRECT("球種変換表!A$1:B$" &amp; Prams!$B$2),2,)</f>
        <v>全力ストレート</v>
      </c>
      <c r="O286">
        <f ca="1">VLOOKUP(N286,球種情報!A:B,2,FALSE)</f>
        <v>2</v>
      </c>
      <c r="P286">
        <f ca="1">VLOOKUP(K286,投手データ!B:AI,output!O286+6,FALSE)</f>
        <v>1</v>
      </c>
      <c r="R286">
        <f t="shared" ca="1" si="23"/>
        <v>1.0526315789473684E-2</v>
      </c>
      <c r="S286">
        <f t="shared" si="24"/>
        <v>0.58993055555555562</v>
      </c>
      <c r="T286">
        <f>Prams!B$5/(S286-Prams!B$6)</f>
        <v>116.72853718787204</v>
      </c>
      <c r="U286">
        <f t="shared" ca="1" si="25"/>
        <v>0.65659722222222228</v>
      </c>
      <c r="V286">
        <f ca="1">Prams!C$5/(U286-Prams!C$6)</f>
        <v>120.5133231174091</v>
      </c>
      <c r="W286">
        <f t="shared" ca="1" si="26"/>
        <v>1.2685612959727275</v>
      </c>
    </row>
    <row r="287" spans="1:23" hidden="1" x14ac:dyDescent="0.55000000000000004">
      <c r="A287" s="1" t="s">
        <v>809</v>
      </c>
      <c r="B287" s="1">
        <v>133</v>
      </c>
      <c r="C287">
        <v>639</v>
      </c>
      <c r="D287">
        <v>603.5</v>
      </c>
      <c r="E287">
        <v>10.012589999999999</v>
      </c>
      <c r="F287" t="s">
        <v>343</v>
      </c>
      <c r="G287" s="10" t="s">
        <v>807</v>
      </c>
      <c r="H287">
        <v>98</v>
      </c>
      <c r="I287" t="s">
        <v>856</v>
      </c>
      <c r="J287">
        <f ca="1">VLOOKUP(G287,INDIRECT("球速変換!A$1:B$" &amp; Prams!$B$8),2,)</f>
        <v>98</v>
      </c>
      <c r="K287" t="str">
        <f ca="1">VLOOKUP(I287,INDIRECT("投手名変換!A$1:B$" &amp; Prams!$B$9),2,)</f>
        <v>DD015</v>
      </c>
      <c r="L287">
        <f t="shared" si="22"/>
        <v>35</v>
      </c>
      <c r="M287">
        <f ca="1">(B287-VLOOKUP(K287,INDIRECT("投手データ!B1:D"&amp;Prams!$B$1),3,FALSE)*2)</f>
        <v>39</v>
      </c>
      <c r="N287" t="str">
        <f ca="1">VLOOKUP(F287,INDIRECT("球種変換表!A$1:B$" &amp; Prams!$B$2),2,)</f>
        <v>全力ストレート</v>
      </c>
      <c r="O287">
        <f ca="1">VLOOKUP(N287,球種情報!A:B,2,FALSE)</f>
        <v>2</v>
      </c>
      <c r="P287">
        <f ca="1">VLOOKUP(K287,投手データ!B:AI,output!O287+6,FALSE)</f>
        <v>1</v>
      </c>
      <c r="R287">
        <f t="shared" ca="1" si="23"/>
        <v>1.020408163265306E-2</v>
      </c>
      <c r="S287">
        <f t="shared" si="24"/>
        <v>0.58090277777777777</v>
      </c>
      <c r="T287">
        <f>Prams!B$5/(S287-Prams!B$6)</f>
        <v>118.75272787420566</v>
      </c>
      <c r="U287">
        <f t="shared" ca="1" si="25"/>
        <v>0.64756944444444442</v>
      </c>
      <c r="V287">
        <f ca="1">Prams!C$5/(U287-Prams!C$6)</f>
        <v>122.67211967215825</v>
      </c>
      <c r="W287">
        <f t="shared" ca="1" si="26"/>
        <v>1.2517563231852882</v>
      </c>
    </row>
    <row r="288" spans="1:23" hidden="1" x14ac:dyDescent="0.55000000000000004">
      <c r="A288" s="1" t="s">
        <v>812</v>
      </c>
      <c r="B288" s="1">
        <v>134</v>
      </c>
      <c r="C288">
        <v>641</v>
      </c>
      <c r="D288">
        <v>615</v>
      </c>
      <c r="E288">
        <v>11.0001</v>
      </c>
      <c r="F288" t="s">
        <v>343</v>
      </c>
      <c r="G288" s="10" t="s">
        <v>810</v>
      </c>
      <c r="H288">
        <v>98</v>
      </c>
      <c r="I288" t="s">
        <v>1618</v>
      </c>
      <c r="J288">
        <f ca="1">VLOOKUP(G288,INDIRECT("球速変換!A$1:B$" &amp; Prams!$B$8),2,)</f>
        <v>95</v>
      </c>
      <c r="K288" t="str">
        <f ca="1">VLOOKUP(I288,INDIRECT("投手名変換!A$1:B$" &amp; Prams!$B$9),2,)</f>
        <v>DD013</v>
      </c>
      <c r="L288">
        <f t="shared" si="22"/>
        <v>36</v>
      </c>
      <c r="M288">
        <f ca="1">(B288-VLOOKUP(K288,INDIRECT("投手データ!B1:D"&amp;Prams!$B$1),3,FALSE)*2)</f>
        <v>40</v>
      </c>
      <c r="N288" t="str">
        <f ca="1">VLOOKUP(F288,INDIRECT("球種変換表!A$1:B$" &amp; Prams!$B$2),2,)</f>
        <v>全力ストレート</v>
      </c>
      <c r="O288">
        <f ca="1">VLOOKUP(N288,球種情報!A:B,2,FALSE)</f>
        <v>2</v>
      </c>
      <c r="P288">
        <f ca="1">VLOOKUP(K288,投手データ!B:AI,output!O288+6,FALSE)</f>
        <v>1</v>
      </c>
      <c r="R288">
        <f t="shared" ca="1" si="23"/>
        <v>1.0526315789473684E-2</v>
      </c>
      <c r="S288">
        <f t="shared" si="24"/>
        <v>0.58958333333333335</v>
      </c>
      <c r="T288">
        <f>Prams!B$5/(S288-Prams!B$6)</f>
        <v>116.80511383317064</v>
      </c>
      <c r="U288">
        <f t="shared" ca="1" si="25"/>
        <v>0.65625</v>
      </c>
      <c r="V288">
        <f ca="1">Prams!C$5/(U288-Prams!C$6)</f>
        <v>120.59494782015018</v>
      </c>
      <c r="W288">
        <f t="shared" ca="1" si="26"/>
        <v>1.2694205033700019</v>
      </c>
    </row>
    <row r="289" spans="1:24" hidden="1" x14ac:dyDescent="0.55000000000000004">
      <c r="A289" s="1" t="s">
        <v>816</v>
      </c>
      <c r="B289" s="1">
        <v>134</v>
      </c>
      <c r="C289">
        <v>640.5</v>
      </c>
      <c r="D289">
        <v>611.5</v>
      </c>
      <c r="E289">
        <v>10.512</v>
      </c>
      <c r="F289" t="s">
        <v>343</v>
      </c>
      <c r="G289" s="10" t="s">
        <v>814</v>
      </c>
      <c r="H289">
        <v>98</v>
      </c>
      <c r="I289" t="s">
        <v>1619</v>
      </c>
      <c r="J289">
        <v>95</v>
      </c>
      <c r="K289" t="str">
        <f ca="1">VLOOKUP(I289,INDIRECT("投手名変換!A$1:B$" &amp; Prams!$B$9),2,)</f>
        <v>DD013</v>
      </c>
      <c r="L289">
        <f t="shared" si="22"/>
        <v>36</v>
      </c>
      <c r="M289">
        <f ca="1">(B289-VLOOKUP(K289,INDIRECT("投手データ!B1:D"&amp;Prams!$B$1),3,FALSE)*2)</f>
        <v>40</v>
      </c>
      <c r="N289" t="str">
        <f ca="1">VLOOKUP(F289,INDIRECT("球種変換表!A$1:B$" &amp; Prams!$B$2),2,)</f>
        <v>全力ストレート</v>
      </c>
      <c r="O289">
        <f ca="1">VLOOKUP(N289,球種情報!A:B,2,FALSE)</f>
        <v>2</v>
      </c>
      <c r="P289">
        <f ca="1">VLOOKUP(K289,投手データ!B:AI,output!O289+6,FALSE)</f>
        <v>1</v>
      </c>
      <c r="R289">
        <f t="shared" si="23"/>
        <v>1.0526315789473684E-2</v>
      </c>
      <c r="S289">
        <f t="shared" si="24"/>
        <v>0.59201388888888895</v>
      </c>
      <c r="T289">
        <f>Prams!B$5/(S289-Prams!B$6)</f>
        <v>116.27117758610781</v>
      </c>
      <c r="U289">
        <f t="shared" ca="1" si="25"/>
        <v>0.6586805555555556</v>
      </c>
      <c r="V289">
        <f ca="1">Prams!C$5/(U289-Prams!C$6)</f>
        <v>120.02588591859957</v>
      </c>
      <c r="W289">
        <f t="shared" ca="1" si="26"/>
        <v>1.2634303780905218</v>
      </c>
    </row>
    <row r="290" spans="1:24" hidden="1" x14ac:dyDescent="0.55000000000000004">
      <c r="A290" s="1" t="s">
        <v>2054</v>
      </c>
      <c r="B290" s="1">
        <v>140</v>
      </c>
      <c r="C290">
        <v>640.5</v>
      </c>
      <c r="D290">
        <v>600.5</v>
      </c>
      <c r="E290">
        <v>10.512</v>
      </c>
      <c r="F290" t="s">
        <v>656</v>
      </c>
      <c r="G290" s="10" t="s">
        <v>587</v>
      </c>
      <c r="H290">
        <v>99</v>
      </c>
      <c r="I290" t="s">
        <v>2053</v>
      </c>
      <c r="J290">
        <v>99</v>
      </c>
      <c r="K290" t="s">
        <v>221</v>
      </c>
      <c r="L290">
        <f t="shared" si="22"/>
        <v>41</v>
      </c>
      <c r="M290">
        <f ca="1">(B290-VLOOKUP(K290,INDIRECT("投手データ!B1:D"&amp;Prams!$B$1),3,FALSE)*2)</f>
        <v>46</v>
      </c>
      <c r="N290" t="str">
        <f ca="1">VLOOKUP(F290,INDIRECT("球種変換表!A$1:B$" &amp; Prams!$B$2),2,)</f>
        <v>ストレート</v>
      </c>
      <c r="O290">
        <f ca="1">VLOOKUP(N290,球種情報!A:B,2,FALSE)</f>
        <v>1</v>
      </c>
      <c r="P290">
        <f ca="1">VLOOKUP(K290,投手データ!B:AI,output!O290+6,FALSE)</f>
        <v>1</v>
      </c>
      <c r="R290">
        <f t="shared" si="23"/>
        <v>1.0101010101010102E-2</v>
      </c>
      <c r="S290">
        <f t="shared" si="24"/>
        <v>0.68298611111111107</v>
      </c>
      <c r="T290">
        <f>Prams!B$5/(S290-Prams!B$6)</f>
        <v>99.284372811341555</v>
      </c>
      <c r="U290">
        <f t="shared" ca="1" si="25"/>
        <v>0.76631944444444444</v>
      </c>
      <c r="V290">
        <f ca="1">Prams!C$5/(U290-Prams!C$6)</f>
        <v>99.279058252557121</v>
      </c>
      <c r="W290">
        <f t="shared" ca="1" si="26"/>
        <v>1.0028187702278497</v>
      </c>
    </row>
    <row r="291" spans="1:24" hidden="1" x14ac:dyDescent="0.55000000000000004">
      <c r="A291" s="1" t="s">
        <v>2055</v>
      </c>
      <c r="B291" s="1">
        <v>140</v>
      </c>
      <c r="C291">
        <v>642.47619999999995</v>
      </c>
      <c r="D291">
        <v>602</v>
      </c>
      <c r="E291">
        <v>10.523899999999999</v>
      </c>
      <c r="F291" t="s">
        <v>0</v>
      </c>
      <c r="G291" s="10" t="s">
        <v>814</v>
      </c>
      <c r="H291">
        <v>99</v>
      </c>
      <c r="I291" t="s">
        <v>839</v>
      </c>
      <c r="J291">
        <v>99</v>
      </c>
      <c r="K291" t="s">
        <v>221</v>
      </c>
      <c r="L291">
        <f t="shared" si="22"/>
        <v>41</v>
      </c>
      <c r="M291">
        <f ca="1">(B291-VLOOKUP(K291,INDIRECT("投手データ!B1:D"&amp;Prams!$B$1),3,FALSE)*2)</f>
        <v>46</v>
      </c>
      <c r="N291" t="str">
        <f ca="1">VLOOKUP(F291,INDIRECT("球種変換表!A$1:B$" &amp; Prams!$B$2),2,)</f>
        <v>ストレート</v>
      </c>
      <c r="O291">
        <f ca="1">VLOOKUP(N291,球種情報!A:B,2,FALSE)</f>
        <v>1</v>
      </c>
      <c r="P291">
        <f ca="1">VLOOKUP(K291,投手データ!B:AI,output!O291+6,FALSE)</f>
        <v>1</v>
      </c>
      <c r="R291">
        <f t="shared" si="23"/>
        <v>1.0101010101010102E-2</v>
      </c>
      <c r="S291">
        <f t="shared" si="24"/>
        <v>0.68194444444444435</v>
      </c>
      <c r="T291">
        <f>Prams!B$5/(S291-Prams!B$6)</f>
        <v>99.45073997283194</v>
      </c>
      <c r="U291">
        <f t="shared" ca="1" si="25"/>
        <v>0.76527777777777772</v>
      </c>
      <c r="V291">
        <f ca="1">Prams!C$5/(U291-Prams!C$6)</f>
        <v>99.445407588783041</v>
      </c>
      <c r="W291">
        <f t="shared" ca="1" si="26"/>
        <v>1.004499066553364</v>
      </c>
    </row>
    <row r="292" spans="1:24" hidden="1" x14ac:dyDescent="0.55000000000000004">
      <c r="A292" s="1" t="s">
        <v>2056</v>
      </c>
      <c r="B292" s="1">
        <v>140</v>
      </c>
      <c r="C292">
        <v>642.5</v>
      </c>
      <c r="D292">
        <v>612.5</v>
      </c>
      <c r="E292">
        <v>10.512</v>
      </c>
      <c r="F292" t="s">
        <v>0</v>
      </c>
      <c r="G292" s="10" t="s">
        <v>644</v>
      </c>
      <c r="H292">
        <v>99</v>
      </c>
      <c r="I292" t="s">
        <v>2053</v>
      </c>
      <c r="J292">
        <v>101</v>
      </c>
      <c r="K292" t="s">
        <v>221</v>
      </c>
      <c r="L292">
        <f t="shared" si="22"/>
        <v>41</v>
      </c>
      <c r="M292">
        <f ca="1">(B292-VLOOKUP(K292,INDIRECT("投手データ!B1:D"&amp;Prams!$B$1),3,FALSE)*2)</f>
        <v>46</v>
      </c>
      <c r="N292" t="str">
        <f ca="1">VLOOKUP(F292,INDIRECT("球種変換表!A$1:B$" &amp; Prams!$B$2),2,)</f>
        <v>ストレート</v>
      </c>
      <c r="O292">
        <f ca="1">VLOOKUP(N292,球種情報!A:B,2,FALSE)</f>
        <v>1</v>
      </c>
      <c r="P292">
        <f ca="1">VLOOKUP(K292,投手データ!B:AI,output!O292+6,FALSE)</f>
        <v>1</v>
      </c>
      <c r="R292">
        <f t="shared" si="23"/>
        <v>9.9009900990099011E-3</v>
      </c>
      <c r="S292">
        <f t="shared" si="24"/>
        <v>0.67465277777777777</v>
      </c>
      <c r="T292">
        <f>Prams!B$5/(S292-Prams!B$6)</f>
        <v>100.63110681069057</v>
      </c>
      <c r="U292">
        <f t="shared" ca="1" si="25"/>
        <v>0.75798611111111103</v>
      </c>
      <c r="V292">
        <f ca="1">Prams!C$5/(U292-Prams!C$6)</f>
        <v>100.62564710031242</v>
      </c>
      <c r="W292">
        <f t="shared" ca="1" si="26"/>
        <v>0.99629353564665768</v>
      </c>
    </row>
    <row r="293" spans="1:24" hidden="1" x14ac:dyDescent="0.55000000000000004">
      <c r="A293" s="1" t="s">
        <v>2058</v>
      </c>
      <c r="B293" s="1">
        <v>140</v>
      </c>
      <c r="C293">
        <v>638.5</v>
      </c>
      <c r="D293">
        <v>604.5</v>
      </c>
      <c r="E293">
        <v>10.512</v>
      </c>
      <c r="F293" t="s">
        <v>0</v>
      </c>
      <c r="G293" s="10" t="s">
        <v>2449</v>
      </c>
      <c r="H293">
        <v>99</v>
      </c>
      <c r="I293" t="s">
        <v>2057</v>
      </c>
      <c r="J293" t="e">
        <f ca="1">VLOOKUP(G293,INDIRECT("球速変換!A$1:B$" &amp; Prams!$B$8),2,)</f>
        <v>#N/A</v>
      </c>
      <c r="K293" t="s">
        <v>221</v>
      </c>
      <c r="L293">
        <f t="shared" si="22"/>
        <v>41</v>
      </c>
      <c r="M293">
        <f ca="1">(B293-VLOOKUP(K293,INDIRECT("投手データ!B1:D"&amp;Prams!$B$1),3,FALSE)*2)</f>
        <v>46</v>
      </c>
      <c r="N293" t="str">
        <f ca="1">VLOOKUP(F293,INDIRECT("球種変換表!A$1:B$" &amp; Prams!$B$2),2,)</f>
        <v>ストレート</v>
      </c>
      <c r="O293">
        <f ca="1">VLOOKUP(N293,球種情報!A:B,2,FALSE)</f>
        <v>1</v>
      </c>
      <c r="P293">
        <f ca="1">VLOOKUP(K293,投手データ!B:AI,output!O293+6,FALSE)</f>
        <v>1</v>
      </c>
      <c r="R293" t="e">
        <f t="shared" ca="1" si="23"/>
        <v>#N/A</v>
      </c>
      <c r="S293">
        <f t="shared" si="24"/>
        <v>0.6802083333333333</v>
      </c>
      <c r="T293">
        <f>Prams!B$5/(S293-Prams!B$6)</f>
        <v>99.729261046660127</v>
      </c>
      <c r="U293">
        <f t="shared" ca="1" si="25"/>
        <v>0.76354166666666667</v>
      </c>
      <c r="V293">
        <f ca="1">Prams!C$5/(U293-Prams!C$6)</f>
        <v>99.723898753915023</v>
      </c>
      <c r="W293" t="e">
        <f t="shared" ca="1" si="26"/>
        <v>#N/A</v>
      </c>
    </row>
    <row r="294" spans="1:24" hidden="1" x14ac:dyDescent="0.55000000000000004">
      <c r="A294" s="1" t="s">
        <v>2059</v>
      </c>
      <c r="B294" s="1">
        <v>140</v>
      </c>
      <c r="C294">
        <v>642</v>
      </c>
      <c r="D294">
        <v>601</v>
      </c>
      <c r="E294">
        <v>10.04998</v>
      </c>
      <c r="F294" t="s">
        <v>0</v>
      </c>
      <c r="G294" s="10" t="s">
        <v>814</v>
      </c>
      <c r="H294">
        <v>99</v>
      </c>
      <c r="I294" t="s">
        <v>837</v>
      </c>
      <c r="J294">
        <v>99</v>
      </c>
      <c r="K294" t="s">
        <v>221</v>
      </c>
      <c r="L294">
        <f t="shared" si="22"/>
        <v>41</v>
      </c>
      <c r="M294">
        <f ca="1">(B294-VLOOKUP(K294,INDIRECT("投手データ!B1:D"&amp;Prams!$B$1),3,FALSE)*2)</f>
        <v>46</v>
      </c>
      <c r="N294" t="str">
        <f ca="1">VLOOKUP(F294,INDIRECT("球種変換表!A$1:B$" &amp; Prams!$B$2),2,)</f>
        <v>ストレート</v>
      </c>
      <c r="O294">
        <f ca="1">VLOOKUP(N294,球種情報!A:B,2,FALSE)</f>
        <v>1</v>
      </c>
      <c r="P294">
        <f ca="1">VLOOKUP(K294,投手データ!B:AI,output!O294+6,FALSE)</f>
        <v>1</v>
      </c>
      <c r="R294">
        <f t="shared" si="23"/>
        <v>1.0101010101010102E-2</v>
      </c>
      <c r="S294">
        <f t="shared" si="24"/>
        <v>0.68263888888888891</v>
      </c>
      <c r="T294">
        <f>Prams!B$5/(S294-Prams!B$6)</f>
        <v>99.339766650895811</v>
      </c>
      <c r="U294">
        <f t="shared" ca="1" si="25"/>
        <v>0.76597222222222228</v>
      </c>
      <c r="V294">
        <f ca="1">Prams!C$5/(U294-Prams!C$6)</f>
        <v>99.334446160300629</v>
      </c>
      <c r="W294">
        <f t="shared" ca="1" si="26"/>
        <v>1.0033782440434407</v>
      </c>
    </row>
    <row r="295" spans="1:24" hidden="1" x14ac:dyDescent="0.55000000000000004">
      <c r="A295" s="1" t="s">
        <v>2061</v>
      </c>
      <c r="B295" s="1">
        <v>140</v>
      </c>
      <c r="C295">
        <v>639.5</v>
      </c>
      <c r="D295">
        <v>603.5</v>
      </c>
      <c r="E295">
        <v>10.512</v>
      </c>
      <c r="F295" t="s">
        <v>0</v>
      </c>
      <c r="G295" s="10" t="s">
        <v>2060</v>
      </c>
      <c r="H295">
        <v>99</v>
      </c>
      <c r="I295" t="s">
        <v>2053</v>
      </c>
      <c r="J295">
        <f ca="1">VLOOKUP(G295,INDIRECT("球速変換!A$1:B$" &amp; Prams!$B$8),2,)</f>
        <v>99</v>
      </c>
      <c r="K295" t="s">
        <v>221</v>
      </c>
      <c r="L295">
        <f t="shared" si="22"/>
        <v>41</v>
      </c>
      <c r="M295">
        <f ca="1">(B295-VLOOKUP(K295,INDIRECT("投手データ!B1:D"&amp;Prams!$B$1),3,FALSE)*2)</f>
        <v>46</v>
      </c>
      <c r="N295" t="str">
        <f ca="1">VLOOKUP(F295,INDIRECT("球種変換表!A$1:B$" &amp; Prams!$B$2),2,)</f>
        <v>ストレート</v>
      </c>
      <c r="O295">
        <f ca="1">VLOOKUP(N295,球種情報!A:B,2,FALSE)</f>
        <v>1</v>
      </c>
      <c r="P295">
        <f ca="1">VLOOKUP(K295,投手データ!B:AI,output!O295+6,FALSE)</f>
        <v>1</v>
      </c>
      <c r="R295">
        <f t="shared" ca="1" si="23"/>
        <v>1.0101010101010102E-2</v>
      </c>
      <c r="S295">
        <f t="shared" si="24"/>
        <v>0.68090277777777775</v>
      </c>
      <c r="T295">
        <f>Prams!B$5/(S295-Prams!B$6)</f>
        <v>99.617665620789836</v>
      </c>
      <c r="U295">
        <f t="shared" ca="1" si="25"/>
        <v>0.76423611111111112</v>
      </c>
      <c r="V295">
        <f ca="1">Prams!C$5/(U295-Prams!C$6)</f>
        <v>99.612315321645795</v>
      </c>
      <c r="W295">
        <f t="shared" ca="1" si="26"/>
        <v>1.0061850032489474</v>
      </c>
    </row>
    <row r="296" spans="1:24" hidden="1" x14ac:dyDescent="0.55000000000000004">
      <c r="A296" s="1" t="s">
        <v>2063</v>
      </c>
      <c r="B296" s="1">
        <v>140</v>
      </c>
      <c r="C296">
        <v>640.5</v>
      </c>
      <c r="D296">
        <v>614.5</v>
      </c>
      <c r="E296">
        <v>10.512</v>
      </c>
      <c r="F296" t="s">
        <v>0</v>
      </c>
      <c r="G296" s="10" t="s">
        <v>2450</v>
      </c>
      <c r="H296">
        <v>99</v>
      </c>
      <c r="I296" t="s">
        <v>1624</v>
      </c>
      <c r="J296">
        <f ca="1">VLOOKUP(G296,INDIRECT("球速変換!A$1:B$" &amp; Prams!$B$8),2,)</f>
        <v>101</v>
      </c>
      <c r="K296" t="s">
        <v>221</v>
      </c>
      <c r="L296">
        <f t="shared" si="22"/>
        <v>41</v>
      </c>
      <c r="M296">
        <f ca="1">(B296-VLOOKUP(K296,INDIRECT("投手データ!B1:D"&amp;Prams!$B$1),3,FALSE)*2)</f>
        <v>46</v>
      </c>
      <c r="N296" t="str">
        <f ca="1">VLOOKUP(F296,INDIRECT("球種変換表!A$1:B$" &amp; Prams!$B$2),2,)</f>
        <v>ストレート</v>
      </c>
      <c r="O296">
        <f ca="1">VLOOKUP(N296,球種情報!A:B,2,FALSE)</f>
        <v>1</v>
      </c>
      <c r="P296">
        <f ca="1">VLOOKUP(K296,投手データ!B:AI,output!O296+6,FALSE)</f>
        <v>1</v>
      </c>
      <c r="R296">
        <f t="shared" ca="1" si="23"/>
        <v>9.9009900990099011E-3</v>
      </c>
      <c r="S296">
        <f t="shared" si="24"/>
        <v>0.67326388888888888</v>
      </c>
      <c r="T296">
        <f>Prams!B$5/(S296-Prams!B$6)</f>
        <v>100.85912256930126</v>
      </c>
      <c r="U296">
        <f t="shared" ca="1" si="25"/>
        <v>0.75659722222222225</v>
      </c>
      <c r="V296">
        <f ca="1">Prams!C$5/(U296-Prams!C$6)</f>
        <v>100.85363808971402</v>
      </c>
      <c r="W296">
        <f t="shared" ca="1" si="26"/>
        <v>0.99855087217538641</v>
      </c>
    </row>
    <row r="297" spans="1:24" hidden="1" x14ac:dyDescent="0.55000000000000004">
      <c r="A297" s="1" t="s">
        <v>2066</v>
      </c>
      <c r="B297" s="1">
        <v>140</v>
      </c>
      <c r="C297">
        <v>639.5</v>
      </c>
      <c r="D297">
        <v>609.5</v>
      </c>
      <c r="E297">
        <v>10.512</v>
      </c>
      <c r="F297" t="s">
        <v>0</v>
      </c>
      <c r="G297" s="10" t="s">
        <v>2451</v>
      </c>
      <c r="H297">
        <v>99</v>
      </c>
      <c r="I297" t="s">
        <v>2065</v>
      </c>
      <c r="J297">
        <f ca="1">VLOOKUP(G297,INDIRECT("球速変換!A$1:B$" &amp; Prams!$B$8),2,)</f>
        <v>100</v>
      </c>
      <c r="K297" t="s">
        <v>221</v>
      </c>
      <c r="L297">
        <f t="shared" si="22"/>
        <v>41</v>
      </c>
      <c r="M297">
        <f ca="1">(B297-VLOOKUP(K297,INDIRECT("投手データ!B1:D"&amp;Prams!$B$1),3,FALSE)*2)</f>
        <v>46</v>
      </c>
      <c r="N297" t="str">
        <f ca="1">VLOOKUP(F297,INDIRECT("球種変換表!A$1:B$" &amp; Prams!$B$2),2,)</f>
        <v>ストレート</v>
      </c>
      <c r="O297">
        <f ca="1">VLOOKUP(N297,球種情報!A:B,2,FALSE)</f>
        <v>1</v>
      </c>
      <c r="P297">
        <f ca="1">VLOOKUP(K297,投手データ!B:AI,output!O297+6,FALSE)</f>
        <v>1</v>
      </c>
      <c r="R297">
        <f t="shared" ca="1" si="23"/>
        <v>0.01</v>
      </c>
      <c r="S297">
        <f t="shared" si="24"/>
        <v>0.67673611111111109</v>
      </c>
      <c r="T297">
        <f>Prams!B$5/(S297-Prams!B$6)</f>
        <v>100.29100970182546</v>
      </c>
      <c r="U297">
        <f t="shared" ca="1" si="25"/>
        <v>0.76006944444444435</v>
      </c>
      <c r="V297">
        <f ca="1">Prams!C$5/(U297-Prams!C$6)</f>
        <v>100.28558683182462</v>
      </c>
      <c r="W297">
        <f t="shared" ca="1" si="26"/>
        <v>1.0028558683182462</v>
      </c>
    </row>
    <row r="298" spans="1:24" hidden="1" x14ac:dyDescent="0.55000000000000004">
      <c r="A298" s="1" t="s">
        <v>2068</v>
      </c>
      <c r="B298" s="1">
        <v>140</v>
      </c>
      <c r="C298">
        <v>634.47619999999995</v>
      </c>
      <c r="D298">
        <v>601</v>
      </c>
      <c r="E298">
        <v>10.523899999999999</v>
      </c>
      <c r="F298" t="s">
        <v>0</v>
      </c>
      <c r="G298" s="10" t="s">
        <v>583</v>
      </c>
      <c r="H298">
        <v>99</v>
      </c>
      <c r="I298" t="s">
        <v>2067</v>
      </c>
      <c r="J298">
        <v>99</v>
      </c>
      <c r="K298" t="s">
        <v>221</v>
      </c>
      <c r="L298">
        <f t="shared" si="22"/>
        <v>41</v>
      </c>
      <c r="M298">
        <f ca="1">(B298-VLOOKUP(K298,INDIRECT("投手データ!B1:D"&amp;Prams!$B$1),3,FALSE)*2)</f>
        <v>46</v>
      </c>
      <c r="N298" t="str">
        <f ca="1">VLOOKUP(F298,INDIRECT("球種変換表!A$1:B$" &amp; Prams!$B$2),2,)</f>
        <v>ストレート</v>
      </c>
      <c r="O298">
        <f ca="1">VLOOKUP(N298,球種情報!A:B,2,FALSE)</f>
        <v>1</v>
      </c>
      <c r="P298">
        <f ca="1">VLOOKUP(K298,投手データ!B:AI,output!O298+6,FALSE)</f>
        <v>1</v>
      </c>
      <c r="R298">
        <f t="shared" si="23"/>
        <v>1.0101010101010102E-2</v>
      </c>
      <c r="S298">
        <f t="shared" si="24"/>
        <v>0.68263888888888891</v>
      </c>
      <c r="T298">
        <f>Prams!B$5/(S298-Prams!B$6)</f>
        <v>99.339766650895811</v>
      </c>
      <c r="U298">
        <f t="shared" ca="1" si="25"/>
        <v>0.76597222222222228</v>
      </c>
      <c r="V298">
        <f ca="1">Prams!C$5/(U298-Prams!C$6)</f>
        <v>99.334446160300629</v>
      </c>
      <c r="W298">
        <f t="shared" ca="1" si="26"/>
        <v>1.0033782440434407</v>
      </c>
    </row>
    <row r="299" spans="1:24" hidden="1" x14ac:dyDescent="0.55000000000000004">
      <c r="A299" s="1" t="s">
        <v>2069</v>
      </c>
      <c r="B299" s="1">
        <v>140</v>
      </c>
      <c r="C299">
        <v>638.5</v>
      </c>
      <c r="D299">
        <v>612.5</v>
      </c>
      <c r="E299">
        <v>10.512</v>
      </c>
      <c r="F299" t="s">
        <v>0</v>
      </c>
      <c r="G299" s="10" t="s">
        <v>2450</v>
      </c>
      <c r="H299">
        <v>99</v>
      </c>
      <c r="I299" t="s">
        <v>833</v>
      </c>
      <c r="J299">
        <f ca="1">VLOOKUP(G299,INDIRECT("球速変換!A$1:B$" &amp; Prams!$B$8),2,)</f>
        <v>101</v>
      </c>
      <c r="K299" t="s">
        <v>221</v>
      </c>
      <c r="L299">
        <f t="shared" si="22"/>
        <v>41</v>
      </c>
      <c r="M299">
        <f ca="1">(B299-VLOOKUP(K299,INDIRECT("投手データ!B1:D"&amp;Prams!$B$1),3,FALSE)*2)</f>
        <v>46</v>
      </c>
      <c r="N299" t="str">
        <f ca="1">VLOOKUP(F299,INDIRECT("球種変換表!A$1:B$" &amp; Prams!$B$2),2,)</f>
        <v>ストレート</v>
      </c>
      <c r="O299">
        <f ca="1">VLOOKUP(N299,球種情報!A:B,2,FALSE)</f>
        <v>1</v>
      </c>
      <c r="P299">
        <f ca="1">VLOOKUP(K299,投手データ!B:AI,output!O299+6,FALSE)</f>
        <v>1</v>
      </c>
      <c r="R299">
        <f t="shared" ca="1" si="23"/>
        <v>9.9009900990099011E-3</v>
      </c>
      <c r="S299">
        <f t="shared" si="24"/>
        <v>0.67465277777777777</v>
      </c>
      <c r="T299">
        <f>Prams!B$5/(S299-Prams!B$6)</f>
        <v>100.63110681069057</v>
      </c>
      <c r="U299">
        <f t="shared" ca="1" si="25"/>
        <v>0.75798611111111103</v>
      </c>
      <c r="V299">
        <f ca="1">Prams!C$5/(U299-Prams!C$6)</f>
        <v>100.62564710031242</v>
      </c>
      <c r="W299">
        <f t="shared" ca="1" si="26"/>
        <v>0.99629353564665768</v>
      </c>
    </row>
    <row r="300" spans="1:24" hidden="1" x14ac:dyDescent="0.55000000000000004">
      <c r="A300" s="1" t="s">
        <v>826</v>
      </c>
      <c r="B300" s="1">
        <v>132</v>
      </c>
      <c r="C300">
        <v>640</v>
      </c>
      <c r="D300">
        <v>611.5</v>
      </c>
      <c r="E300">
        <v>11.01146</v>
      </c>
      <c r="F300" t="s">
        <v>343</v>
      </c>
      <c r="G300" s="10" t="s">
        <v>824</v>
      </c>
      <c r="H300">
        <v>97</v>
      </c>
      <c r="I300" t="s">
        <v>825</v>
      </c>
      <c r="J300">
        <v>99</v>
      </c>
      <c r="K300" t="s">
        <v>221</v>
      </c>
      <c r="L300">
        <f t="shared" si="22"/>
        <v>35</v>
      </c>
      <c r="M300">
        <f ca="1">(B300-VLOOKUP(K300,INDIRECT("投手データ!B1:D"&amp;Prams!$B$1),3,FALSE)*2)</f>
        <v>38</v>
      </c>
      <c r="N300" t="str">
        <f ca="1">VLOOKUP(F300,INDIRECT("球種変換表!A$1:B$" &amp; Prams!$B$2),2,)</f>
        <v>全力ストレート</v>
      </c>
      <c r="O300">
        <f ca="1">VLOOKUP(N300,球種情報!A:B,2,FALSE)</f>
        <v>2</v>
      </c>
      <c r="P300">
        <f ca="1">VLOOKUP(K300,投手データ!B:AI,output!O300+6,FALSE)</f>
        <v>1</v>
      </c>
      <c r="R300">
        <f t="shared" si="23"/>
        <v>1.0101010101010102E-2</v>
      </c>
      <c r="S300">
        <f t="shared" si="24"/>
        <v>0.57534722222222223</v>
      </c>
      <c r="T300">
        <f>Prams!B$5/(S300-Prams!B$6)</f>
        <v>120.03365387208294</v>
      </c>
      <c r="U300">
        <f t="shared" ca="1" si="25"/>
        <v>0.62534722222222228</v>
      </c>
      <c r="V300">
        <f ca="1">Prams!C$5/(U300-Prams!C$6)</f>
        <v>128.33078666197693</v>
      </c>
      <c r="W300">
        <f t="shared" ca="1" si="26"/>
        <v>1.2962705723432013</v>
      </c>
      <c r="X300" t="s">
        <v>1888</v>
      </c>
    </row>
    <row r="301" spans="1:24" hidden="1" x14ac:dyDescent="0.55000000000000004">
      <c r="A301" s="1" t="s">
        <v>828</v>
      </c>
      <c r="B301" s="1">
        <v>132</v>
      </c>
      <c r="C301">
        <v>639</v>
      </c>
      <c r="D301">
        <v>607</v>
      </c>
      <c r="E301">
        <v>11.0001</v>
      </c>
      <c r="F301" t="s">
        <v>343</v>
      </c>
      <c r="G301" s="10" t="s">
        <v>835</v>
      </c>
      <c r="H301">
        <v>98</v>
      </c>
      <c r="I301" t="s">
        <v>821</v>
      </c>
      <c r="J301">
        <f ca="1">VLOOKUP(G301,INDIRECT("球速変換!A$1:B$" &amp; Prams!$B$8),2,)</f>
        <v>102</v>
      </c>
      <c r="K301" t="s">
        <v>221</v>
      </c>
      <c r="L301">
        <f t="shared" si="22"/>
        <v>34</v>
      </c>
      <c r="M301">
        <f ca="1">(B301-VLOOKUP(K301,INDIRECT("投手データ!B1:D"&amp;Prams!$B$1),3,FALSE)*2)</f>
        <v>38</v>
      </c>
      <c r="N301" t="str">
        <f ca="1">VLOOKUP(F301,INDIRECT("球種変換表!A$1:B$" &amp; Prams!$B$2),2,)</f>
        <v>全力ストレート</v>
      </c>
      <c r="O301">
        <f ca="1">VLOOKUP(N301,球種情報!A:B,2,FALSE)</f>
        <v>2</v>
      </c>
      <c r="P301">
        <f ca="1">VLOOKUP(K301,投手データ!B:AI,output!O301+6,FALSE)</f>
        <v>1</v>
      </c>
      <c r="R301">
        <f t="shared" ca="1" si="23"/>
        <v>9.8039215686274508E-3</v>
      </c>
      <c r="S301">
        <f t="shared" si="24"/>
        <v>0.56180555555555556</v>
      </c>
      <c r="T301">
        <f>Prams!B$5/(S301-Prams!B$6)</f>
        <v>123.27480586234782</v>
      </c>
      <c r="U301">
        <f t="shared" ca="1" si="25"/>
        <v>0.62847222222222221</v>
      </c>
      <c r="V301">
        <f ca="1">Prams!C$5/(U301-Prams!C$6)</f>
        <v>127.50369513159252</v>
      </c>
      <c r="W301">
        <f t="shared" ca="1" si="26"/>
        <v>1.2500362267803189</v>
      </c>
    </row>
    <row r="302" spans="1:24" hidden="1" x14ac:dyDescent="0.55000000000000004">
      <c r="A302" s="1" t="s">
        <v>829</v>
      </c>
      <c r="B302" s="1">
        <v>133</v>
      </c>
      <c r="C302">
        <v>640.5</v>
      </c>
      <c r="D302">
        <v>611.5</v>
      </c>
      <c r="E302">
        <v>10.512</v>
      </c>
      <c r="F302" t="s">
        <v>343</v>
      </c>
      <c r="G302" s="10" t="s">
        <v>789</v>
      </c>
      <c r="H302">
        <v>98</v>
      </c>
      <c r="I302" t="s">
        <v>822</v>
      </c>
      <c r="J302">
        <f ca="1">VLOOKUP(G302,INDIRECT("球速変換!A$1:B$" &amp; Prams!$B$8),2,)</f>
        <v>98</v>
      </c>
      <c r="K302" t="s">
        <v>221</v>
      </c>
      <c r="L302">
        <f t="shared" si="22"/>
        <v>35</v>
      </c>
      <c r="M302">
        <f ca="1">(B302-VLOOKUP(K302,INDIRECT("投手データ!B1:D"&amp;Prams!$B$1),3,FALSE)*2)</f>
        <v>39</v>
      </c>
      <c r="N302" t="str">
        <f ca="1">VLOOKUP(F302,INDIRECT("球種変換表!A$1:B$" &amp; Prams!$B$2),2,)</f>
        <v>全力ストレート</v>
      </c>
      <c r="O302">
        <f ca="1">VLOOKUP(N302,球種情報!A:B,2,FALSE)</f>
        <v>2</v>
      </c>
      <c r="P302">
        <f ca="1">VLOOKUP(K302,投手データ!B:AI,output!O302+6,FALSE)</f>
        <v>1</v>
      </c>
      <c r="R302">
        <f t="shared" ca="1" si="23"/>
        <v>1.020408163265306E-2</v>
      </c>
      <c r="S302">
        <f t="shared" si="24"/>
        <v>0.57534722222222223</v>
      </c>
      <c r="T302">
        <f>Prams!B$5/(S302-Prams!B$6)</f>
        <v>120.03365387208294</v>
      </c>
      <c r="U302">
        <f t="shared" ca="1" si="25"/>
        <v>0.64201388888888888</v>
      </c>
      <c r="V302">
        <f ca="1">Prams!C$5/(U302-Prams!C$6)</f>
        <v>124.03948079741848</v>
      </c>
      <c r="W302">
        <f t="shared" ca="1" si="26"/>
        <v>1.2657089877287599</v>
      </c>
    </row>
    <row r="303" spans="1:24" hidden="1" x14ac:dyDescent="0.55000000000000004">
      <c r="A303" s="1" t="s">
        <v>832</v>
      </c>
      <c r="B303" s="1">
        <v>133</v>
      </c>
      <c r="C303">
        <v>641.92498999999998</v>
      </c>
      <c r="D303">
        <v>617</v>
      </c>
      <c r="E303">
        <v>10.12462</v>
      </c>
      <c r="F303" t="s">
        <v>343</v>
      </c>
      <c r="G303" s="10" t="s">
        <v>1621</v>
      </c>
      <c r="H303">
        <v>98</v>
      </c>
      <c r="I303" t="s">
        <v>1622</v>
      </c>
      <c r="J303">
        <f ca="1">VLOOKUP(G303,INDIRECT("球速変換!A$1:B$" &amp; Prams!$B$8),2,)</f>
        <v>100</v>
      </c>
      <c r="K303" t="s">
        <v>221</v>
      </c>
      <c r="L303">
        <f t="shared" si="22"/>
        <v>35</v>
      </c>
      <c r="M303">
        <f ca="1">(B303-VLOOKUP(K303,INDIRECT("投手データ!B1:D"&amp;Prams!$B$1),3,FALSE)*2)</f>
        <v>39</v>
      </c>
      <c r="N303" t="str">
        <f ca="1">VLOOKUP(F303,INDIRECT("球種変換表!A$1:B$" &amp; Prams!$B$2),2,)</f>
        <v>全力ストレート</v>
      </c>
      <c r="O303">
        <f ca="1">VLOOKUP(N303,球種情報!A:B,2,FALSE)</f>
        <v>2</v>
      </c>
      <c r="P303">
        <f ca="1">VLOOKUP(K303,投手データ!B:AI,output!O303+6,FALSE)</f>
        <v>1</v>
      </c>
      <c r="R303">
        <f t="shared" ca="1" si="23"/>
        <v>0.01</v>
      </c>
      <c r="S303">
        <f t="shared" si="24"/>
        <v>0.57152777777777775</v>
      </c>
      <c r="T303">
        <f>Prams!B$5/(S303-Prams!B$6)</f>
        <v>120.9304397909173</v>
      </c>
      <c r="U303">
        <f t="shared" ca="1" si="25"/>
        <v>0.6381944444444444</v>
      </c>
      <c r="V303">
        <f ca="1">Prams!C$5/(U303-Prams!C$6)</f>
        <v>124.9973603513541</v>
      </c>
      <c r="W303">
        <f t="shared" ca="1" si="26"/>
        <v>1.2499736035135411</v>
      </c>
    </row>
    <row r="304" spans="1:24" hidden="1" x14ac:dyDescent="0.55000000000000004">
      <c r="A304" s="1" t="s">
        <v>834</v>
      </c>
      <c r="B304" s="1">
        <v>133</v>
      </c>
      <c r="C304">
        <v>641.5</v>
      </c>
      <c r="D304">
        <v>617.5</v>
      </c>
      <c r="E304">
        <v>10.512</v>
      </c>
      <c r="F304" t="s">
        <v>1623</v>
      </c>
      <c r="G304" s="10" t="s">
        <v>644</v>
      </c>
      <c r="H304">
        <v>98</v>
      </c>
      <c r="I304" t="s">
        <v>1624</v>
      </c>
      <c r="J304">
        <v>101</v>
      </c>
      <c r="K304" t="s">
        <v>221</v>
      </c>
      <c r="L304">
        <f t="shared" si="22"/>
        <v>35</v>
      </c>
      <c r="M304">
        <f ca="1">(B304-VLOOKUP(K304,INDIRECT("投手データ!B1:D"&amp;Prams!$B$1),3,FALSE)*2)</f>
        <v>39</v>
      </c>
      <c r="N304" t="str">
        <f ca="1">VLOOKUP(F304,INDIRECT("球種変換表!A$1:B$" &amp; Prams!$B$2),2,)</f>
        <v>全力ストレート</v>
      </c>
      <c r="O304">
        <f ca="1">VLOOKUP(N304,球種情報!A:B,2,FALSE)</f>
        <v>2</v>
      </c>
      <c r="P304">
        <f ca="1">VLOOKUP(K304,投手データ!B:AI,output!O304+6,FALSE)</f>
        <v>1</v>
      </c>
      <c r="R304">
        <f t="shared" si="23"/>
        <v>9.9009900990099011E-3</v>
      </c>
      <c r="S304">
        <f t="shared" si="24"/>
        <v>0.57118055555555558</v>
      </c>
      <c r="T304">
        <f>Prams!B$5/(S304-Prams!B$6)</f>
        <v>121.01263069754292</v>
      </c>
      <c r="U304">
        <f t="shared" ca="1" si="25"/>
        <v>0.63784722222222223</v>
      </c>
      <c r="V304">
        <f ca="1">Prams!C$5/(U304-Prams!C$6)</f>
        <v>125.085174423506</v>
      </c>
      <c r="W304">
        <f t="shared" ca="1" si="26"/>
        <v>1.2384670735000594</v>
      </c>
    </row>
    <row r="305" spans="1:23" hidden="1" x14ac:dyDescent="0.55000000000000004">
      <c r="A305" s="1" t="s">
        <v>836</v>
      </c>
      <c r="B305" s="1">
        <v>132</v>
      </c>
      <c r="C305">
        <v>639.5</v>
      </c>
      <c r="D305">
        <v>607</v>
      </c>
      <c r="E305">
        <v>10.5001</v>
      </c>
      <c r="F305" t="s">
        <v>343</v>
      </c>
      <c r="G305" s="10" t="s">
        <v>835</v>
      </c>
      <c r="H305">
        <v>98</v>
      </c>
      <c r="I305" t="s">
        <v>821</v>
      </c>
      <c r="J305">
        <f ca="1">VLOOKUP(G305,INDIRECT("球速変換!A$1:B$" &amp; Prams!$B$8),2,)</f>
        <v>102</v>
      </c>
      <c r="K305" t="s">
        <v>221</v>
      </c>
      <c r="L305">
        <f t="shared" si="22"/>
        <v>34</v>
      </c>
      <c r="M305">
        <f ca="1">(B305-VLOOKUP(K305,INDIRECT("投手データ!B1:D"&amp;Prams!$B$1),3,FALSE)*2)</f>
        <v>38</v>
      </c>
      <c r="N305" t="str">
        <f ca="1">VLOOKUP(F305,INDIRECT("球種変換表!A$1:B$" &amp; Prams!$B$2),2,)</f>
        <v>全力ストレート</v>
      </c>
      <c r="O305">
        <f ca="1">VLOOKUP(N305,球種情報!A:B,2,FALSE)</f>
        <v>2</v>
      </c>
      <c r="P305">
        <f ca="1">VLOOKUP(K305,投手データ!B:AI,output!O305+6,FALSE)</f>
        <v>1</v>
      </c>
      <c r="R305">
        <f t="shared" ca="1" si="23"/>
        <v>9.8039215686274508E-3</v>
      </c>
      <c r="S305">
        <f t="shared" si="24"/>
        <v>0.56180555555555556</v>
      </c>
      <c r="T305">
        <f>Prams!B$5/(S305-Prams!B$6)</f>
        <v>123.27480586234782</v>
      </c>
      <c r="U305">
        <f t="shared" ca="1" si="25"/>
        <v>0.62847222222222221</v>
      </c>
      <c r="V305">
        <f ca="1">Prams!C$5/(U305-Prams!C$6)</f>
        <v>127.50369513159252</v>
      </c>
      <c r="W305">
        <f t="shared" ca="1" si="26"/>
        <v>1.2500362267803189</v>
      </c>
    </row>
    <row r="306" spans="1:23" hidden="1" x14ac:dyDescent="0.55000000000000004">
      <c r="A306" s="1" t="s">
        <v>838</v>
      </c>
      <c r="B306" s="1">
        <v>133</v>
      </c>
      <c r="C306">
        <v>640.5</v>
      </c>
      <c r="D306">
        <v>610.5</v>
      </c>
      <c r="E306">
        <v>10.512</v>
      </c>
      <c r="F306" t="s">
        <v>343</v>
      </c>
      <c r="G306" s="10" t="s">
        <v>814</v>
      </c>
      <c r="H306">
        <v>98</v>
      </c>
      <c r="I306" t="s">
        <v>837</v>
      </c>
      <c r="J306">
        <v>99</v>
      </c>
      <c r="K306" t="s">
        <v>221</v>
      </c>
      <c r="L306">
        <f t="shared" si="22"/>
        <v>35</v>
      </c>
      <c r="M306">
        <f ca="1">(B306-VLOOKUP(K306,INDIRECT("投手データ!B1:D"&amp;Prams!$B$1),3,FALSE)*2)</f>
        <v>39</v>
      </c>
      <c r="N306" t="str">
        <f ca="1">VLOOKUP(F306,INDIRECT("球種変換表!A$1:B$" &amp; Prams!$B$2),2,)</f>
        <v>全力ストレート</v>
      </c>
      <c r="O306">
        <f ca="1">VLOOKUP(N306,球種情報!A:B,2,FALSE)</f>
        <v>2</v>
      </c>
      <c r="P306">
        <f ca="1">VLOOKUP(K306,投手データ!B:AI,output!O306+6,FALSE)</f>
        <v>1</v>
      </c>
      <c r="R306">
        <f t="shared" si="23"/>
        <v>1.0101010101010102E-2</v>
      </c>
      <c r="S306">
        <f t="shared" si="24"/>
        <v>0.57604166666666667</v>
      </c>
      <c r="T306">
        <f>Prams!B$5/(S306-Prams!B$6)</f>
        <v>119.87202895506472</v>
      </c>
      <c r="U306">
        <f t="shared" ca="1" si="25"/>
        <v>0.64270833333333333</v>
      </c>
      <c r="V306">
        <f ca="1">Prams!C$5/(U306-Prams!C$6)</f>
        <v>123.86689596446998</v>
      </c>
      <c r="W306">
        <f t="shared" ca="1" si="26"/>
        <v>1.2511807673178785</v>
      </c>
    </row>
    <row r="307" spans="1:23" hidden="1" x14ac:dyDescent="0.55000000000000004">
      <c r="A307" s="1" t="s">
        <v>840</v>
      </c>
      <c r="B307" s="1">
        <v>133</v>
      </c>
      <c r="C307">
        <v>640.5</v>
      </c>
      <c r="D307">
        <v>610.5</v>
      </c>
      <c r="E307">
        <v>10.512</v>
      </c>
      <c r="F307" t="s">
        <v>343</v>
      </c>
      <c r="G307" s="10" t="s">
        <v>814</v>
      </c>
      <c r="H307">
        <v>98</v>
      </c>
      <c r="I307" t="s">
        <v>822</v>
      </c>
      <c r="J307">
        <v>99</v>
      </c>
      <c r="K307" t="s">
        <v>221</v>
      </c>
      <c r="L307">
        <f t="shared" si="22"/>
        <v>35</v>
      </c>
      <c r="M307">
        <f ca="1">(B307-VLOOKUP(K307,INDIRECT("投手データ!B1:D"&amp;Prams!$B$1),3,FALSE)*2)</f>
        <v>39</v>
      </c>
      <c r="N307" t="str">
        <f ca="1">VLOOKUP(F307,INDIRECT("球種変換表!A$1:B$" &amp; Prams!$B$2),2,)</f>
        <v>全力ストレート</v>
      </c>
      <c r="O307">
        <f ca="1">VLOOKUP(N307,球種情報!A:B,2,FALSE)</f>
        <v>2</v>
      </c>
      <c r="P307">
        <f ca="1">VLOOKUP(K307,投手データ!B:AI,output!O307+6,FALSE)</f>
        <v>1</v>
      </c>
      <c r="R307">
        <f t="shared" si="23"/>
        <v>1.0101010101010102E-2</v>
      </c>
      <c r="S307">
        <f t="shared" si="24"/>
        <v>0.57604166666666667</v>
      </c>
      <c r="T307">
        <f>Prams!B$5/(S307-Prams!B$6)</f>
        <v>119.87202895506472</v>
      </c>
      <c r="U307">
        <f t="shared" ca="1" si="25"/>
        <v>0.64270833333333333</v>
      </c>
      <c r="V307">
        <f ca="1">Prams!C$5/(U307-Prams!C$6)</f>
        <v>123.86689596446998</v>
      </c>
      <c r="W307">
        <f t="shared" ca="1" si="26"/>
        <v>1.2511807673178785</v>
      </c>
    </row>
    <row r="308" spans="1:23" hidden="1" x14ac:dyDescent="0.55000000000000004">
      <c r="A308" s="1" t="s">
        <v>843</v>
      </c>
      <c r="B308" s="1">
        <v>133</v>
      </c>
      <c r="C308">
        <v>641</v>
      </c>
      <c r="D308">
        <v>614</v>
      </c>
      <c r="E308">
        <v>10.04998</v>
      </c>
      <c r="F308" t="s">
        <v>1625</v>
      </c>
      <c r="G308" s="10" t="s">
        <v>2451</v>
      </c>
      <c r="H308">
        <v>98</v>
      </c>
      <c r="I308" t="s">
        <v>822</v>
      </c>
      <c r="J308">
        <f ca="1">VLOOKUP(G308,INDIRECT("球速変換!A$1:B$" &amp; Prams!$B$8),2,)</f>
        <v>100</v>
      </c>
      <c r="K308" t="s">
        <v>221</v>
      </c>
      <c r="L308">
        <f t="shared" si="22"/>
        <v>35</v>
      </c>
      <c r="M308">
        <f ca="1">(B308-VLOOKUP(K308,INDIRECT("投手データ!B1:D"&amp;Prams!$B$1),3,FALSE)*2)</f>
        <v>39</v>
      </c>
      <c r="N308" t="str">
        <f ca="1">VLOOKUP(F308,INDIRECT("球種変換表!A$1:B$" &amp; Prams!$B$2),2,)</f>
        <v>全力ストレート</v>
      </c>
      <c r="O308">
        <f ca="1">VLOOKUP(N308,球種情報!A:B,2,FALSE)</f>
        <v>2</v>
      </c>
      <c r="P308">
        <f ca="1">VLOOKUP(K308,投手データ!B:AI,output!O308+6,FALSE)</f>
        <v>1</v>
      </c>
      <c r="R308">
        <f t="shared" ca="1" si="23"/>
        <v>0.01</v>
      </c>
      <c r="S308">
        <f t="shared" si="24"/>
        <v>0.57361111111111107</v>
      </c>
      <c r="T308">
        <f>Prams!B$5/(S308-Prams!B$6)</f>
        <v>120.43962942118708</v>
      </c>
      <c r="U308">
        <f t="shared" ca="1" si="25"/>
        <v>0.64027777777777772</v>
      </c>
      <c r="V308">
        <f ca="1">Prams!C$5/(U308-Prams!C$6)</f>
        <v>124.47305429408739</v>
      </c>
      <c r="W308">
        <f t="shared" ca="1" si="26"/>
        <v>1.2447305429408739</v>
      </c>
    </row>
    <row r="309" spans="1:23" hidden="1" x14ac:dyDescent="0.55000000000000004">
      <c r="A309" s="1" t="s">
        <v>846</v>
      </c>
      <c r="B309" s="1">
        <v>133</v>
      </c>
      <c r="C309">
        <v>640.5</v>
      </c>
      <c r="D309">
        <v>611.5</v>
      </c>
      <c r="E309">
        <v>10.512</v>
      </c>
      <c r="F309" t="s">
        <v>343</v>
      </c>
      <c r="G309" s="10" t="s">
        <v>844</v>
      </c>
      <c r="H309">
        <v>98</v>
      </c>
      <c r="I309" t="s">
        <v>1626</v>
      </c>
      <c r="J309">
        <f ca="1">VLOOKUP(G309,INDIRECT("球速変換!A$1:B$" &amp; Prams!$B$8),2,)</f>
        <v>99</v>
      </c>
      <c r="K309" t="s">
        <v>221</v>
      </c>
      <c r="L309">
        <f t="shared" si="22"/>
        <v>35</v>
      </c>
      <c r="M309">
        <f ca="1">(B309-VLOOKUP(K309,INDIRECT("投手データ!B1:D"&amp;Prams!$B$1),3,FALSE)*2)</f>
        <v>39</v>
      </c>
      <c r="N309" t="str">
        <f ca="1">VLOOKUP(F309,INDIRECT("球種変換表!A$1:B$" &amp; Prams!$B$2),2,)</f>
        <v>全力ストレート</v>
      </c>
      <c r="O309">
        <f ca="1">VLOOKUP(N309,球種情報!A:B,2,FALSE)</f>
        <v>2</v>
      </c>
      <c r="P309">
        <f ca="1">VLOOKUP(K309,投手データ!B:AI,output!O309+6,FALSE)</f>
        <v>1</v>
      </c>
      <c r="R309">
        <f t="shared" ca="1" si="23"/>
        <v>1.0101010101010102E-2</v>
      </c>
      <c r="S309">
        <f t="shared" si="24"/>
        <v>0.57534722222222223</v>
      </c>
      <c r="T309">
        <f>Prams!B$5/(S309-Prams!B$6)</f>
        <v>120.03365387208294</v>
      </c>
      <c r="U309">
        <f t="shared" ca="1" si="25"/>
        <v>0.64201388888888888</v>
      </c>
      <c r="V309">
        <f ca="1">Prams!C$5/(U309-Prams!C$6)</f>
        <v>124.03948079741848</v>
      </c>
      <c r="W309">
        <f t="shared" ca="1" si="26"/>
        <v>1.2529240484587725</v>
      </c>
    </row>
    <row r="310" spans="1:23" hidden="1" x14ac:dyDescent="0.55000000000000004">
      <c r="A310" s="1" t="s">
        <v>2072</v>
      </c>
      <c r="B310" s="1">
        <v>138</v>
      </c>
      <c r="C310">
        <v>639</v>
      </c>
      <c r="D310">
        <v>603</v>
      </c>
      <c r="E310">
        <v>10.04998</v>
      </c>
      <c r="F310" t="s">
        <v>656</v>
      </c>
      <c r="G310" s="10" t="s">
        <v>2452</v>
      </c>
      <c r="H310">
        <v>99</v>
      </c>
      <c r="I310" t="s">
        <v>2071</v>
      </c>
      <c r="J310">
        <f ca="1">VLOOKUP(G310,INDIRECT("球速変換!A$1:B$" &amp; Prams!$B$8),2,)</f>
        <v>105</v>
      </c>
      <c r="K310" t="s">
        <v>232</v>
      </c>
      <c r="L310">
        <f t="shared" si="22"/>
        <v>39</v>
      </c>
      <c r="M310">
        <f ca="1">(B310-VLOOKUP(K310,INDIRECT("投手データ!B1:D"&amp;Prams!$B$1),3,FALSE)*2)</f>
        <v>44</v>
      </c>
      <c r="N310" t="str">
        <f ca="1">VLOOKUP(F310,INDIRECT("球種変換表!A$1:B$" &amp; Prams!$B$2),2,)</f>
        <v>ストレート</v>
      </c>
      <c r="O310">
        <f ca="1">VLOOKUP(N310,球種情報!A:B,2,FALSE)</f>
        <v>1</v>
      </c>
      <c r="P310">
        <f ca="1">VLOOKUP(K310,投手データ!B:AI,output!O310+6,FALSE)</f>
        <v>1</v>
      </c>
      <c r="R310">
        <f t="shared" ca="1" si="23"/>
        <v>9.5238095238095247E-3</v>
      </c>
      <c r="S310">
        <f t="shared" si="24"/>
        <v>0.6479166666666667</v>
      </c>
      <c r="T310">
        <f>Prams!B$5/(S310-Prams!B$6)</f>
        <v>105.20974558243753</v>
      </c>
      <c r="U310">
        <f t="shared" ca="1" si="25"/>
        <v>0.73124999999999996</v>
      </c>
      <c r="V310">
        <f ca="1">Prams!C$5/(U310-Prams!C$6)</f>
        <v>105.20377775887007</v>
      </c>
      <c r="W310">
        <f t="shared" ca="1" si="26"/>
        <v>1.0019407405606673</v>
      </c>
    </row>
    <row r="311" spans="1:23" hidden="1" x14ac:dyDescent="0.55000000000000004">
      <c r="A311" s="1" t="s">
        <v>2074</v>
      </c>
      <c r="B311" s="1">
        <v>138</v>
      </c>
      <c r="C311">
        <v>639</v>
      </c>
      <c r="D311">
        <v>606</v>
      </c>
      <c r="E311">
        <v>10.04998</v>
      </c>
      <c r="F311" t="s">
        <v>0</v>
      </c>
      <c r="G311" s="10" t="s">
        <v>2452</v>
      </c>
      <c r="H311">
        <v>99</v>
      </c>
      <c r="I311" t="s">
        <v>2073</v>
      </c>
      <c r="J311">
        <f ca="1">VLOOKUP(G311,INDIRECT("球速変換!A$1:B$" &amp; Prams!$B$8),2,)</f>
        <v>105</v>
      </c>
      <c r="K311" t="s">
        <v>232</v>
      </c>
      <c r="L311">
        <f t="shared" si="22"/>
        <v>39</v>
      </c>
      <c r="M311">
        <f ca="1">(B311-VLOOKUP(K311,INDIRECT("投手データ!B1:D"&amp;Prams!$B$1),3,FALSE)*2)</f>
        <v>44</v>
      </c>
      <c r="N311" t="str">
        <f ca="1">VLOOKUP(F311,INDIRECT("球種変換表!A$1:B$" &amp; Prams!$B$2),2,)</f>
        <v>ストレート</v>
      </c>
      <c r="O311">
        <f ca="1">VLOOKUP(N311,球種情報!A:B,2,FALSE)</f>
        <v>1</v>
      </c>
      <c r="P311">
        <f ca="1">VLOOKUP(K311,投手データ!B:AI,output!O311+6,FALSE)</f>
        <v>1</v>
      </c>
      <c r="R311">
        <f t="shared" ca="1" si="23"/>
        <v>9.5238095238095247E-3</v>
      </c>
      <c r="S311">
        <f t="shared" si="24"/>
        <v>0.64583333333333337</v>
      </c>
      <c r="T311">
        <f>Prams!B$5/(S311-Prams!B$6)</f>
        <v>105.58408288739611</v>
      </c>
      <c r="U311">
        <f t="shared" ca="1" si="25"/>
        <v>0.72916666666666663</v>
      </c>
      <c r="V311">
        <f ca="1">Prams!C$5/(U311-Prams!C$6)</f>
        <v>105.57807252234305</v>
      </c>
      <c r="W311">
        <f t="shared" ca="1" si="26"/>
        <v>1.0055054525937432</v>
      </c>
    </row>
    <row r="312" spans="1:23" hidden="1" x14ac:dyDescent="0.55000000000000004">
      <c r="A312" s="1" t="s">
        <v>2076</v>
      </c>
      <c r="B312" s="1">
        <v>137</v>
      </c>
      <c r="C312">
        <v>634.5</v>
      </c>
      <c r="D312">
        <v>602</v>
      </c>
      <c r="E312">
        <v>10.547610000000001</v>
      </c>
      <c r="F312" t="s">
        <v>656</v>
      </c>
      <c r="G312" s="10" t="s">
        <v>2453</v>
      </c>
      <c r="H312">
        <v>99</v>
      </c>
      <c r="I312" t="s">
        <v>859</v>
      </c>
      <c r="J312">
        <f ca="1">VLOOKUP(G312,INDIRECT("球速変換!A$1:B$" &amp; Prams!$B$8),2,)</f>
        <v>108</v>
      </c>
      <c r="K312" t="s">
        <v>232</v>
      </c>
      <c r="L312">
        <f t="shared" si="22"/>
        <v>38</v>
      </c>
      <c r="M312">
        <f ca="1">(B312-VLOOKUP(K312,INDIRECT("投手データ!B1:D"&amp;Prams!$B$1),3,FALSE)*2)</f>
        <v>43</v>
      </c>
      <c r="N312" t="str">
        <f ca="1">VLOOKUP(F312,INDIRECT("球種変換表!A$1:B$" &amp; Prams!$B$2),2,)</f>
        <v>ストレート</v>
      </c>
      <c r="O312">
        <f ca="1">VLOOKUP(N312,球種情報!A:B,2,FALSE)</f>
        <v>1</v>
      </c>
      <c r="P312">
        <f ca="1">VLOOKUP(K312,投手データ!B:AI,output!O312+6,FALSE)</f>
        <v>1</v>
      </c>
      <c r="R312">
        <f t="shared" ca="1" si="23"/>
        <v>9.2592592592592587E-3</v>
      </c>
      <c r="S312">
        <f t="shared" si="24"/>
        <v>0.63194444444444442</v>
      </c>
      <c r="T312">
        <f>Prams!B$5/(S312-Prams!B$6)</f>
        <v>108.14939356243198</v>
      </c>
      <c r="U312">
        <f t="shared" ca="1" si="25"/>
        <v>0.71527777777777779</v>
      </c>
      <c r="V312">
        <f ca="1">Prams!C$5/(U312-Prams!C$6)</f>
        <v>108.1430875979087</v>
      </c>
      <c r="W312">
        <f t="shared" ca="1" si="26"/>
        <v>1.0013248851658214</v>
      </c>
    </row>
    <row r="313" spans="1:23" hidden="1" x14ac:dyDescent="0.55000000000000004">
      <c r="A313" s="1" t="s">
        <v>2078</v>
      </c>
      <c r="B313" s="1">
        <v>138</v>
      </c>
      <c r="C313">
        <v>637</v>
      </c>
      <c r="D313">
        <v>615</v>
      </c>
      <c r="E313">
        <v>10.04998</v>
      </c>
      <c r="F313" t="s">
        <v>0</v>
      </c>
      <c r="G313" s="10" t="s">
        <v>2077</v>
      </c>
      <c r="H313">
        <v>99</v>
      </c>
      <c r="I313" t="s">
        <v>855</v>
      </c>
      <c r="J313">
        <f ca="1">VLOOKUP(G313,INDIRECT("球速変換!A$1:B$" &amp; Prams!$B$8),2,)</f>
        <v>107</v>
      </c>
      <c r="K313" t="s">
        <v>232</v>
      </c>
      <c r="L313">
        <f t="shared" si="22"/>
        <v>39</v>
      </c>
      <c r="M313">
        <f ca="1">(B313-VLOOKUP(K313,INDIRECT("投手データ!B1:D"&amp;Prams!$B$1),3,FALSE)*2)</f>
        <v>44</v>
      </c>
      <c r="N313" t="str">
        <f ca="1">VLOOKUP(F313,INDIRECT("球種変換表!A$1:B$" &amp; Prams!$B$2),2,)</f>
        <v>ストレート</v>
      </c>
      <c r="O313">
        <f ca="1">VLOOKUP(N313,球種情報!A:B,2,FALSE)</f>
        <v>1</v>
      </c>
      <c r="P313">
        <f ca="1">VLOOKUP(K313,投手データ!B:AI,output!O313+6,FALSE)</f>
        <v>1</v>
      </c>
      <c r="R313">
        <f t="shared" ca="1" si="23"/>
        <v>9.3457943925233638E-3</v>
      </c>
      <c r="S313">
        <f t="shared" si="24"/>
        <v>0.63958333333333328</v>
      </c>
      <c r="T313">
        <f>Prams!B$5/(S313-Prams!B$6)</f>
        <v>106.72324999280721</v>
      </c>
      <c r="U313">
        <f t="shared" ca="1" si="25"/>
        <v>0.72291666666666665</v>
      </c>
      <c r="V313">
        <f ca="1">Prams!C$5/(U313-Prams!C$6)</f>
        <v>106.71710923789522</v>
      </c>
      <c r="W313">
        <f t="shared" ca="1" si="26"/>
        <v>0.99735616110182446</v>
      </c>
    </row>
    <row r="314" spans="1:23" hidden="1" x14ac:dyDescent="0.55000000000000004">
      <c r="A314" s="1" t="s">
        <v>2079</v>
      </c>
      <c r="B314" s="1">
        <v>138</v>
      </c>
      <c r="C314">
        <v>641.5</v>
      </c>
      <c r="D314">
        <v>602</v>
      </c>
      <c r="E314">
        <v>9.5525900000000004</v>
      </c>
      <c r="F314" t="s">
        <v>0</v>
      </c>
      <c r="G314" s="10" t="s">
        <v>2452</v>
      </c>
      <c r="H314">
        <v>99</v>
      </c>
      <c r="I314" t="s">
        <v>876</v>
      </c>
      <c r="J314">
        <f ca="1">VLOOKUP(G314,INDIRECT("球速変換!A$1:B$" &amp; Prams!$B$8),2,)</f>
        <v>105</v>
      </c>
      <c r="K314" t="s">
        <v>232</v>
      </c>
      <c r="L314">
        <f t="shared" si="22"/>
        <v>39</v>
      </c>
      <c r="M314">
        <f ca="1">(B314-VLOOKUP(K314,INDIRECT("投手データ!B1:D"&amp;Prams!$B$1),3,FALSE)*2)</f>
        <v>44</v>
      </c>
      <c r="N314" t="str">
        <f ca="1">VLOOKUP(F314,INDIRECT("球種変換表!A$1:B$" &amp; Prams!$B$2),2,)</f>
        <v>ストレート</v>
      </c>
      <c r="O314">
        <f ca="1">VLOOKUP(N314,球種情報!A:B,2,FALSE)</f>
        <v>1</v>
      </c>
      <c r="P314">
        <f ca="1">VLOOKUP(K314,投手データ!B:AI,output!O314+6,FALSE)</f>
        <v>1</v>
      </c>
      <c r="R314">
        <f t="shared" ca="1" si="23"/>
        <v>9.5238095238095247E-3</v>
      </c>
      <c r="S314">
        <f t="shared" si="24"/>
        <v>0.64861111111111103</v>
      </c>
      <c r="T314">
        <f>Prams!B$5/(S314-Prams!B$6)</f>
        <v>105.08555563949537</v>
      </c>
      <c r="U314">
        <f t="shared" ca="1" si="25"/>
        <v>0.7319444444444444</v>
      </c>
      <c r="V314">
        <f ca="1">Prams!C$5/(U314-Prams!C$6)</f>
        <v>105.07960189609264</v>
      </c>
      <c r="W314">
        <f t="shared" ca="1" si="26"/>
        <v>1.0007581132961203</v>
      </c>
    </row>
    <row r="315" spans="1:23" hidden="1" x14ac:dyDescent="0.55000000000000004">
      <c r="A315" s="1" t="s">
        <v>2081</v>
      </c>
      <c r="B315" s="1">
        <v>138</v>
      </c>
      <c r="C315">
        <v>636.04547000000002</v>
      </c>
      <c r="D315">
        <v>602.5</v>
      </c>
      <c r="E315">
        <v>11.056850000000001</v>
      </c>
      <c r="F315" t="s">
        <v>0</v>
      </c>
      <c r="G315" s="10" t="s">
        <v>2452</v>
      </c>
      <c r="H315">
        <v>99</v>
      </c>
      <c r="I315" t="s">
        <v>2080</v>
      </c>
      <c r="J315">
        <f ca="1">VLOOKUP(G315,INDIRECT("球速変換!A$1:B$" &amp; Prams!$B$8),2,)</f>
        <v>105</v>
      </c>
      <c r="K315" t="s">
        <v>232</v>
      </c>
      <c r="L315">
        <f t="shared" si="22"/>
        <v>39</v>
      </c>
      <c r="M315">
        <f ca="1">(B315-VLOOKUP(K315,INDIRECT("投手データ!B1:D"&amp;Prams!$B$1),3,FALSE)*2)</f>
        <v>44</v>
      </c>
      <c r="N315" t="str">
        <f ca="1">VLOOKUP(F315,INDIRECT("球種変換表!A$1:B$" &amp; Prams!$B$2),2,)</f>
        <v>ストレート</v>
      </c>
      <c r="O315">
        <f ca="1">VLOOKUP(N315,球種情報!A:B,2,FALSE)</f>
        <v>1</v>
      </c>
      <c r="P315">
        <f ca="1">VLOOKUP(K315,投手データ!B:AI,output!O315+6,FALSE)</f>
        <v>1</v>
      </c>
      <c r="R315">
        <f t="shared" ca="1" si="23"/>
        <v>9.5238095238095247E-3</v>
      </c>
      <c r="S315">
        <f t="shared" si="24"/>
        <v>0.64826388888888897</v>
      </c>
      <c r="T315">
        <f>Prams!B$5/(S315-Prams!B$6)</f>
        <v>105.14761394076544</v>
      </c>
      <c r="U315">
        <f t="shared" ca="1" si="25"/>
        <v>0.73159722222222223</v>
      </c>
      <c r="V315">
        <f ca="1">Prams!C$5/(U315-Prams!C$6)</f>
        <v>105.14165316351645</v>
      </c>
      <c r="W315">
        <f t="shared" ca="1" si="26"/>
        <v>1.0013490777477758</v>
      </c>
    </row>
    <row r="316" spans="1:23" hidden="1" x14ac:dyDescent="0.55000000000000004">
      <c r="A316" s="1" t="s">
        <v>2082</v>
      </c>
      <c r="B316" s="1">
        <v>137</v>
      </c>
      <c r="C316">
        <v>636</v>
      </c>
      <c r="D316">
        <v>602.5</v>
      </c>
      <c r="E316">
        <v>11.01146</v>
      </c>
      <c r="F316" t="s">
        <v>0</v>
      </c>
      <c r="G316" s="10" t="s">
        <v>875</v>
      </c>
      <c r="H316">
        <v>99</v>
      </c>
      <c r="I316" t="s">
        <v>851</v>
      </c>
      <c r="J316">
        <f ca="1">VLOOKUP(G316,INDIRECT("球速変換!A$1:B$" &amp; Prams!$B$8),2,)</f>
        <v>108</v>
      </c>
      <c r="K316" t="s">
        <v>232</v>
      </c>
      <c r="L316">
        <f t="shared" si="22"/>
        <v>38</v>
      </c>
      <c r="M316">
        <f ca="1">(B316-VLOOKUP(K316,INDIRECT("投手データ!B1:D"&amp;Prams!$B$1),3,FALSE)*2)</f>
        <v>43</v>
      </c>
      <c r="N316" t="str">
        <f ca="1">VLOOKUP(F316,INDIRECT("球種変換表!A$1:B$" &amp; Prams!$B$2),2,)</f>
        <v>ストレート</v>
      </c>
      <c r="O316">
        <f ca="1">VLOOKUP(N316,球種情報!A:B,2,FALSE)</f>
        <v>1</v>
      </c>
      <c r="P316">
        <f ca="1">VLOOKUP(K316,投手データ!B:AI,output!O316+6,FALSE)</f>
        <v>1</v>
      </c>
      <c r="R316">
        <f t="shared" ca="1" si="23"/>
        <v>9.2592592592592587E-3</v>
      </c>
      <c r="S316">
        <f t="shared" si="24"/>
        <v>0.63159722222222225</v>
      </c>
      <c r="T316">
        <f>Prams!B$5/(S316-Prams!B$6)</f>
        <v>108.21512444874482</v>
      </c>
      <c r="U316">
        <f t="shared" ca="1" si="25"/>
        <v>0.71493055555555562</v>
      </c>
      <c r="V316">
        <f ca="1">Prams!C$5/(U316-Prams!C$6)</f>
        <v>108.20881081685538</v>
      </c>
      <c r="W316">
        <f t="shared" ca="1" si="26"/>
        <v>1.0019334334894017</v>
      </c>
    </row>
    <row r="317" spans="1:23" hidden="1" x14ac:dyDescent="0.55000000000000004">
      <c r="A317" s="1" t="s">
        <v>2083</v>
      </c>
      <c r="B317" s="1">
        <v>138</v>
      </c>
      <c r="C317">
        <v>642.47619999999995</v>
      </c>
      <c r="D317">
        <v>602</v>
      </c>
      <c r="E317">
        <v>10.523899999999999</v>
      </c>
      <c r="F317" t="s">
        <v>0</v>
      </c>
      <c r="G317" s="10" t="s">
        <v>853</v>
      </c>
      <c r="H317">
        <v>99</v>
      </c>
      <c r="I317" t="s">
        <v>889</v>
      </c>
      <c r="J317">
        <f ca="1">VLOOKUP(G317,INDIRECT("球速変換!A$1:B$" &amp; Prams!$B$8),2,)</f>
        <v>105</v>
      </c>
      <c r="K317" t="s">
        <v>232</v>
      </c>
      <c r="L317">
        <f t="shared" si="22"/>
        <v>39</v>
      </c>
      <c r="M317">
        <f ca="1">(B317-VLOOKUP(K317,INDIRECT("投手データ!B1:D"&amp;Prams!$B$1),3,FALSE)*2)</f>
        <v>44</v>
      </c>
      <c r="N317" t="str">
        <f ca="1">VLOOKUP(F317,INDIRECT("球種変換表!A$1:B$" &amp; Prams!$B$2),2,)</f>
        <v>ストレート</v>
      </c>
      <c r="O317">
        <f ca="1">VLOOKUP(N317,球種情報!A:B,2,FALSE)</f>
        <v>1</v>
      </c>
      <c r="P317">
        <f ca="1">VLOOKUP(K317,投手データ!B:AI,output!O317+6,FALSE)</f>
        <v>1</v>
      </c>
      <c r="R317">
        <f t="shared" ca="1" si="23"/>
        <v>9.5238095238095247E-3</v>
      </c>
      <c r="S317">
        <f t="shared" si="24"/>
        <v>0.64861111111111103</v>
      </c>
      <c r="T317">
        <f>Prams!B$5/(S317-Prams!B$6)</f>
        <v>105.08555563949537</v>
      </c>
      <c r="U317">
        <f t="shared" ca="1" si="25"/>
        <v>0.7319444444444444</v>
      </c>
      <c r="V317">
        <f ca="1">Prams!C$5/(U317-Prams!C$6)</f>
        <v>105.07960189609264</v>
      </c>
      <c r="W317">
        <f t="shared" ca="1" si="26"/>
        <v>1.0007581132961203</v>
      </c>
    </row>
    <row r="318" spans="1:23" hidden="1" x14ac:dyDescent="0.55000000000000004">
      <c r="A318" s="1" t="s">
        <v>2085</v>
      </c>
      <c r="B318" s="1">
        <v>137</v>
      </c>
      <c r="C318">
        <v>636.52380000000005</v>
      </c>
      <c r="D318">
        <v>602</v>
      </c>
      <c r="E318">
        <v>10.52392</v>
      </c>
      <c r="F318" t="s">
        <v>0</v>
      </c>
      <c r="G318" s="10" t="s">
        <v>2453</v>
      </c>
      <c r="H318">
        <v>99</v>
      </c>
      <c r="I318" t="s">
        <v>2084</v>
      </c>
      <c r="J318">
        <f ca="1">VLOOKUP(G318,INDIRECT("球速変換!A$1:B$" &amp; Prams!$B$8),2,)</f>
        <v>108</v>
      </c>
      <c r="K318" t="s">
        <v>232</v>
      </c>
      <c r="L318">
        <f t="shared" si="22"/>
        <v>38</v>
      </c>
      <c r="M318">
        <f ca="1">(B318-VLOOKUP(K318,INDIRECT("投手データ!B1:D"&amp;Prams!$B$1),3,FALSE)*2)</f>
        <v>43</v>
      </c>
      <c r="N318" t="str">
        <f ca="1">VLOOKUP(F318,INDIRECT("球種変換表!A$1:B$" &amp; Prams!$B$2),2,)</f>
        <v>ストレート</v>
      </c>
      <c r="O318">
        <f ca="1">VLOOKUP(N318,球種情報!A:B,2,FALSE)</f>
        <v>1</v>
      </c>
      <c r="P318">
        <f ca="1">VLOOKUP(K318,投手データ!B:AI,output!O318+6,FALSE)</f>
        <v>1</v>
      </c>
      <c r="R318">
        <f t="shared" ca="1" si="23"/>
        <v>9.2592592592592587E-3</v>
      </c>
      <c r="S318">
        <f t="shared" si="24"/>
        <v>0.63194444444444442</v>
      </c>
      <c r="T318">
        <f>Prams!B$5/(S318-Prams!B$6)</f>
        <v>108.14939356243198</v>
      </c>
      <c r="U318">
        <f t="shared" ca="1" si="25"/>
        <v>0.71527777777777779</v>
      </c>
      <c r="V318">
        <f ca="1">Prams!C$5/(U318-Prams!C$6)</f>
        <v>108.1430875979087</v>
      </c>
      <c r="W318">
        <f t="shared" ca="1" si="26"/>
        <v>1.0013248851658214</v>
      </c>
    </row>
    <row r="319" spans="1:23" hidden="1" x14ac:dyDescent="0.55000000000000004">
      <c r="A319" s="1" t="s">
        <v>2086</v>
      </c>
      <c r="B319" s="1">
        <v>137</v>
      </c>
      <c r="C319">
        <v>642.97729000000004</v>
      </c>
      <c r="D319">
        <v>602</v>
      </c>
      <c r="E319">
        <v>11.02281</v>
      </c>
      <c r="F319" t="s">
        <v>0</v>
      </c>
      <c r="G319" s="10" t="s">
        <v>2453</v>
      </c>
      <c r="H319">
        <v>99</v>
      </c>
      <c r="I319" t="s">
        <v>859</v>
      </c>
      <c r="J319">
        <f ca="1">VLOOKUP(G319,INDIRECT("球速変換!A$1:B$" &amp; Prams!$B$8),2,)</f>
        <v>108</v>
      </c>
      <c r="K319" t="s">
        <v>232</v>
      </c>
      <c r="L319">
        <f t="shared" si="22"/>
        <v>38</v>
      </c>
      <c r="M319">
        <f ca="1">(B319-VLOOKUP(K319,INDIRECT("投手データ!B1:D"&amp;Prams!$B$1),3,FALSE)*2)</f>
        <v>43</v>
      </c>
      <c r="N319" t="str">
        <f ca="1">VLOOKUP(F319,INDIRECT("球種変換表!A$1:B$" &amp; Prams!$B$2),2,)</f>
        <v>ストレート</v>
      </c>
      <c r="O319">
        <f ca="1">VLOOKUP(N319,球種情報!A:B,2,FALSE)</f>
        <v>1</v>
      </c>
      <c r="P319">
        <f ca="1">VLOOKUP(K319,投手データ!B:AI,output!O319+6,FALSE)</f>
        <v>1</v>
      </c>
      <c r="R319">
        <f t="shared" ca="1" si="23"/>
        <v>9.2592592592592587E-3</v>
      </c>
      <c r="S319">
        <f t="shared" si="24"/>
        <v>0.63194444444444442</v>
      </c>
      <c r="T319">
        <f>Prams!B$5/(S319-Prams!B$6)</f>
        <v>108.14939356243198</v>
      </c>
      <c r="U319">
        <f t="shared" ca="1" si="25"/>
        <v>0.71527777777777779</v>
      </c>
      <c r="V319">
        <f ca="1">Prams!C$5/(U319-Prams!C$6)</f>
        <v>108.1430875979087</v>
      </c>
      <c r="W319">
        <f t="shared" ca="1" si="26"/>
        <v>1.0013248851658214</v>
      </c>
    </row>
    <row r="320" spans="1:23" hidden="1" x14ac:dyDescent="0.55000000000000004">
      <c r="A320" s="1" t="s">
        <v>860</v>
      </c>
      <c r="B320" s="1">
        <v>131</v>
      </c>
      <c r="C320">
        <v>639</v>
      </c>
      <c r="D320">
        <v>604</v>
      </c>
      <c r="E320">
        <v>10.04998</v>
      </c>
      <c r="F320" t="s">
        <v>343</v>
      </c>
      <c r="G320" s="10" t="s">
        <v>2454</v>
      </c>
      <c r="H320">
        <v>98</v>
      </c>
      <c r="I320" t="s">
        <v>1628</v>
      </c>
      <c r="J320">
        <f ca="1">VLOOKUP(G320,INDIRECT("球速変換!A$1:B$" &amp; Prams!$B$8),2,)</f>
        <v>106</v>
      </c>
      <c r="K320" t="s">
        <v>232</v>
      </c>
      <c r="L320">
        <f t="shared" si="22"/>
        <v>33</v>
      </c>
      <c r="M320">
        <f ca="1">(B320-VLOOKUP(K320,INDIRECT("投手データ!B1:D"&amp;Prams!$B$1),3,FALSE)*2)</f>
        <v>37</v>
      </c>
      <c r="N320" t="str">
        <f ca="1">VLOOKUP(F320,INDIRECT("球種変換表!A$1:B$" &amp; Prams!$B$2),2,)</f>
        <v>全力ストレート</v>
      </c>
      <c r="O320">
        <f ca="1">VLOOKUP(N320,球種情報!A:B,2,FALSE)</f>
        <v>2</v>
      </c>
      <c r="P320">
        <f ca="1">VLOOKUP(K320,投手データ!B:AI,output!O320+6,FALSE)</f>
        <v>1</v>
      </c>
      <c r="R320">
        <f t="shared" ca="1" si="23"/>
        <v>9.433962264150943E-3</v>
      </c>
      <c r="S320">
        <f t="shared" si="24"/>
        <v>0.54722222222222228</v>
      </c>
      <c r="T320">
        <f>Prams!B$5/(S320-Prams!B$6)</f>
        <v>126.96688953289367</v>
      </c>
      <c r="U320">
        <f t="shared" ca="1" si="25"/>
        <v>0.61388888888888893</v>
      </c>
      <c r="V320">
        <f ca="1">Prams!C$5/(U320-Prams!C$6)</f>
        <v>131.4574965742097</v>
      </c>
      <c r="W320">
        <f t="shared" ca="1" si="26"/>
        <v>1.2401650620208462</v>
      </c>
    </row>
    <row r="321" spans="1:23" hidden="1" x14ac:dyDescent="0.55000000000000004">
      <c r="A321" s="1" t="s">
        <v>862</v>
      </c>
      <c r="B321" s="1">
        <v>131</v>
      </c>
      <c r="C321">
        <v>640</v>
      </c>
      <c r="D321">
        <v>611.5</v>
      </c>
      <c r="E321">
        <v>11.01146</v>
      </c>
      <c r="F321" t="s">
        <v>343</v>
      </c>
      <c r="G321" s="10" t="s">
        <v>2453</v>
      </c>
      <c r="H321">
        <v>98</v>
      </c>
      <c r="I321" t="s">
        <v>1629</v>
      </c>
      <c r="J321">
        <f ca="1">VLOOKUP(G321,INDIRECT("球速変換!A$1:B$" &amp; Prams!$B$8),2,)</f>
        <v>108</v>
      </c>
      <c r="K321" t="s">
        <v>232</v>
      </c>
      <c r="L321">
        <f t="shared" si="22"/>
        <v>33</v>
      </c>
      <c r="M321">
        <f ca="1">(B321-VLOOKUP(K321,INDIRECT("投手データ!B1:D"&amp;Prams!$B$1),3,FALSE)*2)</f>
        <v>37</v>
      </c>
      <c r="N321" t="str">
        <f ca="1">VLOOKUP(F321,INDIRECT("球種変換表!A$1:B$" &amp; Prams!$B$2),2,)</f>
        <v>全力ストレート</v>
      </c>
      <c r="O321">
        <f ca="1">VLOOKUP(N321,球種情報!A:B,2,FALSE)</f>
        <v>2</v>
      </c>
      <c r="P321">
        <f ca="1">VLOOKUP(K321,投手データ!B:AI,output!O321+6,FALSE)</f>
        <v>1</v>
      </c>
      <c r="R321">
        <f t="shared" ca="1" si="23"/>
        <v>9.2592592592592587E-3</v>
      </c>
      <c r="S321">
        <f t="shared" si="24"/>
        <v>0.54201388888888891</v>
      </c>
      <c r="T321">
        <f>Prams!B$5/(S321-Prams!B$6)</f>
        <v>128.33966681467214</v>
      </c>
      <c r="U321">
        <f t="shared" ca="1" si="25"/>
        <v>0.60868055555555556</v>
      </c>
      <c r="V321">
        <f ca="1">Prams!C$5/(U321-Prams!C$6)</f>
        <v>132.92965973636586</v>
      </c>
      <c r="W321">
        <f t="shared" ca="1" si="26"/>
        <v>1.2308301827441284</v>
      </c>
    </row>
    <row r="322" spans="1:23" hidden="1" x14ac:dyDescent="0.55000000000000004">
      <c r="A322" s="1" t="s">
        <v>865</v>
      </c>
      <c r="B322" s="1">
        <v>131</v>
      </c>
      <c r="C322">
        <v>638.5</v>
      </c>
      <c r="D322">
        <v>603.5</v>
      </c>
      <c r="E322">
        <v>10.512</v>
      </c>
      <c r="F322" t="s">
        <v>343</v>
      </c>
      <c r="G322" s="10" t="s">
        <v>1630</v>
      </c>
      <c r="H322">
        <v>98</v>
      </c>
      <c r="I322" t="s">
        <v>1631</v>
      </c>
      <c r="J322">
        <f ca="1">VLOOKUP(G322,INDIRECT("球速変換!A$1:B$" &amp; Prams!$B$8),2,)</f>
        <v>106</v>
      </c>
      <c r="K322" t="s">
        <v>232</v>
      </c>
      <c r="L322">
        <f t="shared" si="22"/>
        <v>33</v>
      </c>
      <c r="M322">
        <f ca="1">(B322-VLOOKUP(K322,INDIRECT("投手データ!B1:D"&amp;Prams!$B$1),3,FALSE)*2)</f>
        <v>37</v>
      </c>
      <c r="N322" t="str">
        <f ca="1">VLOOKUP(F322,INDIRECT("球種変換表!A$1:B$" &amp; Prams!$B$2),2,)</f>
        <v>全力ストレート</v>
      </c>
      <c r="O322">
        <f ca="1">VLOOKUP(N322,球種情報!A:B,2,FALSE)</f>
        <v>2</v>
      </c>
      <c r="P322">
        <f ca="1">VLOOKUP(K322,投手データ!B:AI,output!O322+6,FALSE)</f>
        <v>1</v>
      </c>
      <c r="R322">
        <f t="shared" ca="1" si="23"/>
        <v>9.433962264150943E-3</v>
      </c>
      <c r="S322">
        <f t="shared" si="24"/>
        <v>0.54756944444444444</v>
      </c>
      <c r="T322">
        <f>Prams!B$5/(S322-Prams!B$6)</f>
        <v>126.8764144866233</v>
      </c>
      <c r="U322">
        <f t="shared" ca="1" si="25"/>
        <v>0.61423611111111109</v>
      </c>
      <c r="V322">
        <f ca="1">Prams!C$5/(U322-Prams!C$6)</f>
        <v>131.36051089246823</v>
      </c>
      <c r="W322">
        <f t="shared" ca="1" si="26"/>
        <v>1.2392501027591343</v>
      </c>
    </row>
    <row r="323" spans="1:23" hidden="1" x14ac:dyDescent="0.55000000000000004">
      <c r="A323" s="1" t="s">
        <v>867</v>
      </c>
      <c r="B323" s="1">
        <v>131</v>
      </c>
      <c r="C323">
        <v>640</v>
      </c>
      <c r="D323">
        <v>611.5</v>
      </c>
      <c r="E323">
        <v>11.01146</v>
      </c>
      <c r="F323" t="s">
        <v>343</v>
      </c>
      <c r="G323" s="10" t="s">
        <v>2453</v>
      </c>
      <c r="H323">
        <v>98</v>
      </c>
      <c r="I323" t="s">
        <v>889</v>
      </c>
      <c r="J323">
        <f ca="1">VLOOKUP(G323,INDIRECT("球速変換!A$1:B$" &amp; Prams!$B$8),2,)</f>
        <v>108</v>
      </c>
      <c r="K323" t="s">
        <v>232</v>
      </c>
      <c r="L323">
        <f t="shared" ref="L323:L386" si="27">B323-H323</f>
        <v>33</v>
      </c>
      <c r="M323">
        <f ca="1">(B323-VLOOKUP(K323,INDIRECT("投手データ!B1:D"&amp;Prams!$B$1),3,FALSE)*2)</f>
        <v>37</v>
      </c>
      <c r="N323" t="str">
        <f ca="1">VLOOKUP(F323,INDIRECT("球種変換表!A$1:B$" &amp; Prams!$B$2),2,)</f>
        <v>全力ストレート</v>
      </c>
      <c r="O323">
        <f ca="1">VLOOKUP(N323,球種情報!A:B,2,FALSE)</f>
        <v>2</v>
      </c>
      <c r="P323">
        <f ca="1">VLOOKUP(K323,投手データ!B:AI,output!O323+6,FALSE)</f>
        <v>1</v>
      </c>
      <c r="R323">
        <f t="shared" ca="1" si="23"/>
        <v>9.2592592592592587E-3</v>
      </c>
      <c r="S323">
        <f t="shared" si="24"/>
        <v>0.54201388888888891</v>
      </c>
      <c r="T323">
        <f>Prams!B$5/(S323-Prams!B$6)</f>
        <v>128.33966681467214</v>
      </c>
      <c r="U323">
        <f t="shared" ca="1" si="25"/>
        <v>0.60868055555555556</v>
      </c>
      <c r="V323">
        <f ca="1">Prams!C$5/(U323-Prams!C$6)</f>
        <v>132.92965973636586</v>
      </c>
      <c r="W323">
        <f t="shared" ca="1" si="26"/>
        <v>1.2308301827441284</v>
      </c>
    </row>
    <row r="324" spans="1:23" hidden="1" x14ac:dyDescent="0.55000000000000004">
      <c r="A324" s="1" t="s">
        <v>870</v>
      </c>
      <c r="B324" s="1">
        <v>131</v>
      </c>
      <c r="C324">
        <v>639.5</v>
      </c>
      <c r="D324">
        <v>608.5</v>
      </c>
      <c r="E324">
        <v>10.512</v>
      </c>
      <c r="F324" t="s">
        <v>343</v>
      </c>
      <c r="G324" s="10" t="s">
        <v>2455</v>
      </c>
      <c r="H324">
        <v>98</v>
      </c>
      <c r="I324" t="s">
        <v>857</v>
      </c>
      <c r="J324">
        <f ca="1">VLOOKUP(G324,INDIRECT("球速変換!A$1:B$" &amp; Prams!$B$8),2,)</f>
        <v>107</v>
      </c>
      <c r="K324" t="s">
        <v>232</v>
      </c>
      <c r="L324">
        <f t="shared" si="27"/>
        <v>33</v>
      </c>
      <c r="M324">
        <f ca="1">(B324-VLOOKUP(K324,INDIRECT("投手データ!B1:D"&amp;Prams!$B$1),3,FALSE)*2)</f>
        <v>37</v>
      </c>
      <c r="N324" t="str">
        <f ca="1">VLOOKUP(F324,INDIRECT("球種変換表!A$1:B$" &amp; Prams!$B$2),2,)</f>
        <v>全力ストレート</v>
      </c>
      <c r="O324">
        <f ca="1">VLOOKUP(N324,球種情報!A:B,2,FALSE)</f>
        <v>2</v>
      </c>
      <c r="P324">
        <f ca="1">VLOOKUP(K324,投手データ!B:AI,output!O324+6,FALSE)</f>
        <v>1</v>
      </c>
      <c r="R324">
        <f t="shared" ca="1" si="23"/>
        <v>9.3457943925233638E-3</v>
      </c>
      <c r="S324">
        <f t="shared" si="24"/>
        <v>0.54409722222222223</v>
      </c>
      <c r="T324">
        <f>Prams!B$5/(S324-Prams!B$6)</f>
        <v>127.78700902007843</v>
      </c>
      <c r="U324">
        <f t="shared" ca="1" si="25"/>
        <v>0.61076388888888888</v>
      </c>
      <c r="V324">
        <f ca="1">Prams!C$5/(U324-Prams!C$6)</f>
        <v>132.33685537433331</v>
      </c>
      <c r="W324">
        <f t="shared" ca="1" si="26"/>
        <v>1.2367930408816197</v>
      </c>
    </row>
    <row r="325" spans="1:23" hidden="1" x14ac:dyDescent="0.55000000000000004">
      <c r="A325" s="1" t="s">
        <v>871</v>
      </c>
      <c r="B325" s="1">
        <v>131</v>
      </c>
      <c r="C325">
        <v>640.5</v>
      </c>
      <c r="D325">
        <v>611.5</v>
      </c>
      <c r="E325">
        <v>10.512</v>
      </c>
      <c r="F325" t="s">
        <v>343</v>
      </c>
      <c r="G325" s="10" t="s">
        <v>2453</v>
      </c>
      <c r="H325">
        <v>98</v>
      </c>
      <c r="I325" t="s">
        <v>1632</v>
      </c>
      <c r="J325">
        <f ca="1">VLOOKUP(G325,INDIRECT("球速変換!A$1:B$" &amp; Prams!$B$8),2,)</f>
        <v>108</v>
      </c>
      <c r="K325" t="s">
        <v>232</v>
      </c>
      <c r="L325">
        <f t="shared" si="27"/>
        <v>33</v>
      </c>
      <c r="M325">
        <f ca="1">(B325-VLOOKUP(K325,INDIRECT("投手データ!B1:D"&amp;Prams!$B$1),3,FALSE)*2)</f>
        <v>37</v>
      </c>
      <c r="N325" t="str">
        <f ca="1">VLOOKUP(F325,INDIRECT("球種変換表!A$1:B$" &amp; Prams!$B$2),2,)</f>
        <v>全力ストレート</v>
      </c>
      <c r="O325">
        <f ca="1">VLOOKUP(N325,球種情報!A:B,2,FALSE)</f>
        <v>2</v>
      </c>
      <c r="P325">
        <f ca="1">VLOOKUP(K325,投手データ!B:AI,output!O325+6,FALSE)</f>
        <v>1</v>
      </c>
      <c r="R325">
        <f t="shared" ref="R325:R388" ca="1" si="28">1/J325</f>
        <v>9.2592592592592587E-3</v>
      </c>
      <c r="S325">
        <f t="shared" ref="S325:S388" si="29">(L325-(D325-600)/24)*2/120</f>
        <v>0.54201388888888891</v>
      </c>
      <c r="T325">
        <f>Prams!B$5/(S325-Prams!B$6)</f>
        <v>128.33966681467214</v>
      </c>
      <c r="U325">
        <f t="shared" ref="U325:U388" ca="1" si="30">(M325-(D325-600)/24)*2/120</f>
        <v>0.60868055555555556</v>
      </c>
      <c r="V325">
        <f ca="1">Prams!C$5/(U325-Prams!C$6)</f>
        <v>132.92965973636586</v>
      </c>
      <c r="W325">
        <f t="shared" ref="W325:W388" ca="1" si="31">V325/J325</f>
        <v>1.2308301827441284</v>
      </c>
    </row>
    <row r="326" spans="1:23" hidden="1" x14ac:dyDescent="0.55000000000000004">
      <c r="A326" s="1" t="s">
        <v>873</v>
      </c>
      <c r="B326" s="1">
        <v>131</v>
      </c>
      <c r="C326">
        <v>639</v>
      </c>
      <c r="D326">
        <v>604</v>
      </c>
      <c r="E326">
        <v>10.04998</v>
      </c>
      <c r="F326" t="s">
        <v>343</v>
      </c>
      <c r="G326" s="10" t="s">
        <v>2089</v>
      </c>
      <c r="H326">
        <v>98</v>
      </c>
      <c r="I326" t="s">
        <v>1634</v>
      </c>
      <c r="J326">
        <f ca="1">VLOOKUP(G326,INDIRECT("球速変換!A$1:B$" &amp; Prams!$B$8),2,)</f>
        <v>106</v>
      </c>
      <c r="K326" t="s">
        <v>232</v>
      </c>
      <c r="L326">
        <f t="shared" si="27"/>
        <v>33</v>
      </c>
      <c r="M326">
        <f ca="1">(B326-VLOOKUP(K326,INDIRECT("投手データ!B1:D"&amp;Prams!$B$1),3,FALSE)*2)</f>
        <v>37</v>
      </c>
      <c r="N326" t="str">
        <f ca="1">VLOOKUP(F326,INDIRECT("球種変換表!A$1:B$" &amp; Prams!$B$2),2,)</f>
        <v>全力ストレート</v>
      </c>
      <c r="O326">
        <f ca="1">VLOOKUP(N326,球種情報!A:B,2,FALSE)</f>
        <v>2</v>
      </c>
      <c r="P326">
        <f ca="1">VLOOKUP(K326,投手データ!B:AI,output!O326+6,FALSE)</f>
        <v>1</v>
      </c>
      <c r="R326">
        <f t="shared" ca="1" si="28"/>
        <v>9.433962264150943E-3</v>
      </c>
      <c r="S326">
        <f t="shared" si="29"/>
        <v>0.54722222222222228</v>
      </c>
      <c r="T326">
        <f>Prams!B$5/(S326-Prams!B$6)</f>
        <v>126.96688953289367</v>
      </c>
      <c r="U326">
        <f t="shared" ca="1" si="30"/>
        <v>0.61388888888888893</v>
      </c>
      <c r="V326">
        <f ca="1">Prams!C$5/(U326-Prams!C$6)</f>
        <v>131.4574965742097</v>
      </c>
      <c r="W326">
        <f t="shared" ca="1" si="31"/>
        <v>1.2401650620208462</v>
      </c>
    </row>
    <row r="327" spans="1:23" hidden="1" x14ac:dyDescent="0.55000000000000004">
      <c r="A327" s="1" t="s">
        <v>877</v>
      </c>
      <c r="B327" s="1">
        <v>131</v>
      </c>
      <c r="C327">
        <v>640</v>
      </c>
      <c r="D327">
        <v>611.5</v>
      </c>
      <c r="E327">
        <v>11.01146</v>
      </c>
      <c r="F327" t="s">
        <v>343</v>
      </c>
      <c r="G327" s="10" t="s">
        <v>875</v>
      </c>
      <c r="H327">
        <v>98</v>
      </c>
      <c r="I327" t="s">
        <v>1635</v>
      </c>
      <c r="J327">
        <f ca="1">VLOOKUP(G327,INDIRECT("球速変換!A$1:B$" &amp; Prams!$B$8),2,)</f>
        <v>108</v>
      </c>
      <c r="K327" t="s">
        <v>232</v>
      </c>
      <c r="L327">
        <f t="shared" si="27"/>
        <v>33</v>
      </c>
      <c r="M327">
        <f ca="1">(B327-VLOOKUP(K327,INDIRECT("投手データ!B1:D"&amp;Prams!$B$1),3,FALSE)*2)</f>
        <v>37</v>
      </c>
      <c r="N327" t="str">
        <f ca="1">VLOOKUP(F327,INDIRECT("球種変換表!A$1:B$" &amp; Prams!$B$2),2,)</f>
        <v>全力ストレート</v>
      </c>
      <c r="O327">
        <f ca="1">VLOOKUP(N327,球種情報!A:B,2,FALSE)</f>
        <v>2</v>
      </c>
      <c r="P327">
        <f ca="1">VLOOKUP(K327,投手データ!B:AI,output!O327+6,FALSE)</f>
        <v>1</v>
      </c>
      <c r="R327">
        <f t="shared" ca="1" si="28"/>
        <v>9.2592592592592587E-3</v>
      </c>
      <c r="S327">
        <f t="shared" si="29"/>
        <v>0.54201388888888891</v>
      </c>
      <c r="T327">
        <f>Prams!B$5/(S327-Prams!B$6)</f>
        <v>128.33966681467214</v>
      </c>
      <c r="U327">
        <f t="shared" ca="1" si="30"/>
        <v>0.60868055555555556</v>
      </c>
      <c r="V327">
        <f ca="1">Prams!C$5/(U327-Prams!C$6)</f>
        <v>132.92965973636586</v>
      </c>
      <c r="W327">
        <f t="shared" ca="1" si="31"/>
        <v>1.2308301827441284</v>
      </c>
    </row>
    <row r="328" spans="1:23" hidden="1" x14ac:dyDescent="0.55000000000000004">
      <c r="A328" s="1" t="s">
        <v>878</v>
      </c>
      <c r="B328" s="1">
        <v>131</v>
      </c>
      <c r="C328">
        <v>639</v>
      </c>
      <c r="D328">
        <v>601.5</v>
      </c>
      <c r="E328">
        <v>10.012589999999999</v>
      </c>
      <c r="F328" t="s">
        <v>343</v>
      </c>
      <c r="G328" s="10" t="s">
        <v>2452</v>
      </c>
      <c r="H328">
        <v>98</v>
      </c>
      <c r="I328" t="s">
        <v>859</v>
      </c>
      <c r="J328">
        <f ca="1">VLOOKUP(G328,INDIRECT("球速変換!A$1:B$" &amp; Prams!$B$8),2,)</f>
        <v>105</v>
      </c>
      <c r="K328" t="s">
        <v>232</v>
      </c>
      <c r="L328">
        <f t="shared" si="27"/>
        <v>33</v>
      </c>
      <c r="M328">
        <f ca="1">(B328-VLOOKUP(K328,INDIRECT("投手データ!B1:D"&amp;Prams!$B$1),3,FALSE)*2)</f>
        <v>37</v>
      </c>
      <c r="N328" t="str">
        <f ca="1">VLOOKUP(F328,INDIRECT("球種変換表!A$1:B$" &amp; Prams!$B$2),2,)</f>
        <v>全力ストレート</v>
      </c>
      <c r="O328">
        <f ca="1">VLOOKUP(N328,球種情報!A:B,2,FALSE)</f>
        <v>2</v>
      </c>
      <c r="P328">
        <f ca="1">VLOOKUP(K328,投手データ!B:AI,output!O328+6,FALSE)</f>
        <v>1</v>
      </c>
      <c r="R328">
        <f t="shared" ca="1" si="28"/>
        <v>9.5238095238095247E-3</v>
      </c>
      <c r="S328">
        <f t="shared" si="29"/>
        <v>0.54895833333333333</v>
      </c>
      <c r="T328">
        <f>Prams!B$5/(S328-Prams!B$6)</f>
        <v>126.5158000648033</v>
      </c>
      <c r="U328">
        <f t="shared" ca="1" si="30"/>
        <v>0.61562499999999998</v>
      </c>
      <c r="V328">
        <f ca="1">Prams!C$5/(U328-Prams!C$6)</f>
        <v>130.97399502145015</v>
      </c>
      <c r="W328">
        <f t="shared" ca="1" si="31"/>
        <v>1.247371381156668</v>
      </c>
    </row>
    <row r="329" spans="1:23" hidden="1" x14ac:dyDescent="0.55000000000000004">
      <c r="A329" s="1" t="s">
        <v>880</v>
      </c>
      <c r="B329" s="1">
        <v>131</v>
      </c>
      <c r="C329">
        <v>638.5</v>
      </c>
      <c r="D329">
        <v>602.5</v>
      </c>
      <c r="E329">
        <v>10.512</v>
      </c>
      <c r="F329" t="s">
        <v>499</v>
      </c>
      <c r="G329" s="10" t="s">
        <v>2452</v>
      </c>
      <c r="H329">
        <v>98</v>
      </c>
      <c r="I329" t="s">
        <v>1636</v>
      </c>
      <c r="J329">
        <f ca="1">VLOOKUP(G329,INDIRECT("球速変換!A$1:B$" &amp; Prams!$B$8),2,)</f>
        <v>105</v>
      </c>
      <c r="K329" t="s">
        <v>232</v>
      </c>
      <c r="L329">
        <f t="shared" si="27"/>
        <v>33</v>
      </c>
      <c r="M329">
        <f ca="1">(B329-VLOOKUP(K329,INDIRECT("投手データ!B1:D"&amp;Prams!$B$1),3,FALSE)*2)</f>
        <v>37</v>
      </c>
      <c r="N329" t="str">
        <f ca="1">VLOOKUP(F329,INDIRECT("球種変換表!A$1:B$" &amp; Prams!$B$2),2,)</f>
        <v>全力ストレート</v>
      </c>
      <c r="O329">
        <f ca="1">VLOOKUP(N329,球種情報!A:B,2,FALSE)</f>
        <v>2</v>
      </c>
      <c r="P329">
        <f ca="1">VLOOKUP(K329,投手データ!B:AI,output!O329+6,FALSE)</f>
        <v>1</v>
      </c>
      <c r="R329">
        <f t="shared" ca="1" si="28"/>
        <v>9.5238095238095247E-3</v>
      </c>
      <c r="S329">
        <f t="shared" si="29"/>
        <v>0.54826388888888888</v>
      </c>
      <c r="T329">
        <f>Prams!B$5/(S329-Prams!B$6)</f>
        <v>126.69585067201012</v>
      </c>
      <c r="U329">
        <f t="shared" ca="1" si="30"/>
        <v>0.61493055555555565</v>
      </c>
      <c r="V329">
        <f ca="1">Prams!C$5/(U329-Prams!C$6)</f>
        <v>131.16696821645576</v>
      </c>
      <c r="W329">
        <f t="shared" ca="1" si="31"/>
        <v>1.2492092211091024</v>
      </c>
    </row>
    <row r="330" spans="1:23" hidden="1" x14ac:dyDescent="0.55000000000000004">
      <c r="A330" s="1" t="s">
        <v>883</v>
      </c>
      <c r="B330" s="1">
        <v>109</v>
      </c>
      <c r="C330">
        <v>643.5</v>
      </c>
      <c r="D330">
        <v>608.5</v>
      </c>
      <c r="E330">
        <v>11.510960000000001</v>
      </c>
      <c r="F330" t="s">
        <v>9</v>
      </c>
      <c r="G330" s="10" t="s">
        <v>881</v>
      </c>
      <c r="H330">
        <v>65</v>
      </c>
      <c r="I330" t="s">
        <v>882</v>
      </c>
      <c r="J330">
        <f ca="1">VLOOKUP(G330,INDIRECT("球速変換!A$1:B$" &amp; Prams!$B$8),2,)</f>
        <v>139</v>
      </c>
      <c r="K330" t="s">
        <v>232</v>
      </c>
      <c r="L330">
        <f t="shared" si="27"/>
        <v>44</v>
      </c>
      <c r="M330">
        <f ca="1">(B330-VLOOKUP(K330,INDIRECT("投手データ!B1:D"&amp;Prams!$B$1),3,FALSE)*2)</f>
        <v>15</v>
      </c>
      <c r="N330" t="str">
        <f ca="1">VLOOKUP(F330,INDIRECT("球種変換表!A$1:B$" &amp; Prams!$B$2),2,)</f>
        <v>スライダー</v>
      </c>
      <c r="O330">
        <f ca="1">VLOOKUP(N330,球種情報!A:B,2,FALSE)</f>
        <v>6</v>
      </c>
      <c r="P330">
        <f ca="1">VLOOKUP(K330,投手データ!B:AI,output!O330+6,FALSE)</f>
        <v>1</v>
      </c>
      <c r="R330">
        <f t="shared" ca="1" si="28"/>
        <v>7.1942446043165471E-3</v>
      </c>
      <c r="S330">
        <f t="shared" si="29"/>
        <v>0.72743055555555558</v>
      </c>
      <c r="T330">
        <f>Prams!B$5/(S330-Prams!B$6)</f>
        <v>92.670017113092143</v>
      </c>
      <c r="U330">
        <f t="shared" ca="1" si="30"/>
        <v>0.24409722222222224</v>
      </c>
      <c r="V330">
        <f ca="1">Prams!C$5/(U330-Prams!C$6)</f>
        <v>615.17123193012515</v>
      </c>
      <c r="W330">
        <f t="shared" ca="1" si="31"/>
        <v>4.4256923160440662</v>
      </c>
    </row>
    <row r="331" spans="1:23" hidden="1" x14ac:dyDescent="0.55000000000000004">
      <c r="A331" s="1" t="s">
        <v>884</v>
      </c>
      <c r="B331" s="1">
        <v>145</v>
      </c>
      <c r="C331">
        <v>647</v>
      </c>
      <c r="D331">
        <v>602</v>
      </c>
      <c r="E331">
        <v>10.0001</v>
      </c>
      <c r="F331" t="s">
        <v>9</v>
      </c>
      <c r="G331" s="10" t="s">
        <v>810</v>
      </c>
      <c r="H331">
        <v>101</v>
      </c>
      <c r="I331" t="s">
        <v>1637</v>
      </c>
      <c r="J331">
        <f ca="1">VLOOKUP(G331,INDIRECT("球速変換!A$1:B$" &amp; Prams!$B$8),2,)</f>
        <v>95</v>
      </c>
      <c r="K331" t="s">
        <v>232</v>
      </c>
      <c r="L331">
        <f t="shared" si="27"/>
        <v>44</v>
      </c>
      <c r="M331">
        <f ca="1">(B331-VLOOKUP(K331,INDIRECT("投手データ!B1:D"&amp;Prams!$B$1),3,FALSE)*2)</f>
        <v>51</v>
      </c>
      <c r="N331" t="str">
        <f ca="1">VLOOKUP(F331,INDIRECT("球種変換表!A$1:B$" &amp; Prams!$B$2),2,)</f>
        <v>スライダー</v>
      </c>
      <c r="O331">
        <f ca="1">VLOOKUP(N331,球種情報!A:B,2,FALSE)</f>
        <v>6</v>
      </c>
      <c r="P331">
        <f ca="1">VLOOKUP(K331,投手データ!B:AI,output!O331+6,FALSE)</f>
        <v>1</v>
      </c>
      <c r="R331">
        <f t="shared" ca="1" si="28"/>
        <v>1.0526315789473684E-2</v>
      </c>
      <c r="S331">
        <f t="shared" si="29"/>
        <v>0.7319444444444444</v>
      </c>
      <c r="T331">
        <f>Prams!B$5/(S331-Prams!B$6)</f>
        <v>92.047214134462692</v>
      </c>
      <c r="U331">
        <f t="shared" ca="1" si="30"/>
        <v>0.84861111111111109</v>
      </c>
      <c r="V331">
        <f ca="1">Prams!C$5/(U331-Prams!C$6)</f>
        <v>87.690816535594408</v>
      </c>
      <c r="W331">
        <f t="shared" ca="1" si="31"/>
        <v>0.92306122669046742</v>
      </c>
    </row>
    <row r="332" spans="1:23" hidden="1" x14ac:dyDescent="0.55000000000000004">
      <c r="A332" s="1" t="s">
        <v>886</v>
      </c>
      <c r="B332" s="1">
        <v>145</v>
      </c>
      <c r="C332">
        <v>652.54760999999996</v>
      </c>
      <c r="D332">
        <v>610.5</v>
      </c>
      <c r="E332">
        <v>10.55958</v>
      </c>
      <c r="F332" t="s">
        <v>9</v>
      </c>
      <c r="G332" s="10" t="s">
        <v>2443</v>
      </c>
      <c r="H332">
        <v>101</v>
      </c>
      <c r="I332" t="s">
        <v>1638</v>
      </c>
      <c r="J332" t="e">
        <f ca="1">VLOOKUP(G332,INDIRECT("球速変換!A$1:B$" &amp; Prams!$B$8),2,)</f>
        <v>#N/A</v>
      </c>
      <c r="K332" t="s">
        <v>232</v>
      </c>
      <c r="L332">
        <f t="shared" si="27"/>
        <v>44</v>
      </c>
      <c r="M332">
        <f ca="1">(B332-VLOOKUP(K332,INDIRECT("投手データ!B1:D"&amp;Prams!$B$1),3,FALSE)*2)</f>
        <v>51</v>
      </c>
      <c r="N332" t="str">
        <f ca="1">VLOOKUP(F332,INDIRECT("球種変換表!A$1:B$" &amp; Prams!$B$2),2,)</f>
        <v>スライダー</v>
      </c>
      <c r="O332">
        <f ca="1">VLOOKUP(N332,球種情報!A:B,2,FALSE)</f>
        <v>6</v>
      </c>
      <c r="P332">
        <f ca="1">VLOOKUP(K332,投手データ!B:AI,output!O332+6,FALSE)</f>
        <v>1</v>
      </c>
      <c r="R332" t="e">
        <f t="shared" ca="1" si="28"/>
        <v>#N/A</v>
      </c>
      <c r="S332">
        <f t="shared" si="29"/>
        <v>0.7260416666666667</v>
      </c>
      <c r="T332">
        <f>Prams!B$5/(S332-Prams!B$6)</f>
        <v>92.863347895204598</v>
      </c>
      <c r="U332">
        <f t="shared" ca="1" si="30"/>
        <v>0.84270833333333328</v>
      </c>
      <c r="V332">
        <f ca="1">Prams!C$5/(U332-Prams!C$6)</f>
        <v>88.431215953655268</v>
      </c>
      <c r="W332" t="e">
        <f t="shared" ca="1" si="31"/>
        <v>#N/A</v>
      </c>
    </row>
    <row r="333" spans="1:23" hidden="1" x14ac:dyDescent="0.55000000000000004">
      <c r="A333" s="1" t="s">
        <v>888</v>
      </c>
      <c r="B333" s="1">
        <v>144</v>
      </c>
      <c r="C333">
        <v>647.5</v>
      </c>
      <c r="D333">
        <v>603</v>
      </c>
      <c r="E333">
        <v>10.5001</v>
      </c>
      <c r="F333" t="s">
        <v>9</v>
      </c>
      <c r="G333" s="10" t="s">
        <v>775</v>
      </c>
      <c r="H333">
        <v>101</v>
      </c>
      <c r="I333" t="s">
        <v>1639</v>
      </c>
      <c r="J333">
        <f ca="1">VLOOKUP(G333,INDIRECT("球速変換!A$1:B$" &amp; Prams!$B$8),2,)</f>
        <v>97</v>
      </c>
      <c r="K333" t="s">
        <v>232</v>
      </c>
      <c r="L333">
        <f t="shared" si="27"/>
        <v>43</v>
      </c>
      <c r="M333">
        <f ca="1">(B333-VLOOKUP(K333,INDIRECT("投手データ!B1:D"&amp;Prams!$B$1),3,FALSE)*2)</f>
        <v>50</v>
      </c>
      <c r="N333" t="str">
        <f ca="1">VLOOKUP(F333,INDIRECT("球種変換表!A$1:B$" &amp; Prams!$B$2),2,)</f>
        <v>スライダー</v>
      </c>
      <c r="O333">
        <f ca="1">VLOOKUP(N333,球種情報!A:B,2,FALSE)</f>
        <v>6</v>
      </c>
      <c r="P333">
        <f ca="1">VLOOKUP(K333,投手データ!B:AI,output!O333+6,FALSE)</f>
        <v>1</v>
      </c>
      <c r="R333">
        <f t="shared" ca="1" si="28"/>
        <v>1.0309278350515464E-2</v>
      </c>
      <c r="S333">
        <f t="shared" si="29"/>
        <v>0.71458333333333335</v>
      </c>
      <c r="T333">
        <f>Prams!B$5/(S333-Prams!B$6)</f>
        <v>94.489645158825184</v>
      </c>
      <c r="U333">
        <f t="shared" ca="1" si="30"/>
        <v>0.83125000000000004</v>
      </c>
      <c r="V333">
        <f ca="1">Prams!C$5/(U333-Prams!C$6)</f>
        <v>89.904748054969815</v>
      </c>
      <c r="W333">
        <f t="shared" ca="1" si="31"/>
        <v>0.92685307273164763</v>
      </c>
    </row>
    <row r="334" spans="1:23" hidden="1" x14ac:dyDescent="0.55000000000000004">
      <c r="A334" s="1" t="s">
        <v>890</v>
      </c>
      <c r="B334" s="1">
        <v>145</v>
      </c>
      <c r="C334">
        <v>637.04998999999998</v>
      </c>
      <c r="D334">
        <v>601.5</v>
      </c>
      <c r="E334">
        <v>10.06254</v>
      </c>
      <c r="F334" t="s">
        <v>9</v>
      </c>
      <c r="G334" s="10" t="s">
        <v>803</v>
      </c>
      <c r="H334">
        <v>101</v>
      </c>
      <c r="I334" t="s">
        <v>889</v>
      </c>
      <c r="J334">
        <f ca="1">VLOOKUP(G334,INDIRECT("球速変換!A$1:B$" &amp; Prams!$B$8),2,)</f>
        <v>144</v>
      </c>
      <c r="K334" t="s">
        <v>232</v>
      </c>
      <c r="L334">
        <f t="shared" si="27"/>
        <v>44</v>
      </c>
      <c r="M334">
        <f ca="1">(B334-VLOOKUP(K334,INDIRECT("投手データ!B1:D"&amp;Prams!$B$1),3,FALSE)*2)</f>
        <v>51</v>
      </c>
      <c r="N334" t="str">
        <f ca="1">VLOOKUP(F334,INDIRECT("球種変換表!A$1:B$" &amp; Prams!$B$2),2,)</f>
        <v>スライダー</v>
      </c>
      <c r="O334">
        <f ca="1">VLOOKUP(N334,球種情報!A:B,2,FALSE)</f>
        <v>6</v>
      </c>
      <c r="P334">
        <f ca="1">VLOOKUP(K334,投手データ!B:AI,output!O334+6,FALSE)</f>
        <v>1</v>
      </c>
      <c r="R334">
        <f t="shared" ca="1" si="28"/>
        <v>6.9444444444444441E-3</v>
      </c>
      <c r="S334">
        <f t="shared" si="29"/>
        <v>0.73229166666666667</v>
      </c>
      <c r="T334">
        <f>Prams!B$5/(S334-Prams!B$6)</f>
        <v>91.999652773471894</v>
      </c>
      <c r="U334">
        <f t="shared" ca="1" si="30"/>
        <v>0.84895833333333337</v>
      </c>
      <c r="V334">
        <f ca="1">Prams!C$5/(U334-Prams!C$6)</f>
        <v>87.647649539832003</v>
      </c>
      <c r="W334">
        <f t="shared" ca="1" si="31"/>
        <v>0.60866423291549998</v>
      </c>
    </row>
    <row r="335" spans="1:23" hidden="1" x14ac:dyDescent="0.55000000000000004">
      <c r="A335" s="1" t="s">
        <v>892</v>
      </c>
      <c r="B335" s="1">
        <v>145</v>
      </c>
      <c r="C335">
        <v>648.5</v>
      </c>
      <c r="D335">
        <v>606.5</v>
      </c>
      <c r="E335">
        <v>10.512</v>
      </c>
      <c r="F335" t="s">
        <v>9</v>
      </c>
      <c r="G335" s="10" t="s">
        <v>2443</v>
      </c>
      <c r="H335">
        <v>101</v>
      </c>
      <c r="I335" t="s">
        <v>889</v>
      </c>
      <c r="J335" t="e">
        <f ca="1">VLOOKUP(G335,INDIRECT("球速変換!A$1:B$" &amp; Prams!$B$8),2,)</f>
        <v>#N/A</v>
      </c>
      <c r="K335" t="s">
        <v>232</v>
      </c>
      <c r="L335">
        <f t="shared" si="27"/>
        <v>44</v>
      </c>
      <c r="M335">
        <f ca="1">(B335-VLOOKUP(K335,INDIRECT("投手データ!B1:D"&amp;Prams!$B$1),3,FALSE)*2)</f>
        <v>51</v>
      </c>
      <c r="N335" t="str">
        <f ca="1">VLOOKUP(F335,INDIRECT("球種変換表!A$1:B$" &amp; Prams!$B$2),2,)</f>
        <v>スライダー</v>
      </c>
      <c r="O335">
        <f ca="1">VLOOKUP(N335,球種情報!A:B,2,FALSE)</f>
        <v>6</v>
      </c>
      <c r="P335">
        <f ca="1">VLOOKUP(K335,投手データ!B:AI,output!O335+6,FALSE)</f>
        <v>1</v>
      </c>
      <c r="R335" t="e">
        <f t="shared" ca="1" si="28"/>
        <v>#N/A</v>
      </c>
      <c r="S335">
        <f t="shared" si="29"/>
        <v>0.72881944444444435</v>
      </c>
      <c r="T335">
        <f>Prams!B$5/(S335-Prams!B$6)</f>
        <v>92.477489643366155</v>
      </c>
      <c r="U335">
        <f t="shared" ca="1" si="30"/>
        <v>0.84548611111111105</v>
      </c>
      <c r="V335">
        <f ca="1">Prams!C$5/(U335-Prams!C$6)</f>
        <v>88.081241416975701</v>
      </c>
      <c r="W335" t="e">
        <f t="shared" ca="1" si="31"/>
        <v>#N/A</v>
      </c>
    </row>
    <row r="336" spans="1:23" hidden="1" x14ac:dyDescent="0.55000000000000004">
      <c r="A336" s="1" t="s">
        <v>894</v>
      </c>
      <c r="B336" s="1">
        <v>145</v>
      </c>
      <c r="C336">
        <v>654.5</v>
      </c>
      <c r="D336">
        <v>614</v>
      </c>
      <c r="E336">
        <v>10.547610000000001</v>
      </c>
      <c r="F336" t="s">
        <v>9</v>
      </c>
      <c r="G336" s="10" t="s">
        <v>775</v>
      </c>
      <c r="H336">
        <v>101</v>
      </c>
      <c r="I336" t="s">
        <v>1640</v>
      </c>
      <c r="J336">
        <f ca="1">VLOOKUP(G336,INDIRECT("球速変換!A$1:B$" &amp; Prams!$B$8),2,)</f>
        <v>97</v>
      </c>
      <c r="K336" t="s">
        <v>232</v>
      </c>
      <c r="L336">
        <f t="shared" si="27"/>
        <v>44</v>
      </c>
      <c r="M336">
        <f ca="1">(B336-VLOOKUP(K336,INDIRECT("投手データ!B1:D"&amp;Prams!$B$1),3,FALSE)*2)</f>
        <v>51</v>
      </c>
      <c r="N336" t="str">
        <f ca="1">VLOOKUP(F336,INDIRECT("球種変換表!A$1:B$" &amp; Prams!$B$2),2,)</f>
        <v>スライダー</v>
      </c>
      <c r="O336">
        <f ca="1">VLOOKUP(N336,球種情報!A:B,2,FALSE)</f>
        <v>6</v>
      </c>
      <c r="P336">
        <f ca="1">VLOOKUP(K336,投手データ!B:AI,output!O336+6,FALSE)</f>
        <v>1</v>
      </c>
      <c r="R336">
        <f t="shared" ca="1" si="28"/>
        <v>1.0309278350515464E-2</v>
      </c>
      <c r="S336">
        <f t="shared" si="29"/>
        <v>0.72361111111111109</v>
      </c>
      <c r="T336">
        <f>Prams!B$5/(S336-Prams!B$6)</f>
        <v>93.203624912057364</v>
      </c>
      <c r="U336">
        <f t="shared" ca="1" si="30"/>
        <v>0.84027777777777779</v>
      </c>
      <c r="V336">
        <f ca="1">Prams!C$5/(U336-Prams!C$6)</f>
        <v>88.739733018612156</v>
      </c>
      <c r="W336">
        <f t="shared" ca="1" si="31"/>
        <v>0.91484260843930054</v>
      </c>
    </row>
    <row r="337" spans="1:23" hidden="1" x14ac:dyDescent="0.55000000000000004">
      <c r="A337" s="1" t="s">
        <v>896</v>
      </c>
      <c r="B337" s="1">
        <v>145</v>
      </c>
      <c r="C337">
        <v>651.5</v>
      </c>
      <c r="D337">
        <v>612.5</v>
      </c>
      <c r="E337">
        <v>11.510960000000001</v>
      </c>
      <c r="F337" t="s">
        <v>9</v>
      </c>
      <c r="G337" s="10" t="s">
        <v>775</v>
      </c>
      <c r="H337">
        <v>101</v>
      </c>
      <c r="I337" t="s">
        <v>876</v>
      </c>
      <c r="J337">
        <f ca="1">VLOOKUP(G337,INDIRECT("球速変換!A$1:B$" &amp; Prams!$B$8),2,)</f>
        <v>97</v>
      </c>
      <c r="K337" t="s">
        <v>232</v>
      </c>
      <c r="L337">
        <f t="shared" si="27"/>
        <v>44</v>
      </c>
      <c r="M337">
        <f ca="1">(B337-VLOOKUP(K337,INDIRECT("投手データ!B1:D"&amp;Prams!$B$1),3,FALSE)*2)</f>
        <v>51</v>
      </c>
      <c r="N337" t="str">
        <f ca="1">VLOOKUP(F337,INDIRECT("球種変換表!A$1:B$" &amp; Prams!$B$2),2,)</f>
        <v>スライダー</v>
      </c>
      <c r="O337">
        <f ca="1">VLOOKUP(N337,球種情報!A:B,2,FALSE)</f>
        <v>6</v>
      </c>
      <c r="P337">
        <f ca="1">VLOOKUP(K337,投手データ!B:AI,output!O337+6,FALSE)</f>
        <v>1</v>
      </c>
      <c r="R337">
        <f t="shared" ca="1" si="28"/>
        <v>1.0309278350515464E-2</v>
      </c>
      <c r="S337">
        <f t="shared" si="29"/>
        <v>0.7246527777777777</v>
      </c>
      <c r="T337">
        <f>Prams!B$5/(S337-Prams!B$6)</f>
        <v>93.057487027892662</v>
      </c>
      <c r="U337">
        <f t="shared" ca="1" si="30"/>
        <v>0.8413194444444444</v>
      </c>
      <c r="V337">
        <f ca="1">Prams!C$5/(U337-Prams!C$6)</f>
        <v>88.60724821740672</v>
      </c>
      <c r="W337">
        <f t="shared" ca="1" si="31"/>
        <v>0.91347678574646107</v>
      </c>
    </row>
    <row r="338" spans="1:23" hidden="1" x14ac:dyDescent="0.55000000000000004">
      <c r="A338" s="1" t="s">
        <v>899</v>
      </c>
      <c r="B338" s="1">
        <v>144</v>
      </c>
      <c r="C338">
        <v>647</v>
      </c>
      <c r="D338">
        <v>602.5</v>
      </c>
      <c r="E338">
        <v>10.012589999999999</v>
      </c>
      <c r="F338" t="s">
        <v>9</v>
      </c>
      <c r="G338" s="10" t="s">
        <v>897</v>
      </c>
      <c r="H338">
        <v>101</v>
      </c>
      <c r="I338" t="s">
        <v>851</v>
      </c>
      <c r="J338">
        <f ca="1">VLOOKUP(G338,INDIRECT("球速変換!A$1:B$" &amp; Prams!$B$8),2,)</f>
        <v>97</v>
      </c>
      <c r="K338" t="s">
        <v>232</v>
      </c>
      <c r="L338">
        <f t="shared" si="27"/>
        <v>43</v>
      </c>
      <c r="M338">
        <f ca="1">(B338-VLOOKUP(K338,INDIRECT("投手データ!B1:D"&amp;Prams!$B$1),3,FALSE)*2)</f>
        <v>50</v>
      </c>
      <c r="N338" t="str">
        <f ca="1">VLOOKUP(F338,INDIRECT("球種変換表!A$1:B$" &amp; Prams!$B$2),2,)</f>
        <v>スライダー</v>
      </c>
      <c r="O338">
        <f ca="1">VLOOKUP(N338,球種情報!A:B,2,FALSE)</f>
        <v>6</v>
      </c>
      <c r="P338">
        <f ca="1">VLOOKUP(K338,投手データ!B:AI,output!O338+6,FALSE)</f>
        <v>1</v>
      </c>
      <c r="R338">
        <f t="shared" ca="1" si="28"/>
        <v>1.0309278350515464E-2</v>
      </c>
      <c r="S338">
        <f t="shared" si="29"/>
        <v>0.71493055555555562</v>
      </c>
      <c r="T338">
        <f>Prams!B$5/(S338-Prams!B$6)</f>
        <v>94.439526959650692</v>
      </c>
      <c r="U338">
        <f t="shared" ca="1" si="30"/>
        <v>0.83159722222222221</v>
      </c>
      <c r="V338">
        <f ca="1">Prams!C$5/(U338-Prams!C$6)</f>
        <v>89.859374432228819</v>
      </c>
      <c r="W338">
        <f t="shared" ca="1" si="31"/>
        <v>0.92638530342503933</v>
      </c>
    </row>
    <row r="339" spans="1:23" hidden="1" x14ac:dyDescent="0.55000000000000004">
      <c r="A339" s="1" t="s">
        <v>901</v>
      </c>
      <c r="B339" s="1">
        <v>145</v>
      </c>
      <c r="C339">
        <v>640</v>
      </c>
      <c r="D339">
        <v>610</v>
      </c>
      <c r="E339">
        <v>11.04546</v>
      </c>
      <c r="F339" t="s">
        <v>9</v>
      </c>
      <c r="G339" s="10" t="s">
        <v>881</v>
      </c>
      <c r="H339">
        <v>101</v>
      </c>
      <c r="I339" t="s">
        <v>1641</v>
      </c>
      <c r="J339">
        <f ca="1">VLOOKUP(G339,INDIRECT("球速変換!A$1:B$" &amp; Prams!$B$8),2,)</f>
        <v>139</v>
      </c>
      <c r="K339" t="s">
        <v>232</v>
      </c>
      <c r="L339">
        <f t="shared" si="27"/>
        <v>44</v>
      </c>
      <c r="M339">
        <f ca="1">(B339-VLOOKUP(K339,INDIRECT("投手データ!B1:D"&amp;Prams!$B$1),3,FALSE)*2)</f>
        <v>51</v>
      </c>
      <c r="N339" t="str">
        <f ca="1">VLOOKUP(F339,INDIRECT("球種変換表!A$1:B$" &amp; Prams!$B$2),2,)</f>
        <v>スライダー</v>
      </c>
      <c r="O339">
        <f ca="1">VLOOKUP(N339,球種情報!A:B,2,FALSE)</f>
        <v>6</v>
      </c>
      <c r="P339">
        <f ca="1">VLOOKUP(K339,投手データ!B:AI,output!O339+6,FALSE)</f>
        <v>1</v>
      </c>
      <c r="R339">
        <f t="shared" ca="1" si="28"/>
        <v>7.1942446043165471E-3</v>
      </c>
      <c r="S339">
        <f t="shared" si="29"/>
        <v>0.72638888888888897</v>
      </c>
      <c r="T339">
        <f>Prams!B$5/(S339-Prams!B$6)</f>
        <v>92.814939614332417</v>
      </c>
      <c r="U339">
        <f t="shared" ca="1" si="30"/>
        <v>0.84305555555555556</v>
      </c>
      <c r="V339">
        <f ca="1">Prams!C$5/(U339-Prams!C$6)</f>
        <v>88.387317119664516</v>
      </c>
      <c r="W339">
        <f t="shared" ca="1" si="31"/>
        <v>0.63587997927816198</v>
      </c>
    </row>
    <row r="340" spans="1:23" hidden="1" x14ac:dyDescent="0.55000000000000004">
      <c r="A340" s="1" t="s">
        <v>2091</v>
      </c>
      <c r="B340" s="1">
        <v>127</v>
      </c>
      <c r="C340">
        <v>636.5</v>
      </c>
      <c r="D340">
        <v>601</v>
      </c>
      <c r="E340">
        <v>10.547610000000001</v>
      </c>
      <c r="F340" t="s">
        <v>656</v>
      </c>
      <c r="G340" s="10" t="s">
        <v>2456</v>
      </c>
      <c r="H340">
        <v>99</v>
      </c>
      <c r="I340" t="s">
        <v>909</v>
      </c>
      <c r="J340">
        <f ca="1">VLOOKUP(G340,INDIRECT("球速変換!A$1:B$" &amp; Prams!$B$8),2,)</f>
        <v>152</v>
      </c>
      <c r="K340" t="str">
        <f ca="1">VLOOKUP(I340,INDIRECT("投手名変換!A$1:B$" &amp; Prams!$B$9),2,)</f>
        <v>DD004</v>
      </c>
      <c r="L340">
        <f t="shared" si="27"/>
        <v>28</v>
      </c>
      <c r="M340">
        <f ca="1">(B340-VLOOKUP(K340,INDIRECT("投手データ!B1:D"&amp;Prams!$B$1),3,FALSE)*2)</f>
        <v>33</v>
      </c>
      <c r="N340" t="str">
        <f ca="1">VLOOKUP(F340,INDIRECT("球種変換表!A$1:B$" &amp; Prams!$B$2),2,)</f>
        <v>ストレート</v>
      </c>
      <c r="O340">
        <f ca="1">VLOOKUP(N340,球種情報!A:B,2,FALSE)</f>
        <v>1</v>
      </c>
      <c r="P340">
        <f ca="1">VLOOKUP(K340,投手データ!B:AI,output!O340+6,FALSE)</f>
        <v>1</v>
      </c>
      <c r="R340">
        <f t="shared" ca="1" si="28"/>
        <v>6.5789473684210523E-3</v>
      </c>
      <c r="S340">
        <f t="shared" si="29"/>
        <v>0.46597222222222218</v>
      </c>
      <c r="T340">
        <f>Prams!B$5/(S340-Prams!B$6)</f>
        <v>152.39643390257601</v>
      </c>
      <c r="U340">
        <f t="shared" ca="1" si="30"/>
        <v>0.5493055555555556</v>
      </c>
      <c r="V340">
        <f ca="1">Prams!C$5/(U340-Prams!C$6)</f>
        <v>152.38391279937557</v>
      </c>
      <c r="W340">
        <f t="shared" ca="1" si="31"/>
        <v>1.0025257421011551</v>
      </c>
    </row>
    <row r="341" spans="1:23" hidden="1" x14ac:dyDescent="0.55000000000000004">
      <c r="A341" s="1" t="s">
        <v>2092</v>
      </c>
      <c r="B341" s="1">
        <v>128</v>
      </c>
      <c r="C341">
        <v>639</v>
      </c>
      <c r="D341">
        <v>608.5</v>
      </c>
      <c r="E341">
        <v>11.01146</v>
      </c>
      <c r="F341" t="s">
        <v>0</v>
      </c>
      <c r="G341" s="10" t="s">
        <v>967</v>
      </c>
      <c r="H341">
        <v>99</v>
      </c>
      <c r="I341" t="s">
        <v>902</v>
      </c>
      <c r="J341">
        <f ca="1">VLOOKUP(G341,INDIRECT("球速変換!A$1:B$" &amp; Prams!$B$8),2,)</f>
        <v>148</v>
      </c>
      <c r="K341" t="str">
        <f ca="1">VLOOKUP(I341,INDIRECT("投手名変換!A$1:B$" &amp; Prams!$B$9),2,)</f>
        <v>DD004</v>
      </c>
      <c r="L341">
        <f t="shared" si="27"/>
        <v>29</v>
      </c>
      <c r="M341">
        <f ca="1">(B341-VLOOKUP(K341,INDIRECT("投手データ!B1:D"&amp;Prams!$B$1),3,FALSE)*2)</f>
        <v>34</v>
      </c>
      <c r="N341" t="str">
        <f ca="1">VLOOKUP(F341,INDIRECT("球種変換表!A$1:B$" &amp; Prams!$B$2),2,)</f>
        <v>ストレート</v>
      </c>
      <c r="O341">
        <f ca="1">VLOOKUP(N341,球種情報!A:B,2,FALSE)</f>
        <v>1</v>
      </c>
      <c r="P341">
        <f ca="1">VLOOKUP(K341,投手データ!B:AI,output!O341+6,FALSE)</f>
        <v>1</v>
      </c>
      <c r="R341">
        <f t="shared" ca="1" si="28"/>
        <v>6.7567567567567571E-3</v>
      </c>
      <c r="S341">
        <f t="shared" si="29"/>
        <v>0.47743055555555552</v>
      </c>
      <c r="T341">
        <f>Prams!B$5/(S341-Prams!B$6)</f>
        <v>148.21019265218058</v>
      </c>
      <c r="U341">
        <f t="shared" ca="1" si="30"/>
        <v>0.56076388888888895</v>
      </c>
      <c r="V341">
        <f ca="1">Prams!C$5/(U341-Prams!C$6)</f>
        <v>148.19834996903694</v>
      </c>
      <c r="W341">
        <f t="shared" ca="1" si="31"/>
        <v>1.0013402024934928</v>
      </c>
    </row>
    <row r="342" spans="1:23" hidden="1" x14ac:dyDescent="0.55000000000000004">
      <c r="A342" s="1" t="s">
        <v>2094</v>
      </c>
      <c r="B342" s="1">
        <v>128</v>
      </c>
      <c r="C342">
        <v>640</v>
      </c>
      <c r="D342">
        <v>610</v>
      </c>
      <c r="E342">
        <v>11.0001</v>
      </c>
      <c r="F342" t="s">
        <v>0</v>
      </c>
      <c r="G342" s="10" t="s">
        <v>2436</v>
      </c>
      <c r="H342">
        <v>99</v>
      </c>
      <c r="I342" t="s">
        <v>2093</v>
      </c>
      <c r="J342">
        <f ca="1">VLOOKUP(G342,INDIRECT("球速変換!A$1:B$" &amp; Prams!$B$8),2,)</f>
        <v>149</v>
      </c>
      <c r="K342" t="s">
        <v>203</v>
      </c>
      <c r="L342">
        <f t="shared" si="27"/>
        <v>29</v>
      </c>
      <c r="M342">
        <f ca="1">(B342-VLOOKUP(K342,INDIRECT("投手データ!B1:D"&amp;Prams!$B$1),3,FALSE)*2)</f>
        <v>34</v>
      </c>
      <c r="N342" t="str">
        <f ca="1">VLOOKUP(F342,INDIRECT("球種変換表!A$1:B$" &amp; Prams!$B$2),2,)</f>
        <v>ストレート</v>
      </c>
      <c r="O342">
        <f ca="1">VLOOKUP(N342,球種情報!A:B,2,FALSE)</f>
        <v>1</v>
      </c>
      <c r="P342">
        <f ca="1">VLOOKUP(K342,投手データ!B:AI,output!O342+6,FALSE)</f>
        <v>1</v>
      </c>
      <c r="R342">
        <f t="shared" ca="1" si="28"/>
        <v>6.7114093959731542E-3</v>
      </c>
      <c r="S342">
        <f t="shared" si="29"/>
        <v>0.47638888888888886</v>
      </c>
      <c r="T342">
        <f>Prams!B$5/(S342-Prams!B$6)</f>
        <v>148.58123264259774</v>
      </c>
      <c r="U342">
        <f t="shared" ca="1" si="30"/>
        <v>0.55972222222222223</v>
      </c>
      <c r="V342">
        <f ca="1">Prams!C$5/(U342-Prams!C$6)</f>
        <v>148.56933059197351</v>
      </c>
      <c r="W342">
        <f t="shared" ca="1" si="31"/>
        <v>0.99710960128841286</v>
      </c>
    </row>
    <row r="343" spans="1:23" hidden="1" x14ac:dyDescent="0.55000000000000004">
      <c r="A343" s="1" t="s">
        <v>2095</v>
      </c>
      <c r="B343" s="1">
        <v>128</v>
      </c>
      <c r="C343">
        <v>635.5</v>
      </c>
      <c r="D343">
        <v>614.5</v>
      </c>
      <c r="E343">
        <v>11.510960000000001</v>
      </c>
      <c r="F343" t="s">
        <v>0</v>
      </c>
      <c r="G343" s="10" t="s">
        <v>2437</v>
      </c>
      <c r="H343">
        <v>99</v>
      </c>
      <c r="I343" t="s">
        <v>1642</v>
      </c>
      <c r="J343">
        <f ca="1">VLOOKUP(G343,INDIRECT("球速変換!A$1:B$" &amp; Prams!$B$8),2,)</f>
        <v>150</v>
      </c>
      <c r="K343" t="s">
        <v>203</v>
      </c>
      <c r="L343">
        <f t="shared" si="27"/>
        <v>29</v>
      </c>
      <c r="M343">
        <f ca="1">(B343-VLOOKUP(K343,INDIRECT("投手データ!B1:D"&amp;Prams!$B$1),3,FALSE)*2)</f>
        <v>34</v>
      </c>
      <c r="N343" t="str">
        <f ca="1">VLOOKUP(F343,INDIRECT("球種変換表!A$1:B$" &amp; Prams!$B$2),2,)</f>
        <v>ストレート</v>
      </c>
      <c r="O343">
        <f ca="1">VLOOKUP(N343,球種情報!A:B,2,FALSE)</f>
        <v>1</v>
      </c>
      <c r="P343">
        <f ca="1">VLOOKUP(K343,投手データ!B:AI,output!O343+6,FALSE)</f>
        <v>1</v>
      </c>
      <c r="R343">
        <f t="shared" ca="1" si="28"/>
        <v>6.6666666666666671E-3</v>
      </c>
      <c r="S343">
        <f t="shared" si="29"/>
        <v>0.47326388888888887</v>
      </c>
      <c r="T343">
        <f>Prams!B$5/(S343-Prams!B$6)</f>
        <v>149.70558361976768</v>
      </c>
      <c r="U343">
        <f t="shared" ca="1" si="30"/>
        <v>0.5565972222222223</v>
      </c>
      <c r="V343">
        <f ca="1">Prams!C$5/(U343-Prams!C$6)</f>
        <v>149.69350076338955</v>
      </c>
      <c r="W343">
        <f t="shared" ca="1" si="31"/>
        <v>0.99795667175593039</v>
      </c>
    </row>
    <row r="344" spans="1:23" hidden="1" x14ac:dyDescent="0.55000000000000004">
      <c r="A344" s="1" t="s">
        <v>2096</v>
      </c>
      <c r="B344" s="1">
        <v>127</v>
      </c>
      <c r="C344">
        <v>634.97729000000004</v>
      </c>
      <c r="D344">
        <v>602</v>
      </c>
      <c r="E344">
        <v>11.02281</v>
      </c>
      <c r="F344" t="s">
        <v>0</v>
      </c>
      <c r="G344" s="10" t="s">
        <v>762</v>
      </c>
      <c r="H344">
        <v>99</v>
      </c>
      <c r="I344" t="s">
        <v>902</v>
      </c>
      <c r="J344">
        <v>153</v>
      </c>
      <c r="K344" t="s">
        <v>203</v>
      </c>
      <c r="L344">
        <f t="shared" si="27"/>
        <v>28</v>
      </c>
      <c r="M344">
        <f ca="1">(B344-VLOOKUP(K344,INDIRECT("投手データ!B1:D"&amp;Prams!$B$1),3,FALSE)*2)</f>
        <v>33</v>
      </c>
      <c r="N344" t="str">
        <f ca="1">VLOOKUP(F344,INDIRECT("球種変換表!A$1:B$" &amp; Prams!$B$2),2,)</f>
        <v>ストレート</v>
      </c>
      <c r="O344">
        <f ca="1">VLOOKUP(N344,球種情報!A:B,2,FALSE)</f>
        <v>1</v>
      </c>
      <c r="P344">
        <f ca="1">VLOOKUP(K344,投手データ!B:AI,output!O344+6,FALSE)</f>
        <v>1</v>
      </c>
      <c r="R344">
        <f t="shared" si="28"/>
        <v>6.5359477124183009E-3</v>
      </c>
      <c r="S344">
        <f t="shared" si="29"/>
        <v>0.46527777777777779</v>
      </c>
      <c r="T344">
        <f>Prams!B$5/(S344-Prams!B$6)</f>
        <v>152.65775899912205</v>
      </c>
      <c r="U344">
        <f t="shared" ca="1" si="30"/>
        <v>0.54861111111111105</v>
      </c>
      <c r="V344">
        <f ca="1">Prams!C$5/(U344-Prams!C$6)</f>
        <v>152.64519491920663</v>
      </c>
      <c r="W344">
        <f t="shared" ca="1" si="31"/>
        <v>0.99768101254383423</v>
      </c>
    </row>
    <row r="345" spans="1:23" hidden="1" x14ac:dyDescent="0.55000000000000004">
      <c r="A345" s="1" t="s">
        <v>2097</v>
      </c>
      <c r="B345" s="1">
        <v>128</v>
      </c>
      <c r="C345">
        <v>638</v>
      </c>
      <c r="D345">
        <v>619.5</v>
      </c>
      <c r="E345">
        <v>11.01146</v>
      </c>
      <c r="F345" t="s">
        <v>0</v>
      </c>
      <c r="G345" s="10" t="s">
        <v>906</v>
      </c>
      <c r="H345">
        <v>99</v>
      </c>
      <c r="I345" t="s">
        <v>909</v>
      </c>
      <c r="J345">
        <f ca="1">VLOOKUP(G345,INDIRECT("球速変換!A$1:B$" &amp; Prams!$B$8),2,)</f>
        <v>151</v>
      </c>
      <c r="K345" t="s">
        <v>203</v>
      </c>
      <c r="L345">
        <f t="shared" si="27"/>
        <v>29</v>
      </c>
      <c r="M345">
        <f ca="1">(B345-VLOOKUP(K345,INDIRECT("投手データ!B1:D"&amp;Prams!$B$1),3,FALSE)*2)</f>
        <v>34</v>
      </c>
      <c r="N345" t="str">
        <f ca="1">VLOOKUP(F345,INDIRECT("球種変換表!A$1:B$" &amp; Prams!$B$2),2,)</f>
        <v>ストレート</v>
      </c>
      <c r="O345">
        <f ca="1">VLOOKUP(N345,球種情報!A:B,2,FALSE)</f>
        <v>1</v>
      </c>
      <c r="P345">
        <f ca="1">VLOOKUP(K345,投手データ!B:AI,output!O345+6,FALSE)</f>
        <v>1</v>
      </c>
      <c r="R345">
        <f t="shared" ca="1" si="28"/>
        <v>6.6225165562913907E-3</v>
      </c>
      <c r="S345">
        <f t="shared" si="29"/>
        <v>0.46979166666666666</v>
      </c>
      <c r="T345">
        <f>Prams!B$5/(S345-Prams!B$6)</f>
        <v>150.97498931602192</v>
      </c>
      <c r="U345">
        <f t="shared" ca="1" si="30"/>
        <v>0.55312499999999998</v>
      </c>
      <c r="V345">
        <f ca="1">Prams!C$5/(U345-Prams!C$6)</f>
        <v>150.96270068982358</v>
      </c>
      <c r="W345">
        <f t="shared" ca="1" si="31"/>
        <v>0.99975298470081841</v>
      </c>
    </row>
    <row r="346" spans="1:23" hidden="1" x14ac:dyDescent="0.55000000000000004">
      <c r="A346" s="1" t="s">
        <v>2098</v>
      </c>
      <c r="B346" s="1">
        <v>128</v>
      </c>
      <c r="C346">
        <v>639</v>
      </c>
      <c r="D346">
        <v>609</v>
      </c>
      <c r="E346">
        <v>10.04998</v>
      </c>
      <c r="F346" t="s">
        <v>0</v>
      </c>
      <c r="G346" s="10" t="s">
        <v>640</v>
      </c>
      <c r="H346">
        <v>99</v>
      </c>
      <c r="I346" t="s">
        <v>902</v>
      </c>
      <c r="J346">
        <f ca="1">VLOOKUP(G346,INDIRECT("球速変換!A$1:B$" &amp; Prams!$B$8),2,)</f>
        <v>148</v>
      </c>
      <c r="K346" t="s">
        <v>203</v>
      </c>
      <c r="L346">
        <f t="shared" si="27"/>
        <v>29</v>
      </c>
      <c r="M346">
        <f ca="1">(B346-VLOOKUP(K346,INDIRECT("投手データ!B1:D"&amp;Prams!$B$1),3,FALSE)*2)</f>
        <v>34</v>
      </c>
      <c r="N346" t="str">
        <f ca="1">VLOOKUP(F346,INDIRECT("球種変換表!A$1:B$" &amp; Prams!$B$2),2,)</f>
        <v>ストレート</v>
      </c>
      <c r="O346">
        <f ca="1">VLOOKUP(N346,球種情報!A:B,2,FALSE)</f>
        <v>1</v>
      </c>
      <c r="P346">
        <f ca="1">VLOOKUP(K346,投手データ!B:AI,output!O346+6,FALSE)</f>
        <v>1</v>
      </c>
      <c r="R346">
        <f t="shared" ca="1" si="28"/>
        <v>6.7567567567567571E-3</v>
      </c>
      <c r="S346">
        <f t="shared" si="29"/>
        <v>0.47708333333333336</v>
      </c>
      <c r="T346">
        <f>Prams!B$5/(S346-Prams!B$6)</f>
        <v>148.33366657335947</v>
      </c>
      <c r="U346">
        <f t="shared" ca="1" si="30"/>
        <v>0.56041666666666667</v>
      </c>
      <c r="V346">
        <f ca="1">Prams!C$5/(U346-Prams!C$6)</f>
        <v>148.32180415050581</v>
      </c>
      <c r="W346">
        <f t="shared" ca="1" si="31"/>
        <v>1.0021743523682825</v>
      </c>
    </row>
    <row r="347" spans="1:23" hidden="1" x14ac:dyDescent="0.55000000000000004">
      <c r="A347" s="1" t="s">
        <v>2100</v>
      </c>
      <c r="B347" s="1">
        <v>128</v>
      </c>
      <c r="C347">
        <v>635.5</v>
      </c>
      <c r="D347">
        <v>608</v>
      </c>
      <c r="E347">
        <v>11.5435</v>
      </c>
      <c r="F347" t="s">
        <v>0</v>
      </c>
      <c r="G347" s="10" t="s">
        <v>635</v>
      </c>
      <c r="H347">
        <v>99</v>
      </c>
      <c r="I347" t="s">
        <v>2099</v>
      </c>
      <c r="J347">
        <f ca="1">VLOOKUP(G347,INDIRECT("球速変換!A$1:B$" &amp; Prams!$B$8),2,)</f>
        <v>148</v>
      </c>
      <c r="K347" t="s">
        <v>203</v>
      </c>
      <c r="L347">
        <f t="shared" si="27"/>
        <v>29</v>
      </c>
      <c r="M347">
        <f ca="1">(B347-VLOOKUP(K347,INDIRECT("投手データ!B1:D"&amp;Prams!$B$1),3,FALSE)*2)</f>
        <v>34</v>
      </c>
      <c r="N347" t="str">
        <f ca="1">VLOOKUP(F347,INDIRECT("球種変換表!A$1:B$" &amp; Prams!$B$2),2,)</f>
        <v>ストレート</v>
      </c>
      <c r="O347">
        <f ca="1">VLOOKUP(N347,球種情報!A:B,2,FALSE)</f>
        <v>1</v>
      </c>
      <c r="P347">
        <f ca="1">VLOOKUP(K347,投手データ!B:AI,output!O347+6,FALSE)</f>
        <v>1</v>
      </c>
      <c r="R347">
        <f t="shared" ca="1" si="28"/>
        <v>6.7567567567567571E-3</v>
      </c>
      <c r="S347">
        <f t="shared" si="29"/>
        <v>0.4777777777777778</v>
      </c>
      <c r="T347">
        <f>Prams!B$5/(S347-Prams!B$6)</f>
        <v>148.08692412104438</v>
      </c>
      <c r="U347">
        <f t="shared" ca="1" si="30"/>
        <v>0.56111111111111112</v>
      </c>
      <c r="V347">
        <f ca="1">Prams!C$5/(U347-Prams!C$6)</f>
        <v>148.07510112837983</v>
      </c>
      <c r="W347">
        <f t="shared" ca="1" si="31"/>
        <v>1.0005074400566205</v>
      </c>
    </row>
    <row r="348" spans="1:23" hidden="1" x14ac:dyDescent="0.55000000000000004">
      <c r="A348" s="1" t="s">
        <v>2101</v>
      </c>
      <c r="B348" s="1">
        <v>128</v>
      </c>
      <c r="C348">
        <v>637.04998999999998</v>
      </c>
      <c r="D348">
        <v>608.5</v>
      </c>
      <c r="E348">
        <v>10.06254</v>
      </c>
      <c r="F348" t="s">
        <v>0</v>
      </c>
      <c r="G348" s="10" t="s">
        <v>640</v>
      </c>
      <c r="H348">
        <v>99</v>
      </c>
      <c r="I348" t="s">
        <v>908</v>
      </c>
      <c r="J348">
        <f ca="1">VLOOKUP(G348,INDIRECT("球速変換!A$1:B$" &amp; Prams!$B$8),2,)</f>
        <v>148</v>
      </c>
      <c r="K348" t="s">
        <v>203</v>
      </c>
      <c r="L348">
        <f t="shared" si="27"/>
        <v>29</v>
      </c>
      <c r="M348">
        <f ca="1">(B348-VLOOKUP(K348,INDIRECT("投手データ!B1:D"&amp;Prams!$B$1),3,FALSE)*2)</f>
        <v>34</v>
      </c>
      <c r="N348" t="str">
        <f ca="1">VLOOKUP(F348,INDIRECT("球種変換表!A$1:B$" &amp; Prams!$B$2),2,)</f>
        <v>ストレート</v>
      </c>
      <c r="O348">
        <f ca="1">VLOOKUP(N348,球種情報!A:B,2,FALSE)</f>
        <v>1</v>
      </c>
      <c r="P348">
        <f ca="1">VLOOKUP(K348,投手データ!B:AI,output!O348+6,FALSE)</f>
        <v>1</v>
      </c>
      <c r="R348">
        <f t="shared" ca="1" si="28"/>
        <v>6.7567567567567571E-3</v>
      </c>
      <c r="S348">
        <f t="shared" si="29"/>
        <v>0.47743055555555552</v>
      </c>
      <c r="T348">
        <f>Prams!B$5/(S348-Prams!B$6)</f>
        <v>148.21019265218058</v>
      </c>
      <c r="U348">
        <f t="shared" ca="1" si="30"/>
        <v>0.56076388888888895</v>
      </c>
      <c r="V348">
        <f ca="1">Prams!C$5/(U348-Prams!C$6)</f>
        <v>148.19834996903694</v>
      </c>
      <c r="W348">
        <f t="shared" ca="1" si="31"/>
        <v>1.0013402024934928</v>
      </c>
    </row>
    <row r="349" spans="1:23" hidden="1" x14ac:dyDescent="0.55000000000000004">
      <c r="A349" s="1" t="s">
        <v>2102</v>
      </c>
      <c r="B349" s="1">
        <v>128</v>
      </c>
      <c r="C349">
        <v>641.90002000000004</v>
      </c>
      <c r="D349">
        <v>608</v>
      </c>
      <c r="E349">
        <v>10.10008</v>
      </c>
      <c r="F349" t="s">
        <v>0</v>
      </c>
      <c r="G349" s="10" t="s">
        <v>635</v>
      </c>
      <c r="H349">
        <v>99</v>
      </c>
      <c r="I349" t="s">
        <v>902</v>
      </c>
      <c r="J349">
        <f ca="1">VLOOKUP(G349,INDIRECT("球速変換!A$1:B$" &amp; Prams!$B$8),2,)</f>
        <v>148</v>
      </c>
      <c r="K349" t="s">
        <v>203</v>
      </c>
      <c r="L349">
        <f t="shared" si="27"/>
        <v>29</v>
      </c>
      <c r="M349">
        <f ca="1">(B349-VLOOKUP(K349,INDIRECT("投手データ!B1:D"&amp;Prams!$B$1),3,FALSE)*2)</f>
        <v>34</v>
      </c>
      <c r="N349" t="str">
        <f ca="1">VLOOKUP(F349,INDIRECT("球種変換表!A$1:B$" &amp; Prams!$B$2),2,)</f>
        <v>ストレート</v>
      </c>
      <c r="O349">
        <f ca="1">VLOOKUP(N349,球種情報!A:B,2,FALSE)</f>
        <v>1</v>
      </c>
      <c r="P349">
        <f ca="1">VLOOKUP(K349,投手データ!B:AI,output!O349+6,FALSE)</f>
        <v>1</v>
      </c>
      <c r="R349">
        <f t="shared" ca="1" si="28"/>
        <v>6.7567567567567571E-3</v>
      </c>
      <c r="S349">
        <f t="shared" si="29"/>
        <v>0.4777777777777778</v>
      </c>
      <c r="T349">
        <f>Prams!B$5/(S349-Prams!B$6)</f>
        <v>148.08692412104438</v>
      </c>
      <c r="U349">
        <f t="shared" ca="1" si="30"/>
        <v>0.56111111111111112</v>
      </c>
      <c r="V349">
        <f ca="1">Prams!C$5/(U349-Prams!C$6)</f>
        <v>148.07510112837983</v>
      </c>
      <c r="W349">
        <f t="shared" ca="1" si="31"/>
        <v>1.0005074400566205</v>
      </c>
    </row>
    <row r="350" spans="1:23" hidden="1" x14ac:dyDescent="0.55000000000000004">
      <c r="A350" s="1" t="s">
        <v>911</v>
      </c>
      <c r="B350" s="1">
        <v>124</v>
      </c>
      <c r="C350">
        <v>639.5</v>
      </c>
      <c r="D350">
        <v>604.5</v>
      </c>
      <c r="E350">
        <v>10.512</v>
      </c>
      <c r="F350" t="s">
        <v>343</v>
      </c>
      <c r="G350" s="10" t="s">
        <v>906</v>
      </c>
      <c r="H350">
        <v>98</v>
      </c>
      <c r="I350" t="s">
        <v>907</v>
      </c>
      <c r="J350">
        <f ca="1">VLOOKUP(G350,INDIRECT("球速変換!A$1:B$" &amp; Prams!$B$8),2,)</f>
        <v>151</v>
      </c>
      <c r="K350" t="s">
        <v>203</v>
      </c>
      <c r="L350">
        <f t="shared" si="27"/>
        <v>26</v>
      </c>
      <c r="M350">
        <f ca="1">(B350-VLOOKUP(K350,INDIRECT("投手データ!B1:D"&amp;Prams!$B$1),3,FALSE)*2)</f>
        <v>30</v>
      </c>
      <c r="N350" t="str">
        <f ca="1">VLOOKUP(F350,INDIRECT("球種変換表!A$1:B$" &amp; Prams!$B$2),2,)</f>
        <v>全力ストレート</v>
      </c>
      <c r="O350">
        <f ca="1">VLOOKUP(N350,球種情報!A:B,2,FALSE)</f>
        <v>2</v>
      </c>
      <c r="P350">
        <f ca="1">VLOOKUP(K350,投手データ!B:AI,output!O350+6,FALSE)</f>
        <v>1</v>
      </c>
      <c r="R350">
        <f t="shared" ca="1" si="28"/>
        <v>6.6225165562913907E-3</v>
      </c>
      <c r="S350">
        <f t="shared" si="29"/>
        <v>0.43020833333333336</v>
      </c>
      <c r="T350">
        <f>Prams!B$5/(S350-Prams!B$6)</f>
        <v>167.1305954177837</v>
      </c>
      <c r="U350">
        <f t="shared" ca="1" si="30"/>
        <v>0.49687500000000001</v>
      </c>
      <c r="V350">
        <f ca="1">Prams!C$5/(U350-Prams!C$6)</f>
        <v>174.99964616799943</v>
      </c>
      <c r="W350">
        <f t="shared" ca="1" si="31"/>
        <v>1.1589380540927114</v>
      </c>
    </row>
    <row r="351" spans="1:23" hidden="1" x14ac:dyDescent="0.55000000000000004">
      <c r="A351" s="1" t="s">
        <v>913</v>
      </c>
      <c r="B351" s="1">
        <v>124</v>
      </c>
      <c r="C351">
        <v>639.5</v>
      </c>
      <c r="D351">
        <v>607</v>
      </c>
      <c r="E351">
        <v>10.5001</v>
      </c>
      <c r="F351" t="s">
        <v>343</v>
      </c>
      <c r="G351" s="10" t="s">
        <v>906</v>
      </c>
      <c r="H351">
        <v>98</v>
      </c>
      <c r="I351" t="s">
        <v>1642</v>
      </c>
      <c r="J351">
        <f ca="1">VLOOKUP(G351,INDIRECT("球速変換!A$1:B$" &amp; Prams!$B$8),2,)</f>
        <v>151</v>
      </c>
      <c r="K351" t="s">
        <v>203</v>
      </c>
      <c r="L351">
        <f t="shared" si="27"/>
        <v>26</v>
      </c>
      <c r="M351">
        <f ca="1">(B351-VLOOKUP(K351,INDIRECT("投手データ!B1:D"&amp;Prams!$B$1),3,FALSE)*2)</f>
        <v>30</v>
      </c>
      <c r="N351" t="str">
        <f ca="1">VLOOKUP(F351,INDIRECT("球種変換表!A$1:B$" &amp; Prams!$B$2),2,)</f>
        <v>全力ストレート</v>
      </c>
      <c r="O351">
        <f ca="1">VLOOKUP(N351,球種情報!A:B,2,FALSE)</f>
        <v>2</v>
      </c>
      <c r="P351">
        <f ca="1">VLOOKUP(K351,投手データ!B:AI,output!O351+6,FALSE)</f>
        <v>1</v>
      </c>
      <c r="R351">
        <f t="shared" ca="1" si="28"/>
        <v>6.6225165562913907E-3</v>
      </c>
      <c r="S351">
        <f t="shared" si="29"/>
        <v>0.4284722222222222</v>
      </c>
      <c r="T351">
        <f>Prams!B$5/(S351-Prams!B$6)</f>
        <v>167.9186974694814</v>
      </c>
      <c r="U351">
        <f t="shared" ca="1" si="30"/>
        <v>0.49513888888888885</v>
      </c>
      <c r="V351">
        <f ca="1">Prams!C$5/(U351-Prams!C$6)</f>
        <v>175.86389999525898</v>
      </c>
      <c r="W351">
        <f t="shared" ca="1" si="31"/>
        <v>1.164661589372576</v>
      </c>
    </row>
    <row r="352" spans="1:23" hidden="1" x14ac:dyDescent="0.55000000000000004">
      <c r="A352" s="1" t="s">
        <v>914</v>
      </c>
      <c r="B352" s="1">
        <v>124</v>
      </c>
      <c r="C352">
        <v>639.5</v>
      </c>
      <c r="D352">
        <v>604.5</v>
      </c>
      <c r="E352">
        <v>10.512</v>
      </c>
      <c r="F352" t="s">
        <v>343</v>
      </c>
      <c r="G352" s="10" t="s">
        <v>906</v>
      </c>
      <c r="H352">
        <v>98</v>
      </c>
      <c r="I352" t="s">
        <v>1643</v>
      </c>
      <c r="J352">
        <f ca="1">VLOOKUP(G352,INDIRECT("球速変換!A$1:B$" &amp; Prams!$B$8),2,)</f>
        <v>151</v>
      </c>
      <c r="K352" t="s">
        <v>203</v>
      </c>
      <c r="L352">
        <f t="shared" si="27"/>
        <v>26</v>
      </c>
      <c r="M352">
        <f ca="1">(B352-VLOOKUP(K352,INDIRECT("投手データ!B1:D"&amp;Prams!$B$1),3,FALSE)*2)</f>
        <v>30</v>
      </c>
      <c r="N352" t="str">
        <f ca="1">VLOOKUP(F352,INDIRECT("球種変換表!A$1:B$" &amp; Prams!$B$2),2,)</f>
        <v>全力ストレート</v>
      </c>
      <c r="O352">
        <f ca="1">VLOOKUP(N352,球種情報!A:B,2,FALSE)</f>
        <v>2</v>
      </c>
      <c r="P352">
        <f ca="1">VLOOKUP(K352,投手データ!B:AI,output!O352+6,FALSE)</f>
        <v>1</v>
      </c>
      <c r="R352">
        <f t="shared" ca="1" si="28"/>
        <v>6.6225165562913907E-3</v>
      </c>
      <c r="S352">
        <f t="shared" si="29"/>
        <v>0.43020833333333336</v>
      </c>
      <c r="T352">
        <f>Prams!B$5/(S352-Prams!B$6)</f>
        <v>167.1305954177837</v>
      </c>
      <c r="U352">
        <f t="shared" ca="1" si="30"/>
        <v>0.49687500000000001</v>
      </c>
      <c r="V352">
        <f ca="1">Prams!C$5/(U352-Prams!C$6)</f>
        <v>174.99964616799943</v>
      </c>
      <c r="W352">
        <f t="shared" ca="1" si="31"/>
        <v>1.1589380540927114</v>
      </c>
    </row>
    <row r="353" spans="1:23" hidden="1" x14ac:dyDescent="0.55000000000000004">
      <c r="A353" s="1" t="s">
        <v>916</v>
      </c>
      <c r="B353" s="1">
        <v>124</v>
      </c>
      <c r="C353">
        <v>640</v>
      </c>
      <c r="D353">
        <v>606</v>
      </c>
      <c r="E353">
        <v>10.04998</v>
      </c>
      <c r="F353" t="s">
        <v>343</v>
      </c>
      <c r="G353" s="10" t="s">
        <v>906</v>
      </c>
      <c r="H353">
        <v>98</v>
      </c>
      <c r="I353" t="s">
        <v>902</v>
      </c>
      <c r="J353">
        <f ca="1">VLOOKUP(G353,INDIRECT("球速変換!A$1:B$" &amp; Prams!$B$8),2,)</f>
        <v>151</v>
      </c>
      <c r="K353" t="s">
        <v>203</v>
      </c>
      <c r="L353">
        <f t="shared" si="27"/>
        <v>26</v>
      </c>
      <c r="M353">
        <f ca="1">(B353-VLOOKUP(K353,INDIRECT("投手データ!B1:D"&amp;Prams!$B$1),3,FALSE)*2)</f>
        <v>30</v>
      </c>
      <c r="N353" t="str">
        <f ca="1">VLOOKUP(F353,INDIRECT("球種変換表!A$1:B$" &amp; Prams!$B$2),2,)</f>
        <v>全力ストレート</v>
      </c>
      <c r="O353">
        <f ca="1">VLOOKUP(N353,球種情報!A:B,2,FALSE)</f>
        <v>2</v>
      </c>
      <c r="P353">
        <f ca="1">VLOOKUP(K353,投手データ!B:AI,output!O353+6,FALSE)</f>
        <v>1</v>
      </c>
      <c r="R353">
        <f t="shared" ca="1" si="28"/>
        <v>6.6225165562913907E-3</v>
      </c>
      <c r="S353">
        <f t="shared" si="29"/>
        <v>0.42916666666666664</v>
      </c>
      <c r="T353">
        <f>Prams!B$5/(S353-Prams!B$6)</f>
        <v>167.60256641966384</v>
      </c>
      <c r="U353">
        <f t="shared" ca="1" si="30"/>
        <v>0.49583333333333335</v>
      </c>
      <c r="V353">
        <f ca="1">Prams!C$5/(U353-Prams!C$6)</f>
        <v>175.51717611431815</v>
      </c>
      <c r="W353">
        <f t="shared" ca="1" si="31"/>
        <v>1.1623654047305838</v>
      </c>
    </row>
    <row r="354" spans="1:23" hidden="1" x14ac:dyDescent="0.55000000000000004">
      <c r="A354" s="1" t="s">
        <v>918</v>
      </c>
      <c r="B354" s="1">
        <v>124</v>
      </c>
      <c r="C354">
        <v>639</v>
      </c>
      <c r="D354">
        <v>604</v>
      </c>
      <c r="E354">
        <v>10.04998</v>
      </c>
      <c r="F354" t="s">
        <v>343</v>
      </c>
      <c r="G354" s="10" t="s">
        <v>2437</v>
      </c>
      <c r="H354">
        <v>98</v>
      </c>
      <c r="I354" t="s">
        <v>942</v>
      </c>
      <c r="J354">
        <f ca="1">VLOOKUP(G354,INDIRECT("球速変換!A$1:B$" &amp; Prams!$B$8),2,)</f>
        <v>150</v>
      </c>
      <c r="K354" t="s">
        <v>203</v>
      </c>
      <c r="L354">
        <f t="shared" si="27"/>
        <v>26</v>
      </c>
      <c r="M354">
        <f ca="1">(B354-VLOOKUP(K354,INDIRECT("投手データ!B1:D"&amp;Prams!$B$1),3,FALSE)*2)</f>
        <v>30</v>
      </c>
      <c r="N354" t="str">
        <f ca="1">VLOOKUP(F354,INDIRECT("球種変換表!A$1:B$" &amp; Prams!$B$2),2,)</f>
        <v>全力ストレート</v>
      </c>
      <c r="O354">
        <f ca="1">VLOOKUP(N354,球種情報!A:B,2,FALSE)</f>
        <v>2</v>
      </c>
      <c r="P354">
        <f ca="1">VLOOKUP(K354,投手データ!B:AI,output!O354+6,FALSE)</f>
        <v>1</v>
      </c>
      <c r="R354">
        <f t="shared" ca="1" si="28"/>
        <v>6.6666666666666671E-3</v>
      </c>
      <c r="S354">
        <f t="shared" si="29"/>
        <v>0.43055555555555552</v>
      </c>
      <c r="T354">
        <f>Prams!B$5/(S354-Prams!B$6)</f>
        <v>166.97386189718816</v>
      </c>
      <c r="U354">
        <f t="shared" ca="1" si="30"/>
        <v>0.49722222222222218</v>
      </c>
      <c r="V354">
        <f ca="1">Prams!C$5/(U354-Prams!C$6)</f>
        <v>174.82781373719604</v>
      </c>
      <c r="W354">
        <f t="shared" ca="1" si="31"/>
        <v>1.1655187582479736</v>
      </c>
    </row>
    <row r="355" spans="1:23" hidden="1" x14ac:dyDescent="0.55000000000000004">
      <c r="A355" s="1" t="s">
        <v>920</v>
      </c>
      <c r="B355" s="1">
        <v>124</v>
      </c>
      <c r="C355">
        <v>639.52380000000005</v>
      </c>
      <c r="D355">
        <v>610</v>
      </c>
      <c r="E355">
        <v>10.52392</v>
      </c>
      <c r="F355" t="s">
        <v>92</v>
      </c>
      <c r="G355" s="10" t="s">
        <v>2456</v>
      </c>
      <c r="H355">
        <v>98</v>
      </c>
      <c r="I355" t="s">
        <v>1644</v>
      </c>
      <c r="J355">
        <f ca="1">VLOOKUP(G355,INDIRECT("球速変換!A$1:B$" &amp; Prams!$B$8),2,)</f>
        <v>152</v>
      </c>
      <c r="K355" t="s">
        <v>203</v>
      </c>
      <c r="L355">
        <f t="shared" si="27"/>
        <v>26</v>
      </c>
      <c r="M355">
        <f ca="1">(B355-VLOOKUP(K355,INDIRECT("投手データ!B1:D"&amp;Prams!$B$1),3,FALSE)*2)</f>
        <v>30</v>
      </c>
      <c r="N355" t="str">
        <f ca="1">VLOOKUP(F355,INDIRECT("球種変換表!A$1:B$" &amp; Prams!$B$2),2,)</f>
        <v>全力ストレート</v>
      </c>
      <c r="O355">
        <f ca="1">VLOOKUP(N355,球種情報!A:B,2,FALSE)</f>
        <v>2</v>
      </c>
      <c r="P355">
        <f ca="1">VLOOKUP(K355,投手データ!B:AI,output!O355+6,FALSE)</f>
        <v>1</v>
      </c>
      <c r="R355">
        <f t="shared" ca="1" si="28"/>
        <v>6.5789473684210523E-3</v>
      </c>
      <c r="S355">
        <f t="shared" si="29"/>
        <v>0.42638888888888887</v>
      </c>
      <c r="T355">
        <f>Prams!B$5/(S355-Prams!B$6)</f>
        <v>168.8742867548865</v>
      </c>
      <c r="U355">
        <f t="shared" ca="1" si="30"/>
        <v>0.49305555555555552</v>
      </c>
      <c r="V355">
        <f ca="1">Prams!C$5/(U355-Prams!C$6)</f>
        <v>176.91233983021209</v>
      </c>
      <c r="W355">
        <f t="shared" ca="1" si="31"/>
        <v>1.1638969725671848</v>
      </c>
    </row>
    <row r="356" spans="1:23" hidden="1" x14ac:dyDescent="0.55000000000000004">
      <c r="A356" s="1" t="s">
        <v>921</v>
      </c>
      <c r="B356" s="1">
        <v>124</v>
      </c>
      <c r="C356">
        <v>640.5</v>
      </c>
      <c r="D356">
        <v>610.5</v>
      </c>
      <c r="E356">
        <v>10.512</v>
      </c>
      <c r="F356" t="s">
        <v>343</v>
      </c>
      <c r="G356" s="10" t="s">
        <v>2457</v>
      </c>
      <c r="H356">
        <v>98</v>
      </c>
      <c r="I356" t="s">
        <v>1645</v>
      </c>
      <c r="J356">
        <f ca="1">VLOOKUP(G356,INDIRECT("球速変換!A$1:B$" &amp; Prams!$B$8),2,)</f>
        <v>153</v>
      </c>
      <c r="K356" t="s">
        <v>203</v>
      </c>
      <c r="L356">
        <f t="shared" si="27"/>
        <v>26</v>
      </c>
      <c r="M356">
        <f ca="1">(B356-VLOOKUP(K356,INDIRECT("投手データ!B1:D"&amp;Prams!$B$1),3,FALSE)*2)</f>
        <v>30</v>
      </c>
      <c r="N356" t="str">
        <f ca="1">VLOOKUP(F356,INDIRECT("球種変換表!A$1:B$" &amp; Prams!$B$2),2,)</f>
        <v>全力ストレート</v>
      </c>
      <c r="O356">
        <f ca="1">VLOOKUP(N356,球種情報!A:B,2,FALSE)</f>
        <v>2</v>
      </c>
      <c r="P356">
        <f ca="1">VLOOKUP(K356,投手データ!B:AI,output!O356+6,FALSE)</f>
        <v>1</v>
      </c>
      <c r="R356">
        <f t="shared" ca="1" si="28"/>
        <v>6.5359477124183009E-3</v>
      </c>
      <c r="S356">
        <f t="shared" si="29"/>
        <v>0.42604166666666665</v>
      </c>
      <c r="T356">
        <f>Prams!B$5/(S356-Prams!B$6)</f>
        <v>169.03461003896194</v>
      </c>
      <c r="U356">
        <f t="shared" ca="1" si="30"/>
        <v>0.49270833333333336</v>
      </c>
      <c r="V356">
        <f ca="1">Prams!C$5/(U356-Prams!C$6)</f>
        <v>177.0882963740959</v>
      </c>
      <c r="W356">
        <f t="shared" ca="1" si="31"/>
        <v>1.1574398455823263</v>
      </c>
    </row>
    <row r="357" spans="1:23" hidden="1" x14ac:dyDescent="0.55000000000000004">
      <c r="A357" s="1" t="s">
        <v>923</v>
      </c>
      <c r="B357" s="1">
        <v>125</v>
      </c>
      <c r="C357">
        <v>642</v>
      </c>
      <c r="D357">
        <v>626</v>
      </c>
      <c r="E357">
        <v>11.04546</v>
      </c>
      <c r="F357" t="s">
        <v>343</v>
      </c>
      <c r="G357" s="10" t="s">
        <v>640</v>
      </c>
      <c r="H357">
        <v>98</v>
      </c>
      <c r="I357" t="s">
        <v>1646</v>
      </c>
      <c r="J357">
        <f ca="1">VLOOKUP(G357,INDIRECT("球速変換!A$1:B$" &amp; Prams!$B$8),2,)</f>
        <v>148</v>
      </c>
      <c r="K357" t="s">
        <v>203</v>
      </c>
      <c r="L357">
        <f t="shared" si="27"/>
        <v>27</v>
      </c>
      <c r="M357">
        <f ca="1">(B357-VLOOKUP(K357,INDIRECT("投手データ!B1:D"&amp;Prams!$B$1),3,FALSE)*2)</f>
        <v>31</v>
      </c>
      <c r="N357" t="str">
        <f ca="1">VLOOKUP(F357,INDIRECT("球種変換表!A$1:B$" &amp; Prams!$B$2),2,)</f>
        <v>全力ストレート</v>
      </c>
      <c r="O357">
        <f ca="1">VLOOKUP(N357,球種情報!A:B,2,FALSE)</f>
        <v>2</v>
      </c>
      <c r="P357">
        <f ca="1">VLOOKUP(K357,投手データ!B:AI,output!O357+6,FALSE)</f>
        <v>1</v>
      </c>
      <c r="R357">
        <f t="shared" ca="1" si="28"/>
        <v>6.7567567567567571E-3</v>
      </c>
      <c r="S357">
        <f t="shared" si="29"/>
        <v>0.43194444444444446</v>
      </c>
      <c r="T357">
        <f>Prams!B$5/(S357-Prams!B$6)</f>
        <v>166.3498564936618</v>
      </c>
      <c r="U357">
        <f t="shared" ca="1" si="30"/>
        <v>0.49861111111111112</v>
      </c>
      <c r="V357">
        <f ca="1">Prams!C$5/(U357-Prams!C$6)</f>
        <v>174.14384526305906</v>
      </c>
      <c r="W357">
        <f t="shared" ca="1" si="31"/>
        <v>1.1766476031287774</v>
      </c>
    </row>
    <row r="358" spans="1:23" hidden="1" x14ac:dyDescent="0.55000000000000004">
      <c r="A358" s="1" t="s">
        <v>924</v>
      </c>
      <c r="B358" s="1">
        <v>124</v>
      </c>
      <c r="C358">
        <v>640</v>
      </c>
      <c r="D358">
        <v>607</v>
      </c>
      <c r="E358">
        <v>11.0001</v>
      </c>
      <c r="F358" t="s">
        <v>1647</v>
      </c>
      <c r="G358" s="10" t="s">
        <v>2456</v>
      </c>
      <c r="H358">
        <v>98</v>
      </c>
      <c r="I358" t="s">
        <v>907</v>
      </c>
      <c r="J358">
        <f ca="1">VLOOKUP(G358,INDIRECT("球速変換!A$1:B$" &amp; Prams!$B$8),2,)</f>
        <v>152</v>
      </c>
      <c r="K358" t="s">
        <v>203</v>
      </c>
      <c r="L358">
        <f t="shared" si="27"/>
        <v>26</v>
      </c>
      <c r="M358">
        <f ca="1">(B358-VLOOKUP(K358,INDIRECT("投手データ!B1:D"&amp;Prams!$B$1),3,FALSE)*2)</f>
        <v>30</v>
      </c>
      <c r="N358" t="str">
        <f ca="1">VLOOKUP(F358,INDIRECT("球種変換表!A$1:B$" &amp; Prams!$B$2),2,)</f>
        <v>全力ストレート</v>
      </c>
      <c r="O358">
        <f ca="1">VLOOKUP(N358,球種情報!A:B,2,FALSE)</f>
        <v>2</v>
      </c>
      <c r="P358">
        <f ca="1">VLOOKUP(K358,投手データ!B:AI,output!O358+6,FALSE)</f>
        <v>1</v>
      </c>
      <c r="R358">
        <f t="shared" ca="1" si="28"/>
        <v>6.5789473684210523E-3</v>
      </c>
      <c r="S358">
        <f t="shared" si="29"/>
        <v>0.4284722222222222</v>
      </c>
      <c r="T358">
        <f>Prams!B$5/(S358-Prams!B$6)</f>
        <v>167.9186974694814</v>
      </c>
      <c r="U358">
        <f t="shared" ca="1" si="30"/>
        <v>0.49513888888888885</v>
      </c>
      <c r="V358">
        <f ca="1">Prams!C$5/(U358-Prams!C$6)</f>
        <v>175.86389999525898</v>
      </c>
      <c r="W358">
        <f t="shared" ca="1" si="31"/>
        <v>1.1569993420740723</v>
      </c>
    </row>
    <row r="359" spans="1:23" hidden="1" x14ac:dyDescent="0.55000000000000004">
      <c r="A359" s="1" t="s">
        <v>926</v>
      </c>
      <c r="B359" s="1">
        <v>124</v>
      </c>
      <c r="C359">
        <v>639</v>
      </c>
      <c r="D359">
        <v>604</v>
      </c>
      <c r="E359">
        <v>10.04998</v>
      </c>
      <c r="F359" t="s">
        <v>1648</v>
      </c>
      <c r="G359" s="10" t="s">
        <v>2437</v>
      </c>
      <c r="H359">
        <v>98</v>
      </c>
      <c r="I359" t="s">
        <v>902</v>
      </c>
      <c r="J359">
        <f ca="1">VLOOKUP(G359,INDIRECT("球速変換!A$1:B$" &amp; Prams!$B$8),2,)</f>
        <v>150</v>
      </c>
      <c r="K359" t="s">
        <v>203</v>
      </c>
      <c r="L359">
        <f t="shared" si="27"/>
        <v>26</v>
      </c>
      <c r="M359">
        <f ca="1">(B359-VLOOKUP(K359,INDIRECT("投手データ!B1:D"&amp;Prams!$B$1),3,FALSE)*2)</f>
        <v>30</v>
      </c>
      <c r="N359" t="str">
        <f ca="1">VLOOKUP(F359,INDIRECT("球種変換表!A$1:B$" &amp; Prams!$B$2),2,)</f>
        <v>全力ストレート</v>
      </c>
      <c r="O359">
        <f ca="1">VLOOKUP(N359,球種情報!A:B,2,FALSE)</f>
        <v>2</v>
      </c>
      <c r="P359">
        <f ca="1">VLOOKUP(K359,投手データ!B:AI,output!O359+6,FALSE)</f>
        <v>1</v>
      </c>
      <c r="R359">
        <f t="shared" ca="1" si="28"/>
        <v>6.6666666666666671E-3</v>
      </c>
      <c r="S359">
        <f t="shared" si="29"/>
        <v>0.43055555555555552</v>
      </c>
      <c r="T359">
        <f>Prams!B$5/(S359-Prams!B$6)</f>
        <v>166.97386189718816</v>
      </c>
      <c r="U359">
        <f t="shared" ca="1" si="30"/>
        <v>0.49722222222222218</v>
      </c>
      <c r="V359">
        <f ca="1">Prams!C$5/(U359-Prams!C$6)</f>
        <v>174.82781373719604</v>
      </c>
      <c r="W359">
        <f t="shared" ca="1" si="31"/>
        <v>1.1655187582479736</v>
      </c>
    </row>
    <row r="360" spans="1:23" hidden="1" x14ac:dyDescent="0.55000000000000004">
      <c r="A360" s="1" t="s">
        <v>930</v>
      </c>
      <c r="B360" s="1">
        <v>134</v>
      </c>
      <c r="C360">
        <v>633.90002000000004</v>
      </c>
      <c r="D360">
        <v>608</v>
      </c>
      <c r="E360">
        <v>10.10008</v>
      </c>
      <c r="F360" t="s">
        <v>43</v>
      </c>
      <c r="G360" s="10" t="s">
        <v>587</v>
      </c>
      <c r="H360">
        <v>101</v>
      </c>
      <c r="I360" t="s">
        <v>902</v>
      </c>
      <c r="J360">
        <f ca="1">VLOOKUP(G360,INDIRECT("球速変換!A$1:B$" &amp; Prams!$B$8),2,)</f>
        <v>139</v>
      </c>
      <c r="K360" t="s">
        <v>203</v>
      </c>
      <c r="L360">
        <f t="shared" si="27"/>
        <v>33</v>
      </c>
      <c r="M360">
        <f ca="1">(B360-VLOOKUP(K360,INDIRECT("投手データ!B1:D"&amp;Prams!$B$1),3,FALSE)*2)</f>
        <v>40</v>
      </c>
      <c r="N360" t="str">
        <f ca="1">VLOOKUP(F360,INDIRECT("球種変換表!A$1:B$" &amp; Prams!$B$2),2,)</f>
        <v>Vスライダー</v>
      </c>
      <c r="O360">
        <f ca="1">VLOOKUP(N360,球種情報!A:B,2,FALSE)</f>
        <v>19</v>
      </c>
      <c r="P360">
        <f ca="1">VLOOKUP(K360,投手データ!B:AI,output!O360+6,FALSE)</f>
        <v>4</v>
      </c>
      <c r="R360">
        <f t="shared" ca="1" si="28"/>
        <v>7.1942446043165471E-3</v>
      </c>
      <c r="S360">
        <f t="shared" si="29"/>
        <v>0.5444444444444444</v>
      </c>
      <c r="T360">
        <f>Prams!B$5/(S360-Prams!B$6)</f>
        <v>127.69536180662338</v>
      </c>
      <c r="U360">
        <f t="shared" ca="1" si="30"/>
        <v>0.66111111111111109</v>
      </c>
      <c r="V360">
        <f ca="1">Prams!C$5/(U360-Prams!C$6)</f>
        <v>119.46216935760908</v>
      </c>
      <c r="W360">
        <f t="shared" ca="1" si="31"/>
        <v>0.8594400673209287</v>
      </c>
    </row>
    <row r="361" spans="1:23" hidden="1" x14ac:dyDescent="0.55000000000000004">
      <c r="A361" s="1" t="s">
        <v>932</v>
      </c>
      <c r="B361" s="1">
        <v>134</v>
      </c>
      <c r="C361">
        <v>632</v>
      </c>
      <c r="D361">
        <v>616.5</v>
      </c>
      <c r="E361">
        <v>11.01146</v>
      </c>
      <c r="F361" t="s">
        <v>43</v>
      </c>
      <c r="G361" s="10" t="s">
        <v>931</v>
      </c>
      <c r="H361">
        <v>101</v>
      </c>
      <c r="I361" t="s">
        <v>1649</v>
      </c>
      <c r="J361">
        <f ca="1">VLOOKUP(G361,INDIRECT("球速変換!A$1:B$" &amp; Prams!$B$8),2,)</f>
        <v>147</v>
      </c>
      <c r="K361" t="s">
        <v>203</v>
      </c>
      <c r="L361">
        <f t="shared" si="27"/>
        <v>33</v>
      </c>
      <c r="M361">
        <f ca="1">(B361-VLOOKUP(K361,INDIRECT("投手データ!B1:D"&amp;Prams!$B$1),3,FALSE)*2)</f>
        <v>40</v>
      </c>
      <c r="N361" t="str">
        <f ca="1">VLOOKUP(F361,INDIRECT("球種変換表!A$1:B$" &amp; Prams!$B$2),2,)</f>
        <v>Vスライダー</v>
      </c>
      <c r="O361">
        <f ca="1">VLOOKUP(N361,球種情報!A:B,2,FALSE)</f>
        <v>19</v>
      </c>
      <c r="P361">
        <f ca="1">VLOOKUP(K361,投手データ!B:AI,output!O361+6,FALSE)</f>
        <v>4</v>
      </c>
      <c r="R361">
        <f t="shared" ca="1" si="28"/>
        <v>6.8027210884353739E-3</v>
      </c>
      <c r="S361">
        <f t="shared" si="29"/>
        <v>0.5385416666666667</v>
      </c>
      <c r="T361">
        <f>Prams!B$5/(S361-Prams!B$6)</f>
        <v>129.27146317238495</v>
      </c>
      <c r="U361">
        <f t="shared" ca="1" si="30"/>
        <v>0.65520833333333328</v>
      </c>
      <c r="V361">
        <f ca="1">Prams!C$5/(U361-Prams!C$6)</f>
        <v>120.84048670043819</v>
      </c>
      <c r="W361">
        <f t="shared" ca="1" si="31"/>
        <v>0.82204412721386522</v>
      </c>
    </row>
    <row r="362" spans="1:23" hidden="1" x14ac:dyDescent="0.55000000000000004">
      <c r="A362" s="1" t="s">
        <v>933</v>
      </c>
      <c r="B362" s="1">
        <v>133</v>
      </c>
      <c r="C362">
        <v>633.44739000000004</v>
      </c>
      <c r="D362">
        <v>600.5</v>
      </c>
      <c r="E362">
        <v>9.5657899999999998</v>
      </c>
      <c r="F362" t="s">
        <v>43</v>
      </c>
      <c r="G362" s="10" t="s">
        <v>1101</v>
      </c>
      <c r="H362">
        <v>101</v>
      </c>
      <c r="I362" t="s">
        <v>1650</v>
      </c>
      <c r="J362">
        <f ca="1">VLOOKUP(G362,INDIRECT("球速変換!A$1:B$" &amp; Prams!$B$8),2,)</f>
        <v>92</v>
      </c>
      <c r="K362" t="s">
        <v>203</v>
      </c>
      <c r="L362">
        <f t="shared" si="27"/>
        <v>32</v>
      </c>
      <c r="M362">
        <f ca="1">(B362-VLOOKUP(K362,INDIRECT("投手データ!B1:D"&amp;Prams!$B$1),3,FALSE)*2)</f>
        <v>39</v>
      </c>
      <c r="N362" t="str">
        <f ca="1">VLOOKUP(F362,INDIRECT("球種変換表!A$1:B$" &amp; Prams!$B$2),2,)</f>
        <v>Vスライダー</v>
      </c>
      <c r="O362">
        <f ca="1">VLOOKUP(N362,球種情報!A:B,2,FALSE)</f>
        <v>19</v>
      </c>
      <c r="P362">
        <f ca="1">VLOOKUP(K362,投手データ!B:AI,output!O362+6,FALSE)</f>
        <v>4</v>
      </c>
      <c r="R362">
        <f t="shared" ca="1" si="28"/>
        <v>1.0869565217391304E-2</v>
      </c>
      <c r="S362">
        <f t="shared" si="29"/>
        <v>0.53298611111111116</v>
      </c>
      <c r="T362">
        <f>Prams!B$5/(S362-Prams!B$6)</f>
        <v>130.79081137940963</v>
      </c>
      <c r="U362">
        <f t="shared" ca="1" si="30"/>
        <v>0.64965277777777775</v>
      </c>
      <c r="V362">
        <f ca="1">Prams!C$5/(U362-Prams!C$6)</f>
        <v>122.16709939125808</v>
      </c>
      <c r="W362">
        <f t="shared" ca="1" si="31"/>
        <v>1.3279032542528051</v>
      </c>
    </row>
    <row r="363" spans="1:23" hidden="1" x14ac:dyDescent="0.55000000000000004">
      <c r="A363" s="1" t="s">
        <v>934</v>
      </c>
      <c r="B363" s="1">
        <v>134</v>
      </c>
      <c r="C363">
        <v>642.90912000000003</v>
      </c>
      <c r="D363">
        <v>608</v>
      </c>
      <c r="E363">
        <v>11.09098</v>
      </c>
      <c r="F363" t="s">
        <v>43</v>
      </c>
      <c r="G363" s="10" t="s">
        <v>2458</v>
      </c>
      <c r="H363">
        <v>101</v>
      </c>
      <c r="I363" t="s">
        <v>902</v>
      </c>
      <c r="J363">
        <f ca="1">VLOOKUP(G363,INDIRECT("球速変換!A$1:B$" &amp; Prams!$B$8),2,)</f>
        <v>135</v>
      </c>
      <c r="K363" t="s">
        <v>203</v>
      </c>
      <c r="L363">
        <f t="shared" si="27"/>
        <v>33</v>
      </c>
      <c r="M363">
        <f ca="1">(B363-VLOOKUP(K363,INDIRECT("投手データ!B1:D"&amp;Prams!$B$1),3,FALSE)*2)</f>
        <v>40</v>
      </c>
      <c r="N363" t="str">
        <f ca="1">VLOOKUP(F363,INDIRECT("球種変換表!A$1:B$" &amp; Prams!$B$2),2,)</f>
        <v>Vスライダー</v>
      </c>
      <c r="O363">
        <f ca="1">VLOOKUP(N363,球種情報!A:B,2,FALSE)</f>
        <v>19</v>
      </c>
      <c r="P363">
        <f ca="1">VLOOKUP(K363,投手データ!B:AI,output!O363+6,FALSE)</f>
        <v>4</v>
      </c>
      <c r="R363">
        <f t="shared" ca="1" si="28"/>
        <v>7.4074074074074077E-3</v>
      </c>
      <c r="S363">
        <f t="shared" si="29"/>
        <v>0.5444444444444444</v>
      </c>
      <c r="T363">
        <f>Prams!B$5/(S363-Prams!B$6)</f>
        <v>127.69536180662338</v>
      </c>
      <c r="U363">
        <f t="shared" ca="1" si="30"/>
        <v>0.66111111111111109</v>
      </c>
      <c r="V363">
        <f ca="1">Prams!C$5/(U363-Prams!C$6)</f>
        <v>119.46216935760908</v>
      </c>
      <c r="W363">
        <f t="shared" ca="1" si="31"/>
        <v>0.88490495820451176</v>
      </c>
    </row>
    <row r="364" spans="1:23" hidden="1" x14ac:dyDescent="0.55000000000000004">
      <c r="A364" s="1" t="s">
        <v>936</v>
      </c>
      <c r="B364" s="1">
        <v>134</v>
      </c>
      <c r="C364">
        <v>641.5</v>
      </c>
      <c r="D364">
        <v>611.5</v>
      </c>
      <c r="E364">
        <v>10.512</v>
      </c>
      <c r="F364" t="s">
        <v>935</v>
      </c>
      <c r="G364" s="10" t="s">
        <v>2459</v>
      </c>
      <c r="H364">
        <v>101</v>
      </c>
      <c r="I364" t="s">
        <v>903</v>
      </c>
      <c r="J364">
        <f ca="1">VLOOKUP(G364,INDIRECT("球速変換!A$1:B$" &amp; Prams!$B$8),2,)</f>
        <v>136</v>
      </c>
      <c r="K364" t="s">
        <v>203</v>
      </c>
      <c r="L364">
        <f t="shared" si="27"/>
        <v>33</v>
      </c>
      <c r="M364">
        <f ca="1">(B364-VLOOKUP(K364,INDIRECT("投手データ!B1:D"&amp;Prams!$B$1),3,FALSE)*2)</f>
        <v>40</v>
      </c>
      <c r="N364" t="str">
        <f ca="1">VLOOKUP(F364,INDIRECT("球種変換表!A$1:B$" &amp; Prams!$B$2),2,)</f>
        <v>Vスライダー</v>
      </c>
      <c r="O364">
        <f ca="1">VLOOKUP(N364,球種情報!A:B,2,FALSE)</f>
        <v>19</v>
      </c>
      <c r="P364">
        <f ca="1">VLOOKUP(K364,投手データ!B:AI,output!O364+6,FALSE)</f>
        <v>4</v>
      </c>
      <c r="R364">
        <f t="shared" ca="1" si="28"/>
        <v>7.3529411764705881E-3</v>
      </c>
      <c r="S364">
        <f t="shared" si="29"/>
        <v>0.54201388888888891</v>
      </c>
      <c r="T364">
        <f>Prams!B$5/(S364-Prams!B$6)</f>
        <v>128.33966681467214</v>
      </c>
      <c r="U364">
        <f t="shared" ca="1" si="30"/>
        <v>0.6586805555555556</v>
      </c>
      <c r="V364">
        <f ca="1">Prams!C$5/(U364-Prams!C$6)</f>
        <v>120.02588591859957</v>
      </c>
      <c r="W364">
        <f t="shared" ca="1" si="31"/>
        <v>0.88254327881323213</v>
      </c>
    </row>
    <row r="365" spans="1:23" hidden="1" x14ac:dyDescent="0.55000000000000004">
      <c r="A365" s="1" t="s">
        <v>937</v>
      </c>
      <c r="B365" s="1">
        <v>134</v>
      </c>
      <c r="C365">
        <v>643.5</v>
      </c>
      <c r="D365">
        <v>619.5</v>
      </c>
      <c r="E365">
        <v>11.510960000000001</v>
      </c>
      <c r="F365" t="s">
        <v>935</v>
      </c>
      <c r="G365" s="10" t="s">
        <v>2460</v>
      </c>
      <c r="H365">
        <v>101</v>
      </c>
      <c r="I365" t="s">
        <v>942</v>
      </c>
      <c r="J365">
        <f ca="1">VLOOKUP(G365,INDIRECT("球速変換!A$1:B$" &amp; Prams!$B$8),2,)</f>
        <v>138</v>
      </c>
      <c r="K365" t="s">
        <v>203</v>
      </c>
      <c r="L365">
        <f t="shared" si="27"/>
        <v>33</v>
      </c>
      <c r="M365">
        <f ca="1">(B365-VLOOKUP(K365,INDIRECT("投手データ!B1:D"&amp;Prams!$B$1),3,FALSE)*2)</f>
        <v>40</v>
      </c>
      <c r="N365" t="str">
        <f ca="1">VLOOKUP(F365,INDIRECT("球種変換表!A$1:B$" &amp; Prams!$B$2),2,)</f>
        <v>Vスライダー</v>
      </c>
      <c r="O365">
        <f ca="1">VLOOKUP(N365,球種情報!A:B,2,FALSE)</f>
        <v>19</v>
      </c>
      <c r="P365">
        <f ca="1">VLOOKUP(K365,投手データ!B:AI,output!O365+6,FALSE)</f>
        <v>4</v>
      </c>
      <c r="R365">
        <f t="shared" ca="1" si="28"/>
        <v>7.246376811594203E-3</v>
      </c>
      <c r="S365">
        <f t="shared" si="29"/>
        <v>0.53645833333333337</v>
      </c>
      <c r="T365">
        <f>Prams!B$5/(S365-Prams!B$6)</f>
        <v>129.83706400182012</v>
      </c>
      <c r="U365">
        <f t="shared" ca="1" si="30"/>
        <v>0.65312499999999996</v>
      </c>
      <c r="V365">
        <f ca="1">Prams!C$5/(U365-Prams!C$6)</f>
        <v>121.33457632108336</v>
      </c>
      <c r="W365">
        <f t="shared" ca="1" si="31"/>
        <v>0.87923606029770551</v>
      </c>
    </row>
    <row r="366" spans="1:23" hidden="1" x14ac:dyDescent="0.55000000000000004">
      <c r="A366" s="1" t="s">
        <v>938</v>
      </c>
      <c r="B366" s="1">
        <v>134</v>
      </c>
      <c r="C366">
        <v>636.54760999999996</v>
      </c>
      <c r="D366">
        <v>614.5</v>
      </c>
      <c r="E366">
        <v>10.55958</v>
      </c>
      <c r="F366" t="s">
        <v>43</v>
      </c>
      <c r="G366" s="10" t="s">
        <v>1287</v>
      </c>
      <c r="H366">
        <v>101</v>
      </c>
      <c r="I366" t="s">
        <v>1651</v>
      </c>
      <c r="J366">
        <f ca="1">VLOOKUP(G366,INDIRECT("球速変換!A$1:B$" &amp; Prams!$B$8),2,)</f>
        <v>97</v>
      </c>
      <c r="K366" t="s">
        <v>203</v>
      </c>
      <c r="L366">
        <f t="shared" si="27"/>
        <v>33</v>
      </c>
      <c r="M366">
        <f ca="1">(B366-VLOOKUP(K366,INDIRECT("投手データ!B1:D"&amp;Prams!$B$1),3,FALSE)*2)</f>
        <v>40</v>
      </c>
      <c r="N366" t="str">
        <f ca="1">VLOOKUP(F366,INDIRECT("球種変換表!A$1:B$" &amp; Prams!$B$2),2,)</f>
        <v>Vスライダー</v>
      </c>
      <c r="O366">
        <f ca="1">VLOOKUP(N366,球種情報!A:B,2,FALSE)</f>
        <v>19</v>
      </c>
      <c r="P366">
        <f ca="1">VLOOKUP(K366,投手データ!B:AI,output!O366+6,FALSE)</f>
        <v>4</v>
      </c>
      <c r="R366">
        <f t="shared" ca="1" si="28"/>
        <v>1.0309278350515464E-2</v>
      </c>
      <c r="S366">
        <f t="shared" si="29"/>
        <v>0.53993055555555558</v>
      </c>
      <c r="T366">
        <f>Prams!B$5/(S366-Prams!B$6)</f>
        <v>128.89712568122457</v>
      </c>
      <c r="U366">
        <f t="shared" ca="1" si="30"/>
        <v>0.65659722222222228</v>
      </c>
      <c r="V366">
        <f ca="1">Prams!C$5/(U366-Prams!C$6)</f>
        <v>120.5133231174091</v>
      </c>
      <c r="W366">
        <f t="shared" ca="1" si="31"/>
        <v>1.2424053929629804</v>
      </c>
    </row>
    <row r="367" spans="1:23" hidden="1" x14ac:dyDescent="0.55000000000000004">
      <c r="A367" s="1" t="s">
        <v>941</v>
      </c>
      <c r="B367" s="1">
        <v>134</v>
      </c>
      <c r="C367">
        <v>637.55260999999996</v>
      </c>
      <c r="D367">
        <v>606.5</v>
      </c>
      <c r="E367">
        <v>9.5658300000000001</v>
      </c>
      <c r="F367" t="s">
        <v>939</v>
      </c>
      <c r="G367" s="10" t="s">
        <v>940</v>
      </c>
      <c r="H367">
        <v>101</v>
      </c>
      <c r="I367" t="s">
        <v>1652</v>
      </c>
      <c r="J367">
        <f ca="1">VLOOKUP(G367,INDIRECT("球速変換!A$1:B$" &amp; Prams!$B$8),2,)</f>
        <v>134</v>
      </c>
      <c r="K367" t="s">
        <v>203</v>
      </c>
      <c r="L367">
        <f t="shared" si="27"/>
        <v>33</v>
      </c>
      <c r="M367">
        <f ca="1">(B367-VLOOKUP(K367,INDIRECT("投手データ!B1:D"&amp;Prams!$B$1),3,FALSE)*2)</f>
        <v>40</v>
      </c>
      <c r="N367" t="str">
        <f ca="1">VLOOKUP(F367,INDIRECT("球種変換表!A$1:B$" &amp; Prams!$B$2),2,)</f>
        <v>Vスライダー</v>
      </c>
      <c r="O367">
        <f ca="1">VLOOKUP(N367,球種情報!A:B,2,FALSE)</f>
        <v>19</v>
      </c>
      <c r="P367">
        <f ca="1">VLOOKUP(K367,投手データ!B:AI,output!O367+6,FALSE)</f>
        <v>4</v>
      </c>
      <c r="R367">
        <f t="shared" ca="1" si="28"/>
        <v>7.462686567164179E-3</v>
      </c>
      <c r="S367">
        <f t="shared" si="29"/>
        <v>0.54548611111111112</v>
      </c>
      <c r="T367">
        <f>Prams!B$5/(S367-Prams!B$6)</f>
        <v>127.42120721143662</v>
      </c>
      <c r="U367">
        <f t="shared" ca="1" si="30"/>
        <v>0.6621527777777777</v>
      </c>
      <c r="V367">
        <f ca="1">Prams!C$5/(U367-Prams!C$6)</f>
        <v>119.22219424788008</v>
      </c>
      <c r="W367">
        <f t="shared" ca="1" si="31"/>
        <v>0.88971786752149318</v>
      </c>
    </row>
    <row r="368" spans="1:23" hidden="1" x14ac:dyDescent="0.55000000000000004">
      <c r="A368" s="1" t="s">
        <v>943</v>
      </c>
      <c r="B368" s="1">
        <v>134</v>
      </c>
      <c r="C368">
        <v>631.5</v>
      </c>
      <c r="D368">
        <v>606</v>
      </c>
      <c r="E368">
        <v>10.547610000000001</v>
      </c>
      <c r="F368" t="s">
        <v>43</v>
      </c>
      <c r="G368" s="10" t="s">
        <v>1653</v>
      </c>
      <c r="H368">
        <v>101</v>
      </c>
      <c r="I368" t="s">
        <v>907</v>
      </c>
      <c r="J368">
        <f ca="1">VLOOKUP(G368,INDIRECT("球速変換!A$1:B$" &amp; Prams!$B$8),2,)</f>
        <v>114</v>
      </c>
      <c r="K368" t="s">
        <v>203</v>
      </c>
      <c r="L368">
        <f t="shared" si="27"/>
        <v>33</v>
      </c>
      <c r="M368">
        <f ca="1">(B368-VLOOKUP(K368,INDIRECT("投手データ!B1:D"&amp;Prams!$B$1),3,FALSE)*2)</f>
        <v>40</v>
      </c>
      <c r="N368" t="str">
        <f ca="1">VLOOKUP(F368,INDIRECT("球種変換表!A$1:B$" &amp; Prams!$B$2),2,)</f>
        <v>Vスライダー</v>
      </c>
      <c r="O368">
        <f ca="1">VLOOKUP(N368,球種情報!A:B,2,FALSE)</f>
        <v>19</v>
      </c>
      <c r="P368">
        <f ca="1">VLOOKUP(K368,投手データ!B:AI,output!O368+6,FALSE)</f>
        <v>4</v>
      </c>
      <c r="R368">
        <f t="shared" ca="1" si="28"/>
        <v>8.771929824561403E-3</v>
      </c>
      <c r="S368">
        <f t="shared" si="29"/>
        <v>0.54583333333333328</v>
      </c>
      <c r="T368">
        <f>Prams!B$5/(S368-Prams!B$6)</f>
        <v>127.3300837566937</v>
      </c>
      <c r="U368">
        <f t="shared" ca="1" si="30"/>
        <v>0.66249999999999998</v>
      </c>
      <c r="V368">
        <f ca="1">Prams!C$5/(U368-Prams!C$6)</f>
        <v>119.14241665060707</v>
      </c>
      <c r="W368">
        <f t="shared" ca="1" si="31"/>
        <v>1.0451089179877813</v>
      </c>
    </row>
    <row r="369" spans="1:23" hidden="1" x14ac:dyDescent="0.55000000000000004">
      <c r="A369" s="1" t="s">
        <v>944</v>
      </c>
      <c r="B369" s="1">
        <v>134</v>
      </c>
      <c r="C369">
        <v>647.47619999999995</v>
      </c>
      <c r="D369">
        <v>614</v>
      </c>
      <c r="E369">
        <v>10.523899999999999</v>
      </c>
      <c r="F369" t="s">
        <v>43</v>
      </c>
      <c r="G369" s="10" t="s">
        <v>931</v>
      </c>
      <c r="H369">
        <v>101</v>
      </c>
      <c r="I369" t="s">
        <v>903</v>
      </c>
      <c r="J369">
        <f ca="1">VLOOKUP(G369,INDIRECT("球速変換!A$1:B$" &amp; Prams!$B$8),2,)</f>
        <v>147</v>
      </c>
      <c r="K369" t="s">
        <v>203</v>
      </c>
      <c r="L369">
        <f t="shared" si="27"/>
        <v>33</v>
      </c>
      <c r="M369">
        <f ca="1">(B369-VLOOKUP(K369,INDIRECT("投手データ!B1:D"&amp;Prams!$B$1),3,FALSE)*2)</f>
        <v>40</v>
      </c>
      <c r="N369" t="str">
        <f ca="1">VLOOKUP(F369,INDIRECT("球種変換表!A$1:B$" &amp; Prams!$B$2),2,)</f>
        <v>Vスライダー</v>
      </c>
      <c r="O369">
        <f ca="1">VLOOKUP(N369,球種情報!A:B,2,FALSE)</f>
        <v>19</v>
      </c>
      <c r="P369">
        <f ca="1">VLOOKUP(K369,投手データ!B:AI,output!O369+6,FALSE)</f>
        <v>4</v>
      </c>
      <c r="R369">
        <f t="shared" ca="1" si="28"/>
        <v>6.8027210884353739E-3</v>
      </c>
      <c r="S369">
        <f t="shared" si="29"/>
        <v>0.54027777777777775</v>
      </c>
      <c r="T369">
        <f>Prams!B$5/(S369-Prams!B$6)</f>
        <v>128.80387980925045</v>
      </c>
      <c r="U369">
        <f t="shared" ca="1" si="30"/>
        <v>0.65694444444444444</v>
      </c>
      <c r="V369">
        <f ca="1">Prams!C$5/(U369-Prams!C$6)</f>
        <v>120.43180883530661</v>
      </c>
      <c r="W369">
        <f t="shared" ca="1" si="31"/>
        <v>0.81926400568235791</v>
      </c>
    </row>
    <row r="370" spans="1:23" hidden="1" x14ac:dyDescent="0.55000000000000004">
      <c r="A370" s="1" t="s">
        <v>945</v>
      </c>
      <c r="B370" s="1">
        <v>138</v>
      </c>
      <c r="C370">
        <v>647</v>
      </c>
      <c r="D370">
        <v>608</v>
      </c>
      <c r="E370">
        <v>11.0001</v>
      </c>
      <c r="F370" t="s">
        <v>39</v>
      </c>
      <c r="G370" s="10" t="s">
        <v>2461</v>
      </c>
      <c r="H370">
        <v>101</v>
      </c>
      <c r="I370" t="s">
        <v>907</v>
      </c>
      <c r="J370">
        <f ca="1">VLOOKUP(G370,INDIRECT("球速変換!A$1:B$" &amp; Prams!$B$8),2,)</f>
        <v>128</v>
      </c>
      <c r="K370" t="s">
        <v>203</v>
      </c>
      <c r="L370">
        <f t="shared" si="27"/>
        <v>37</v>
      </c>
      <c r="M370">
        <f ca="1">(B370-VLOOKUP(K370,INDIRECT("投手データ!B1:D"&amp;Prams!$B$1),3,FALSE)*2)</f>
        <v>44</v>
      </c>
      <c r="N370" t="str">
        <f ca="1">VLOOKUP(F370,INDIRECT("球種変換表!A$1:B$" &amp; Prams!$B$2),2,)</f>
        <v>ドロップ</v>
      </c>
      <c r="O370">
        <f ca="1">VLOOKUP(N370,球種情報!A:B,2,FALSE)</f>
        <v>11</v>
      </c>
      <c r="P370">
        <f ca="1">VLOOKUP(K370,投手データ!B:AI,output!O370+6,FALSE)</f>
        <v>4</v>
      </c>
      <c r="R370">
        <f t="shared" ca="1" si="28"/>
        <v>7.8125E-3</v>
      </c>
      <c r="S370">
        <f t="shared" si="29"/>
        <v>0.61111111111111105</v>
      </c>
      <c r="T370">
        <f>Prams!B$5/(S370-Prams!B$6)</f>
        <v>112.2399289936054</v>
      </c>
      <c r="U370">
        <f t="shared" ca="1" si="30"/>
        <v>0.72777777777777775</v>
      </c>
      <c r="V370">
        <f ca="1">Prams!C$5/(U370-Prams!C$6)</f>
        <v>105.82908551430312</v>
      </c>
      <c r="W370">
        <f t="shared" ca="1" si="31"/>
        <v>0.8267897305804931</v>
      </c>
    </row>
    <row r="371" spans="1:23" hidden="1" x14ac:dyDescent="0.55000000000000004">
      <c r="A371" s="1" t="s">
        <v>946</v>
      </c>
      <c r="B371" s="1">
        <v>138</v>
      </c>
      <c r="C371">
        <v>648</v>
      </c>
      <c r="D371">
        <v>608.5</v>
      </c>
      <c r="E371">
        <v>11.01146</v>
      </c>
      <c r="F371" t="s">
        <v>554</v>
      </c>
      <c r="G371" s="10" t="s">
        <v>591</v>
      </c>
      <c r="H371">
        <v>101</v>
      </c>
      <c r="I371" t="s">
        <v>902</v>
      </c>
      <c r="J371">
        <f ca="1">VLOOKUP(G371,INDIRECT("球速変換!A$1:B$" &amp; Prams!$B$8),2,)</f>
        <v>128</v>
      </c>
      <c r="K371" t="s">
        <v>203</v>
      </c>
      <c r="L371">
        <f t="shared" si="27"/>
        <v>37</v>
      </c>
      <c r="M371">
        <f ca="1">(B371-VLOOKUP(K371,INDIRECT("投手データ!B1:D"&amp;Prams!$B$1),3,FALSE)*2)</f>
        <v>44</v>
      </c>
      <c r="N371" t="str">
        <f ca="1">VLOOKUP(F371,INDIRECT("球種変換表!A$1:B$" &amp; Prams!$B$2),2,)</f>
        <v>ドロップ</v>
      </c>
      <c r="O371">
        <f ca="1">VLOOKUP(N371,球種情報!A:B,2,FALSE)</f>
        <v>11</v>
      </c>
      <c r="P371">
        <f ca="1">VLOOKUP(K371,投手データ!B:AI,output!O371+6,FALSE)</f>
        <v>4</v>
      </c>
      <c r="R371">
        <f t="shared" ca="1" si="28"/>
        <v>7.8125E-3</v>
      </c>
      <c r="S371">
        <f t="shared" si="29"/>
        <v>0.61076388888888888</v>
      </c>
      <c r="T371">
        <f>Prams!B$5/(S371-Prams!B$6)</f>
        <v>112.31072782047465</v>
      </c>
      <c r="U371">
        <f t="shared" ca="1" si="30"/>
        <v>0.72743055555555558</v>
      </c>
      <c r="V371">
        <f ca="1">Prams!C$5/(U371-Prams!C$6)</f>
        <v>105.89202536885225</v>
      </c>
      <c r="W371">
        <f t="shared" ca="1" si="31"/>
        <v>0.82728144819415816</v>
      </c>
    </row>
    <row r="372" spans="1:23" hidden="1" x14ac:dyDescent="0.55000000000000004">
      <c r="A372" s="1" t="s">
        <v>948</v>
      </c>
      <c r="B372" s="1">
        <v>138</v>
      </c>
      <c r="C372">
        <v>643.5</v>
      </c>
      <c r="D372">
        <v>614.5</v>
      </c>
      <c r="E372">
        <v>11.510960000000001</v>
      </c>
      <c r="F372" t="s">
        <v>39</v>
      </c>
      <c r="G372" s="10" t="s">
        <v>2418</v>
      </c>
      <c r="H372">
        <v>101</v>
      </c>
      <c r="I372" t="s">
        <v>956</v>
      </c>
      <c r="J372">
        <f ca="1">VLOOKUP(G372,INDIRECT("球速変換!A$1:B$" &amp; Prams!$B$8),2,)</f>
        <v>129</v>
      </c>
      <c r="K372" t="s">
        <v>203</v>
      </c>
      <c r="L372">
        <f t="shared" si="27"/>
        <v>37</v>
      </c>
      <c r="M372">
        <f ca="1">(B372-VLOOKUP(K372,INDIRECT("投手データ!B1:D"&amp;Prams!$B$1),3,FALSE)*2)</f>
        <v>44</v>
      </c>
      <c r="N372" t="str">
        <f ca="1">VLOOKUP(F372,INDIRECT("球種変換表!A$1:B$" &amp; Prams!$B$2),2,)</f>
        <v>ドロップ</v>
      </c>
      <c r="O372">
        <f ca="1">VLOOKUP(N372,球種情報!A:B,2,FALSE)</f>
        <v>11</v>
      </c>
      <c r="P372">
        <f ca="1">VLOOKUP(K372,投手データ!B:AI,output!O372+6,FALSE)</f>
        <v>4</v>
      </c>
      <c r="R372">
        <f t="shared" ca="1" si="28"/>
        <v>7.7519379844961239E-3</v>
      </c>
      <c r="S372">
        <f t="shared" si="29"/>
        <v>0.60659722222222223</v>
      </c>
      <c r="T372">
        <f>Prams!B$5/(S372-Prams!B$6)</f>
        <v>113.16733361468879</v>
      </c>
      <c r="U372">
        <f t="shared" ca="1" si="30"/>
        <v>0.72326388888888893</v>
      </c>
      <c r="V372">
        <f ca="1">Prams!C$5/(U372-Prams!C$6)</f>
        <v>106.65318503538927</v>
      </c>
      <c r="W372">
        <f t="shared" ca="1" si="31"/>
        <v>0.82676887624332773</v>
      </c>
    </row>
    <row r="373" spans="1:23" hidden="1" x14ac:dyDescent="0.55000000000000004">
      <c r="A373" s="1" t="s">
        <v>949</v>
      </c>
      <c r="B373" s="1">
        <v>139</v>
      </c>
      <c r="C373">
        <v>649.42107999999996</v>
      </c>
      <c r="D373">
        <v>615</v>
      </c>
      <c r="E373">
        <v>9.6310699999999994</v>
      </c>
      <c r="F373" t="s">
        <v>39</v>
      </c>
      <c r="G373" s="10" t="s">
        <v>621</v>
      </c>
      <c r="H373">
        <v>101</v>
      </c>
      <c r="I373" t="s">
        <v>1654</v>
      </c>
      <c r="J373">
        <f ca="1">VLOOKUP(G373,INDIRECT("球速変換!A$1:B$" &amp; Prams!$B$8),2,)</f>
        <v>126</v>
      </c>
      <c r="K373" t="s">
        <v>203</v>
      </c>
      <c r="L373">
        <f t="shared" si="27"/>
        <v>38</v>
      </c>
      <c r="M373">
        <f ca="1">(B373-VLOOKUP(K373,INDIRECT("投手データ!B1:D"&amp;Prams!$B$1),3,FALSE)*2)</f>
        <v>45</v>
      </c>
      <c r="N373" t="str">
        <f ca="1">VLOOKUP(F373,INDIRECT("球種変換表!A$1:B$" &amp; Prams!$B$2),2,)</f>
        <v>ドロップ</v>
      </c>
      <c r="O373">
        <f ca="1">VLOOKUP(N373,球種情報!A:B,2,FALSE)</f>
        <v>11</v>
      </c>
      <c r="P373">
        <f ca="1">VLOOKUP(K373,投手データ!B:AI,output!O373+6,FALSE)</f>
        <v>4</v>
      </c>
      <c r="R373">
        <f t="shared" ca="1" si="28"/>
        <v>7.9365079365079361E-3</v>
      </c>
      <c r="S373">
        <f t="shared" si="29"/>
        <v>0.62291666666666667</v>
      </c>
      <c r="T373">
        <f>Prams!B$5/(S373-Prams!B$6)</f>
        <v>109.88476464140771</v>
      </c>
      <c r="U373">
        <f t="shared" ca="1" si="30"/>
        <v>0.73958333333333337</v>
      </c>
      <c r="V373">
        <f ca="1">Prams!C$5/(U373-Prams!C$6)</f>
        <v>103.73276657624655</v>
      </c>
      <c r="W373">
        <f t="shared" ca="1" si="31"/>
        <v>0.82327592520830595</v>
      </c>
    </row>
    <row r="374" spans="1:23" hidden="1" x14ac:dyDescent="0.55000000000000004">
      <c r="A374" s="1" t="s">
        <v>951</v>
      </c>
      <c r="B374" s="1">
        <v>138</v>
      </c>
      <c r="C374">
        <v>639.5</v>
      </c>
      <c r="D374">
        <v>602</v>
      </c>
      <c r="E374">
        <v>10.5001</v>
      </c>
      <c r="F374" t="s">
        <v>554</v>
      </c>
      <c r="G374" s="10" t="s">
        <v>1529</v>
      </c>
      <c r="H374">
        <v>101</v>
      </c>
      <c r="I374" t="s">
        <v>1655</v>
      </c>
      <c r="J374">
        <f ca="1">VLOOKUP(G374,INDIRECT("球速変換!A$1:B$" &amp; Prams!$B$8),2,)</f>
        <v>126</v>
      </c>
      <c r="K374" t="s">
        <v>203</v>
      </c>
      <c r="L374">
        <f t="shared" si="27"/>
        <v>37</v>
      </c>
      <c r="M374">
        <f ca="1">(B374-VLOOKUP(K374,INDIRECT("投手データ!B1:D"&amp;Prams!$B$1),3,FALSE)*2)</f>
        <v>44</v>
      </c>
      <c r="N374" t="str">
        <f ca="1">VLOOKUP(F374,INDIRECT("球種変換表!A$1:B$" &amp; Prams!$B$2),2,)</f>
        <v>ドロップ</v>
      </c>
      <c r="O374">
        <f ca="1">VLOOKUP(N374,球種情報!A:B,2,FALSE)</f>
        <v>11</v>
      </c>
      <c r="P374">
        <f ca="1">VLOOKUP(K374,投手データ!B:AI,output!O374+6,FALSE)</f>
        <v>4</v>
      </c>
      <c r="R374">
        <f t="shared" ca="1" si="28"/>
        <v>7.9365079365079361E-3</v>
      </c>
      <c r="S374">
        <f t="shared" si="29"/>
        <v>0.6152777777777777</v>
      </c>
      <c r="T374">
        <f>Prams!B$5/(S374-Prams!B$6)</f>
        <v>111.39725314326903</v>
      </c>
      <c r="U374">
        <f t="shared" ca="1" si="30"/>
        <v>0.7319444444444444</v>
      </c>
      <c r="V374">
        <f ca="1">Prams!C$5/(U374-Prams!C$6)</f>
        <v>105.07960189609264</v>
      </c>
      <c r="W374">
        <f t="shared" ca="1" si="31"/>
        <v>0.83396509441343369</v>
      </c>
    </row>
    <row r="375" spans="1:23" hidden="1" x14ac:dyDescent="0.55000000000000004">
      <c r="A375" s="1" t="s">
        <v>952</v>
      </c>
      <c r="B375" s="1">
        <v>139</v>
      </c>
      <c r="C375">
        <v>654</v>
      </c>
      <c r="D375">
        <v>614</v>
      </c>
      <c r="E375">
        <v>10.04998</v>
      </c>
      <c r="F375">
        <v>4</v>
      </c>
      <c r="G375" s="10" t="s">
        <v>2419</v>
      </c>
      <c r="H375">
        <v>101</v>
      </c>
      <c r="I375" t="s">
        <v>905</v>
      </c>
      <c r="J375">
        <f ca="1">VLOOKUP(G375,INDIRECT("球速変換!A$1:B$" &amp; Prams!$B$8),2,)</f>
        <v>126</v>
      </c>
      <c r="K375" t="s">
        <v>203</v>
      </c>
      <c r="L375">
        <f t="shared" si="27"/>
        <v>38</v>
      </c>
      <c r="M375">
        <f ca="1">(B375-VLOOKUP(K375,INDIRECT("投手データ!B1:D"&amp;Prams!$B$1),3,FALSE)*2)</f>
        <v>45</v>
      </c>
      <c r="N375" t="str">
        <f ca="1">VLOOKUP(F375,INDIRECT("球種変換表!A$1:B$" &amp; Prams!$B$2),2,)</f>
        <v>ドロップ</v>
      </c>
      <c r="O375">
        <f ca="1">VLOOKUP(N375,球種情報!A:B,2,FALSE)</f>
        <v>11</v>
      </c>
      <c r="P375">
        <f ca="1">VLOOKUP(K375,投手データ!B:AI,output!O375+6,FALSE)</f>
        <v>4</v>
      </c>
      <c r="R375">
        <f t="shared" ca="1" si="28"/>
        <v>7.9365079365079361E-3</v>
      </c>
      <c r="S375">
        <f t="shared" si="29"/>
        <v>0.62361111111111112</v>
      </c>
      <c r="T375">
        <f>Prams!B$5/(S375-Prams!B$6)</f>
        <v>109.74929977513906</v>
      </c>
      <c r="U375">
        <f t="shared" ca="1" si="30"/>
        <v>0.7402777777777777</v>
      </c>
      <c r="V375">
        <f ca="1">Prams!C$5/(U375-Prams!C$6)</f>
        <v>103.61203701979481</v>
      </c>
      <c r="W375">
        <f t="shared" ca="1" si="31"/>
        <v>0.82231775412535568</v>
      </c>
    </row>
    <row r="376" spans="1:23" hidden="1" x14ac:dyDescent="0.55000000000000004">
      <c r="A376" s="1" t="s">
        <v>953</v>
      </c>
      <c r="B376" s="1">
        <v>138</v>
      </c>
      <c r="C376">
        <v>649.5</v>
      </c>
      <c r="D376">
        <v>613.5</v>
      </c>
      <c r="E376">
        <v>9.6177899999999994</v>
      </c>
      <c r="F376" t="s">
        <v>39</v>
      </c>
      <c r="G376" s="10" t="s">
        <v>2418</v>
      </c>
      <c r="H376">
        <v>101</v>
      </c>
      <c r="I376" t="s">
        <v>1652</v>
      </c>
      <c r="J376">
        <f ca="1">VLOOKUP(G376,INDIRECT("球速変換!A$1:B$" &amp; Prams!$B$8),2,)</f>
        <v>129</v>
      </c>
      <c r="K376" t="s">
        <v>203</v>
      </c>
      <c r="L376">
        <f t="shared" si="27"/>
        <v>37</v>
      </c>
      <c r="M376">
        <f ca="1">(B376-VLOOKUP(K376,INDIRECT("投手データ!B1:D"&amp;Prams!$B$1),3,FALSE)*2)</f>
        <v>44</v>
      </c>
      <c r="N376" t="str">
        <f ca="1">VLOOKUP(F376,INDIRECT("球種変換表!A$1:B$" &amp; Prams!$B$2),2,)</f>
        <v>ドロップ</v>
      </c>
      <c r="O376">
        <f ca="1">VLOOKUP(N376,球種情報!A:B,2,FALSE)</f>
        <v>11</v>
      </c>
      <c r="P376">
        <f ca="1">VLOOKUP(K376,投手データ!B:AI,output!O376+6,FALSE)</f>
        <v>4</v>
      </c>
      <c r="R376">
        <f t="shared" ca="1" si="28"/>
        <v>7.7519379844961239E-3</v>
      </c>
      <c r="S376">
        <f t="shared" si="29"/>
        <v>0.60729166666666667</v>
      </c>
      <c r="T376">
        <f>Prams!B$5/(S376-Prams!B$6)</f>
        <v>113.023659714499</v>
      </c>
      <c r="U376">
        <f t="shared" ca="1" si="30"/>
        <v>0.72395833333333337</v>
      </c>
      <c r="V376">
        <f ca="1">Prams!C$5/(U376-Prams!C$6)</f>
        <v>106.52556610140287</v>
      </c>
      <c r="W376">
        <f t="shared" ca="1" si="31"/>
        <v>0.82577958218141767</v>
      </c>
    </row>
    <row r="377" spans="1:23" hidden="1" x14ac:dyDescent="0.55000000000000004">
      <c r="A377" s="1" t="s">
        <v>955</v>
      </c>
      <c r="B377" s="1">
        <v>139</v>
      </c>
      <c r="C377">
        <v>655</v>
      </c>
      <c r="D377">
        <v>611.5</v>
      </c>
      <c r="E377">
        <v>11.01146</v>
      </c>
      <c r="F377" t="s">
        <v>39</v>
      </c>
      <c r="G377" s="10" t="s">
        <v>2434</v>
      </c>
      <c r="H377">
        <v>101</v>
      </c>
      <c r="I377" t="s">
        <v>905</v>
      </c>
      <c r="J377">
        <f ca="1">VLOOKUP(G377,INDIRECT("球速変換!A$1:B$" &amp; Prams!$B$8),2,)</f>
        <v>125</v>
      </c>
      <c r="K377" t="s">
        <v>203</v>
      </c>
      <c r="L377">
        <f t="shared" si="27"/>
        <v>38</v>
      </c>
      <c r="M377">
        <f ca="1">(B377-VLOOKUP(K377,INDIRECT("投手データ!B1:D"&amp;Prams!$B$1),3,FALSE)*2)</f>
        <v>45</v>
      </c>
      <c r="N377" t="str">
        <f ca="1">VLOOKUP(F377,INDIRECT("球種変換表!A$1:B$" &amp; Prams!$B$2),2,)</f>
        <v>ドロップ</v>
      </c>
      <c r="O377">
        <f ca="1">VLOOKUP(N377,球種情報!A:B,2,FALSE)</f>
        <v>11</v>
      </c>
      <c r="P377">
        <f ca="1">VLOOKUP(K377,投手データ!B:AI,output!O377+6,FALSE)</f>
        <v>4</v>
      </c>
      <c r="R377">
        <f t="shared" ca="1" si="28"/>
        <v>8.0000000000000002E-3</v>
      </c>
      <c r="S377">
        <f t="shared" si="29"/>
        <v>0.62534722222222228</v>
      </c>
      <c r="T377">
        <f>Prams!B$5/(S377-Prams!B$6)</f>
        <v>109.41209436772738</v>
      </c>
      <c r="U377">
        <f t="shared" ca="1" si="30"/>
        <v>0.74201388888888897</v>
      </c>
      <c r="V377">
        <f ca="1">Prams!C$5/(U377-Prams!C$6)</f>
        <v>103.31143903559871</v>
      </c>
      <c r="W377">
        <f t="shared" ca="1" si="31"/>
        <v>0.82649151228478968</v>
      </c>
    </row>
    <row r="378" spans="1:23" hidden="1" x14ac:dyDescent="0.55000000000000004">
      <c r="A378" s="1" t="s">
        <v>957</v>
      </c>
      <c r="B378" s="1">
        <v>138</v>
      </c>
      <c r="C378">
        <v>645.04998999999998</v>
      </c>
      <c r="D378">
        <v>611.5</v>
      </c>
      <c r="E378">
        <v>10.06254</v>
      </c>
      <c r="F378" t="s">
        <v>1656</v>
      </c>
      <c r="G378" s="10" t="s">
        <v>1530</v>
      </c>
      <c r="H378">
        <v>101</v>
      </c>
      <c r="I378" t="s">
        <v>902</v>
      </c>
      <c r="J378">
        <f ca="1">VLOOKUP(G378,INDIRECT("球速変換!A$1:B$" &amp; Prams!$B$8),2,)</f>
        <v>128</v>
      </c>
      <c r="K378" t="s">
        <v>203</v>
      </c>
      <c r="L378">
        <f t="shared" si="27"/>
        <v>37</v>
      </c>
      <c r="M378">
        <f ca="1">(B378-VLOOKUP(K378,INDIRECT("投手データ!B1:D"&amp;Prams!$B$1),3,FALSE)*2)</f>
        <v>44</v>
      </c>
      <c r="N378" t="str">
        <f ca="1">VLOOKUP(F378,INDIRECT("球種変換表!A$1:B$" &amp; Prams!$B$2),2,)</f>
        <v>ドロップ</v>
      </c>
      <c r="O378">
        <f ca="1">VLOOKUP(N378,球種情報!A:B,2,FALSE)</f>
        <v>11</v>
      </c>
      <c r="P378">
        <f ca="1">VLOOKUP(K378,投手データ!B:AI,output!O378+6,FALSE)</f>
        <v>4</v>
      </c>
      <c r="R378">
        <f t="shared" ca="1" si="28"/>
        <v>7.8125E-3</v>
      </c>
      <c r="S378">
        <f t="shared" si="29"/>
        <v>0.60868055555555556</v>
      </c>
      <c r="T378">
        <f>Prams!B$5/(S378-Prams!B$6)</f>
        <v>112.7374035670687</v>
      </c>
      <c r="U378">
        <f t="shared" ca="1" si="30"/>
        <v>0.72534722222222225</v>
      </c>
      <c r="V378">
        <f ca="1">Prams!C$5/(U378-Prams!C$6)</f>
        <v>106.27124228258742</v>
      </c>
      <c r="W378">
        <f t="shared" ca="1" si="31"/>
        <v>0.83024408033271424</v>
      </c>
    </row>
    <row r="379" spans="1:23" hidden="1" x14ac:dyDescent="0.55000000000000004">
      <c r="A379" s="1" t="s">
        <v>959</v>
      </c>
      <c r="B379" s="1">
        <v>138</v>
      </c>
      <c r="C379">
        <v>648.47619999999995</v>
      </c>
      <c r="D379">
        <v>606</v>
      </c>
      <c r="E379">
        <v>10.523899999999999</v>
      </c>
      <c r="F379" t="s">
        <v>39</v>
      </c>
      <c r="G379" s="10" t="s">
        <v>629</v>
      </c>
      <c r="H379">
        <v>101</v>
      </c>
      <c r="I379" t="s">
        <v>1652</v>
      </c>
      <c r="J379">
        <f ca="1">VLOOKUP(G379,INDIRECT("球速変換!A$1:B$" &amp; Prams!$B$8),2,)</f>
        <v>121</v>
      </c>
      <c r="K379" t="s">
        <v>203</v>
      </c>
      <c r="L379">
        <f t="shared" si="27"/>
        <v>37</v>
      </c>
      <c r="M379">
        <f ca="1">(B379-VLOOKUP(K379,INDIRECT("投手データ!B1:D"&amp;Prams!$B$1),3,FALSE)*2)</f>
        <v>44</v>
      </c>
      <c r="N379" t="str">
        <f ca="1">VLOOKUP(F379,INDIRECT("球種変換表!A$1:B$" &amp; Prams!$B$2),2,)</f>
        <v>ドロップ</v>
      </c>
      <c r="O379">
        <f ca="1">VLOOKUP(N379,球種情報!A:B,2,FALSE)</f>
        <v>11</v>
      </c>
      <c r="P379">
        <f ca="1">VLOOKUP(K379,投手データ!B:AI,output!O379+6,FALSE)</f>
        <v>4</v>
      </c>
      <c r="R379">
        <f t="shared" ca="1" si="28"/>
        <v>8.2644628099173556E-3</v>
      </c>
      <c r="S379">
        <f t="shared" si="29"/>
        <v>0.61250000000000004</v>
      </c>
      <c r="T379">
        <f>Prams!B$5/(S379-Prams!B$6)</f>
        <v>111.95762404925752</v>
      </c>
      <c r="U379">
        <f t="shared" ca="1" si="30"/>
        <v>0.72916666666666663</v>
      </c>
      <c r="V379">
        <f ca="1">Prams!C$5/(U379-Prams!C$6)</f>
        <v>105.57807252234305</v>
      </c>
      <c r="W379">
        <f t="shared" ca="1" si="31"/>
        <v>0.87254605390366158</v>
      </c>
    </row>
    <row r="380" spans="1:23" hidden="1" x14ac:dyDescent="0.55000000000000004">
      <c r="A380" s="1" t="s">
        <v>2109</v>
      </c>
      <c r="B380" s="1">
        <v>128</v>
      </c>
      <c r="C380">
        <v>634.5</v>
      </c>
      <c r="D380">
        <v>605.5</v>
      </c>
      <c r="E380">
        <v>10.512</v>
      </c>
      <c r="F380" t="s">
        <v>0</v>
      </c>
      <c r="G380" s="10" t="s">
        <v>635</v>
      </c>
      <c r="H380">
        <v>99</v>
      </c>
      <c r="I380" t="s">
        <v>2108</v>
      </c>
      <c r="J380">
        <f ca="1">VLOOKUP(G380,INDIRECT("球速変換!A$1:B$" &amp; Prams!$B$8),2,)</f>
        <v>148</v>
      </c>
      <c r="K380" t="s">
        <v>1893</v>
      </c>
      <c r="L380">
        <f t="shared" si="27"/>
        <v>29</v>
      </c>
      <c r="M380">
        <f ca="1">(B380-VLOOKUP(K380,INDIRECT("投手データ!B1:D"&amp;Prams!$B$1),3,FALSE)*2)</f>
        <v>34</v>
      </c>
      <c r="N380" t="str">
        <f ca="1">VLOOKUP(F380,INDIRECT("球種変換表!A$1:B$" &amp; Prams!$B$2),2,)</f>
        <v>ストレート</v>
      </c>
      <c r="O380">
        <f ca="1">VLOOKUP(N380,球種情報!A:B,2,FALSE)</f>
        <v>1</v>
      </c>
      <c r="P380">
        <f ca="1">VLOOKUP(K380,投手データ!B:AI,output!O380+6,FALSE)</f>
        <v>1</v>
      </c>
      <c r="R380">
        <f t="shared" ca="1" si="28"/>
        <v>6.7567567567567571E-3</v>
      </c>
      <c r="S380">
        <f t="shared" si="29"/>
        <v>0.47951388888888885</v>
      </c>
      <c r="T380">
        <f>Prams!B$5/(S380-Prams!B$6)</f>
        <v>147.47364445357385</v>
      </c>
      <c r="U380">
        <f t="shared" ca="1" si="30"/>
        <v>0.56284722222222228</v>
      </c>
      <c r="V380">
        <f ca="1">Prams!C$5/(U380-Prams!C$6)</f>
        <v>147.46191918054183</v>
      </c>
      <c r="W380">
        <f t="shared" ca="1" si="31"/>
        <v>0.9963643187874448</v>
      </c>
    </row>
    <row r="381" spans="1:23" hidden="1" x14ac:dyDescent="0.55000000000000004">
      <c r="A381" s="1" t="s">
        <v>2110</v>
      </c>
      <c r="B381" s="1">
        <v>129</v>
      </c>
      <c r="C381">
        <v>635.5</v>
      </c>
      <c r="D381">
        <v>615.5</v>
      </c>
      <c r="E381">
        <v>11.510960000000001</v>
      </c>
      <c r="F381" t="s">
        <v>0</v>
      </c>
      <c r="G381" s="10" t="s">
        <v>1170</v>
      </c>
      <c r="H381">
        <v>99</v>
      </c>
      <c r="I381" t="s">
        <v>1022</v>
      </c>
      <c r="J381">
        <f ca="1">VLOOKUP(G381,INDIRECT("球速変換!A$1:B$" &amp; Prams!$B$8),2,)</f>
        <v>145</v>
      </c>
      <c r="K381" t="s">
        <v>1893</v>
      </c>
      <c r="L381">
        <f t="shared" si="27"/>
        <v>30</v>
      </c>
      <c r="M381">
        <f ca="1">(B381-VLOOKUP(K381,INDIRECT("投手データ!B1:D"&amp;Prams!$B$1),3,FALSE)*2)</f>
        <v>35</v>
      </c>
      <c r="N381" t="str">
        <f ca="1">VLOOKUP(F381,INDIRECT("球種変換表!A$1:B$" &amp; Prams!$B$2),2,)</f>
        <v>ストレート</v>
      </c>
      <c r="O381">
        <f ca="1">VLOOKUP(N381,球種情報!A:B,2,FALSE)</f>
        <v>1</v>
      </c>
      <c r="P381">
        <f ca="1">VLOOKUP(K381,投手データ!B:AI,output!O381+6,FALSE)</f>
        <v>1</v>
      </c>
      <c r="R381">
        <f t="shared" ca="1" si="28"/>
        <v>6.8965517241379309E-3</v>
      </c>
      <c r="S381">
        <f t="shared" si="29"/>
        <v>0.48923611111111115</v>
      </c>
      <c r="T381">
        <f>Prams!B$5/(S381-Prams!B$6)</f>
        <v>144.13102184344987</v>
      </c>
      <c r="U381">
        <f t="shared" ca="1" si="30"/>
        <v>0.57256944444444435</v>
      </c>
      <c r="V381">
        <f ca="1">Prams!C$5/(U381-Prams!C$6)</f>
        <v>144.1198220541479</v>
      </c>
      <c r="W381">
        <f t="shared" ca="1" si="31"/>
        <v>0.99392980726998559</v>
      </c>
    </row>
    <row r="382" spans="1:23" hidden="1" x14ac:dyDescent="0.55000000000000004">
      <c r="A382" s="1" t="s">
        <v>2111</v>
      </c>
      <c r="B382" s="1">
        <v>129</v>
      </c>
      <c r="C382">
        <v>641</v>
      </c>
      <c r="D382">
        <v>618.5</v>
      </c>
      <c r="E382">
        <v>11.01146</v>
      </c>
      <c r="F382" t="s">
        <v>0</v>
      </c>
      <c r="G382" s="10" t="s">
        <v>635</v>
      </c>
      <c r="H382">
        <v>99</v>
      </c>
      <c r="I382" t="s">
        <v>1000</v>
      </c>
      <c r="J382">
        <v>145</v>
      </c>
      <c r="K382" t="s">
        <v>1085</v>
      </c>
      <c r="L382">
        <f t="shared" si="27"/>
        <v>30</v>
      </c>
      <c r="M382">
        <f ca="1">(B382-VLOOKUP(K382,INDIRECT("投手データ!B1:D"&amp;Prams!$B$1),3,FALSE)*2)</f>
        <v>35</v>
      </c>
      <c r="N382" t="str">
        <f ca="1">VLOOKUP(F382,INDIRECT("球種変換表!A$1:B$" &amp; Prams!$B$2),2,)</f>
        <v>ストレート</v>
      </c>
      <c r="O382">
        <f ca="1">VLOOKUP(N382,球種情報!A:B,2,FALSE)</f>
        <v>1</v>
      </c>
      <c r="P382">
        <f ca="1">VLOOKUP(K382,投手データ!B:AI,output!O382+6,FALSE)</f>
        <v>1</v>
      </c>
      <c r="R382">
        <f t="shared" si="28"/>
        <v>6.8965517241379309E-3</v>
      </c>
      <c r="S382">
        <f t="shared" si="29"/>
        <v>0.48715277777777782</v>
      </c>
      <c r="T382">
        <f>Prams!B$5/(S382-Prams!B$6)</f>
        <v>144.83447975167081</v>
      </c>
      <c r="U382">
        <f t="shared" ca="1" si="30"/>
        <v>0.57048611111111103</v>
      </c>
      <c r="V382">
        <f ca="1">Prams!C$5/(U382-Prams!C$6)</f>
        <v>144.82317037461203</v>
      </c>
      <c r="W382">
        <f t="shared" ca="1" si="31"/>
        <v>0.99878048534215191</v>
      </c>
    </row>
    <row r="383" spans="1:23" hidden="1" x14ac:dyDescent="0.55000000000000004">
      <c r="A383" s="1" t="s">
        <v>2112</v>
      </c>
      <c r="B383" s="1">
        <v>129</v>
      </c>
      <c r="C383">
        <v>640.5</v>
      </c>
      <c r="D383">
        <v>616.5</v>
      </c>
      <c r="E383">
        <v>10.512</v>
      </c>
      <c r="F383" t="s">
        <v>0</v>
      </c>
      <c r="G383" s="10" t="s">
        <v>615</v>
      </c>
      <c r="H383">
        <v>99</v>
      </c>
      <c r="I383" t="s">
        <v>1013</v>
      </c>
      <c r="J383">
        <f ca="1">VLOOKUP(G383,INDIRECT("球速変換!A$1:B$" &amp; Prams!$B$8),2,)</f>
        <v>144</v>
      </c>
      <c r="K383" t="s">
        <v>1085</v>
      </c>
      <c r="L383">
        <f t="shared" si="27"/>
        <v>30</v>
      </c>
      <c r="M383">
        <f ca="1">(B383-VLOOKUP(K383,INDIRECT("投手データ!B1:D"&amp;Prams!$B$1),3,FALSE)*2)</f>
        <v>35</v>
      </c>
      <c r="N383" t="str">
        <f ca="1">VLOOKUP(F383,INDIRECT("球種変換表!A$1:B$" &amp; Prams!$B$2),2,)</f>
        <v>ストレート</v>
      </c>
      <c r="O383">
        <f ca="1">VLOOKUP(N383,球種情報!A:B,2,FALSE)</f>
        <v>1</v>
      </c>
      <c r="P383">
        <f ca="1">VLOOKUP(K383,投手データ!B:AI,output!O383+6,FALSE)</f>
        <v>1</v>
      </c>
      <c r="R383">
        <f t="shared" ca="1" si="28"/>
        <v>6.9444444444444441E-3</v>
      </c>
      <c r="S383">
        <f t="shared" si="29"/>
        <v>0.48854166666666665</v>
      </c>
      <c r="T383">
        <f>Prams!B$5/(S383-Prams!B$6)</f>
        <v>144.36474731946527</v>
      </c>
      <c r="U383">
        <f t="shared" ca="1" si="30"/>
        <v>0.57187500000000002</v>
      </c>
      <c r="V383">
        <f ca="1">Prams!C$5/(U383-Prams!C$6)</f>
        <v>144.35351117856516</v>
      </c>
      <c r="W383">
        <f t="shared" ca="1" si="31"/>
        <v>1.0024549387400359</v>
      </c>
    </row>
    <row r="384" spans="1:23" hidden="1" x14ac:dyDescent="0.55000000000000004">
      <c r="A384" s="1" t="s">
        <v>2113</v>
      </c>
      <c r="B384" s="1">
        <v>128</v>
      </c>
      <c r="C384">
        <v>639.5</v>
      </c>
      <c r="D384">
        <v>602.5</v>
      </c>
      <c r="E384">
        <v>10.512</v>
      </c>
      <c r="F384" t="s">
        <v>0</v>
      </c>
      <c r="G384" s="10" t="s">
        <v>1403</v>
      </c>
      <c r="H384">
        <v>99</v>
      </c>
      <c r="I384" t="s">
        <v>1000</v>
      </c>
      <c r="J384">
        <f ca="1">VLOOKUP(G384,INDIRECT("球速変換!A$1:B$" &amp; Prams!$B$8),2,)</f>
        <v>147</v>
      </c>
      <c r="K384" t="s">
        <v>1085</v>
      </c>
      <c r="L384">
        <f t="shared" si="27"/>
        <v>29</v>
      </c>
      <c r="M384">
        <f ca="1">(B384-VLOOKUP(K384,INDIRECT("投手データ!B1:D"&amp;Prams!$B$1),3,FALSE)*2)</f>
        <v>34</v>
      </c>
      <c r="N384" t="str">
        <f ca="1">VLOOKUP(F384,INDIRECT("球種変換表!A$1:B$" &amp; Prams!$B$2),2,)</f>
        <v>ストレート</v>
      </c>
      <c r="O384">
        <f ca="1">VLOOKUP(N384,球種情報!A:B,2,FALSE)</f>
        <v>1</v>
      </c>
      <c r="P384">
        <f ca="1">VLOOKUP(K384,投手データ!B:AI,output!O384+6,FALSE)</f>
        <v>1</v>
      </c>
      <c r="R384">
        <f t="shared" ca="1" si="28"/>
        <v>6.8027210884353739E-3</v>
      </c>
      <c r="S384">
        <f t="shared" si="29"/>
        <v>0.48159722222222218</v>
      </c>
      <c r="T384">
        <f>Prams!B$5/(S384-Prams!B$6)</f>
        <v>146.74438078158073</v>
      </c>
      <c r="U384">
        <f t="shared" ca="1" si="30"/>
        <v>0.5649305555555556</v>
      </c>
      <c r="V384">
        <f ca="1">Prams!C$5/(U384-Prams!C$6)</f>
        <v>146.7327711812446</v>
      </c>
      <c r="W384">
        <f t="shared" ca="1" si="31"/>
        <v>0.99818211687921499</v>
      </c>
    </row>
    <row r="385" spans="1:24" hidden="1" x14ac:dyDescent="0.55000000000000004">
      <c r="A385" s="1" t="s">
        <v>2114</v>
      </c>
      <c r="B385" s="1">
        <v>128</v>
      </c>
      <c r="C385">
        <v>642</v>
      </c>
      <c r="D385">
        <v>606</v>
      </c>
      <c r="E385">
        <v>10.04998</v>
      </c>
      <c r="F385" t="s">
        <v>0</v>
      </c>
      <c r="G385" s="10" t="s">
        <v>642</v>
      </c>
      <c r="H385">
        <v>99</v>
      </c>
      <c r="I385" t="s">
        <v>964</v>
      </c>
      <c r="J385">
        <f ca="1">VLOOKUP(G385,INDIRECT("球速変換!A$1:B$" &amp; Prams!$B$8),2,)</f>
        <v>148</v>
      </c>
      <c r="K385" t="s">
        <v>1085</v>
      </c>
      <c r="L385">
        <f t="shared" si="27"/>
        <v>29</v>
      </c>
      <c r="M385">
        <f ca="1">(B385-VLOOKUP(K385,INDIRECT("投手データ!B1:D"&amp;Prams!$B$1),3,FALSE)*2)</f>
        <v>34</v>
      </c>
      <c r="N385" t="str">
        <f ca="1">VLOOKUP(F385,INDIRECT("球種変換表!A$1:B$" &amp; Prams!$B$2),2,)</f>
        <v>ストレート</v>
      </c>
      <c r="O385">
        <f ca="1">VLOOKUP(N385,球種情報!A:B,2,FALSE)</f>
        <v>1</v>
      </c>
      <c r="P385">
        <f ca="1">VLOOKUP(K385,投手データ!B:AI,output!O385+6,FALSE)</f>
        <v>1</v>
      </c>
      <c r="R385">
        <f t="shared" ca="1" si="28"/>
        <v>6.7567567567567571E-3</v>
      </c>
      <c r="S385">
        <f t="shared" si="29"/>
        <v>0.47916666666666669</v>
      </c>
      <c r="T385">
        <f>Prams!B$5/(S385-Prams!B$6)</f>
        <v>147.59589368136241</v>
      </c>
      <c r="U385">
        <f t="shared" ca="1" si="30"/>
        <v>0.5625</v>
      </c>
      <c r="V385">
        <f ca="1">Prams!C$5/(U385-Prams!C$6)</f>
        <v>147.584148961566</v>
      </c>
      <c r="W385">
        <f t="shared" ca="1" si="31"/>
        <v>0.99719019568625678</v>
      </c>
    </row>
    <row r="386" spans="1:24" hidden="1" x14ac:dyDescent="0.55000000000000004">
      <c r="A386" s="1" t="s">
        <v>2115</v>
      </c>
      <c r="B386" s="1">
        <v>128</v>
      </c>
      <c r="C386">
        <v>639</v>
      </c>
      <c r="D386">
        <v>606</v>
      </c>
      <c r="E386">
        <v>10.04998</v>
      </c>
      <c r="F386" t="s">
        <v>656</v>
      </c>
      <c r="G386" s="10" t="s">
        <v>640</v>
      </c>
      <c r="H386">
        <v>99</v>
      </c>
      <c r="I386" t="s">
        <v>1000</v>
      </c>
      <c r="J386">
        <f ca="1">VLOOKUP(G386,INDIRECT("球速変換!A$1:B$" &amp; Prams!$B$8),2,)</f>
        <v>148</v>
      </c>
      <c r="K386" t="s">
        <v>1085</v>
      </c>
      <c r="L386">
        <f t="shared" si="27"/>
        <v>29</v>
      </c>
      <c r="M386">
        <f ca="1">(B386-VLOOKUP(K386,INDIRECT("投手データ!B1:D"&amp;Prams!$B$1),3,FALSE)*2)</f>
        <v>34</v>
      </c>
      <c r="N386" t="str">
        <f ca="1">VLOOKUP(F386,INDIRECT("球種変換表!A$1:B$" &amp; Prams!$B$2),2,)</f>
        <v>ストレート</v>
      </c>
      <c r="O386">
        <f ca="1">VLOOKUP(N386,球種情報!A:B,2,FALSE)</f>
        <v>1</v>
      </c>
      <c r="P386">
        <f ca="1">VLOOKUP(K386,投手データ!B:AI,output!O386+6,FALSE)</f>
        <v>1</v>
      </c>
      <c r="R386">
        <f t="shared" ca="1" si="28"/>
        <v>6.7567567567567571E-3</v>
      </c>
      <c r="S386">
        <f t="shared" si="29"/>
        <v>0.47916666666666669</v>
      </c>
      <c r="T386">
        <f>Prams!B$5/(S386-Prams!B$6)</f>
        <v>147.59589368136241</v>
      </c>
      <c r="U386">
        <f t="shared" ca="1" si="30"/>
        <v>0.5625</v>
      </c>
      <c r="V386">
        <f ca="1">Prams!C$5/(U386-Prams!C$6)</f>
        <v>147.584148961566</v>
      </c>
      <c r="W386">
        <f t="shared" ca="1" si="31"/>
        <v>0.99719019568625678</v>
      </c>
    </row>
    <row r="387" spans="1:24" hidden="1" x14ac:dyDescent="0.55000000000000004">
      <c r="A387" s="1" t="s">
        <v>2116</v>
      </c>
      <c r="B387" s="1">
        <v>128</v>
      </c>
      <c r="C387">
        <v>638.5</v>
      </c>
      <c r="D387">
        <v>603.5</v>
      </c>
      <c r="E387">
        <v>10.512</v>
      </c>
      <c r="F387" t="s">
        <v>0</v>
      </c>
      <c r="G387" s="10" t="s">
        <v>613</v>
      </c>
      <c r="H387">
        <v>99</v>
      </c>
      <c r="I387" t="s">
        <v>1005</v>
      </c>
      <c r="J387">
        <f ca="1">VLOOKUP(G387,INDIRECT("球速変換!A$1:B$" &amp; Prams!$B$8),2,)</f>
        <v>147</v>
      </c>
      <c r="K387" t="s">
        <v>1085</v>
      </c>
      <c r="L387">
        <f t="shared" ref="L387:L450" si="32">B387-H387</f>
        <v>29</v>
      </c>
      <c r="M387">
        <f ca="1">(B387-VLOOKUP(K387,INDIRECT("投手データ!B1:D"&amp;Prams!$B$1),3,FALSE)*2)</f>
        <v>34</v>
      </c>
      <c r="N387" t="str">
        <f ca="1">VLOOKUP(F387,INDIRECT("球種変換表!A$1:B$" &amp; Prams!$B$2),2,)</f>
        <v>ストレート</v>
      </c>
      <c r="O387">
        <f ca="1">VLOOKUP(N387,球種情報!A:B,2,FALSE)</f>
        <v>1</v>
      </c>
      <c r="P387">
        <f ca="1">VLOOKUP(K387,投手データ!B:AI,output!O387+6,FALSE)</f>
        <v>1</v>
      </c>
      <c r="R387">
        <f t="shared" ca="1" si="28"/>
        <v>6.8027210884353739E-3</v>
      </c>
      <c r="S387">
        <f t="shared" si="29"/>
        <v>0.48090277777777779</v>
      </c>
      <c r="T387">
        <f>Prams!B$5/(S387-Prams!B$6)</f>
        <v>146.98666596221031</v>
      </c>
      <c r="U387">
        <f t="shared" ca="1" si="30"/>
        <v>0.56423611111111105</v>
      </c>
      <c r="V387">
        <f ca="1">Prams!C$5/(U387-Prams!C$6)</f>
        <v>146.97501799523212</v>
      </c>
      <c r="W387">
        <f t="shared" ca="1" si="31"/>
        <v>0.99983005438933414</v>
      </c>
    </row>
    <row r="388" spans="1:24" hidden="1" x14ac:dyDescent="0.55000000000000004">
      <c r="A388" s="1" t="s">
        <v>2118</v>
      </c>
      <c r="B388" s="1">
        <v>129</v>
      </c>
      <c r="C388">
        <v>641</v>
      </c>
      <c r="D388">
        <v>618.5</v>
      </c>
      <c r="E388">
        <v>11.01146</v>
      </c>
      <c r="F388" t="s">
        <v>0</v>
      </c>
      <c r="G388" s="10" t="s">
        <v>2462</v>
      </c>
      <c r="H388">
        <v>99</v>
      </c>
      <c r="I388" t="s">
        <v>1673</v>
      </c>
      <c r="J388">
        <f ca="1">VLOOKUP(G388,INDIRECT("球速変換!A$1:B$" &amp; Prams!$B$8),2,)</f>
        <v>145</v>
      </c>
      <c r="K388" t="s">
        <v>1085</v>
      </c>
      <c r="L388">
        <f t="shared" si="32"/>
        <v>30</v>
      </c>
      <c r="M388">
        <f ca="1">(B388-VLOOKUP(K388,INDIRECT("投手データ!B1:D"&amp;Prams!$B$1),3,FALSE)*2)</f>
        <v>35</v>
      </c>
      <c r="N388" t="str">
        <f ca="1">VLOOKUP(F388,INDIRECT("球種変換表!A$1:B$" &amp; Prams!$B$2),2,)</f>
        <v>ストレート</v>
      </c>
      <c r="O388">
        <f ca="1">VLOOKUP(N388,球種情報!A:B,2,FALSE)</f>
        <v>1</v>
      </c>
      <c r="P388">
        <f ca="1">VLOOKUP(K388,投手データ!B:AI,output!O388+6,FALSE)</f>
        <v>1</v>
      </c>
      <c r="R388">
        <f t="shared" ca="1" si="28"/>
        <v>6.8965517241379309E-3</v>
      </c>
      <c r="S388">
        <f t="shared" si="29"/>
        <v>0.48715277777777782</v>
      </c>
      <c r="T388">
        <f>Prams!B$5/(S388-Prams!B$6)</f>
        <v>144.83447975167081</v>
      </c>
      <c r="U388">
        <f t="shared" ca="1" si="30"/>
        <v>0.57048611111111103</v>
      </c>
      <c r="V388">
        <f ca="1">Prams!C$5/(U388-Prams!C$6)</f>
        <v>144.82317037461203</v>
      </c>
      <c r="W388">
        <f t="shared" ca="1" si="31"/>
        <v>0.99878048534215191</v>
      </c>
    </row>
    <row r="389" spans="1:24" hidden="1" x14ac:dyDescent="0.55000000000000004">
      <c r="A389" s="1" t="s">
        <v>2120</v>
      </c>
      <c r="B389" s="1">
        <v>128</v>
      </c>
      <c r="C389">
        <v>641.97497999999996</v>
      </c>
      <c r="D389">
        <v>601</v>
      </c>
      <c r="E389">
        <v>10.025119999999999</v>
      </c>
      <c r="F389" t="s">
        <v>0</v>
      </c>
      <c r="G389" s="10" t="s">
        <v>620</v>
      </c>
      <c r="H389">
        <v>99</v>
      </c>
      <c r="I389" t="s">
        <v>2119</v>
      </c>
      <c r="J389">
        <f ca="1">VLOOKUP(G389,INDIRECT("球速変換!A$1:B$" &amp; Prams!$B$8),2,)</f>
        <v>146</v>
      </c>
      <c r="K389" t="s">
        <v>1085</v>
      </c>
      <c r="L389">
        <f t="shared" si="32"/>
        <v>29</v>
      </c>
      <c r="M389">
        <f ca="1">(B389-VLOOKUP(K389,INDIRECT("投手データ!B1:D"&amp;Prams!$B$1),3,FALSE)*2)</f>
        <v>34</v>
      </c>
      <c r="N389" t="str">
        <f ca="1">VLOOKUP(F389,INDIRECT("球種変換表!A$1:B$" &amp; Prams!$B$2),2,)</f>
        <v>ストレート</v>
      </c>
      <c r="O389">
        <f ca="1">VLOOKUP(N389,球種情報!A:B,2,FALSE)</f>
        <v>1</v>
      </c>
      <c r="P389">
        <f ca="1">VLOOKUP(K389,投手データ!B:AI,output!O389+6,FALSE)</f>
        <v>1</v>
      </c>
      <c r="R389">
        <f t="shared" ref="R389:R452" ca="1" si="33">1/J389</f>
        <v>6.8493150684931503E-3</v>
      </c>
      <c r="S389">
        <f t="shared" ref="S389:S452" si="34">(L389-(D389-600)/24)*2/120</f>
        <v>0.4826388888888889</v>
      </c>
      <c r="T389">
        <f>Prams!B$5/(S389-Prams!B$6)</f>
        <v>146.38244695544654</v>
      </c>
      <c r="U389">
        <f t="shared" ref="U389:U452" ca="1" si="35">(M389-(D389-600)/24)*2/120</f>
        <v>0.56597222222222221</v>
      </c>
      <c r="V389">
        <f ca="1">Prams!C$5/(U389-Prams!C$6)</f>
        <v>146.37089455062019</v>
      </c>
      <c r="W389">
        <f t="shared" ref="W389:W452" ca="1" si="36">V389/J389</f>
        <v>1.002540373634385</v>
      </c>
    </row>
    <row r="390" spans="1:24" hidden="1" x14ac:dyDescent="0.55000000000000004">
      <c r="A390" s="1" t="s">
        <v>971</v>
      </c>
      <c r="B390" s="1">
        <v>125</v>
      </c>
      <c r="C390">
        <v>641.95001000000002</v>
      </c>
      <c r="D390">
        <v>622.5</v>
      </c>
      <c r="E390">
        <v>10.062519999999999</v>
      </c>
      <c r="F390" t="s">
        <v>343</v>
      </c>
      <c r="G390" s="10" t="s">
        <v>967</v>
      </c>
      <c r="H390">
        <v>98</v>
      </c>
      <c r="I390" t="s">
        <v>1028</v>
      </c>
      <c r="J390">
        <f ca="1">VLOOKUP(G390,INDIRECT("球速変換!A$1:B$" &amp; Prams!$B$8),2,)</f>
        <v>148</v>
      </c>
      <c r="K390" t="s">
        <v>1085</v>
      </c>
      <c r="L390">
        <f t="shared" si="32"/>
        <v>27</v>
      </c>
      <c r="M390">
        <f ca="1">(B390-VLOOKUP(K390,INDIRECT("投手データ!B1:D"&amp;Prams!$B$1),3,FALSE)*2)</f>
        <v>31</v>
      </c>
      <c r="N390" t="str">
        <f ca="1">VLOOKUP(F390,INDIRECT("球種変換表!A$1:B$" &amp; Prams!$B$2),2,)</f>
        <v>全力ストレート</v>
      </c>
      <c r="O390">
        <f ca="1">VLOOKUP(N390,球種情報!A:B,2,FALSE)</f>
        <v>2</v>
      </c>
      <c r="P390">
        <f ca="1">VLOOKUP(K390,投手データ!B:AI,output!O390+6,FALSE)</f>
        <v>1</v>
      </c>
      <c r="R390">
        <f t="shared" ca="1" si="33"/>
        <v>6.7567567567567571E-3</v>
      </c>
      <c r="S390">
        <f t="shared" si="34"/>
        <v>0.43437500000000001</v>
      </c>
      <c r="T390">
        <f>Prams!B$5/(S390-Prams!B$6)</f>
        <v>165.26899685891868</v>
      </c>
      <c r="U390">
        <f t="shared" ca="1" si="35"/>
        <v>0.50104166666666672</v>
      </c>
      <c r="V390">
        <f ca="1">Prams!C$5/(U390-Prams!C$6)</f>
        <v>172.9596903923717</v>
      </c>
      <c r="W390">
        <f t="shared" ca="1" si="36"/>
        <v>1.1686465567052142</v>
      </c>
    </row>
    <row r="391" spans="1:24" hidden="1" x14ac:dyDescent="0.55000000000000004">
      <c r="A391" s="1" t="s">
        <v>974</v>
      </c>
      <c r="B391" s="1">
        <v>125</v>
      </c>
      <c r="C391">
        <v>640.5</v>
      </c>
      <c r="D391">
        <v>610.5</v>
      </c>
      <c r="E391">
        <v>10.512</v>
      </c>
      <c r="F391" t="s">
        <v>343</v>
      </c>
      <c r="G391" s="10" t="s">
        <v>1657</v>
      </c>
      <c r="H391">
        <v>98</v>
      </c>
      <c r="I391" t="s">
        <v>1658</v>
      </c>
      <c r="J391">
        <f ca="1">VLOOKUP(G391,INDIRECT("球速変換!A$1:B$" &amp; Prams!$B$8),2,)</f>
        <v>144</v>
      </c>
      <c r="K391" t="s">
        <v>1085</v>
      </c>
      <c r="L391">
        <f t="shared" si="32"/>
        <v>27</v>
      </c>
      <c r="M391">
        <f ca="1">(B391-VLOOKUP(K391,INDIRECT("投手データ!B1:D"&amp;Prams!$B$1),3,FALSE)*2)</f>
        <v>31</v>
      </c>
      <c r="N391" t="str">
        <f ca="1">VLOOKUP(F391,INDIRECT("球種変換表!A$1:B$" &amp; Prams!$B$2),2,)</f>
        <v>全力ストレート</v>
      </c>
      <c r="O391">
        <f ca="1">VLOOKUP(N391,球種情報!A:B,2,FALSE)</f>
        <v>2</v>
      </c>
      <c r="P391">
        <f ca="1">VLOOKUP(K391,投手データ!B:AI,output!O391+6,FALSE)</f>
        <v>1</v>
      </c>
      <c r="R391">
        <f t="shared" ca="1" si="33"/>
        <v>6.9444444444444441E-3</v>
      </c>
      <c r="S391">
        <f t="shared" si="34"/>
        <v>0.44270833333333331</v>
      </c>
      <c r="T391">
        <f>Prams!B$5/(S391-Prams!B$6)</f>
        <v>161.66750201573365</v>
      </c>
      <c r="U391">
        <f t="shared" ca="1" si="35"/>
        <v>0.50937500000000002</v>
      </c>
      <c r="V391">
        <f ca="1">Prams!C$5/(U391-Prams!C$6)</f>
        <v>169.01920579591277</v>
      </c>
      <c r="W391">
        <f t="shared" ca="1" si="36"/>
        <v>1.1737444846938387</v>
      </c>
    </row>
    <row r="392" spans="1:24" hidden="1" x14ac:dyDescent="0.55000000000000004">
      <c r="A392" s="1" t="s">
        <v>976</v>
      </c>
      <c r="B392" s="1">
        <v>125</v>
      </c>
      <c r="C392">
        <v>640.5</v>
      </c>
      <c r="D392">
        <v>612</v>
      </c>
      <c r="E392">
        <v>10.547610000000001</v>
      </c>
      <c r="F392" t="s">
        <v>343</v>
      </c>
      <c r="G392" s="10" t="s">
        <v>1659</v>
      </c>
      <c r="H392">
        <v>98</v>
      </c>
      <c r="I392" t="s">
        <v>1660</v>
      </c>
      <c r="J392">
        <f ca="1">VLOOKUP(G392,INDIRECT("球速変換!A$1:B$" &amp; Prams!$B$8),2,)</f>
        <v>144</v>
      </c>
      <c r="K392" t="s">
        <v>1085</v>
      </c>
      <c r="L392">
        <f t="shared" si="32"/>
        <v>27</v>
      </c>
      <c r="M392">
        <f ca="1">(B392-VLOOKUP(K392,INDIRECT("投手データ!B1:D"&amp;Prams!$B$1),3,FALSE)*2)</f>
        <v>31</v>
      </c>
      <c r="N392" t="str">
        <f ca="1">VLOOKUP(F392,INDIRECT("球種変換表!A$1:B$" &amp; Prams!$B$2),2,)</f>
        <v>全力ストレート</v>
      </c>
      <c r="O392">
        <f ca="1">VLOOKUP(N392,球種情報!A:B,2,FALSE)</f>
        <v>2</v>
      </c>
      <c r="P392">
        <f ca="1">VLOOKUP(K392,投手データ!B:AI,output!O392+6,FALSE)</f>
        <v>1</v>
      </c>
      <c r="R392">
        <f t="shared" ca="1" si="33"/>
        <v>6.9444444444444441E-3</v>
      </c>
      <c r="S392">
        <f t="shared" si="34"/>
        <v>0.44166666666666665</v>
      </c>
      <c r="T392">
        <f>Prams!B$5/(S392-Prams!B$6)</f>
        <v>162.1090813740058</v>
      </c>
      <c r="U392">
        <f t="shared" ca="1" si="35"/>
        <v>0.5083333333333333</v>
      </c>
      <c r="V392">
        <f ca="1">Prams!C$5/(U392-Prams!C$6)</f>
        <v>169.50191921038203</v>
      </c>
      <c r="W392">
        <f t="shared" ca="1" si="36"/>
        <v>1.1770966611832085</v>
      </c>
    </row>
    <row r="393" spans="1:24" hidden="1" x14ac:dyDescent="0.55000000000000004">
      <c r="A393" s="1" t="s">
        <v>978</v>
      </c>
      <c r="B393" s="1">
        <v>125</v>
      </c>
      <c r="C393">
        <v>641</v>
      </c>
      <c r="D393">
        <v>615.5</v>
      </c>
      <c r="E393">
        <v>10.012589999999999</v>
      </c>
      <c r="F393" t="s">
        <v>343</v>
      </c>
      <c r="G393" s="10" t="s">
        <v>2462</v>
      </c>
      <c r="H393">
        <v>98</v>
      </c>
      <c r="I393" t="s">
        <v>1661</v>
      </c>
      <c r="J393">
        <f ca="1">VLOOKUP(G393,INDIRECT("球速変換!A$1:B$" &amp; Prams!$B$8),2,)</f>
        <v>145</v>
      </c>
      <c r="K393" t="s">
        <v>1085</v>
      </c>
      <c r="L393">
        <f t="shared" si="32"/>
        <v>27</v>
      </c>
      <c r="M393">
        <f ca="1">(B393-VLOOKUP(K393,INDIRECT("投手データ!B1:D"&amp;Prams!$B$1),3,FALSE)*2)</f>
        <v>31</v>
      </c>
      <c r="N393" t="str">
        <f ca="1">VLOOKUP(F393,INDIRECT("球種変換表!A$1:B$" &amp; Prams!$B$2),2,)</f>
        <v>全力ストレート</v>
      </c>
      <c r="O393">
        <f ca="1">VLOOKUP(N393,球種情報!A:B,2,FALSE)</f>
        <v>2</v>
      </c>
      <c r="P393">
        <f ca="1">VLOOKUP(K393,投手データ!B:AI,output!O393+6,FALSE)</f>
        <v>1</v>
      </c>
      <c r="R393">
        <f t="shared" ca="1" si="33"/>
        <v>6.8965517241379309E-3</v>
      </c>
      <c r="S393">
        <f t="shared" si="34"/>
        <v>0.4392361111111111</v>
      </c>
      <c r="T393">
        <f>Prams!B$5/(S393-Prams!B$6)</f>
        <v>163.14887440714867</v>
      </c>
      <c r="U393">
        <f t="shared" ca="1" si="35"/>
        <v>0.50590277777777781</v>
      </c>
      <c r="V393">
        <f ca="1">Prams!C$5/(U393-Prams!C$6)</f>
        <v>170.63904499766156</v>
      </c>
      <c r="W393">
        <f t="shared" ca="1" si="36"/>
        <v>1.1768209999838728</v>
      </c>
    </row>
    <row r="394" spans="1:24" hidden="1" x14ac:dyDescent="0.55000000000000004">
      <c r="A394" s="1" t="s">
        <v>980</v>
      </c>
      <c r="B394" s="1">
        <v>125</v>
      </c>
      <c r="C394">
        <v>641.42107999999996</v>
      </c>
      <c r="D394">
        <v>621</v>
      </c>
      <c r="E394">
        <v>9.6310699999999994</v>
      </c>
      <c r="F394" t="s">
        <v>343</v>
      </c>
      <c r="G394" s="10" t="s">
        <v>638</v>
      </c>
      <c r="H394">
        <v>98</v>
      </c>
      <c r="I394" t="s">
        <v>1662</v>
      </c>
      <c r="J394">
        <f ca="1">VLOOKUP(G394,INDIRECT("球速変換!A$1:B$" &amp; Prams!$B$8),2,)</f>
        <v>147</v>
      </c>
      <c r="K394" t="s">
        <v>1085</v>
      </c>
      <c r="L394">
        <f t="shared" si="32"/>
        <v>27</v>
      </c>
      <c r="M394">
        <f ca="1">(B394-VLOOKUP(K394,INDIRECT("投手データ!B1:D"&amp;Prams!$B$1),3,FALSE)*2)</f>
        <v>31</v>
      </c>
      <c r="N394" t="str">
        <f ca="1">VLOOKUP(F394,INDIRECT("球種変換表!A$1:B$" &amp; Prams!$B$2),2,)</f>
        <v>全力ストレート</v>
      </c>
      <c r="O394">
        <f ca="1">VLOOKUP(N394,球種情報!A:B,2,FALSE)</f>
        <v>2</v>
      </c>
      <c r="P394">
        <f ca="1">VLOOKUP(K394,投手データ!B:AI,output!O394+6,FALSE)</f>
        <v>1</v>
      </c>
      <c r="R394">
        <f t="shared" ca="1" si="33"/>
        <v>6.8027210884353739E-3</v>
      </c>
      <c r="S394">
        <f t="shared" si="34"/>
        <v>0.43541666666666667</v>
      </c>
      <c r="T394">
        <f>Prams!B$5/(S394-Prams!B$6)</f>
        <v>164.8100590927267</v>
      </c>
      <c r="U394">
        <f t="shared" ca="1" si="35"/>
        <v>0.50208333333333333</v>
      </c>
      <c r="V394">
        <f ca="1">Prams!C$5/(U394-Prams!C$6)</f>
        <v>172.45711097680041</v>
      </c>
      <c r="W394">
        <f t="shared" ca="1" si="36"/>
        <v>1.1731776256925197</v>
      </c>
    </row>
    <row r="395" spans="1:24" hidden="1" x14ac:dyDescent="0.55000000000000004">
      <c r="A395" s="1" t="s">
        <v>982</v>
      </c>
      <c r="B395" s="1">
        <v>125</v>
      </c>
      <c r="C395">
        <v>640.5</v>
      </c>
      <c r="D395">
        <v>617</v>
      </c>
      <c r="E395">
        <v>10.547610000000001</v>
      </c>
      <c r="F395" t="s">
        <v>343</v>
      </c>
      <c r="G395" s="10" t="s">
        <v>2433</v>
      </c>
      <c r="H395">
        <v>98</v>
      </c>
      <c r="I395" t="s">
        <v>1663</v>
      </c>
      <c r="J395">
        <f ca="1">VLOOKUP(G395,INDIRECT("球速変換!A$1:B$" &amp; Prams!$B$8),2,)</f>
        <v>146</v>
      </c>
      <c r="K395" t="s">
        <v>1085</v>
      </c>
      <c r="L395">
        <f t="shared" si="32"/>
        <v>27</v>
      </c>
      <c r="M395">
        <f ca="1">(B395-VLOOKUP(K395,INDIRECT("投手データ!B1:D"&amp;Prams!$B$1),3,FALSE)*2)</f>
        <v>31</v>
      </c>
      <c r="N395" t="str">
        <f ca="1">VLOOKUP(F395,INDIRECT("球種変換表!A$1:B$" &amp; Prams!$B$2),2,)</f>
        <v>全力ストレート</v>
      </c>
      <c r="O395">
        <f ca="1">VLOOKUP(N395,球種情報!A:B,2,FALSE)</f>
        <v>2</v>
      </c>
      <c r="P395">
        <f ca="1">VLOOKUP(K395,投手データ!B:AI,output!O395+6,FALSE)</f>
        <v>1</v>
      </c>
      <c r="R395">
        <f t="shared" ca="1" si="33"/>
        <v>6.8493150684931503E-3</v>
      </c>
      <c r="S395">
        <f t="shared" si="34"/>
        <v>0.43819444444444444</v>
      </c>
      <c r="T395">
        <f>Prams!B$5/(S395-Prams!B$6)</f>
        <v>163.59859455168257</v>
      </c>
      <c r="U395">
        <f t="shared" ca="1" si="35"/>
        <v>0.50486111111111109</v>
      </c>
      <c r="V395">
        <f ca="1">Prams!C$5/(U395-Prams!C$6)</f>
        <v>171.13106863302937</v>
      </c>
      <c r="W395">
        <f t="shared" ca="1" si="36"/>
        <v>1.1721306070755437</v>
      </c>
    </row>
    <row r="396" spans="1:24" hidden="1" x14ac:dyDescent="0.55000000000000004">
      <c r="A396" s="1" t="s">
        <v>985</v>
      </c>
      <c r="B396" s="1">
        <v>125</v>
      </c>
      <c r="C396">
        <v>640.5</v>
      </c>
      <c r="D396">
        <v>616.5</v>
      </c>
      <c r="E396">
        <v>10.512</v>
      </c>
      <c r="F396" t="s">
        <v>343</v>
      </c>
      <c r="G396" s="10" t="s">
        <v>620</v>
      </c>
      <c r="H396">
        <v>98</v>
      </c>
      <c r="I396" t="s">
        <v>984</v>
      </c>
      <c r="J396">
        <f ca="1">VLOOKUP(G396,INDIRECT("球速変換!A$1:B$" &amp; Prams!$B$8),2,)</f>
        <v>146</v>
      </c>
      <c r="K396" t="s">
        <v>1085</v>
      </c>
      <c r="L396">
        <f t="shared" si="32"/>
        <v>27</v>
      </c>
      <c r="M396">
        <f ca="1">(B396-VLOOKUP(K396,INDIRECT("投手データ!B1:D"&amp;Prams!$B$1),3,FALSE)*2)</f>
        <v>31</v>
      </c>
      <c r="N396" t="str">
        <f ca="1">VLOOKUP(F396,INDIRECT("球種変換表!A$1:B$" &amp; Prams!$B$2),2,)</f>
        <v>全力ストレート</v>
      </c>
      <c r="O396">
        <f ca="1">VLOOKUP(N396,球種情報!A:B,2,FALSE)</f>
        <v>2</v>
      </c>
      <c r="P396">
        <f ca="1">VLOOKUP(K396,投手データ!B:AI,output!O396+6,FALSE)</f>
        <v>1</v>
      </c>
      <c r="R396">
        <f t="shared" ca="1" si="33"/>
        <v>6.8493150684931503E-3</v>
      </c>
      <c r="S396">
        <f t="shared" si="34"/>
        <v>0.43854166666666666</v>
      </c>
      <c r="T396">
        <f>Prams!B$5/(S396-Prams!B$6)</f>
        <v>163.44841261098506</v>
      </c>
      <c r="U396">
        <f t="shared" ca="1" si="35"/>
        <v>0.50520833333333337</v>
      </c>
      <c r="V396">
        <f ca="1">Prams!C$5/(U396-Prams!C$6)</f>
        <v>170.96674578849121</v>
      </c>
      <c r="W396">
        <f t="shared" ca="1" si="36"/>
        <v>1.1710051081403507</v>
      </c>
    </row>
    <row r="397" spans="1:24" hidden="1" x14ac:dyDescent="0.55000000000000004">
      <c r="A397" s="1" t="s">
        <v>987</v>
      </c>
      <c r="B397" s="1">
        <v>125</v>
      </c>
      <c r="C397">
        <v>641.95001000000002</v>
      </c>
      <c r="D397">
        <v>622.5</v>
      </c>
      <c r="E397">
        <v>10.062519999999999</v>
      </c>
      <c r="F397" t="s">
        <v>343</v>
      </c>
      <c r="G397" s="10" t="s">
        <v>967</v>
      </c>
      <c r="H397">
        <v>98</v>
      </c>
      <c r="I397" t="s">
        <v>981</v>
      </c>
      <c r="J397">
        <f ca="1">VLOOKUP(G397,INDIRECT("球速変換!A$1:B$" &amp; Prams!$B$8),2,)</f>
        <v>148</v>
      </c>
      <c r="K397" t="s">
        <v>1085</v>
      </c>
      <c r="L397">
        <f t="shared" si="32"/>
        <v>27</v>
      </c>
      <c r="M397">
        <f ca="1">(B397-VLOOKUP(K397,INDIRECT("投手データ!B1:D"&amp;Prams!$B$1),3,FALSE)*2)</f>
        <v>31</v>
      </c>
      <c r="N397" t="str">
        <f ca="1">VLOOKUP(F397,INDIRECT("球種変換表!A$1:B$" &amp; Prams!$B$2),2,)</f>
        <v>全力ストレート</v>
      </c>
      <c r="O397">
        <f ca="1">VLOOKUP(N397,球種情報!A:B,2,FALSE)</f>
        <v>2</v>
      </c>
      <c r="P397">
        <f ca="1">VLOOKUP(K397,投手データ!B:AI,output!O397+6,FALSE)</f>
        <v>1</v>
      </c>
      <c r="R397">
        <f t="shared" ca="1" si="33"/>
        <v>6.7567567567567571E-3</v>
      </c>
      <c r="S397">
        <f t="shared" si="34"/>
        <v>0.43437500000000001</v>
      </c>
      <c r="T397">
        <f>Prams!B$5/(S397-Prams!B$6)</f>
        <v>165.26899685891868</v>
      </c>
      <c r="U397">
        <f t="shared" ca="1" si="35"/>
        <v>0.50104166666666672</v>
      </c>
      <c r="V397">
        <f ca="1">Prams!C$5/(U397-Prams!C$6)</f>
        <v>172.9596903923717</v>
      </c>
      <c r="W397">
        <f t="shared" ca="1" si="36"/>
        <v>1.1686465567052142</v>
      </c>
    </row>
    <row r="398" spans="1:24" hidden="1" x14ac:dyDescent="0.55000000000000004">
      <c r="A398" s="1" t="s">
        <v>989</v>
      </c>
      <c r="B398" s="1">
        <v>125</v>
      </c>
      <c r="C398">
        <v>640.5</v>
      </c>
      <c r="D398">
        <v>617</v>
      </c>
      <c r="E398">
        <v>10.547610000000001</v>
      </c>
      <c r="F398" t="s">
        <v>343</v>
      </c>
      <c r="G398" s="10" t="s">
        <v>620</v>
      </c>
      <c r="H398">
        <v>98</v>
      </c>
      <c r="I398" t="s">
        <v>1664</v>
      </c>
      <c r="J398">
        <f ca="1">VLOOKUP(G398,INDIRECT("球速変換!A$1:B$" &amp; Prams!$B$8),2,)</f>
        <v>146</v>
      </c>
      <c r="K398" t="s">
        <v>1085</v>
      </c>
      <c r="L398">
        <f t="shared" si="32"/>
        <v>27</v>
      </c>
      <c r="M398">
        <f ca="1">(B398-VLOOKUP(K398,INDIRECT("投手データ!B1:D"&amp;Prams!$B$1),3,FALSE)*2)</f>
        <v>31</v>
      </c>
      <c r="N398" t="str">
        <f ca="1">VLOOKUP(F398,INDIRECT("球種変換表!A$1:B$" &amp; Prams!$B$2),2,)</f>
        <v>全力ストレート</v>
      </c>
      <c r="O398">
        <f ca="1">VLOOKUP(N398,球種情報!A:B,2,FALSE)</f>
        <v>2</v>
      </c>
      <c r="P398">
        <f ca="1">VLOOKUP(K398,投手データ!B:AI,output!O398+6,FALSE)</f>
        <v>1</v>
      </c>
      <c r="R398">
        <f t="shared" ca="1" si="33"/>
        <v>6.8493150684931503E-3</v>
      </c>
      <c r="S398">
        <f t="shared" si="34"/>
        <v>0.43819444444444444</v>
      </c>
      <c r="T398">
        <f>Prams!B$5/(S398-Prams!B$6)</f>
        <v>163.59859455168257</v>
      </c>
      <c r="U398">
        <f t="shared" ca="1" si="35"/>
        <v>0.50486111111111109</v>
      </c>
      <c r="V398">
        <f ca="1">Prams!C$5/(U398-Prams!C$6)</f>
        <v>171.13106863302937</v>
      </c>
      <c r="W398">
        <f t="shared" ca="1" si="36"/>
        <v>1.1721306070755437</v>
      </c>
    </row>
    <row r="399" spans="1:24" hidden="1" x14ac:dyDescent="0.55000000000000004">
      <c r="A399" s="1" t="s">
        <v>991</v>
      </c>
      <c r="B399" s="1">
        <v>125</v>
      </c>
      <c r="C399">
        <v>641.5</v>
      </c>
      <c r="D399">
        <v>619.5</v>
      </c>
      <c r="E399">
        <v>10.512</v>
      </c>
      <c r="F399" t="s">
        <v>343</v>
      </c>
      <c r="G399" s="10" t="s">
        <v>638</v>
      </c>
      <c r="H399">
        <v>98</v>
      </c>
      <c r="I399" t="s">
        <v>1665</v>
      </c>
      <c r="J399">
        <f ca="1">VLOOKUP(G399,INDIRECT("球速変換!A$1:B$" &amp; Prams!$B$8),2,)</f>
        <v>147</v>
      </c>
      <c r="K399" t="s">
        <v>1085</v>
      </c>
      <c r="L399">
        <f t="shared" si="32"/>
        <v>27</v>
      </c>
      <c r="M399">
        <f ca="1">(B399-VLOOKUP(K399,INDIRECT("投手データ!B1:D"&amp;Prams!$B$1),3,FALSE)*2)</f>
        <v>31</v>
      </c>
      <c r="N399" t="str">
        <f ca="1">VLOOKUP(F399,INDIRECT("球種変換表!A$1:B$" &amp; Prams!$B$2),2,)</f>
        <v>全力ストレート</v>
      </c>
      <c r="O399">
        <f ca="1">VLOOKUP(N399,球種情報!A:B,2,FALSE)</f>
        <v>2</v>
      </c>
      <c r="P399">
        <f ca="1">VLOOKUP(K399,投手データ!B:AI,output!O399+6,FALSE)</f>
        <v>1</v>
      </c>
      <c r="R399">
        <f t="shared" ca="1" si="33"/>
        <v>6.8027210884353739E-3</v>
      </c>
      <c r="S399">
        <f t="shared" si="34"/>
        <v>0.43645833333333334</v>
      </c>
      <c r="T399">
        <f>Prams!B$5/(S399-Prams!B$6)</f>
        <v>164.35366312944461</v>
      </c>
      <c r="U399">
        <f t="shared" ca="1" si="35"/>
        <v>0.50312500000000004</v>
      </c>
      <c r="V399">
        <f ca="1">Prams!C$5/(U399-Prams!C$6)</f>
        <v>171.95744384952366</v>
      </c>
      <c r="W399">
        <f t="shared" ca="1" si="36"/>
        <v>1.1697785295885963</v>
      </c>
    </row>
    <row r="400" spans="1:24" hidden="1" x14ac:dyDescent="0.55000000000000004">
      <c r="A400" s="1" t="s">
        <v>994</v>
      </c>
      <c r="B400" s="1">
        <v>26</v>
      </c>
      <c r="C400">
        <v>637.04998999999998</v>
      </c>
      <c r="D400">
        <v>605.5</v>
      </c>
      <c r="E400">
        <v>10.06254</v>
      </c>
      <c r="F400" t="s">
        <v>6</v>
      </c>
      <c r="G400" s="10" t="s">
        <v>2418</v>
      </c>
      <c r="H400">
        <v>1</v>
      </c>
      <c r="I400" t="s">
        <v>964</v>
      </c>
      <c r="J400">
        <f ca="1">VLOOKUP(G400,INDIRECT("球速変換!A$1:B$" &amp; Prams!$B$8),2,)</f>
        <v>129</v>
      </c>
      <c r="K400" t="s">
        <v>1085</v>
      </c>
      <c r="L400">
        <f t="shared" si="32"/>
        <v>25</v>
      </c>
      <c r="M400">
        <f ca="1">(B400-VLOOKUP(K400,INDIRECT("投手データ!B1:D"&amp;Prams!$B$1),3,FALSE)*2)</f>
        <v>-68</v>
      </c>
      <c r="N400" t="str">
        <f ca="1">VLOOKUP(F400,INDIRECT("球種変換表!A$1:B$" &amp; Prams!$B$2),2,)</f>
        <v>フォーク</v>
      </c>
      <c r="O400">
        <f ca="1">VLOOKUP(N400,球種情報!A:B,2,FALSE)</f>
        <v>16</v>
      </c>
      <c r="P400">
        <f ca="1">VLOOKUP(K400,投手データ!B:AI,output!O400+6,FALSE)</f>
        <v>2</v>
      </c>
      <c r="R400">
        <f t="shared" ca="1" si="33"/>
        <v>7.7519379844961239E-3</v>
      </c>
      <c r="S400">
        <f t="shared" si="34"/>
        <v>0.4128472222222222</v>
      </c>
      <c r="T400">
        <f>Prams!B$5/(S400-Prams!B$6)</f>
        <v>175.36090515848943</v>
      </c>
      <c r="U400">
        <f t="shared" ca="1" si="35"/>
        <v>-1.1371527777777779</v>
      </c>
      <c r="V400">
        <f ca="1">Prams!C$5/(U400-Prams!C$6)</f>
        <v>-48.270830305961553</v>
      </c>
      <c r="W400">
        <f t="shared" ca="1" si="36"/>
        <v>-0.37419248299195002</v>
      </c>
      <c r="X400" t="s">
        <v>2738</v>
      </c>
    </row>
    <row r="401" spans="1:23" hidden="1" x14ac:dyDescent="0.55000000000000004">
      <c r="A401" s="1" t="s">
        <v>996</v>
      </c>
      <c r="B401" s="1">
        <v>132</v>
      </c>
      <c r="C401">
        <v>637.5</v>
      </c>
      <c r="D401">
        <v>603.5</v>
      </c>
      <c r="E401">
        <v>10.512</v>
      </c>
      <c r="F401" t="s">
        <v>6</v>
      </c>
      <c r="G401" s="10" t="s">
        <v>624</v>
      </c>
      <c r="H401">
        <v>98</v>
      </c>
      <c r="I401" t="s">
        <v>1025</v>
      </c>
      <c r="J401">
        <f ca="1">VLOOKUP(G401,INDIRECT("球速変換!A$1:B$" &amp; Prams!$B$8),2,)</f>
        <v>128</v>
      </c>
      <c r="K401" t="s">
        <v>1085</v>
      </c>
      <c r="L401">
        <f t="shared" si="32"/>
        <v>34</v>
      </c>
      <c r="M401">
        <f ca="1">(B401-VLOOKUP(K401,INDIRECT("投手データ!B1:D"&amp;Prams!$B$1),3,FALSE)*2)</f>
        <v>38</v>
      </c>
      <c r="N401" t="str">
        <f ca="1">VLOOKUP(F401,INDIRECT("球種変換表!A$1:B$" &amp; Prams!$B$2),2,)</f>
        <v>フォーク</v>
      </c>
      <c r="O401">
        <f ca="1">VLOOKUP(N401,球種情報!A:B,2,FALSE)</f>
        <v>16</v>
      </c>
      <c r="P401">
        <f ca="1">VLOOKUP(K401,投手データ!B:AI,output!O401+6,FALSE)</f>
        <v>2</v>
      </c>
      <c r="R401">
        <f t="shared" ca="1" si="33"/>
        <v>7.8125E-3</v>
      </c>
      <c r="S401">
        <f t="shared" si="34"/>
        <v>0.56423611111111105</v>
      </c>
      <c r="T401">
        <f>Prams!B$5/(S401-Prams!B$6)</f>
        <v>122.6802339361802</v>
      </c>
      <c r="U401">
        <f t="shared" ca="1" si="35"/>
        <v>0.6309027777777777</v>
      </c>
      <c r="V401">
        <f ca="1">Prams!C$5/(U401-Prams!C$6)</f>
        <v>126.8677356651409</v>
      </c>
      <c r="W401">
        <f t="shared" ca="1" si="36"/>
        <v>0.99115418488391327</v>
      </c>
    </row>
    <row r="402" spans="1:23" hidden="1" x14ac:dyDescent="0.55000000000000004">
      <c r="A402" s="1" t="s">
        <v>998</v>
      </c>
      <c r="B402" s="1">
        <v>132</v>
      </c>
      <c r="C402">
        <v>629.04998999999998</v>
      </c>
      <c r="D402">
        <v>603.5</v>
      </c>
      <c r="E402">
        <v>10.06254</v>
      </c>
      <c r="F402" t="s">
        <v>6</v>
      </c>
      <c r="G402" s="10" t="s">
        <v>591</v>
      </c>
      <c r="H402">
        <v>98</v>
      </c>
      <c r="I402" t="s">
        <v>1666</v>
      </c>
      <c r="J402">
        <f ca="1">VLOOKUP(G402,INDIRECT("球速変換!A$1:B$" &amp; Prams!$B$8),2,)</f>
        <v>128</v>
      </c>
      <c r="K402" t="s">
        <v>1085</v>
      </c>
      <c r="L402">
        <f t="shared" si="32"/>
        <v>34</v>
      </c>
      <c r="M402">
        <f ca="1">(B402-VLOOKUP(K402,INDIRECT("投手データ!B1:D"&amp;Prams!$B$1),3,FALSE)*2)</f>
        <v>38</v>
      </c>
      <c r="N402" t="str">
        <f ca="1">VLOOKUP(F402,INDIRECT("球種変換表!A$1:B$" &amp; Prams!$B$2),2,)</f>
        <v>フォーク</v>
      </c>
      <c r="O402">
        <f ca="1">VLOOKUP(N402,球種情報!A:B,2,FALSE)</f>
        <v>16</v>
      </c>
      <c r="P402">
        <f ca="1">VLOOKUP(K402,投手データ!B:AI,output!O402+6,FALSE)</f>
        <v>2</v>
      </c>
      <c r="R402">
        <f t="shared" ca="1" si="33"/>
        <v>7.8125E-3</v>
      </c>
      <c r="S402">
        <f t="shared" si="34"/>
        <v>0.56423611111111105</v>
      </c>
      <c r="T402">
        <f>Prams!B$5/(S402-Prams!B$6)</f>
        <v>122.6802339361802</v>
      </c>
      <c r="U402">
        <f t="shared" ca="1" si="35"/>
        <v>0.6309027777777777</v>
      </c>
      <c r="V402">
        <f ca="1">Prams!C$5/(U402-Prams!C$6)</f>
        <v>126.8677356651409</v>
      </c>
      <c r="W402">
        <f t="shared" ca="1" si="36"/>
        <v>0.99115418488391327</v>
      </c>
    </row>
    <row r="403" spans="1:23" hidden="1" x14ac:dyDescent="0.55000000000000004">
      <c r="A403" s="1" t="s">
        <v>999</v>
      </c>
      <c r="B403" s="1">
        <v>132</v>
      </c>
      <c r="C403">
        <v>644.5</v>
      </c>
      <c r="D403">
        <v>601</v>
      </c>
      <c r="E403">
        <v>10.547610000000001</v>
      </c>
      <c r="F403" t="s">
        <v>6</v>
      </c>
      <c r="G403" s="10" t="s">
        <v>622</v>
      </c>
      <c r="H403">
        <v>98</v>
      </c>
      <c r="I403" t="s">
        <v>1664</v>
      </c>
      <c r="J403">
        <f ca="1">VLOOKUP(G403,INDIRECT("球速変換!A$1:B$" &amp; Prams!$B$8),2,)</f>
        <v>128</v>
      </c>
      <c r="K403" t="s">
        <v>1085</v>
      </c>
      <c r="L403">
        <f t="shared" si="32"/>
        <v>34</v>
      </c>
      <c r="M403">
        <f ca="1">(B403-VLOOKUP(K403,INDIRECT("投手データ!B1:D"&amp;Prams!$B$1),3,FALSE)*2)</f>
        <v>38</v>
      </c>
      <c r="N403" t="str">
        <f ca="1">VLOOKUP(F403,INDIRECT("球種変換表!A$1:B$" &amp; Prams!$B$2),2,)</f>
        <v>フォーク</v>
      </c>
      <c r="O403">
        <f ca="1">VLOOKUP(N403,球種情報!A:B,2,FALSE)</f>
        <v>16</v>
      </c>
      <c r="P403">
        <f ca="1">VLOOKUP(K403,投手データ!B:AI,output!O403+6,FALSE)</f>
        <v>2</v>
      </c>
      <c r="R403">
        <f t="shared" ca="1" si="33"/>
        <v>7.8125E-3</v>
      </c>
      <c r="S403">
        <f t="shared" si="34"/>
        <v>0.56597222222222221</v>
      </c>
      <c r="T403">
        <f>Prams!B$5/(S403-Prams!B$6)</f>
        <v>122.25903912283979</v>
      </c>
      <c r="U403">
        <f t="shared" ca="1" si="35"/>
        <v>0.63263888888888897</v>
      </c>
      <c r="V403">
        <f ca="1">Prams!C$5/(U403-Prams!C$6)</f>
        <v>126.41734922239766</v>
      </c>
      <c r="W403">
        <f t="shared" ca="1" si="36"/>
        <v>0.98763554079998173</v>
      </c>
    </row>
    <row r="404" spans="1:23" hidden="1" x14ac:dyDescent="0.55000000000000004">
      <c r="A404" s="1" t="s">
        <v>1001</v>
      </c>
      <c r="B404" s="1">
        <v>132</v>
      </c>
      <c r="C404">
        <v>635.47826999999995</v>
      </c>
      <c r="D404">
        <v>602</v>
      </c>
      <c r="E404">
        <v>11.52183</v>
      </c>
      <c r="F404" t="s">
        <v>6</v>
      </c>
      <c r="G404" s="10" t="s">
        <v>624</v>
      </c>
      <c r="H404">
        <v>98</v>
      </c>
      <c r="I404" t="s">
        <v>1667</v>
      </c>
      <c r="J404">
        <f ca="1">VLOOKUP(G404,INDIRECT("球速変換!A$1:B$" &amp; Prams!$B$8),2,)</f>
        <v>128</v>
      </c>
      <c r="K404" t="s">
        <v>1085</v>
      </c>
      <c r="L404">
        <f t="shared" si="32"/>
        <v>34</v>
      </c>
      <c r="M404">
        <f ca="1">(B404-VLOOKUP(K404,INDIRECT("投手データ!B1:D"&amp;Prams!$B$1),3,FALSE)*2)</f>
        <v>38</v>
      </c>
      <c r="N404" t="str">
        <f ca="1">VLOOKUP(F404,INDIRECT("球種変換表!A$1:B$" &amp; Prams!$B$2),2,)</f>
        <v>フォーク</v>
      </c>
      <c r="O404">
        <f ca="1">VLOOKUP(N404,球種情報!A:B,2,FALSE)</f>
        <v>16</v>
      </c>
      <c r="P404">
        <f ca="1">VLOOKUP(K404,投手データ!B:AI,output!O404+6,FALSE)</f>
        <v>2</v>
      </c>
      <c r="R404">
        <f t="shared" ca="1" si="33"/>
        <v>7.8125E-3</v>
      </c>
      <c r="S404">
        <f t="shared" si="34"/>
        <v>0.56527777777777777</v>
      </c>
      <c r="T404">
        <f>Prams!B$5/(S404-Prams!B$6)</f>
        <v>122.42716951240979</v>
      </c>
      <c r="U404">
        <f t="shared" ca="1" si="35"/>
        <v>0.63194444444444442</v>
      </c>
      <c r="V404">
        <f ca="1">Prams!C$5/(U404-Prams!C$6)</f>
        <v>126.59711951946487</v>
      </c>
      <c r="W404">
        <f t="shared" ca="1" si="36"/>
        <v>0.98903999624581929</v>
      </c>
    </row>
    <row r="405" spans="1:23" hidden="1" x14ac:dyDescent="0.55000000000000004">
      <c r="A405" s="1" t="s">
        <v>1003</v>
      </c>
      <c r="B405" s="1">
        <v>133</v>
      </c>
      <c r="C405">
        <v>636.5</v>
      </c>
      <c r="D405">
        <v>614</v>
      </c>
      <c r="E405">
        <v>10.547610000000001</v>
      </c>
      <c r="F405" t="s">
        <v>6</v>
      </c>
      <c r="G405" s="10" t="s">
        <v>2121</v>
      </c>
      <c r="H405">
        <v>98</v>
      </c>
      <c r="I405" t="s">
        <v>1669</v>
      </c>
      <c r="J405">
        <f ca="1">VLOOKUP(G405,INDIRECT("球速変換!A$1:B$" &amp; Prams!$B$8),2,)</f>
        <v>126</v>
      </c>
      <c r="K405" t="s">
        <v>1085</v>
      </c>
      <c r="L405">
        <f t="shared" si="32"/>
        <v>35</v>
      </c>
      <c r="M405">
        <f ca="1">(B405-VLOOKUP(K405,INDIRECT("投手データ!B1:D"&amp;Prams!$B$1),3,FALSE)*2)</f>
        <v>39</v>
      </c>
      <c r="N405" t="str">
        <f ca="1">VLOOKUP(F405,INDIRECT("球種変換表!A$1:B$" &amp; Prams!$B$2),2,)</f>
        <v>フォーク</v>
      </c>
      <c r="O405">
        <f ca="1">VLOOKUP(N405,球種情報!A:B,2,FALSE)</f>
        <v>16</v>
      </c>
      <c r="P405">
        <f ca="1">VLOOKUP(K405,投手データ!B:AI,output!O405+6,FALSE)</f>
        <v>2</v>
      </c>
      <c r="R405">
        <f t="shared" ca="1" si="33"/>
        <v>7.9365079365079361E-3</v>
      </c>
      <c r="S405">
        <f t="shared" si="34"/>
        <v>0.57361111111111107</v>
      </c>
      <c r="T405">
        <f>Prams!B$5/(S405-Prams!B$6)</f>
        <v>120.43962942118708</v>
      </c>
      <c r="U405">
        <f t="shared" ca="1" si="35"/>
        <v>0.64027777777777772</v>
      </c>
      <c r="V405">
        <f ca="1">Prams!C$5/(U405-Prams!C$6)</f>
        <v>124.47305429408739</v>
      </c>
      <c r="W405">
        <f t="shared" ca="1" si="36"/>
        <v>0.98788138328640784</v>
      </c>
    </row>
    <row r="406" spans="1:23" hidden="1" x14ac:dyDescent="0.55000000000000004">
      <c r="A406" s="1" t="s">
        <v>1004</v>
      </c>
      <c r="B406" s="1">
        <v>133</v>
      </c>
      <c r="C406">
        <v>634.45239000000004</v>
      </c>
      <c r="D406">
        <v>610.5</v>
      </c>
      <c r="E406">
        <v>10.55955</v>
      </c>
      <c r="F406" t="s">
        <v>6</v>
      </c>
      <c r="G406" s="10" t="s">
        <v>625</v>
      </c>
      <c r="H406">
        <v>98</v>
      </c>
      <c r="I406" t="s">
        <v>1670</v>
      </c>
      <c r="J406">
        <v>125</v>
      </c>
      <c r="K406" t="s">
        <v>1085</v>
      </c>
      <c r="L406">
        <f t="shared" si="32"/>
        <v>35</v>
      </c>
      <c r="M406">
        <f ca="1">(B406-VLOOKUP(K406,INDIRECT("投手データ!B1:D"&amp;Prams!$B$1),3,FALSE)*2)</f>
        <v>39</v>
      </c>
      <c r="N406" t="str">
        <f ca="1">VLOOKUP(F406,INDIRECT("球種変換表!A$1:B$" &amp; Prams!$B$2),2,)</f>
        <v>フォーク</v>
      </c>
      <c r="O406">
        <f ca="1">VLOOKUP(N406,球種情報!A:B,2,FALSE)</f>
        <v>16</v>
      </c>
      <c r="P406">
        <f ca="1">VLOOKUP(K406,投手データ!B:AI,output!O406+6,FALSE)</f>
        <v>2</v>
      </c>
      <c r="R406">
        <f t="shared" si="33"/>
        <v>8.0000000000000002E-3</v>
      </c>
      <c r="S406">
        <f t="shared" si="34"/>
        <v>0.57604166666666667</v>
      </c>
      <c r="T406">
        <f>Prams!B$5/(S406-Prams!B$6)</f>
        <v>119.87202895506472</v>
      </c>
      <c r="U406">
        <f t="shared" ca="1" si="35"/>
        <v>0.64270833333333333</v>
      </c>
      <c r="V406">
        <f ca="1">Prams!C$5/(U406-Prams!C$6)</f>
        <v>123.86689596446998</v>
      </c>
      <c r="W406">
        <f t="shared" ca="1" si="36"/>
        <v>0.99093516771575985</v>
      </c>
    </row>
    <row r="407" spans="1:23" hidden="1" x14ac:dyDescent="0.55000000000000004">
      <c r="A407" s="1" t="s">
        <v>1006</v>
      </c>
      <c r="B407" s="1">
        <v>132</v>
      </c>
      <c r="C407">
        <v>637.04998999999998</v>
      </c>
      <c r="D407">
        <v>601.5</v>
      </c>
      <c r="E407">
        <v>10.06254</v>
      </c>
      <c r="F407" t="s">
        <v>6</v>
      </c>
      <c r="G407" s="10" t="s">
        <v>2461</v>
      </c>
      <c r="H407">
        <v>98</v>
      </c>
      <c r="I407" t="s">
        <v>1671</v>
      </c>
      <c r="J407">
        <f ca="1">VLOOKUP(G407,INDIRECT("球速変換!A$1:B$" &amp; Prams!$B$8),2,)</f>
        <v>128</v>
      </c>
      <c r="K407" t="s">
        <v>1085</v>
      </c>
      <c r="L407">
        <f t="shared" si="32"/>
        <v>34</v>
      </c>
      <c r="M407">
        <f ca="1">(B407-VLOOKUP(K407,INDIRECT("投手データ!B1:D"&amp;Prams!$B$1),3,FALSE)*2)</f>
        <v>38</v>
      </c>
      <c r="N407" t="str">
        <f ca="1">VLOOKUP(F407,INDIRECT("球種変換表!A$1:B$" &amp; Prams!$B$2),2,)</f>
        <v>フォーク</v>
      </c>
      <c r="O407">
        <f ca="1">VLOOKUP(N407,球種情報!A:B,2,FALSE)</f>
        <v>16</v>
      </c>
      <c r="P407">
        <f ca="1">VLOOKUP(K407,投手データ!B:AI,output!O407+6,FALSE)</f>
        <v>2</v>
      </c>
      <c r="R407">
        <f t="shared" ca="1" si="33"/>
        <v>7.8125E-3</v>
      </c>
      <c r="S407">
        <f t="shared" si="34"/>
        <v>0.56562500000000004</v>
      </c>
      <c r="T407">
        <f>Prams!B$5/(S407-Prams!B$6)</f>
        <v>122.34304655419778</v>
      </c>
      <c r="U407">
        <f t="shared" ca="1" si="35"/>
        <v>0.6322916666666667</v>
      </c>
      <c r="V407">
        <f ca="1">Prams!C$5/(U407-Prams!C$6)</f>
        <v>126.50717050628379</v>
      </c>
      <c r="W407">
        <f t="shared" ca="1" si="36"/>
        <v>0.98833726958034207</v>
      </c>
    </row>
    <row r="408" spans="1:23" hidden="1" x14ac:dyDescent="0.55000000000000004">
      <c r="A408" s="1" t="s">
        <v>1008</v>
      </c>
      <c r="B408" s="1">
        <v>133</v>
      </c>
      <c r="C408">
        <v>643</v>
      </c>
      <c r="D408">
        <v>610</v>
      </c>
      <c r="E408">
        <v>11.04546</v>
      </c>
      <c r="F408" t="s">
        <v>6</v>
      </c>
      <c r="G408" s="10" t="s">
        <v>648</v>
      </c>
      <c r="H408">
        <v>98</v>
      </c>
      <c r="I408" t="s">
        <v>962</v>
      </c>
      <c r="J408">
        <f ca="1">VLOOKUP(G408,INDIRECT("球速変換!A$1:B$" &amp; Prams!$B$8),2,)</f>
        <v>125</v>
      </c>
      <c r="K408" t="s">
        <v>1085</v>
      </c>
      <c r="L408">
        <f t="shared" si="32"/>
        <v>35</v>
      </c>
      <c r="M408">
        <f ca="1">(B408-VLOOKUP(K408,INDIRECT("投手データ!B1:D"&amp;Prams!$B$1),3,FALSE)*2)</f>
        <v>39</v>
      </c>
      <c r="N408" t="str">
        <f ca="1">VLOOKUP(F408,INDIRECT("球種変換表!A$1:B$" &amp; Prams!$B$2),2,)</f>
        <v>フォーク</v>
      </c>
      <c r="O408">
        <f ca="1">VLOOKUP(N408,球種情報!A:B,2,FALSE)</f>
        <v>16</v>
      </c>
      <c r="P408">
        <f ca="1">VLOOKUP(K408,投手データ!B:AI,output!O408+6,FALSE)</f>
        <v>2</v>
      </c>
      <c r="R408">
        <f t="shared" ca="1" si="33"/>
        <v>8.0000000000000002E-3</v>
      </c>
      <c r="S408">
        <f t="shared" si="34"/>
        <v>0.57638888888888895</v>
      </c>
      <c r="T408">
        <f>Prams!B$5/(S408-Prams!B$6)</f>
        <v>119.79137960730279</v>
      </c>
      <c r="U408">
        <f t="shared" ca="1" si="35"/>
        <v>0.6430555555555556</v>
      </c>
      <c r="V408">
        <f ca="1">Prams!C$5/(U408-Prams!C$6)</f>
        <v>123.7807835198327</v>
      </c>
      <c r="W408">
        <f t="shared" ca="1" si="36"/>
        <v>0.99024626815866157</v>
      </c>
    </row>
    <row r="409" spans="1:23" hidden="1" x14ac:dyDescent="0.55000000000000004">
      <c r="A409" s="1" t="s">
        <v>1672</v>
      </c>
      <c r="B409" s="1">
        <v>133</v>
      </c>
      <c r="C409">
        <v>643</v>
      </c>
      <c r="D409">
        <v>614.5</v>
      </c>
      <c r="E409">
        <v>11.01146</v>
      </c>
      <c r="F409" t="s">
        <v>6</v>
      </c>
      <c r="G409" s="10" t="s">
        <v>589</v>
      </c>
      <c r="H409">
        <v>98</v>
      </c>
      <c r="I409" t="s">
        <v>962</v>
      </c>
      <c r="J409">
        <f ca="1">VLOOKUP(G409,INDIRECT("球速変換!A$1:B$" &amp; Prams!$B$8),2,)</f>
        <v>127</v>
      </c>
      <c r="K409" t="s">
        <v>1085</v>
      </c>
      <c r="L409">
        <f t="shared" si="32"/>
        <v>35</v>
      </c>
      <c r="M409">
        <f ca="1">(B409-VLOOKUP(K409,INDIRECT("投手データ!B1:D"&amp;Prams!$B$1),3,FALSE)*2)</f>
        <v>39</v>
      </c>
      <c r="N409" t="str">
        <f ca="1">VLOOKUP(F409,INDIRECT("球種変換表!A$1:B$" &amp; Prams!$B$2),2,)</f>
        <v>フォーク</v>
      </c>
      <c r="O409">
        <f ca="1">VLOOKUP(N409,球種情報!A:B,2,FALSE)</f>
        <v>16</v>
      </c>
      <c r="P409">
        <f ca="1">VLOOKUP(K409,投手データ!B:AI,output!O409+6,FALSE)</f>
        <v>2</v>
      </c>
      <c r="R409">
        <f t="shared" ca="1" si="33"/>
        <v>7.874015748031496E-3</v>
      </c>
      <c r="S409">
        <f t="shared" si="34"/>
        <v>0.57326388888888891</v>
      </c>
      <c r="T409">
        <f>Prams!B$5/(S409-Prams!B$6)</f>
        <v>120.52115429394532</v>
      </c>
      <c r="U409">
        <f t="shared" ca="1" si="35"/>
        <v>0.63993055555555556</v>
      </c>
      <c r="V409">
        <f ca="1">Prams!C$5/(U409-Prams!C$6)</f>
        <v>124.56013297589533</v>
      </c>
      <c r="W409">
        <f t="shared" ca="1" si="36"/>
        <v>0.98078844862909709</v>
      </c>
    </row>
    <row r="410" spans="1:23" hidden="1" x14ac:dyDescent="0.55000000000000004">
      <c r="A410" s="1" t="s">
        <v>1010</v>
      </c>
      <c r="B410" s="1">
        <v>134</v>
      </c>
      <c r="C410">
        <v>639.5</v>
      </c>
      <c r="D410">
        <v>604.5</v>
      </c>
      <c r="E410">
        <v>10.512</v>
      </c>
      <c r="F410" t="s">
        <v>1009</v>
      </c>
      <c r="G410" s="10" t="s">
        <v>1099</v>
      </c>
      <c r="H410">
        <v>101</v>
      </c>
      <c r="I410" t="s">
        <v>1673</v>
      </c>
      <c r="J410">
        <f ca="1">VLOOKUP(G410,INDIRECT("球速変換!A$1:B$" &amp; Prams!$B$8),2,)</f>
        <v>142</v>
      </c>
      <c r="K410" t="s">
        <v>1085</v>
      </c>
      <c r="L410">
        <f t="shared" si="32"/>
        <v>33</v>
      </c>
      <c r="M410">
        <f ca="1">(B410-VLOOKUP(K410,INDIRECT("投手データ!B1:D"&amp;Prams!$B$1),3,FALSE)*2)</f>
        <v>40</v>
      </c>
      <c r="N410" t="str">
        <f ca="1">VLOOKUP(F410,INDIRECT("球種変換表!A$1:B$" &amp; Prams!$B$2),2,)</f>
        <v>Hシンカー</v>
      </c>
      <c r="O410">
        <f ca="1">VLOOKUP(N410,球種情報!A:B,2,FALSE)</f>
        <v>23</v>
      </c>
      <c r="P410">
        <f ca="1">VLOOKUP(K410,投手データ!B:AI,output!O410+6,FALSE)</f>
        <v>2</v>
      </c>
      <c r="R410">
        <f t="shared" ca="1" si="33"/>
        <v>7.0422535211267607E-3</v>
      </c>
      <c r="S410">
        <f t="shared" si="34"/>
        <v>0.546875</v>
      </c>
      <c r="T410">
        <f>Prams!B$5/(S410-Prams!B$6)</f>
        <v>127.05749370600627</v>
      </c>
      <c r="U410">
        <f t="shared" ca="1" si="35"/>
        <v>0.6635416666666667</v>
      </c>
      <c r="V410">
        <f ca="1">Prams!C$5/(U410-Prams!C$6)</f>
        <v>118.903723174074</v>
      </c>
      <c r="W410">
        <f t="shared" ca="1" si="36"/>
        <v>0.83735016319770428</v>
      </c>
    </row>
    <row r="411" spans="1:23" hidden="1" x14ac:dyDescent="0.55000000000000004">
      <c r="A411" s="1" t="s">
        <v>1014</v>
      </c>
      <c r="B411" s="1">
        <v>134</v>
      </c>
      <c r="C411">
        <v>626.47619999999995</v>
      </c>
      <c r="D411">
        <v>608</v>
      </c>
      <c r="E411">
        <v>10.523899999999999</v>
      </c>
      <c r="F411" t="s">
        <v>1011</v>
      </c>
      <c r="G411" s="10" t="s">
        <v>1099</v>
      </c>
      <c r="H411">
        <v>101</v>
      </c>
      <c r="I411" t="s">
        <v>1674</v>
      </c>
      <c r="J411">
        <f ca="1">VLOOKUP(G411,INDIRECT("球速変換!A$1:B$" &amp; Prams!$B$8),2,)</f>
        <v>142</v>
      </c>
      <c r="K411" t="s">
        <v>1085</v>
      </c>
      <c r="L411">
        <f t="shared" si="32"/>
        <v>33</v>
      </c>
      <c r="M411">
        <f ca="1">(B411-VLOOKUP(K411,INDIRECT("投手データ!B1:D"&amp;Prams!$B$1),3,FALSE)*2)</f>
        <v>40</v>
      </c>
      <c r="N411" t="str">
        <f ca="1">VLOOKUP(F411,INDIRECT("球種変換表!A$1:B$" &amp; Prams!$B$2),2,)</f>
        <v>Hシンカー</v>
      </c>
      <c r="O411">
        <f ca="1">VLOOKUP(N411,球種情報!A:B,2,FALSE)</f>
        <v>23</v>
      </c>
      <c r="P411">
        <f ca="1">VLOOKUP(K411,投手データ!B:AI,output!O411+6,FALSE)</f>
        <v>2</v>
      </c>
      <c r="R411">
        <f t="shared" ca="1" si="33"/>
        <v>7.0422535211267607E-3</v>
      </c>
      <c r="S411">
        <f t="shared" si="34"/>
        <v>0.5444444444444444</v>
      </c>
      <c r="T411">
        <f>Prams!B$5/(S411-Prams!B$6)</f>
        <v>127.69536180662338</v>
      </c>
      <c r="U411">
        <f t="shared" ca="1" si="35"/>
        <v>0.66111111111111109</v>
      </c>
      <c r="V411">
        <f ca="1">Prams!C$5/(U411-Prams!C$6)</f>
        <v>119.46216935760908</v>
      </c>
      <c r="W411">
        <f t="shared" ca="1" si="36"/>
        <v>0.84128288280006402</v>
      </c>
    </row>
    <row r="412" spans="1:23" hidden="1" x14ac:dyDescent="0.55000000000000004">
      <c r="A412" s="1" t="s">
        <v>1017</v>
      </c>
      <c r="B412" s="1">
        <v>136</v>
      </c>
      <c r="C412">
        <v>642</v>
      </c>
      <c r="D412">
        <v>640</v>
      </c>
      <c r="E412">
        <v>12.041689999999999</v>
      </c>
      <c r="F412" t="s">
        <v>1675</v>
      </c>
      <c r="G412" s="10" t="s">
        <v>2432</v>
      </c>
      <c r="H412">
        <v>101</v>
      </c>
      <c r="I412" t="s">
        <v>1665</v>
      </c>
      <c r="J412">
        <f ca="1">VLOOKUP(G412,INDIRECT("球速変換!A$1:B$" &amp; Prams!$B$8),2,)</f>
        <v>131</v>
      </c>
      <c r="K412" t="s">
        <v>1085</v>
      </c>
      <c r="L412">
        <f t="shared" si="32"/>
        <v>35</v>
      </c>
      <c r="M412">
        <f ca="1">(B412-VLOOKUP(K412,INDIRECT("投手データ!B1:D"&amp;Prams!$B$1),3,FALSE)*2)</f>
        <v>42</v>
      </c>
      <c r="N412" t="str">
        <f ca="1">VLOOKUP(F412,INDIRECT("球種変換表!A$1:B$" &amp; Prams!$B$2),2,)</f>
        <v>Hシンカー</v>
      </c>
      <c r="O412">
        <f ca="1">VLOOKUP(N412,球種情報!A:B,2,FALSE)</f>
        <v>23</v>
      </c>
      <c r="P412">
        <f ca="1">VLOOKUP(K412,投手データ!B:AI,output!O412+6,FALSE)</f>
        <v>2</v>
      </c>
      <c r="R412">
        <f t="shared" ca="1" si="33"/>
        <v>7.6335877862595417E-3</v>
      </c>
      <c r="S412">
        <f t="shared" si="34"/>
        <v>0.55555555555555558</v>
      </c>
      <c r="T412">
        <f>Prams!B$5/(S412-Prams!B$6)</f>
        <v>124.83050277073565</v>
      </c>
      <c r="U412">
        <f t="shared" ca="1" si="35"/>
        <v>0.67222222222222228</v>
      </c>
      <c r="V412">
        <f ca="1">Prams!C$5/(U412-Prams!C$6)</f>
        <v>116.95119387926684</v>
      </c>
      <c r="W412">
        <f t="shared" ca="1" si="36"/>
        <v>0.89275720518524304</v>
      </c>
    </row>
    <row r="413" spans="1:23" hidden="1" x14ac:dyDescent="0.55000000000000004">
      <c r="A413" s="1" t="s">
        <v>1019</v>
      </c>
      <c r="B413" s="1">
        <v>134</v>
      </c>
      <c r="C413">
        <v>637.04998999999998</v>
      </c>
      <c r="D413">
        <v>606.5</v>
      </c>
      <c r="E413">
        <v>10.06254</v>
      </c>
      <c r="F413" t="s">
        <v>46</v>
      </c>
      <c r="G413" s="10" t="s">
        <v>608</v>
      </c>
      <c r="H413">
        <v>101</v>
      </c>
      <c r="I413" t="s">
        <v>1025</v>
      </c>
      <c r="J413">
        <f ca="1">VLOOKUP(G413,INDIRECT("球速変換!A$1:B$" &amp; Prams!$B$8),2,)</f>
        <v>132</v>
      </c>
      <c r="K413" t="s">
        <v>1085</v>
      </c>
      <c r="L413">
        <f t="shared" si="32"/>
        <v>33</v>
      </c>
      <c r="M413">
        <f ca="1">(B413-VLOOKUP(K413,INDIRECT("投手データ!B1:D"&amp;Prams!$B$1),3,FALSE)*2)</f>
        <v>40</v>
      </c>
      <c r="N413" t="str">
        <f ca="1">VLOOKUP(F413,INDIRECT("球種変換表!A$1:B$" &amp; Prams!$B$2),2,)</f>
        <v>Hシンカー</v>
      </c>
      <c r="O413">
        <f ca="1">VLOOKUP(N413,球種情報!A:B,2,FALSE)</f>
        <v>23</v>
      </c>
      <c r="P413">
        <f ca="1">VLOOKUP(K413,投手データ!B:AI,output!O413+6,FALSE)</f>
        <v>2</v>
      </c>
      <c r="R413">
        <f t="shared" ca="1" si="33"/>
        <v>7.575757575757576E-3</v>
      </c>
      <c r="S413">
        <f t="shared" si="34"/>
        <v>0.54548611111111112</v>
      </c>
      <c r="T413">
        <f>Prams!B$5/(S413-Prams!B$6)</f>
        <v>127.42120721143662</v>
      </c>
      <c r="U413">
        <f t="shared" ca="1" si="35"/>
        <v>0.6621527777777777</v>
      </c>
      <c r="V413">
        <f ca="1">Prams!C$5/(U413-Prams!C$6)</f>
        <v>119.22219424788008</v>
      </c>
      <c r="W413">
        <f t="shared" ca="1" si="36"/>
        <v>0.90319844127181881</v>
      </c>
    </row>
    <row r="414" spans="1:23" hidden="1" x14ac:dyDescent="0.55000000000000004">
      <c r="A414" s="1" t="s">
        <v>1020</v>
      </c>
      <c r="B414" s="1">
        <v>134</v>
      </c>
      <c r="C414">
        <v>641.95001000000002</v>
      </c>
      <c r="D414">
        <v>601.5</v>
      </c>
      <c r="E414">
        <v>10.062519999999999</v>
      </c>
      <c r="F414" t="s">
        <v>1027</v>
      </c>
      <c r="G414" s="10" t="s">
        <v>2432</v>
      </c>
      <c r="H414">
        <v>101</v>
      </c>
      <c r="I414" t="s">
        <v>1005</v>
      </c>
      <c r="J414">
        <f ca="1">VLOOKUP(G414,INDIRECT("球速変換!A$1:B$" &amp; Prams!$B$8),2,)</f>
        <v>131</v>
      </c>
      <c r="K414" t="s">
        <v>1085</v>
      </c>
      <c r="L414">
        <f t="shared" si="32"/>
        <v>33</v>
      </c>
      <c r="M414">
        <f ca="1">(B414-VLOOKUP(K414,INDIRECT("投手データ!B1:D"&amp;Prams!$B$1),3,FALSE)*2)</f>
        <v>40</v>
      </c>
      <c r="N414" t="str">
        <f ca="1">VLOOKUP(F414,INDIRECT("球種変換表!A$1:B$" &amp; Prams!$B$2),2,)</f>
        <v>Hシンカー</v>
      </c>
      <c r="O414">
        <f ca="1">VLOOKUP(N414,球種情報!A:B,2,FALSE)</f>
        <v>23</v>
      </c>
      <c r="P414">
        <f ca="1">VLOOKUP(K414,投手データ!B:AI,output!O414+6,FALSE)</f>
        <v>2</v>
      </c>
      <c r="R414">
        <f t="shared" ca="1" si="33"/>
        <v>7.6335877862595417E-3</v>
      </c>
      <c r="S414">
        <f t="shared" si="34"/>
        <v>0.54895833333333333</v>
      </c>
      <c r="T414">
        <f>Prams!B$5/(S414-Prams!B$6)</f>
        <v>126.5158000648033</v>
      </c>
      <c r="U414">
        <f t="shared" ca="1" si="35"/>
        <v>0.66562500000000002</v>
      </c>
      <c r="V414">
        <f ca="1">Prams!C$5/(U414-Prams!C$6)</f>
        <v>118.42919400411859</v>
      </c>
      <c r="W414">
        <f t="shared" ca="1" si="36"/>
        <v>0.90403964888640143</v>
      </c>
    </row>
    <row r="415" spans="1:23" hidden="1" x14ac:dyDescent="0.55000000000000004">
      <c r="A415" s="1" t="s">
        <v>1023</v>
      </c>
      <c r="B415" s="1">
        <v>134</v>
      </c>
      <c r="C415">
        <v>635</v>
      </c>
      <c r="D415">
        <v>610.5</v>
      </c>
      <c r="E415">
        <v>11.01146</v>
      </c>
      <c r="F415" t="s">
        <v>1676</v>
      </c>
      <c r="G415" s="10" t="s">
        <v>2463</v>
      </c>
      <c r="H415">
        <v>101</v>
      </c>
      <c r="I415" t="s">
        <v>1677</v>
      </c>
      <c r="J415">
        <f ca="1">VLOOKUP(G415,INDIRECT("球速変換!A$1:B$" &amp; Prams!$B$8),2,)</f>
        <v>133</v>
      </c>
      <c r="K415" t="s">
        <v>1085</v>
      </c>
      <c r="L415">
        <f t="shared" si="32"/>
        <v>33</v>
      </c>
      <c r="M415">
        <f ca="1">(B415-VLOOKUP(K415,INDIRECT("投手データ!B1:D"&amp;Prams!$B$1),3,FALSE)*2)</f>
        <v>40</v>
      </c>
      <c r="N415" t="str">
        <f ca="1">VLOOKUP(F415,INDIRECT("球種変換表!A$1:B$" &amp; Prams!$B$2),2,)</f>
        <v>Hシンカー</v>
      </c>
      <c r="O415">
        <f ca="1">VLOOKUP(N415,球種情報!A:B,2,FALSE)</f>
        <v>23</v>
      </c>
      <c r="P415">
        <f ca="1">VLOOKUP(K415,投手データ!B:AI,output!O415+6,FALSE)</f>
        <v>2</v>
      </c>
      <c r="R415">
        <f t="shared" ca="1" si="33"/>
        <v>7.5187969924812026E-3</v>
      </c>
      <c r="S415">
        <f t="shared" si="34"/>
        <v>0.54270833333333335</v>
      </c>
      <c r="T415">
        <f>Prams!B$5/(S415-Prams!B$6)</f>
        <v>128.15491716906493</v>
      </c>
      <c r="U415">
        <f t="shared" ca="1" si="35"/>
        <v>0.65937500000000004</v>
      </c>
      <c r="V415">
        <f ca="1">Prams!C$5/(U415-Prams!C$6)</f>
        <v>119.86428190586979</v>
      </c>
      <c r="W415">
        <f t="shared" ca="1" si="36"/>
        <v>0.90123520229977283</v>
      </c>
    </row>
    <row r="416" spans="1:23" hidden="1" x14ac:dyDescent="0.55000000000000004">
      <c r="A416" s="1" t="s">
        <v>1026</v>
      </c>
      <c r="B416" s="1">
        <v>135</v>
      </c>
      <c r="C416">
        <v>642.45239000000004</v>
      </c>
      <c r="D416">
        <v>617.5</v>
      </c>
      <c r="E416">
        <v>10.55955</v>
      </c>
      <c r="F416" t="s">
        <v>1027</v>
      </c>
      <c r="G416" s="10" t="s">
        <v>2431</v>
      </c>
      <c r="H416">
        <v>101</v>
      </c>
      <c r="I416" t="s">
        <v>1678</v>
      </c>
      <c r="J416">
        <f ca="1">VLOOKUP(G416,INDIRECT("球速変換!A$1:B$" &amp; Prams!$B$8),2,)</f>
        <v>130</v>
      </c>
      <c r="K416" t="s">
        <v>1085</v>
      </c>
      <c r="L416">
        <f t="shared" si="32"/>
        <v>34</v>
      </c>
      <c r="M416">
        <f ca="1">(B416-VLOOKUP(K416,INDIRECT("投手データ!B1:D"&amp;Prams!$B$1),3,FALSE)*2)</f>
        <v>41</v>
      </c>
      <c r="N416" t="str">
        <f ca="1">VLOOKUP(F416,INDIRECT("球種変換表!A$1:B$" &amp; Prams!$B$2),2,)</f>
        <v>Hシンカー</v>
      </c>
      <c r="O416">
        <f ca="1">VLOOKUP(N416,球種情報!A:B,2,FALSE)</f>
        <v>23</v>
      </c>
      <c r="P416">
        <f ca="1">VLOOKUP(K416,投手データ!B:AI,output!O416+6,FALSE)</f>
        <v>2</v>
      </c>
      <c r="R416">
        <f t="shared" ca="1" si="33"/>
        <v>7.6923076923076927E-3</v>
      </c>
      <c r="S416">
        <f t="shared" si="34"/>
        <v>0.55451388888888897</v>
      </c>
      <c r="T416">
        <f>Prams!B$5/(S416-Prams!B$6)</f>
        <v>125.09361106583405</v>
      </c>
      <c r="U416">
        <f t="shared" ca="1" si="35"/>
        <v>0.67118055555555556</v>
      </c>
      <c r="V416">
        <f ca="1">Prams!C$5/(U416-Prams!C$6)</f>
        <v>117.18210489182802</v>
      </c>
      <c r="W416">
        <f t="shared" ca="1" si="36"/>
        <v>0.90140080686021551</v>
      </c>
    </row>
    <row r="417" spans="1:24" hidden="1" x14ac:dyDescent="0.55000000000000004">
      <c r="A417" s="1" t="s">
        <v>1029</v>
      </c>
      <c r="B417" s="1">
        <v>134</v>
      </c>
      <c r="C417">
        <v>644.5</v>
      </c>
      <c r="D417">
        <v>602.5</v>
      </c>
      <c r="E417">
        <v>10.512</v>
      </c>
      <c r="F417" t="s">
        <v>1027</v>
      </c>
      <c r="G417" s="10" t="s">
        <v>2432</v>
      </c>
      <c r="H417">
        <v>101</v>
      </c>
      <c r="I417" t="s">
        <v>1028</v>
      </c>
      <c r="J417">
        <f ca="1">VLOOKUP(G417,INDIRECT("球速変換!A$1:B$" &amp; Prams!$B$8),2,)</f>
        <v>131</v>
      </c>
      <c r="K417" t="s">
        <v>1085</v>
      </c>
      <c r="L417">
        <f t="shared" si="32"/>
        <v>33</v>
      </c>
      <c r="M417">
        <f ca="1">(B417-VLOOKUP(K417,INDIRECT("投手データ!B1:D"&amp;Prams!$B$1),3,FALSE)*2)</f>
        <v>40</v>
      </c>
      <c r="N417" t="str">
        <f ca="1">VLOOKUP(F417,INDIRECT("球種変換表!A$1:B$" &amp; Prams!$B$2),2,)</f>
        <v>Hシンカー</v>
      </c>
      <c r="O417">
        <f ca="1">VLOOKUP(N417,球種情報!A:B,2,FALSE)</f>
        <v>23</v>
      </c>
      <c r="P417">
        <f ca="1">VLOOKUP(K417,投手データ!B:AI,output!O417+6,FALSE)</f>
        <v>2</v>
      </c>
      <c r="R417">
        <f t="shared" ca="1" si="33"/>
        <v>7.6335877862595417E-3</v>
      </c>
      <c r="S417">
        <f t="shared" si="34"/>
        <v>0.54826388888888888</v>
      </c>
      <c r="T417">
        <f>Prams!B$5/(S417-Prams!B$6)</f>
        <v>126.69585067201012</v>
      </c>
      <c r="U417">
        <f t="shared" ca="1" si="35"/>
        <v>0.66493055555555558</v>
      </c>
      <c r="V417">
        <f ca="1">Prams!C$5/(U417-Prams!C$6)</f>
        <v>118.58694899269496</v>
      </c>
      <c r="W417">
        <f t="shared" ca="1" si="36"/>
        <v>0.90524388544041956</v>
      </c>
    </row>
    <row r="418" spans="1:24" hidden="1" x14ac:dyDescent="0.55000000000000004">
      <c r="A418" s="1" t="s">
        <v>1031</v>
      </c>
      <c r="B418" s="1">
        <v>134</v>
      </c>
      <c r="C418">
        <v>641.90002000000004</v>
      </c>
      <c r="D418">
        <v>608</v>
      </c>
      <c r="E418">
        <v>10.10008</v>
      </c>
      <c r="F418" t="s">
        <v>1021</v>
      </c>
      <c r="G418" s="10" t="s">
        <v>2463</v>
      </c>
      <c r="H418">
        <v>101</v>
      </c>
      <c r="I418" t="s">
        <v>990</v>
      </c>
      <c r="J418">
        <f ca="1">VLOOKUP(G418,INDIRECT("球速変換!A$1:B$" &amp; Prams!$B$8),2,)</f>
        <v>133</v>
      </c>
      <c r="K418" t="s">
        <v>1085</v>
      </c>
      <c r="L418">
        <f t="shared" si="32"/>
        <v>33</v>
      </c>
      <c r="M418">
        <f ca="1">(B418-VLOOKUP(K418,INDIRECT("投手データ!B1:D"&amp;Prams!$B$1),3,FALSE)*2)</f>
        <v>40</v>
      </c>
      <c r="N418" t="str">
        <f ca="1">VLOOKUP(F418,INDIRECT("球種変換表!A$1:B$" &amp; Prams!$B$2),2,)</f>
        <v>Hシンカー</v>
      </c>
      <c r="O418">
        <f ca="1">VLOOKUP(N418,球種情報!A:B,2,FALSE)</f>
        <v>23</v>
      </c>
      <c r="P418">
        <f ca="1">VLOOKUP(K418,投手データ!B:AI,output!O418+6,FALSE)</f>
        <v>2</v>
      </c>
      <c r="R418">
        <f t="shared" ca="1" si="33"/>
        <v>7.5187969924812026E-3</v>
      </c>
      <c r="S418">
        <f t="shared" si="34"/>
        <v>0.5444444444444444</v>
      </c>
      <c r="T418">
        <f>Prams!B$5/(S418-Prams!B$6)</f>
        <v>127.69536180662338</v>
      </c>
      <c r="U418">
        <f t="shared" ca="1" si="35"/>
        <v>0.66111111111111109</v>
      </c>
      <c r="V418">
        <f ca="1">Prams!C$5/(U418-Prams!C$6)</f>
        <v>119.46216935760908</v>
      </c>
      <c r="W418">
        <f t="shared" ca="1" si="36"/>
        <v>0.89821179968127129</v>
      </c>
    </row>
    <row r="419" spans="1:24" hidden="1" x14ac:dyDescent="0.55000000000000004">
      <c r="A419" s="1" t="s">
        <v>2123</v>
      </c>
      <c r="B419" s="1" t="s">
        <v>17</v>
      </c>
      <c r="C419" t="s">
        <v>17</v>
      </c>
      <c r="D419" t="s">
        <v>17</v>
      </c>
      <c r="E419" t="s">
        <v>17</v>
      </c>
      <c r="F419" t="s">
        <v>1281</v>
      </c>
      <c r="G419" s="10" t="s">
        <v>1281</v>
      </c>
      <c r="H419">
        <v>101</v>
      </c>
      <c r="I419" t="s">
        <v>1281</v>
      </c>
      <c r="J419" t="e">
        <f ca="1">VLOOKUP(G419,INDIRECT("球速変換!A$1:B$" &amp; Prams!$B$8),2,)</f>
        <v>#N/A</v>
      </c>
      <c r="K419" t="s">
        <v>1085</v>
      </c>
      <c r="L419" t="e">
        <f t="shared" si="32"/>
        <v>#VALUE!</v>
      </c>
      <c r="M419" t="e">
        <f ca="1">(B419-VLOOKUP(K419,INDIRECT("投手データ!B1:D"&amp;Prams!$B$1),3,FALSE)*2)</f>
        <v>#VALUE!</v>
      </c>
      <c r="N419" t="e">
        <f ca="1">VLOOKUP(F419,INDIRECT("球種変換表!A$1:B$" &amp; Prams!$B$2),2,)</f>
        <v>#N/A</v>
      </c>
      <c r="O419" t="e">
        <f ca="1">VLOOKUP(N419,球種情報!A:B,2,FALSE)</f>
        <v>#N/A</v>
      </c>
      <c r="P419" t="e">
        <f ca="1">VLOOKUP(K419,投手データ!B:AI,output!O419+6,FALSE)</f>
        <v>#N/A</v>
      </c>
      <c r="R419" t="e">
        <f t="shared" ca="1" si="33"/>
        <v>#N/A</v>
      </c>
      <c r="S419" t="e">
        <f t="shared" si="34"/>
        <v>#VALUE!</v>
      </c>
      <c r="T419" t="e">
        <f>Prams!B$5/(S419-Prams!B$6)</f>
        <v>#VALUE!</v>
      </c>
      <c r="U419" t="e">
        <f t="shared" ca="1" si="35"/>
        <v>#VALUE!</v>
      </c>
      <c r="V419" t="e">
        <f ca="1">Prams!C$5/(U419-Prams!C$6)</f>
        <v>#VALUE!</v>
      </c>
      <c r="W419" t="e">
        <f t="shared" ca="1" si="36"/>
        <v>#VALUE!</v>
      </c>
      <c r="X419" t="s">
        <v>1888</v>
      </c>
    </row>
    <row r="420" spans="1:24" hidden="1" x14ac:dyDescent="0.55000000000000004">
      <c r="A420" s="1" t="s">
        <v>2124</v>
      </c>
      <c r="B420" s="1">
        <v>129</v>
      </c>
      <c r="C420">
        <v>642.5</v>
      </c>
      <c r="D420">
        <v>615</v>
      </c>
      <c r="E420">
        <v>10.547610000000001</v>
      </c>
      <c r="F420" t="s">
        <v>0</v>
      </c>
      <c r="G420" s="10" t="s">
        <v>975</v>
      </c>
      <c r="H420">
        <v>99</v>
      </c>
      <c r="I420" t="s">
        <v>1037</v>
      </c>
      <c r="J420">
        <f ca="1">VLOOKUP(G420,INDIRECT("球速変換!A$1:B$" &amp; Prams!$B$8),2,)</f>
        <v>144</v>
      </c>
      <c r="K420" t="str">
        <f ca="1">VLOOKUP(I420,INDIRECT("投手名変換!A$1:B$" &amp; Prams!$B$9),2,)</f>
        <v>DD022</v>
      </c>
      <c r="L420">
        <f t="shared" si="32"/>
        <v>30</v>
      </c>
      <c r="M420">
        <f ca="1">(B420-VLOOKUP(K420,INDIRECT("投手データ!B1:D"&amp;Prams!$B$1),3,FALSE)*2)</f>
        <v>35</v>
      </c>
      <c r="N420" t="str">
        <f ca="1">VLOOKUP(F420,INDIRECT("球種変換表!A$1:B$" &amp; Prams!$B$2),2,)</f>
        <v>ストレート</v>
      </c>
      <c r="O420">
        <f ca="1">VLOOKUP(N420,球種情報!A:B,2,FALSE)</f>
        <v>1</v>
      </c>
      <c r="P420">
        <f ca="1">VLOOKUP(K420,投手データ!B:AI,output!O420+6,FALSE)</f>
        <v>1</v>
      </c>
      <c r="R420">
        <f t="shared" ca="1" si="33"/>
        <v>6.9444444444444441E-3</v>
      </c>
      <c r="S420">
        <f t="shared" si="34"/>
        <v>0.48958333333333331</v>
      </c>
      <c r="T420">
        <f>Prams!B$5/(S420-Prams!B$6)</f>
        <v>144.01444267577747</v>
      </c>
      <c r="U420">
        <f t="shared" ca="1" si="35"/>
        <v>0.57291666666666663</v>
      </c>
      <c r="V420">
        <f ca="1">Prams!C$5/(U420-Prams!C$6)</f>
        <v>144.00326099615671</v>
      </c>
      <c r="W420">
        <f t="shared" ca="1" si="36"/>
        <v>1.0000226458066439</v>
      </c>
    </row>
    <row r="421" spans="1:24" hidden="1" x14ac:dyDescent="0.55000000000000004">
      <c r="A421" s="1" t="s">
        <v>2126</v>
      </c>
      <c r="B421" s="1">
        <v>129</v>
      </c>
      <c r="C421">
        <v>642.5</v>
      </c>
      <c r="D421">
        <v>612</v>
      </c>
      <c r="E421">
        <v>10.547610000000001</v>
      </c>
      <c r="F421" t="s">
        <v>0</v>
      </c>
      <c r="G421" s="10" t="s">
        <v>2464</v>
      </c>
      <c r="H421">
        <v>99</v>
      </c>
      <c r="I421" t="s">
        <v>1050</v>
      </c>
      <c r="J421">
        <f ca="1">VLOOKUP(G421,INDIRECT("球速変換!A$1:B$" &amp; Prams!$B$8),2,)</f>
        <v>143</v>
      </c>
      <c r="K421" t="str">
        <f ca="1">VLOOKUP(I421,INDIRECT("投手名変換!A$1:B$" &amp; Prams!$B$9),2,)</f>
        <v>DD022</v>
      </c>
      <c r="L421">
        <f t="shared" si="32"/>
        <v>30</v>
      </c>
      <c r="M421">
        <f ca="1">(B421-VLOOKUP(K421,INDIRECT("投手データ!B1:D"&amp;Prams!$B$1),3,FALSE)*2)</f>
        <v>35</v>
      </c>
      <c r="N421" t="str">
        <f ca="1">VLOOKUP(F421,INDIRECT("球種変換表!A$1:B$" &amp; Prams!$B$2),2,)</f>
        <v>ストレート</v>
      </c>
      <c r="O421">
        <f ca="1">VLOOKUP(N421,球種情報!A:B,2,FALSE)</f>
        <v>1</v>
      </c>
      <c r="P421">
        <f ca="1">VLOOKUP(K421,投手データ!B:AI,output!O421+6,FALSE)</f>
        <v>1</v>
      </c>
      <c r="R421">
        <f t="shared" ca="1" si="33"/>
        <v>6.993006993006993E-3</v>
      </c>
      <c r="S421">
        <f t="shared" si="34"/>
        <v>0.49166666666666664</v>
      </c>
      <c r="T421">
        <f>Prams!B$5/(S421-Prams!B$6)</f>
        <v>143.3189088942122</v>
      </c>
      <c r="U421">
        <f t="shared" ca="1" si="35"/>
        <v>0.57499999999999996</v>
      </c>
      <c r="V421">
        <f ca="1">Prams!C$5/(U421-Prams!C$6)</f>
        <v>143.30783495595736</v>
      </c>
      <c r="W421">
        <f t="shared" ca="1" si="36"/>
        <v>1.0021526919997019</v>
      </c>
    </row>
    <row r="422" spans="1:24" hidden="1" x14ac:dyDescent="0.55000000000000004">
      <c r="A422" s="1" t="s">
        <v>2128</v>
      </c>
      <c r="B422" s="1">
        <v>129</v>
      </c>
      <c r="C422">
        <v>640</v>
      </c>
      <c r="D422">
        <v>618.5</v>
      </c>
      <c r="E422">
        <v>11.01146</v>
      </c>
      <c r="F422" t="s">
        <v>0</v>
      </c>
      <c r="G422" s="10" t="s">
        <v>2462</v>
      </c>
      <c r="H422">
        <v>99</v>
      </c>
      <c r="I422" t="s">
        <v>2127</v>
      </c>
      <c r="J422">
        <f ca="1">VLOOKUP(G422,INDIRECT("球速変換!A$1:B$" &amp; Prams!$B$8),2,)</f>
        <v>145</v>
      </c>
      <c r="K422" t="s">
        <v>1894</v>
      </c>
      <c r="L422">
        <f t="shared" si="32"/>
        <v>30</v>
      </c>
      <c r="M422">
        <f ca="1">(B422-VLOOKUP(K422,INDIRECT("投手データ!B1:D"&amp;Prams!$B$1),3,FALSE)*2)</f>
        <v>35</v>
      </c>
      <c r="N422" t="str">
        <f ca="1">VLOOKUP(F422,INDIRECT("球種変換表!A$1:B$" &amp; Prams!$B$2),2,)</f>
        <v>ストレート</v>
      </c>
      <c r="O422">
        <f ca="1">VLOOKUP(N422,球種情報!A:B,2,FALSE)</f>
        <v>1</v>
      </c>
      <c r="P422">
        <f ca="1">VLOOKUP(K422,投手データ!B:AI,output!O422+6,FALSE)</f>
        <v>1</v>
      </c>
      <c r="R422">
        <f t="shared" ca="1" si="33"/>
        <v>6.8965517241379309E-3</v>
      </c>
      <c r="S422">
        <f t="shared" si="34"/>
        <v>0.48715277777777782</v>
      </c>
      <c r="T422">
        <f>Prams!B$5/(S422-Prams!B$6)</f>
        <v>144.83447975167081</v>
      </c>
      <c r="U422">
        <f t="shared" ca="1" si="35"/>
        <v>0.57048611111111103</v>
      </c>
      <c r="V422">
        <f ca="1">Prams!C$5/(U422-Prams!C$6)</f>
        <v>144.82317037461203</v>
      </c>
      <c r="W422">
        <f t="shared" ca="1" si="36"/>
        <v>0.99878048534215191</v>
      </c>
    </row>
    <row r="423" spans="1:24" hidden="1" x14ac:dyDescent="0.55000000000000004">
      <c r="A423" s="1" t="s">
        <v>2129</v>
      </c>
      <c r="B423" s="1">
        <v>129</v>
      </c>
      <c r="C423">
        <v>639</v>
      </c>
      <c r="D423">
        <v>616.5</v>
      </c>
      <c r="E423">
        <v>11.01146</v>
      </c>
      <c r="F423" t="s">
        <v>0</v>
      </c>
      <c r="G423" s="10" t="s">
        <v>2462</v>
      </c>
      <c r="H423">
        <v>99</v>
      </c>
      <c r="I423" t="s">
        <v>1070</v>
      </c>
      <c r="J423">
        <f ca="1">VLOOKUP(G423,INDIRECT("球速変換!A$1:B$" &amp; Prams!$B$8),2,)</f>
        <v>145</v>
      </c>
      <c r="K423" t="str">
        <f ca="1">VLOOKUP(I423,INDIRECT("投手名変換!A$1:B$" &amp; Prams!$B$9),2,)</f>
        <v>DD022</v>
      </c>
      <c r="L423">
        <f t="shared" si="32"/>
        <v>30</v>
      </c>
      <c r="M423">
        <f ca="1">(B423-VLOOKUP(K423,INDIRECT("投手データ!B1:D"&amp;Prams!$B$1),3,FALSE)*2)</f>
        <v>35</v>
      </c>
      <c r="N423" t="str">
        <f ca="1">VLOOKUP(F423,INDIRECT("球種変換表!A$1:B$" &amp; Prams!$B$2),2,)</f>
        <v>ストレート</v>
      </c>
      <c r="O423">
        <f ca="1">VLOOKUP(N423,球種情報!A:B,2,FALSE)</f>
        <v>1</v>
      </c>
      <c r="P423">
        <f ca="1">VLOOKUP(K423,投手データ!B:AI,output!O423+6,FALSE)</f>
        <v>1</v>
      </c>
      <c r="R423">
        <f t="shared" ca="1" si="33"/>
        <v>6.8965517241379309E-3</v>
      </c>
      <c r="S423">
        <f t="shared" si="34"/>
        <v>0.48854166666666665</v>
      </c>
      <c r="T423">
        <f>Prams!B$5/(S423-Prams!B$6)</f>
        <v>144.36474731946527</v>
      </c>
      <c r="U423">
        <f t="shared" ca="1" si="35"/>
        <v>0.57187500000000002</v>
      </c>
      <c r="V423">
        <f ca="1">Prams!C$5/(U423-Prams!C$6)</f>
        <v>144.35351117856516</v>
      </c>
      <c r="W423">
        <f t="shared" ca="1" si="36"/>
        <v>0.99554145640389768</v>
      </c>
    </row>
    <row r="424" spans="1:24" hidden="1" x14ac:dyDescent="0.55000000000000004">
      <c r="A424" s="1" t="s">
        <v>2130</v>
      </c>
      <c r="B424" s="1">
        <v>128</v>
      </c>
      <c r="C424">
        <v>642</v>
      </c>
      <c r="D424">
        <v>606</v>
      </c>
      <c r="E424">
        <v>10.04998</v>
      </c>
      <c r="F424" t="s">
        <v>0</v>
      </c>
      <c r="G424" s="10" t="s">
        <v>635</v>
      </c>
      <c r="H424">
        <v>99</v>
      </c>
      <c r="I424" t="s">
        <v>1038</v>
      </c>
      <c r="J424">
        <f ca="1">VLOOKUP(G424,INDIRECT("球速変換!A$1:B$" &amp; Prams!$B$8),2,)</f>
        <v>148</v>
      </c>
      <c r="K424" t="str">
        <f ca="1">VLOOKUP(I424,INDIRECT("投手名変換!A$1:B$" &amp; Prams!$B$9),2,)</f>
        <v>DD022</v>
      </c>
      <c r="L424">
        <f t="shared" si="32"/>
        <v>29</v>
      </c>
      <c r="M424">
        <f ca="1">(B424-VLOOKUP(K424,INDIRECT("投手データ!B1:D"&amp;Prams!$B$1),3,FALSE)*2)</f>
        <v>34</v>
      </c>
      <c r="N424" t="str">
        <f ca="1">VLOOKUP(F424,INDIRECT("球種変換表!A$1:B$" &amp; Prams!$B$2),2,)</f>
        <v>ストレート</v>
      </c>
      <c r="O424">
        <f ca="1">VLOOKUP(N424,球種情報!A:B,2,FALSE)</f>
        <v>1</v>
      </c>
      <c r="P424">
        <f ca="1">VLOOKUP(K424,投手データ!B:AI,output!O424+6,FALSE)</f>
        <v>1</v>
      </c>
      <c r="R424">
        <f t="shared" ca="1" si="33"/>
        <v>6.7567567567567571E-3</v>
      </c>
      <c r="S424">
        <f t="shared" si="34"/>
        <v>0.47916666666666669</v>
      </c>
      <c r="T424">
        <f>Prams!B$5/(S424-Prams!B$6)</f>
        <v>147.59589368136241</v>
      </c>
      <c r="U424">
        <f t="shared" ca="1" si="35"/>
        <v>0.5625</v>
      </c>
      <c r="V424">
        <f ca="1">Prams!C$5/(U424-Prams!C$6)</f>
        <v>147.584148961566</v>
      </c>
      <c r="W424">
        <f t="shared" ca="1" si="36"/>
        <v>0.99719019568625678</v>
      </c>
    </row>
    <row r="425" spans="1:24" hidden="1" x14ac:dyDescent="0.55000000000000004">
      <c r="A425" s="1" t="s">
        <v>2131</v>
      </c>
      <c r="B425" s="1">
        <v>129</v>
      </c>
      <c r="C425">
        <v>644.02270999999996</v>
      </c>
      <c r="D425">
        <v>616</v>
      </c>
      <c r="E425">
        <v>11.02285</v>
      </c>
      <c r="F425" t="s">
        <v>656</v>
      </c>
      <c r="G425" s="10" t="s">
        <v>635</v>
      </c>
      <c r="H425">
        <v>99</v>
      </c>
      <c r="I425" t="s">
        <v>1038</v>
      </c>
      <c r="J425">
        <v>145</v>
      </c>
      <c r="K425" t="str">
        <f ca="1">VLOOKUP(I425,INDIRECT("投手名変換!A$1:B$" &amp; Prams!$B$9),2,)</f>
        <v>DD022</v>
      </c>
      <c r="L425">
        <f t="shared" si="32"/>
        <v>30</v>
      </c>
      <c r="M425">
        <f ca="1">(B425-VLOOKUP(K425,INDIRECT("投手データ!B1:D"&amp;Prams!$B$1),3,FALSE)*2)</f>
        <v>35</v>
      </c>
      <c r="N425" t="str">
        <f ca="1">VLOOKUP(F425,INDIRECT("球種変換表!A$1:B$" &amp; Prams!$B$2),2,)</f>
        <v>ストレート</v>
      </c>
      <c r="O425">
        <f ca="1">VLOOKUP(N425,球種情報!A:B,2,FALSE)</f>
        <v>1</v>
      </c>
      <c r="P425">
        <f ca="1">VLOOKUP(K425,投手データ!B:AI,output!O425+6,FALSE)</f>
        <v>1</v>
      </c>
      <c r="R425">
        <f t="shared" si="33"/>
        <v>6.8965517241379309E-3</v>
      </c>
      <c r="S425">
        <f t="shared" si="34"/>
        <v>0.48888888888888887</v>
      </c>
      <c r="T425">
        <f>Prams!B$5/(S425-Prams!B$6)</f>
        <v>144.24778990485575</v>
      </c>
      <c r="U425">
        <f t="shared" ca="1" si="35"/>
        <v>0.5722222222222223</v>
      </c>
      <c r="V425">
        <f ca="1">Prams!C$5/(U425-Prams!C$6)</f>
        <v>144.23657196184155</v>
      </c>
      <c r="W425">
        <f t="shared" ca="1" si="36"/>
        <v>0.99473497904718311</v>
      </c>
    </row>
    <row r="426" spans="1:24" hidden="1" x14ac:dyDescent="0.55000000000000004">
      <c r="A426" s="1" t="s">
        <v>2132</v>
      </c>
      <c r="B426" s="1">
        <v>128</v>
      </c>
      <c r="C426">
        <v>641</v>
      </c>
      <c r="D426">
        <v>605</v>
      </c>
      <c r="E426">
        <v>10.0001</v>
      </c>
      <c r="F426" t="s">
        <v>656</v>
      </c>
      <c r="G426" s="10" t="s">
        <v>638</v>
      </c>
      <c r="H426">
        <v>99</v>
      </c>
      <c r="I426" t="s">
        <v>1038</v>
      </c>
      <c r="J426">
        <f ca="1">VLOOKUP(G426,INDIRECT("球速変換!A$1:B$" &amp; Prams!$B$8),2,)</f>
        <v>147</v>
      </c>
      <c r="K426" t="str">
        <f ca="1">VLOOKUP(I426,INDIRECT("投手名変換!A$1:B$" &amp; Prams!$B$9),2,)</f>
        <v>DD022</v>
      </c>
      <c r="L426">
        <f t="shared" si="32"/>
        <v>29</v>
      </c>
      <c r="M426">
        <f ca="1">(B426-VLOOKUP(K426,INDIRECT("投手データ!B1:D"&amp;Prams!$B$1),3,FALSE)*2)</f>
        <v>34</v>
      </c>
      <c r="N426" t="str">
        <f ca="1">VLOOKUP(F426,INDIRECT("球種変換表!A$1:B$" &amp; Prams!$B$2),2,)</f>
        <v>ストレート</v>
      </c>
      <c r="O426">
        <f ca="1">VLOOKUP(N426,球種情報!A:B,2,FALSE)</f>
        <v>1</v>
      </c>
      <c r="P426">
        <f ca="1">VLOOKUP(K426,投手データ!B:AI,output!O426+6,FALSE)</f>
        <v>1</v>
      </c>
      <c r="R426">
        <f t="shared" ca="1" si="33"/>
        <v>6.8027210884353739E-3</v>
      </c>
      <c r="S426">
        <f t="shared" si="34"/>
        <v>0.47986111111111113</v>
      </c>
      <c r="T426">
        <f>Prams!B$5/(S426-Prams!B$6)</f>
        <v>147.35159756888814</v>
      </c>
      <c r="U426">
        <f t="shared" ca="1" si="35"/>
        <v>0.56319444444444444</v>
      </c>
      <c r="V426">
        <f ca="1">Prams!C$5/(U426-Prams!C$6)</f>
        <v>147.33989169436097</v>
      </c>
      <c r="W426">
        <f t="shared" ca="1" si="36"/>
        <v>1.0023121883970134</v>
      </c>
    </row>
    <row r="427" spans="1:24" hidden="1" x14ac:dyDescent="0.55000000000000004">
      <c r="A427" s="1" t="s">
        <v>2133</v>
      </c>
      <c r="B427" s="1">
        <v>129</v>
      </c>
      <c r="C427">
        <v>639.5</v>
      </c>
      <c r="D427">
        <v>617.5</v>
      </c>
      <c r="E427">
        <v>10.512</v>
      </c>
      <c r="F427" t="s">
        <v>0</v>
      </c>
      <c r="G427" s="10" t="s">
        <v>2462</v>
      </c>
      <c r="H427">
        <v>99</v>
      </c>
      <c r="I427" t="s">
        <v>1037</v>
      </c>
      <c r="J427">
        <f ca="1">VLOOKUP(G427,INDIRECT("球速変換!A$1:B$" &amp; Prams!$B$8),2,)</f>
        <v>145</v>
      </c>
      <c r="K427" t="str">
        <f ca="1">VLOOKUP(I427,INDIRECT("投手名変換!A$1:B$" &amp; Prams!$B$9),2,)</f>
        <v>DD022</v>
      </c>
      <c r="L427">
        <f t="shared" si="32"/>
        <v>30</v>
      </c>
      <c r="M427">
        <f ca="1">(B427-VLOOKUP(K427,INDIRECT("投手データ!B1:D"&amp;Prams!$B$1),3,FALSE)*2)</f>
        <v>35</v>
      </c>
      <c r="N427" t="str">
        <f ca="1">VLOOKUP(F427,INDIRECT("球種変換表!A$1:B$" &amp; Prams!$B$2),2,)</f>
        <v>ストレート</v>
      </c>
      <c r="O427">
        <f ca="1">VLOOKUP(N427,球種情報!A:B,2,FALSE)</f>
        <v>1</v>
      </c>
      <c r="P427">
        <f ca="1">VLOOKUP(K427,投手データ!B:AI,output!O427+6,FALSE)</f>
        <v>1</v>
      </c>
      <c r="R427">
        <f t="shared" ca="1" si="33"/>
        <v>6.8965517241379309E-3</v>
      </c>
      <c r="S427">
        <f t="shared" si="34"/>
        <v>0.48784722222222221</v>
      </c>
      <c r="T427">
        <f>Prams!B$5/(S427-Prams!B$6)</f>
        <v>144.5992320536393</v>
      </c>
      <c r="U427">
        <f t="shared" ca="1" si="35"/>
        <v>0.57118055555555558</v>
      </c>
      <c r="V427">
        <f ca="1">Prams!C$5/(U427-Prams!C$6)</f>
        <v>144.58795938387178</v>
      </c>
      <c r="W427">
        <f t="shared" ca="1" si="36"/>
        <v>0.99715834057842601</v>
      </c>
    </row>
    <row r="428" spans="1:24" hidden="1" x14ac:dyDescent="0.55000000000000004">
      <c r="A428" s="1" t="s">
        <v>2134</v>
      </c>
      <c r="B428" s="1">
        <v>129</v>
      </c>
      <c r="C428">
        <v>643</v>
      </c>
      <c r="D428">
        <v>620.5</v>
      </c>
      <c r="E428">
        <v>11.01146</v>
      </c>
      <c r="F428" t="s">
        <v>656</v>
      </c>
      <c r="G428" s="10" t="s">
        <v>611</v>
      </c>
      <c r="H428">
        <v>99</v>
      </c>
      <c r="I428">
        <v>0</v>
      </c>
      <c r="J428">
        <f ca="1">VLOOKUP(G428,INDIRECT("球速変換!A$1:B$" &amp; Prams!$B$8),2,)</f>
        <v>146</v>
      </c>
      <c r="K428" t="str">
        <f ca="1">VLOOKUP(I428,INDIRECT("投手名変換!A$1:B$" &amp; Prams!$B$9),2,)</f>
        <v>DD022</v>
      </c>
      <c r="L428">
        <f t="shared" si="32"/>
        <v>30</v>
      </c>
      <c r="M428">
        <f ca="1">(B428-VLOOKUP(K428,INDIRECT("投手データ!B1:D"&amp;Prams!$B$1),3,FALSE)*2)</f>
        <v>35</v>
      </c>
      <c r="N428" t="str">
        <f ca="1">VLOOKUP(F428,INDIRECT("球種変換表!A$1:B$" &amp; Prams!$B$2),2,)</f>
        <v>ストレート</v>
      </c>
      <c r="O428">
        <f ca="1">VLOOKUP(N428,球種情報!A:B,2,FALSE)</f>
        <v>1</v>
      </c>
      <c r="P428">
        <f ca="1">VLOOKUP(K428,投手データ!B:AI,output!O428+6,FALSE)</f>
        <v>1</v>
      </c>
      <c r="R428">
        <f t="shared" ca="1" si="33"/>
        <v>6.8493150684931503E-3</v>
      </c>
      <c r="S428">
        <f t="shared" si="34"/>
        <v>0.48576388888888888</v>
      </c>
      <c r="T428">
        <f>Prams!B$5/(S428-Prams!B$6)</f>
        <v>145.30727898307077</v>
      </c>
      <c r="U428">
        <f t="shared" ca="1" si="35"/>
        <v>0.56909722222222225</v>
      </c>
      <c r="V428">
        <f ca="1">Prams!C$5/(U428-Prams!C$6)</f>
        <v>145.29589565149269</v>
      </c>
      <c r="W428">
        <f t="shared" ca="1" si="36"/>
        <v>0.99517736747597729</v>
      </c>
    </row>
    <row r="429" spans="1:24" hidden="1" x14ac:dyDescent="0.55000000000000004">
      <c r="A429" s="1" t="s">
        <v>1042</v>
      </c>
      <c r="B429" s="1">
        <v>128</v>
      </c>
      <c r="C429">
        <v>642.5</v>
      </c>
      <c r="D429">
        <v>603.5</v>
      </c>
      <c r="E429">
        <v>10.512</v>
      </c>
      <c r="F429" t="s">
        <v>0</v>
      </c>
      <c r="G429" s="10" t="s">
        <v>613</v>
      </c>
      <c r="H429">
        <v>99</v>
      </c>
      <c r="I429" t="s">
        <v>1037</v>
      </c>
      <c r="J429">
        <f ca="1">VLOOKUP(G429,INDIRECT("球速変換!A$1:B$" &amp; Prams!$B$8),2,)</f>
        <v>147</v>
      </c>
      <c r="K429" t="str">
        <f ca="1">VLOOKUP(I429,INDIRECT("投手名変換!A$1:B$" &amp; Prams!$B$9),2,)</f>
        <v>DD022</v>
      </c>
      <c r="L429">
        <f t="shared" si="32"/>
        <v>29</v>
      </c>
      <c r="M429">
        <f ca="1">(B429-VLOOKUP(K429,INDIRECT("投手データ!B1:D"&amp;Prams!$B$1),3,FALSE)*2)</f>
        <v>34</v>
      </c>
      <c r="N429" t="str">
        <f ca="1">VLOOKUP(F429,INDIRECT("球種変換表!A$1:B$" &amp; Prams!$B$2),2,)</f>
        <v>ストレート</v>
      </c>
      <c r="O429">
        <f ca="1">VLOOKUP(N429,球種情報!A:B,2,FALSE)</f>
        <v>1</v>
      </c>
      <c r="P429">
        <f ca="1">VLOOKUP(K429,投手データ!B:AI,output!O429+6,FALSE)</f>
        <v>1</v>
      </c>
      <c r="R429">
        <f t="shared" ca="1" si="33"/>
        <v>6.8027210884353739E-3</v>
      </c>
      <c r="S429">
        <f t="shared" si="34"/>
        <v>0.48090277777777779</v>
      </c>
      <c r="T429">
        <f>Prams!B$5/(S429-Prams!B$6)</f>
        <v>146.98666596221031</v>
      </c>
      <c r="U429">
        <f t="shared" ca="1" si="35"/>
        <v>0.56423611111111105</v>
      </c>
      <c r="V429">
        <f ca="1">Prams!C$5/(U429-Prams!C$6)</f>
        <v>146.97501799523212</v>
      </c>
      <c r="W429">
        <f t="shared" ca="1" si="36"/>
        <v>0.99983005438933414</v>
      </c>
    </row>
    <row r="430" spans="1:24" hidden="1" x14ac:dyDescent="0.55000000000000004">
      <c r="A430" s="1" t="s">
        <v>1044</v>
      </c>
      <c r="B430" s="1">
        <v>125</v>
      </c>
      <c r="C430">
        <v>642.5</v>
      </c>
      <c r="D430">
        <v>609.5</v>
      </c>
      <c r="E430">
        <v>10.6067</v>
      </c>
      <c r="F430" t="s">
        <v>343</v>
      </c>
      <c r="G430" s="10" t="s">
        <v>1165</v>
      </c>
      <c r="H430">
        <v>98</v>
      </c>
      <c r="I430" t="s">
        <v>1037</v>
      </c>
      <c r="J430">
        <f ca="1">VLOOKUP(G430,INDIRECT("球速変換!A$1:B$" &amp; Prams!$B$8),2,)</f>
        <v>143</v>
      </c>
      <c r="K430" t="str">
        <f ca="1">VLOOKUP(I430,INDIRECT("投手名変換!A$1:B$" &amp; Prams!$B$9),2,)</f>
        <v>DD022</v>
      </c>
      <c r="L430">
        <f t="shared" si="32"/>
        <v>27</v>
      </c>
      <c r="M430">
        <f ca="1">(B430-VLOOKUP(K430,INDIRECT("投手データ!B1:D"&amp;Prams!$B$1),3,FALSE)*2)</f>
        <v>31</v>
      </c>
      <c r="N430" t="str">
        <f ca="1">VLOOKUP(F430,INDIRECT("球種変換表!A$1:B$" &amp; Prams!$B$2),2,)</f>
        <v>全力ストレート</v>
      </c>
      <c r="O430">
        <f ca="1">VLOOKUP(N430,球種情報!A:B,2,FALSE)</f>
        <v>2</v>
      </c>
      <c r="P430">
        <f ca="1">VLOOKUP(K430,投手データ!B:AI,output!O430+6,FALSE)</f>
        <v>1</v>
      </c>
      <c r="R430">
        <f t="shared" ca="1" si="33"/>
        <v>6.993006993006993E-3</v>
      </c>
      <c r="S430">
        <f t="shared" si="34"/>
        <v>0.44340277777777781</v>
      </c>
      <c r="T430">
        <f>Prams!B$5/(S430-Prams!B$6)</f>
        <v>161.37444985027227</v>
      </c>
      <c r="U430">
        <f t="shared" ca="1" si="35"/>
        <v>0.51006944444444446</v>
      </c>
      <c r="V430">
        <f ca="1">Prams!C$5/(U430-Prams!C$6)</f>
        <v>168.69892138953529</v>
      </c>
      <c r="W430">
        <f t="shared" ca="1" si="36"/>
        <v>1.1797127369897573</v>
      </c>
    </row>
    <row r="431" spans="1:24" hidden="1" x14ac:dyDescent="0.55000000000000004">
      <c r="A431" s="1" t="s">
        <v>1046</v>
      </c>
      <c r="B431" s="1">
        <v>125</v>
      </c>
      <c r="C431">
        <v>642.45239000000004</v>
      </c>
      <c r="D431">
        <v>620.5</v>
      </c>
      <c r="E431">
        <v>10.55955</v>
      </c>
      <c r="F431" t="s">
        <v>343</v>
      </c>
      <c r="G431" s="10" t="s">
        <v>638</v>
      </c>
      <c r="H431">
        <v>98</v>
      </c>
      <c r="I431" t="s">
        <v>340</v>
      </c>
      <c r="J431">
        <f ca="1">VLOOKUP(G431,INDIRECT("球速変換!A$1:B$" &amp; Prams!$B$8),2,)</f>
        <v>147</v>
      </c>
      <c r="K431" t="s">
        <v>1894</v>
      </c>
      <c r="L431">
        <f t="shared" si="32"/>
        <v>27</v>
      </c>
      <c r="M431">
        <f ca="1">(B431-VLOOKUP(K431,INDIRECT("投手データ!B1:D"&amp;Prams!$B$1),3,FALSE)*2)</f>
        <v>31</v>
      </c>
      <c r="N431" t="str">
        <f ca="1">VLOOKUP(F431,INDIRECT("球種変換表!A$1:B$" &amp; Prams!$B$2),2,)</f>
        <v>全力ストレート</v>
      </c>
      <c r="O431">
        <f ca="1">VLOOKUP(N431,球種情報!A:B,2,FALSE)</f>
        <v>2</v>
      </c>
      <c r="P431">
        <f ca="1">VLOOKUP(K431,投手データ!B:AI,output!O431+6,FALSE)</f>
        <v>1</v>
      </c>
      <c r="R431">
        <f t="shared" ca="1" si="33"/>
        <v>6.8027210884353739E-3</v>
      </c>
      <c r="S431">
        <f t="shared" si="34"/>
        <v>0.4357638888888889</v>
      </c>
      <c r="T431">
        <f>Prams!B$5/(S431-Prams!B$6)</f>
        <v>164.65764572713755</v>
      </c>
      <c r="U431">
        <f t="shared" ca="1" si="35"/>
        <v>0.50243055555555549</v>
      </c>
      <c r="V431">
        <f ca="1">Prams!C$5/(U431-Prams!C$6)</f>
        <v>172.29023293259743</v>
      </c>
      <c r="W431">
        <f t="shared" ca="1" si="36"/>
        <v>1.1720424009020234</v>
      </c>
    </row>
    <row r="432" spans="1:24" hidden="1" x14ac:dyDescent="0.55000000000000004">
      <c r="A432" s="1" t="s">
        <v>1047</v>
      </c>
      <c r="B432" s="1">
        <v>125</v>
      </c>
      <c r="C432">
        <v>642.45239000000004</v>
      </c>
      <c r="D432">
        <v>616.5</v>
      </c>
      <c r="E432">
        <v>10.55955</v>
      </c>
      <c r="F432" t="s">
        <v>343</v>
      </c>
      <c r="G432" s="10" t="s">
        <v>620</v>
      </c>
      <c r="H432">
        <v>98</v>
      </c>
      <c r="I432" t="s">
        <v>1038</v>
      </c>
      <c r="J432">
        <f ca="1">VLOOKUP(G432,INDIRECT("球速変換!A$1:B$" &amp; Prams!$B$8),2,)</f>
        <v>146</v>
      </c>
      <c r="K432" t="str">
        <f ca="1">VLOOKUP(I432,INDIRECT("投手名変換!A$1:B$" &amp; Prams!$B$9),2,)</f>
        <v>DD022</v>
      </c>
      <c r="L432">
        <f t="shared" si="32"/>
        <v>27</v>
      </c>
      <c r="M432">
        <f ca="1">(B432-VLOOKUP(K432,INDIRECT("投手データ!B1:D"&amp;Prams!$B$1),3,FALSE)*2)</f>
        <v>31</v>
      </c>
      <c r="N432" t="str">
        <f ca="1">VLOOKUP(F432,INDIRECT("球種変換表!A$1:B$" &amp; Prams!$B$2),2,)</f>
        <v>全力ストレート</v>
      </c>
      <c r="O432">
        <f ca="1">VLOOKUP(N432,球種情報!A:B,2,FALSE)</f>
        <v>2</v>
      </c>
      <c r="P432">
        <f ca="1">VLOOKUP(K432,投手データ!B:AI,output!O432+6,FALSE)</f>
        <v>1</v>
      </c>
      <c r="R432">
        <f t="shared" ca="1" si="33"/>
        <v>6.8493150684931503E-3</v>
      </c>
      <c r="S432">
        <f t="shared" si="34"/>
        <v>0.43854166666666666</v>
      </c>
      <c r="T432">
        <f>Prams!B$5/(S432-Prams!B$6)</f>
        <v>163.44841261098506</v>
      </c>
      <c r="U432">
        <f t="shared" ca="1" si="35"/>
        <v>0.50520833333333337</v>
      </c>
      <c r="V432">
        <f ca="1">Prams!C$5/(U432-Prams!C$6)</f>
        <v>170.96674578849121</v>
      </c>
      <c r="W432">
        <f t="shared" ca="1" si="36"/>
        <v>1.1710051081403507</v>
      </c>
    </row>
    <row r="433" spans="1:24" hidden="1" x14ac:dyDescent="0.55000000000000004">
      <c r="A433" s="1" t="s">
        <v>1048</v>
      </c>
      <c r="B433" s="1">
        <v>125</v>
      </c>
      <c r="C433">
        <v>642.45239000000004</v>
      </c>
      <c r="D433">
        <v>616.5</v>
      </c>
      <c r="E433">
        <v>10.55955</v>
      </c>
      <c r="F433" t="s">
        <v>343</v>
      </c>
      <c r="G433" s="10" t="s">
        <v>619</v>
      </c>
      <c r="H433">
        <v>98</v>
      </c>
      <c r="I433" t="s">
        <v>1035</v>
      </c>
      <c r="J433">
        <f ca="1">VLOOKUP(G433,INDIRECT("球速変換!A$1:B$" &amp; Prams!$B$8),2,)</f>
        <v>146</v>
      </c>
      <c r="K433" t="str">
        <f ca="1">VLOOKUP(I433,INDIRECT("投手名変換!A$1:B$" &amp; Prams!$B$9),2,)</f>
        <v>DD022</v>
      </c>
      <c r="L433">
        <f t="shared" si="32"/>
        <v>27</v>
      </c>
      <c r="M433">
        <f ca="1">(B433-VLOOKUP(K433,INDIRECT("投手データ!B1:D"&amp;Prams!$B$1),3,FALSE)*2)</f>
        <v>31</v>
      </c>
      <c r="N433" t="str">
        <f ca="1">VLOOKUP(F433,INDIRECT("球種変換表!A$1:B$" &amp; Prams!$B$2),2,)</f>
        <v>全力ストレート</v>
      </c>
      <c r="O433">
        <f ca="1">VLOOKUP(N433,球種情報!A:B,2,FALSE)</f>
        <v>2</v>
      </c>
      <c r="P433">
        <f ca="1">VLOOKUP(K433,投手データ!B:AI,output!O433+6,FALSE)</f>
        <v>1</v>
      </c>
      <c r="R433">
        <f t="shared" ca="1" si="33"/>
        <v>6.8493150684931503E-3</v>
      </c>
      <c r="S433">
        <f t="shared" si="34"/>
        <v>0.43854166666666666</v>
      </c>
      <c r="T433">
        <f>Prams!B$5/(S433-Prams!B$6)</f>
        <v>163.44841261098506</v>
      </c>
      <c r="U433">
        <f t="shared" ca="1" si="35"/>
        <v>0.50520833333333337</v>
      </c>
      <c r="V433">
        <f ca="1">Prams!C$5/(U433-Prams!C$6)</f>
        <v>170.96674578849121</v>
      </c>
      <c r="W433">
        <f t="shared" ca="1" si="36"/>
        <v>1.1710051081403507</v>
      </c>
    </row>
    <row r="434" spans="1:24" hidden="1" x14ac:dyDescent="0.55000000000000004">
      <c r="A434" s="1" t="s">
        <v>1049</v>
      </c>
      <c r="B434" s="1">
        <v>125</v>
      </c>
      <c r="C434">
        <v>642.45239000000004</v>
      </c>
      <c r="D434">
        <v>613.5</v>
      </c>
      <c r="E434">
        <v>10.55955</v>
      </c>
      <c r="F434" t="s">
        <v>343</v>
      </c>
      <c r="G434" s="10" t="s">
        <v>2462</v>
      </c>
      <c r="H434">
        <v>98</v>
      </c>
      <c r="I434" t="s">
        <v>1039</v>
      </c>
      <c r="J434">
        <f ca="1">VLOOKUP(G434,INDIRECT("球速変換!A$1:B$" &amp; Prams!$B$8),2,)</f>
        <v>145</v>
      </c>
      <c r="K434" t="str">
        <f ca="1">VLOOKUP(I434,INDIRECT("投手名変換!A$1:B$" &amp; Prams!$B$9),2,)</f>
        <v>DD022</v>
      </c>
      <c r="L434">
        <f t="shared" si="32"/>
        <v>27</v>
      </c>
      <c r="M434">
        <f ca="1">(B434-VLOOKUP(K434,INDIRECT("投手データ!B1:D"&amp;Prams!$B$1),3,FALSE)*2)</f>
        <v>31</v>
      </c>
      <c r="N434" t="str">
        <f ca="1">VLOOKUP(F434,INDIRECT("球種変換表!A$1:B$" &amp; Prams!$B$2),2,)</f>
        <v>全力ストレート</v>
      </c>
      <c r="O434">
        <f ca="1">VLOOKUP(N434,球種情報!A:B,2,FALSE)</f>
        <v>2</v>
      </c>
      <c r="P434">
        <f ca="1">VLOOKUP(K434,投手データ!B:AI,output!O434+6,FALSE)</f>
        <v>1</v>
      </c>
      <c r="R434">
        <f t="shared" ca="1" si="33"/>
        <v>6.8965517241379309E-3</v>
      </c>
      <c r="S434">
        <f t="shared" si="34"/>
        <v>0.44062499999999999</v>
      </c>
      <c r="T434">
        <f>Prams!B$5/(S434-Prams!B$6)</f>
        <v>162.55307960297117</v>
      </c>
      <c r="U434">
        <f t="shared" ca="1" si="35"/>
        <v>0.5072916666666667</v>
      </c>
      <c r="V434">
        <f ca="1">Prams!C$5/(U434-Prams!C$6)</f>
        <v>169.98739774992552</v>
      </c>
      <c r="W434">
        <f t="shared" ca="1" si="36"/>
        <v>1.1723268810339691</v>
      </c>
    </row>
    <row r="435" spans="1:24" hidden="1" x14ac:dyDescent="0.55000000000000004">
      <c r="A435" s="1" t="s">
        <v>1051</v>
      </c>
      <c r="B435" s="1">
        <v>125</v>
      </c>
      <c r="C435">
        <v>642.5</v>
      </c>
      <c r="D435">
        <v>609</v>
      </c>
      <c r="E435">
        <v>10.547610000000001</v>
      </c>
      <c r="F435" t="s">
        <v>343</v>
      </c>
      <c r="G435" s="10" t="s">
        <v>584</v>
      </c>
      <c r="H435">
        <v>98</v>
      </c>
      <c r="I435" t="s">
        <v>1038</v>
      </c>
      <c r="J435">
        <f ca="1">VLOOKUP(G435,INDIRECT("球速変換!A$1:B$" &amp; Prams!$B$8),2,)</f>
        <v>141</v>
      </c>
      <c r="K435" t="str">
        <f ca="1">VLOOKUP(I435,INDIRECT("投手名変換!A$1:B$" &amp; Prams!$B$9),2,)</f>
        <v>DD022</v>
      </c>
      <c r="L435">
        <f t="shared" si="32"/>
        <v>27</v>
      </c>
      <c r="M435">
        <f ca="1">(B435-VLOOKUP(K435,INDIRECT("投手データ!B1:D"&amp;Prams!$B$1),3,FALSE)*2)</f>
        <v>31</v>
      </c>
      <c r="N435" t="str">
        <f ca="1">VLOOKUP(F435,INDIRECT("球種変換表!A$1:B$" &amp; Prams!$B$2),2,)</f>
        <v>全力ストレート</v>
      </c>
      <c r="O435">
        <f ca="1">VLOOKUP(N435,球種情報!A:B,2,FALSE)</f>
        <v>2</v>
      </c>
      <c r="P435">
        <f ca="1">VLOOKUP(K435,投手データ!B:AI,output!O435+6,FALSE)</f>
        <v>1</v>
      </c>
      <c r="R435">
        <f t="shared" ca="1" si="33"/>
        <v>7.0921985815602835E-3</v>
      </c>
      <c r="S435">
        <f t="shared" si="34"/>
        <v>0.44374999999999998</v>
      </c>
      <c r="T435">
        <f>Prams!B$5/(S435-Prams!B$6)</f>
        <v>161.22832181509978</v>
      </c>
      <c r="U435">
        <f t="shared" ca="1" si="35"/>
        <v>0.51041666666666663</v>
      </c>
      <c r="V435">
        <f ca="1">Prams!C$5/(U435-Prams!C$6)</f>
        <v>168.53923394974785</v>
      </c>
      <c r="W435">
        <f t="shared" ca="1" si="36"/>
        <v>1.1953137159556586</v>
      </c>
    </row>
    <row r="436" spans="1:24" hidden="1" x14ac:dyDescent="0.55000000000000004">
      <c r="A436" s="1" t="s">
        <v>1052</v>
      </c>
      <c r="B436" s="1">
        <v>125</v>
      </c>
      <c r="C436">
        <v>642.45239000000004</v>
      </c>
      <c r="D436">
        <v>620.5</v>
      </c>
      <c r="E436">
        <v>10.55955</v>
      </c>
      <c r="F436" t="s">
        <v>343</v>
      </c>
      <c r="G436" s="10" t="s">
        <v>638</v>
      </c>
      <c r="H436">
        <v>98</v>
      </c>
      <c r="I436" t="s">
        <v>1036</v>
      </c>
      <c r="J436">
        <f ca="1">VLOOKUP(G436,INDIRECT("球速変換!A$1:B$" &amp; Prams!$B$8),2,)</f>
        <v>147</v>
      </c>
      <c r="K436" t="str">
        <f ca="1">VLOOKUP(I436,INDIRECT("投手名変換!A$1:B$" &amp; Prams!$B$9),2,)</f>
        <v>DD022</v>
      </c>
      <c r="L436">
        <f t="shared" si="32"/>
        <v>27</v>
      </c>
      <c r="M436">
        <f ca="1">(B436-VLOOKUP(K436,INDIRECT("投手データ!B1:D"&amp;Prams!$B$1),3,FALSE)*2)</f>
        <v>31</v>
      </c>
      <c r="N436" t="str">
        <f ca="1">VLOOKUP(F436,INDIRECT("球種変換表!A$1:B$" &amp; Prams!$B$2),2,)</f>
        <v>全力ストレート</v>
      </c>
      <c r="O436">
        <f ca="1">VLOOKUP(N436,球種情報!A:B,2,FALSE)</f>
        <v>2</v>
      </c>
      <c r="P436">
        <f ca="1">VLOOKUP(K436,投手データ!B:AI,output!O436+6,FALSE)</f>
        <v>1</v>
      </c>
      <c r="R436">
        <f t="shared" ca="1" si="33"/>
        <v>6.8027210884353739E-3</v>
      </c>
      <c r="S436">
        <f t="shared" si="34"/>
        <v>0.4357638888888889</v>
      </c>
      <c r="T436">
        <f>Prams!B$5/(S436-Prams!B$6)</f>
        <v>164.65764572713755</v>
      </c>
      <c r="U436">
        <f t="shared" ca="1" si="35"/>
        <v>0.50243055555555549</v>
      </c>
      <c r="V436">
        <f ca="1">Prams!C$5/(U436-Prams!C$6)</f>
        <v>172.29023293259743</v>
      </c>
      <c r="W436">
        <f t="shared" ca="1" si="36"/>
        <v>1.1720424009020234</v>
      </c>
    </row>
    <row r="437" spans="1:24" hidden="1" x14ac:dyDescent="0.55000000000000004">
      <c r="A437" s="1" t="s">
        <v>1053</v>
      </c>
      <c r="B437" s="1">
        <v>125</v>
      </c>
      <c r="C437">
        <v>642.45239000000004</v>
      </c>
      <c r="D437">
        <v>613.5</v>
      </c>
      <c r="E437">
        <v>10.55955</v>
      </c>
      <c r="F437" t="s">
        <v>343</v>
      </c>
      <c r="G437" s="10" t="s">
        <v>1264</v>
      </c>
      <c r="H437">
        <v>98</v>
      </c>
      <c r="I437" t="s">
        <v>1038</v>
      </c>
      <c r="J437">
        <f ca="1">VLOOKUP(G437,INDIRECT("球速変換!A$1:B$" &amp; Prams!$B$8),2,)</f>
        <v>144</v>
      </c>
      <c r="K437" t="str">
        <f ca="1">VLOOKUP(I437,INDIRECT("投手名変換!A$1:B$" &amp; Prams!$B$9),2,)</f>
        <v>DD022</v>
      </c>
      <c r="L437">
        <f t="shared" si="32"/>
        <v>27</v>
      </c>
      <c r="M437">
        <f ca="1">(B437-VLOOKUP(K437,INDIRECT("投手データ!B1:D"&amp;Prams!$B$1),3,FALSE)*2)</f>
        <v>31</v>
      </c>
      <c r="N437" t="str">
        <f ca="1">VLOOKUP(F437,INDIRECT("球種変換表!A$1:B$" &amp; Prams!$B$2),2,)</f>
        <v>全力ストレート</v>
      </c>
      <c r="O437">
        <f ca="1">VLOOKUP(N437,球種情報!A:B,2,FALSE)</f>
        <v>2</v>
      </c>
      <c r="P437">
        <f ca="1">VLOOKUP(K437,投手データ!B:AI,output!O437+6,FALSE)</f>
        <v>1</v>
      </c>
      <c r="R437">
        <f t="shared" ca="1" si="33"/>
        <v>6.9444444444444441E-3</v>
      </c>
      <c r="S437">
        <f t="shared" si="34"/>
        <v>0.44062499999999999</v>
      </c>
      <c r="T437">
        <f>Prams!B$5/(S437-Prams!B$6)</f>
        <v>162.55307960297117</v>
      </c>
      <c r="U437">
        <f t="shared" ca="1" si="35"/>
        <v>0.5072916666666667</v>
      </c>
      <c r="V437">
        <f ca="1">Prams!C$5/(U437-Prams!C$6)</f>
        <v>169.98739774992552</v>
      </c>
      <c r="W437">
        <f t="shared" ca="1" si="36"/>
        <v>1.1804680399300382</v>
      </c>
    </row>
    <row r="438" spans="1:24" hidden="1" x14ac:dyDescent="0.55000000000000004">
      <c r="A438" s="1" t="s">
        <v>1055</v>
      </c>
      <c r="B438" s="1">
        <v>125</v>
      </c>
      <c r="C438">
        <v>641.95001000000002</v>
      </c>
      <c r="D438">
        <v>622.5</v>
      </c>
      <c r="E438">
        <v>10.062519999999999</v>
      </c>
      <c r="F438" t="s">
        <v>1679</v>
      </c>
      <c r="G438" s="10" t="s">
        <v>635</v>
      </c>
      <c r="H438">
        <v>98</v>
      </c>
      <c r="I438" t="s">
        <v>1680</v>
      </c>
      <c r="J438">
        <f ca="1">VLOOKUP(G438,INDIRECT("球速変換!A$1:B$" &amp; Prams!$B$8),2,)</f>
        <v>148</v>
      </c>
      <c r="K438" t="s">
        <v>1894</v>
      </c>
      <c r="L438">
        <f t="shared" si="32"/>
        <v>27</v>
      </c>
      <c r="M438">
        <f ca="1">(B438-VLOOKUP(K438,INDIRECT("投手データ!B1:D"&amp;Prams!$B$1),3,FALSE)*2)</f>
        <v>31</v>
      </c>
      <c r="N438" t="str">
        <f ca="1">VLOOKUP(F438,INDIRECT("球種変換表!A$1:B$" &amp; Prams!$B$2),2,)</f>
        <v>全力ストレート</v>
      </c>
      <c r="O438">
        <f ca="1">VLOOKUP(N438,球種情報!A:B,2,FALSE)</f>
        <v>2</v>
      </c>
      <c r="P438">
        <f ca="1">VLOOKUP(K438,投手データ!B:AI,output!O438+6,FALSE)</f>
        <v>1</v>
      </c>
      <c r="R438">
        <f t="shared" ca="1" si="33"/>
        <v>6.7567567567567571E-3</v>
      </c>
      <c r="S438">
        <f t="shared" si="34"/>
        <v>0.43437500000000001</v>
      </c>
      <c r="T438">
        <f>Prams!B$5/(S438-Prams!B$6)</f>
        <v>165.26899685891868</v>
      </c>
      <c r="U438">
        <f t="shared" ca="1" si="35"/>
        <v>0.50104166666666672</v>
      </c>
      <c r="V438">
        <f ca="1">Prams!C$5/(U438-Prams!C$6)</f>
        <v>172.9596903923717</v>
      </c>
      <c r="W438">
        <f t="shared" ca="1" si="36"/>
        <v>1.1686465567052142</v>
      </c>
    </row>
    <row r="439" spans="1:24" hidden="1" x14ac:dyDescent="0.55000000000000004">
      <c r="A439" s="1" t="s">
        <v>1681</v>
      </c>
      <c r="B439" s="1">
        <v>125</v>
      </c>
      <c r="C439">
        <v>642.45239000000004</v>
      </c>
      <c r="D439">
        <v>619.5</v>
      </c>
      <c r="E439">
        <v>10.55955</v>
      </c>
      <c r="F439" t="s">
        <v>1281</v>
      </c>
      <c r="G439" s="10" t="s">
        <v>1281</v>
      </c>
      <c r="H439">
        <v>98</v>
      </c>
      <c r="I439" t="s">
        <v>1281</v>
      </c>
      <c r="J439" t="e">
        <f ca="1">VLOOKUP(G439,INDIRECT("球速変換!A$1:B$" &amp; Prams!$B$8),2,)</f>
        <v>#N/A</v>
      </c>
      <c r="K439" t="s">
        <v>1894</v>
      </c>
      <c r="L439">
        <f t="shared" si="32"/>
        <v>27</v>
      </c>
      <c r="M439">
        <f ca="1">(B439-VLOOKUP(K439,INDIRECT("投手データ!B1:D"&amp;Prams!$B$1),3,FALSE)*2)</f>
        <v>31</v>
      </c>
      <c r="N439" t="e">
        <f ca="1">VLOOKUP(F439,INDIRECT("球種変換表!A$1:B$" &amp; Prams!$B$2),2,)</f>
        <v>#N/A</v>
      </c>
      <c r="O439" t="e">
        <f ca="1">VLOOKUP(N439,球種情報!A:B,2,FALSE)</f>
        <v>#N/A</v>
      </c>
      <c r="P439" t="e">
        <f ca="1">VLOOKUP(K439,投手データ!B:AI,output!O439+6,FALSE)</f>
        <v>#N/A</v>
      </c>
      <c r="R439" t="e">
        <f t="shared" ca="1" si="33"/>
        <v>#N/A</v>
      </c>
      <c r="S439">
        <f t="shared" si="34"/>
        <v>0.43645833333333334</v>
      </c>
      <c r="T439">
        <f>Prams!B$5/(S439-Prams!B$6)</f>
        <v>164.35366312944461</v>
      </c>
      <c r="U439">
        <f t="shared" ca="1" si="35"/>
        <v>0.50312500000000004</v>
      </c>
      <c r="V439">
        <f ca="1">Prams!C$5/(U439-Prams!C$6)</f>
        <v>171.95744384952366</v>
      </c>
      <c r="W439" t="e">
        <f t="shared" ca="1" si="36"/>
        <v>#N/A</v>
      </c>
      <c r="X439" t="s">
        <v>1888</v>
      </c>
    </row>
    <row r="440" spans="1:24" hidden="1" x14ac:dyDescent="0.55000000000000004">
      <c r="A440" s="1" t="s">
        <v>1058</v>
      </c>
      <c r="B440" s="1">
        <v>141</v>
      </c>
      <c r="C440">
        <v>641.5</v>
      </c>
      <c r="D440">
        <v>614</v>
      </c>
      <c r="E440">
        <v>10.547610000000001</v>
      </c>
      <c r="F440" t="s">
        <v>506</v>
      </c>
      <c r="G440" s="10" t="s">
        <v>1056</v>
      </c>
      <c r="H440">
        <v>101</v>
      </c>
      <c r="I440" t="s">
        <v>340</v>
      </c>
      <c r="J440">
        <f ca="1">VLOOKUP(G440,INDIRECT("球速変換!A$1:B$" &amp; Prams!$B$8),2,)</f>
        <v>122</v>
      </c>
      <c r="K440" t="s">
        <v>1894</v>
      </c>
      <c r="L440">
        <f t="shared" si="32"/>
        <v>40</v>
      </c>
      <c r="M440">
        <f ca="1">(B440-VLOOKUP(K440,INDIRECT("投手データ!B1:D"&amp;Prams!$B$1),3,FALSE)*2)</f>
        <v>47</v>
      </c>
      <c r="N440" t="str">
        <f ca="1">VLOOKUP(F440,INDIRECT("球種変換表!A$1:B$" &amp; Prams!$B$2),2,)</f>
        <v>パーム</v>
      </c>
      <c r="O440">
        <f ca="1">VLOOKUP(N440,球種情報!A:B,2,FALSE)</f>
        <v>17</v>
      </c>
      <c r="P440">
        <f ca="1">VLOOKUP(K440,投手データ!B:AI,output!O440+6,FALSE)</f>
        <v>4</v>
      </c>
      <c r="R440">
        <f t="shared" ca="1" si="33"/>
        <v>8.1967213114754103E-3</v>
      </c>
      <c r="S440">
        <f t="shared" si="34"/>
        <v>0.65694444444444444</v>
      </c>
      <c r="T440">
        <f>Prams!B$5/(S440-Prams!B$6)</f>
        <v>103.61782561734144</v>
      </c>
      <c r="U440">
        <f t="shared" ca="1" si="35"/>
        <v>0.77361111111111103</v>
      </c>
      <c r="V440">
        <f ca="1">Prams!C$5/(U440-Prams!C$6)</f>
        <v>98.130015343644743</v>
      </c>
      <c r="W440">
        <f t="shared" ca="1" si="36"/>
        <v>0.80434438806266184</v>
      </c>
    </row>
    <row r="441" spans="1:24" hidden="1" x14ac:dyDescent="0.55000000000000004">
      <c r="A441" s="1" t="s">
        <v>1060</v>
      </c>
      <c r="B441" s="1">
        <v>141</v>
      </c>
      <c r="C441">
        <v>647</v>
      </c>
      <c r="D441">
        <v>606</v>
      </c>
      <c r="E441">
        <v>10.04998</v>
      </c>
      <c r="F441" t="s">
        <v>42</v>
      </c>
      <c r="G441" s="10" t="s">
        <v>629</v>
      </c>
      <c r="H441">
        <v>101</v>
      </c>
      <c r="I441" t="s">
        <v>1039</v>
      </c>
      <c r="J441">
        <f ca="1">VLOOKUP(G441,INDIRECT("球速変換!A$1:B$" &amp; Prams!$B$8),2,)</f>
        <v>121</v>
      </c>
      <c r="K441" t="str">
        <f ca="1">VLOOKUP(I441,INDIRECT("投手名変換!A$1:B$" &amp; Prams!$B$9),2,)</f>
        <v>DD022</v>
      </c>
      <c r="L441">
        <f t="shared" si="32"/>
        <v>40</v>
      </c>
      <c r="M441">
        <f ca="1">(B441-VLOOKUP(K441,INDIRECT("投手データ!B1:D"&amp;Prams!$B$1),3,FALSE)*2)</f>
        <v>47</v>
      </c>
      <c r="N441" t="str">
        <f ca="1">VLOOKUP(F441,INDIRECT("球種変換表!A$1:B$" &amp; Prams!$B$2),2,)</f>
        <v>パーム</v>
      </c>
      <c r="O441">
        <f ca="1">VLOOKUP(N441,球種情報!A:B,2,FALSE)</f>
        <v>17</v>
      </c>
      <c r="P441">
        <f ca="1">VLOOKUP(K441,投手データ!B:AI,output!O441+6,FALSE)</f>
        <v>4</v>
      </c>
      <c r="R441">
        <f t="shared" ca="1" si="33"/>
        <v>8.2644628099173556E-3</v>
      </c>
      <c r="S441">
        <f t="shared" si="34"/>
        <v>0.66249999999999998</v>
      </c>
      <c r="T441">
        <f>Prams!B$5/(S441-Prams!B$6)</f>
        <v>102.66190634340751</v>
      </c>
      <c r="U441">
        <f t="shared" ca="1" si="35"/>
        <v>0.77916666666666667</v>
      </c>
      <c r="V441">
        <f ca="1">Prams!C$5/(U441-Prams!C$6)</f>
        <v>97.272250485131394</v>
      </c>
      <c r="W441">
        <f t="shared" ca="1" si="36"/>
        <v>0.80390289657133385</v>
      </c>
    </row>
    <row r="442" spans="1:24" hidden="1" x14ac:dyDescent="0.55000000000000004">
      <c r="A442" s="1" t="s">
        <v>1061</v>
      </c>
      <c r="B442" s="1">
        <v>141</v>
      </c>
      <c r="C442">
        <v>645.09997999999996</v>
      </c>
      <c r="D442">
        <v>615</v>
      </c>
      <c r="E442">
        <v>10.10012</v>
      </c>
      <c r="F442" t="s">
        <v>506</v>
      </c>
      <c r="G442" s="10" t="s">
        <v>591</v>
      </c>
      <c r="H442">
        <v>101</v>
      </c>
      <c r="I442" t="s">
        <v>1682</v>
      </c>
      <c r="J442">
        <f ca="1">VLOOKUP(G442,INDIRECT("球速変換!A$1:B$" &amp; Prams!$B$8),2,)</f>
        <v>128</v>
      </c>
      <c r="K442" t="s">
        <v>1894</v>
      </c>
      <c r="L442">
        <f t="shared" si="32"/>
        <v>40</v>
      </c>
      <c r="M442">
        <f ca="1">(B442-VLOOKUP(K442,INDIRECT("投手データ!B1:D"&amp;Prams!$B$1),3,FALSE)*2)</f>
        <v>47</v>
      </c>
      <c r="N442" t="str">
        <f ca="1">VLOOKUP(F442,INDIRECT("球種変換表!A$1:B$" &amp; Prams!$B$2),2,)</f>
        <v>パーム</v>
      </c>
      <c r="O442">
        <f ca="1">VLOOKUP(N442,球種情報!A:B,2,FALSE)</f>
        <v>17</v>
      </c>
      <c r="P442">
        <f ca="1">VLOOKUP(K442,投手データ!B:AI,output!O442+6,FALSE)</f>
        <v>4</v>
      </c>
      <c r="R442">
        <f t="shared" ca="1" si="33"/>
        <v>7.8125E-3</v>
      </c>
      <c r="S442">
        <f t="shared" si="34"/>
        <v>0.65625</v>
      </c>
      <c r="T442">
        <f>Prams!B$5/(S442-Prams!B$6)</f>
        <v>103.73856867186845</v>
      </c>
      <c r="U442">
        <f t="shared" ca="1" si="35"/>
        <v>0.7729166666666667</v>
      </c>
      <c r="V442">
        <f ca="1">Prams!C$5/(U442-Prams!C$6)</f>
        <v>98.238300802457687</v>
      </c>
      <c r="W442">
        <f t="shared" ca="1" si="36"/>
        <v>0.76748672501920068</v>
      </c>
    </row>
    <row r="443" spans="1:24" hidden="1" x14ac:dyDescent="0.55000000000000004">
      <c r="A443" s="1" t="s">
        <v>1062</v>
      </c>
      <c r="B443" s="1">
        <v>141</v>
      </c>
      <c r="C443">
        <v>643</v>
      </c>
      <c r="D443">
        <v>606.5</v>
      </c>
      <c r="E443">
        <v>11.01146</v>
      </c>
      <c r="F443" t="s">
        <v>506</v>
      </c>
      <c r="G443" s="10" t="s">
        <v>629</v>
      </c>
      <c r="H443">
        <v>101</v>
      </c>
      <c r="I443" t="s">
        <v>1040</v>
      </c>
      <c r="J443">
        <f ca="1">VLOOKUP(G443,INDIRECT("球速変換!A$1:B$" &amp; Prams!$B$8),2,)</f>
        <v>121</v>
      </c>
      <c r="K443" t="str">
        <f ca="1">VLOOKUP(I443,INDIRECT("投手名変換!A$1:B$" &amp; Prams!$B$9),2,)</f>
        <v>DD022</v>
      </c>
      <c r="L443">
        <f t="shared" si="32"/>
        <v>40</v>
      </c>
      <c r="M443">
        <f ca="1">(B443-VLOOKUP(K443,INDIRECT("投手データ!B1:D"&amp;Prams!$B$1),3,FALSE)*2)</f>
        <v>47</v>
      </c>
      <c r="N443" t="str">
        <f ca="1">VLOOKUP(F443,INDIRECT("球種変換表!A$1:B$" &amp; Prams!$B$2),2,)</f>
        <v>パーム</v>
      </c>
      <c r="O443">
        <f ca="1">VLOOKUP(N443,球種情報!A:B,2,FALSE)</f>
        <v>17</v>
      </c>
      <c r="P443">
        <f ca="1">VLOOKUP(K443,投手データ!B:AI,output!O443+6,FALSE)</f>
        <v>4</v>
      </c>
      <c r="R443">
        <f t="shared" ca="1" si="33"/>
        <v>8.2644628099173556E-3</v>
      </c>
      <c r="S443">
        <f t="shared" si="34"/>
        <v>0.6621527777777777</v>
      </c>
      <c r="T443">
        <f>Prams!B$5/(S443-Prams!B$6)</f>
        <v>102.72113427517806</v>
      </c>
      <c r="U443">
        <f t="shared" ca="1" si="35"/>
        <v>0.7788194444444444</v>
      </c>
      <c r="V443">
        <f ca="1">Prams!C$5/(U443-Prams!C$6)</f>
        <v>97.325421223636639</v>
      </c>
      <c r="W443">
        <f t="shared" ca="1" si="36"/>
        <v>0.80434232416228624</v>
      </c>
    </row>
    <row r="444" spans="1:24" hidden="1" x14ac:dyDescent="0.55000000000000004">
      <c r="A444" s="1" t="s">
        <v>1063</v>
      </c>
      <c r="B444" s="1">
        <v>140</v>
      </c>
      <c r="C444">
        <v>645.55260999999996</v>
      </c>
      <c r="D444">
        <v>601.5</v>
      </c>
      <c r="E444">
        <v>9.5658300000000001</v>
      </c>
      <c r="F444">
        <v>6</v>
      </c>
      <c r="G444" s="10" t="s">
        <v>2424</v>
      </c>
      <c r="H444">
        <v>101</v>
      </c>
      <c r="I444">
        <v>90</v>
      </c>
      <c r="J444">
        <f ca="1">VLOOKUP(G444,INDIRECT("球速変換!A$1:B$" &amp; Prams!$B$8),2,)</f>
        <v>123</v>
      </c>
      <c r="K444" t="str">
        <f ca="1">VLOOKUP(I444,INDIRECT("投手名変換!A$1:B$" &amp; Prams!$B$9),2,)</f>
        <v>DD022</v>
      </c>
      <c r="L444">
        <f t="shared" si="32"/>
        <v>39</v>
      </c>
      <c r="M444">
        <f ca="1">(B444-VLOOKUP(K444,INDIRECT("投手データ!B1:D"&amp;Prams!$B$1),3,FALSE)*2)</f>
        <v>46</v>
      </c>
      <c r="N444" t="str">
        <f ca="1">VLOOKUP(F444,INDIRECT("球種変換表!A$1:B$" &amp; Prams!$B$2),2,)</f>
        <v>パーム</v>
      </c>
      <c r="O444">
        <f ca="1">VLOOKUP(N444,球種情報!A:B,2,FALSE)</f>
        <v>17</v>
      </c>
      <c r="P444">
        <f ca="1">VLOOKUP(K444,投手データ!B:AI,output!O444+6,FALSE)</f>
        <v>4</v>
      </c>
      <c r="R444">
        <f t="shared" ca="1" si="33"/>
        <v>8.130081300813009E-3</v>
      </c>
      <c r="S444">
        <f t="shared" si="34"/>
        <v>0.6489583333333333</v>
      </c>
      <c r="T444">
        <f>Prams!B$5/(S444-Prams!B$6)</f>
        <v>105.02357054884696</v>
      </c>
      <c r="U444">
        <f t="shared" ca="1" si="35"/>
        <v>0.765625</v>
      </c>
      <c r="V444">
        <f ca="1">Prams!C$5/(U444-Prams!C$6)</f>
        <v>99.389895904505437</v>
      </c>
      <c r="W444">
        <f t="shared" ca="1" si="36"/>
        <v>0.80804793418297105</v>
      </c>
    </row>
    <row r="445" spans="1:24" hidden="1" x14ac:dyDescent="0.55000000000000004">
      <c r="A445" s="1" t="s">
        <v>1065</v>
      </c>
      <c r="B445" s="1">
        <v>141</v>
      </c>
      <c r="C445">
        <v>643.5</v>
      </c>
      <c r="D445">
        <v>607.5</v>
      </c>
      <c r="E445">
        <v>11.510960000000001</v>
      </c>
      <c r="F445" t="s">
        <v>1064</v>
      </c>
      <c r="G445" s="10" t="s">
        <v>629</v>
      </c>
      <c r="H445">
        <v>101</v>
      </c>
      <c r="I445" t="s">
        <v>1041</v>
      </c>
      <c r="J445">
        <f ca="1">VLOOKUP(G445,INDIRECT("球速変換!A$1:B$" &amp; Prams!$B$8),2,)</f>
        <v>121</v>
      </c>
      <c r="K445" t="str">
        <f ca="1">VLOOKUP(I445,INDIRECT("投手名変換!A$1:B$" &amp; Prams!$B$9),2,)</f>
        <v>DD022</v>
      </c>
      <c r="L445">
        <f t="shared" si="32"/>
        <v>40</v>
      </c>
      <c r="M445">
        <f ca="1">(B445-VLOOKUP(K445,INDIRECT("投手データ!B1:D"&amp;Prams!$B$1),3,FALSE)*2)</f>
        <v>47</v>
      </c>
      <c r="N445" t="str">
        <f ca="1">VLOOKUP(F445,INDIRECT("球種変換表!A$1:B$" &amp; Prams!$B$2),2,)</f>
        <v>パーム</v>
      </c>
      <c r="O445">
        <f ca="1">VLOOKUP(N445,球種情報!A:B,2,FALSE)</f>
        <v>17</v>
      </c>
      <c r="P445">
        <f ca="1">VLOOKUP(K445,投手データ!B:AI,output!O445+6,FALSE)</f>
        <v>4</v>
      </c>
      <c r="R445">
        <f t="shared" ca="1" si="33"/>
        <v>8.2644628099173556E-3</v>
      </c>
      <c r="S445">
        <f t="shared" si="34"/>
        <v>0.66145833333333337</v>
      </c>
      <c r="T445">
        <f>Prams!B$5/(S445-Prams!B$6)</f>
        <v>102.83979539500132</v>
      </c>
      <c r="U445">
        <f t="shared" ca="1" si="35"/>
        <v>0.77812499999999996</v>
      </c>
      <c r="V445">
        <f ca="1">Prams!C$5/(U445-Prams!C$6)</f>
        <v>97.431937275915061</v>
      </c>
      <c r="W445">
        <f t="shared" ca="1" si="36"/>
        <v>0.80522262211500051</v>
      </c>
    </row>
    <row r="446" spans="1:24" hidden="1" x14ac:dyDescent="0.55000000000000004">
      <c r="A446" s="1" t="s">
        <v>1066</v>
      </c>
      <c r="B446" s="1">
        <v>141</v>
      </c>
      <c r="C446">
        <v>648</v>
      </c>
      <c r="D446">
        <v>614.5</v>
      </c>
      <c r="E446">
        <v>11.01146</v>
      </c>
      <c r="F446" t="s">
        <v>42</v>
      </c>
      <c r="G446" s="10" t="s">
        <v>1056</v>
      </c>
      <c r="H446">
        <v>101</v>
      </c>
      <c r="I446" t="s">
        <v>1038</v>
      </c>
      <c r="J446">
        <f ca="1">VLOOKUP(G446,INDIRECT("球速変換!A$1:B$" &amp; Prams!$B$8),2,)</f>
        <v>122</v>
      </c>
      <c r="K446" t="str">
        <f ca="1">VLOOKUP(I446,INDIRECT("投手名変換!A$1:B$" &amp; Prams!$B$9),2,)</f>
        <v>DD022</v>
      </c>
      <c r="L446">
        <f t="shared" si="32"/>
        <v>40</v>
      </c>
      <c r="M446">
        <f ca="1">(B446-VLOOKUP(K446,INDIRECT("投手データ!B1:D"&amp;Prams!$B$1),3,FALSE)*2)</f>
        <v>47</v>
      </c>
      <c r="N446" t="str">
        <f ca="1">VLOOKUP(F446,INDIRECT("球種変換表!A$1:B$" &amp; Prams!$B$2),2,)</f>
        <v>パーム</v>
      </c>
      <c r="O446">
        <f ca="1">VLOOKUP(N446,球種情報!A:B,2,FALSE)</f>
        <v>17</v>
      </c>
      <c r="P446">
        <f ca="1">VLOOKUP(K446,投手データ!B:AI,output!O446+6,FALSE)</f>
        <v>4</v>
      </c>
      <c r="R446">
        <f t="shared" ca="1" si="33"/>
        <v>8.1967213114754103E-3</v>
      </c>
      <c r="S446">
        <f t="shared" si="34"/>
        <v>0.65659722222222228</v>
      </c>
      <c r="T446">
        <f>Prams!B$5/(S446-Prams!B$6)</f>
        <v>103.67816199043169</v>
      </c>
      <c r="U446">
        <f t="shared" ca="1" si="35"/>
        <v>0.77326388888888897</v>
      </c>
      <c r="V446">
        <f ca="1">Prams!C$5/(U446-Prams!C$6)</f>
        <v>98.184128216552907</v>
      </c>
      <c r="W446">
        <f t="shared" ca="1" si="36"/>
        <v>0.80478793620125333</v>
      </c>
    </row>
    <row r="447" spans="1:24" hidden="1" x14ac:dyDescent="0.55000000000000004">
      <c r="A447" s="1" t="s">
        <v>1067</v>
      </c>
      <c r="B447" s="1">
        <v>141</v>
      </c>
      <c r="C447">
        <v>651.5</v>
      </c>
      <c r="D447">
        <v>607</v>
      </c>
      <c r="E447">
        <v>11.5001</v>
      </c>
      <c r="F447" t="s">
        <v>506</v>
      </c>
      <c r="G447" s="10" t="s">
        <v>589</v>
      </c>
      <c r="H447">
        <v>101</v>
      </c>
      <c r="I447">
        <v>190</v>
      </c>
      <c r="J447">
        <f ca="1">VLOOKUP(G447,INDIRECT("球速変換!A$1:B$" &amp; Prams!$B$8),2,)</f>
        <v>127</v>
      </c>
      <c r="K447" t="str">
        <f ca="1">VLOOKUP(I447,INDIRECT("投手名変換!A$1:B$" &amp; Prams!$B$9),2,)</f>
        <v>DD022</v>
      </c>
      <c r="L447">
        <f t="shared" si="32"/>
        <v>40</v>
      </c>
      <c r="M447">
        <f ca="1">(B447-VLOOKUP(K447,INDIRECT("投手データ!B1:D"&amp;Prams!$B$1),3,FALSE)*2)</f>
        <v>47</v>
      </c>
      <c r="N447" t="str">
        <f ca="1">VLOOKUP(F447,INDIRECT("球種変換表!A$1:B$" &amp; Prams!$B$2),2,)</f>
        <v>パーム</v>
      </c>
      <c r="O447">
        <f ca="1">VLOOKUP(N447,球種情報!A:B,2,FALSE)</f>
        <v>17</v>
      </c>
      <c r="P447">
        <f ca="1">VLOOKUP(K447,投手データ!B:AI,output!O447+6,FALSE)</f>
        <v>4</v>
      </c>
      <c r="R447">
        <f t="shared" ca="1" si="33"/>
        <v>7.874015748031496E-3</v>
      </c>
      <c r="S447">
        <f t="shared" si="34"/>
        <v>0.66180555555555565</v>
      </c>
      <c r="T447">
        <f>Prams!B$5/(S447-Prams!B$6)</f>
        <v>102.78043058621421</v>
      </c>
      <c r="U447">
        <f t="shared" ca="1" si="35"/>
        <v>0.77847222222222223</v>
      </c>
      <c r="V447">
        <f ca="1">Prams!C$5/(U447-Prams!C$6)</f>
        <v>97.378650122071804</v>
      </c>
      <c r="W447">
        <f t="shared" ca="1" si="36"/>
        <v>0.76676102458324258</v>
      </c>
    </row>
    <row r="448" spans="1:24" hidden="1" x14ac:dyDescent="0.55000000000000004">
      <c r="A448" s="1" t="s">
        <v>1068</v>
      </c>
      <c r="B448" s="1">
        <v>141</v>
      </c>
      <c r="C448">
        <v>643</v>
      </c>
      <c r="D448">
        <v>611.5</v>
      </c>
      <c r="E448">
        <v>11.01146</v>
      </c>
      <c r="F448" t="s">
        <v>42</v>
      </c>
      <c r="G448" s="10" t="s">
        <v>602</v>
      </c>
      <c r="H448">
        <v>101</v>
      </c>
      <c r="I448" t="s">
        <v>1040</v>
      </c>
      <c r="J448">
        <f ca="1">VLOOKUP(G448,INDIRECT("球速変換!A$1:B$" &amp; Prams!$B$8),2,)</f>
        <v>122</v>
      </c>
      <c r="K448" t="str">
        <f ca="1">VLOOKUP(I448,INDIRECT("投手名変換!A$1:B$" &amp; Prams!$B$9),2,)</f>
        <v>DD022</v>
      </c>
      <c r="L448">
        <f t="shared" si="32"/>
        <v>40</v>
      </c>
      <c r="M448">
        <f ca="1">(B448-VLOOKUP(K448,INDIRECT("投手データ!B1:D"&amp;Prams!$B$1),3,FALSE)*2)</f>
        <v>47</v>
      </c>
      <c r="N448" t="str">
        <f ca="1">VLOOKUP(F448,INDIRECT("球種変換表!A$1:B$" &amp; Prams!$B$2),2,)</f>
        <v>パーム</v>
      </c>
      <c r="O448">
        <f ca="1">VLOOKUP(N448,球種情報!A:B,2,FALSE)</f>
        <v>17</v>
      </c>
      <c r="P448">
        <f ca="1">VLOOKUP(K448,投手データ!B:AI,output!O448+6,FALSE)</f>
        <v>4</v>
      </c>
      <c r="R448">
        <f t="shared" ca="1" si="33"/>
        <v>8.1967213114754103E-3</v>
      </c>
      <c r="S448">
        <f t="shared" si="34"/>
        <v>0.6586805555555556</v>
      </c>
      <c r="T448">
        <f>Prams!B$5/(S448-Prams!B$6)</f>
        <v>103.31719409331669</v>
      </c>
      <c r="U448">
        <f t="shared" ca="1" si="35"/>
        <v>0.7753472222222223</v>
      </c>
      <c r="V448">
        <f ca="1">Prams!C$5/(U448-Prams!C$6)</f>
        <v>97.860343227996424</v>
      </c>
      <c r="W448">
        <f t="shared" ca="1" si="36"/>
        <v>0.8021339608852166</v>
      </c>
    </row>
    <row r="449" spans="1:23" hidden="1" x14ac:dyDescent="0.55000000000000004">
      <c r="A449" s="1" t="s">
        <v>1069</v>
      </c>
      <c r="B449" s="1">
        <v>141</v>
      </c>
      <c r="C449">
        <v>650.5</v>
      </c>
      <c r="D449">
        <v>602.5</v>
      </c>
      <c r="E449">
        <v>10.512</v>
      </c>
      <c r="F449" t="s">
        <v>42</v>
      </c>
      <c r="G449" s="10" t="s">
        <v>603</v>
      </c>
      <c r="H449">
        <v>101</v>
      </c>
      <c r="I449" t="s">
        <v>1050</v>
      </c>
      <c r="J449">
        <f ca="1">VLOOKUP(G449,INDIRECT("球速変換!A$1:B$" &amp; Prams!$B$8),2,)</f>
        <v>120</v>
      </c>
      <c r="K449" t="str">
        <f ca="1">VLOOKUP(I449,INDIRECT("投手名変換!A$1:B$" &amp; Prams!$B$9),2,)</f>
        <v>DD022</v>
      </c>
      <c r="L449">
        <f t="shared" si="32"/>
        <v>40</v>
      </c>
      <c r="M449">
        <f ca="1">(B449-VLOOKUP(K449,INDIRECT("投手データ!B1:D"&amp;Prams!$B$1),3,FALSE)*2)</f>
        <v>47</v>
      </c>
      <c r="N449" t="str">
        <f ca="1">VLOOKUP(F449,INDIRECT("球種変換表!A$1:B$" &amp; Prams!$B$2),2,)</f>
        <v>パーム</v>
      </c>
      <c r="O449">
        <f ca="1">VLOOKUP(N449,球種情報!A:B,2,FALSE)</f>
        <v>17</v>
      </c>
      <c r="P449">
        <f ca="1">VLOOKUP(K449,投手データ!B:AI,output!O449+6,FALSE)</f>
        <v>4</v>
      </c>
      <c r="R449">
        <f t="shared" ca="1" si="33"/>
        <v>8.3333333333333332E-3</v>
      </c>
      <c r="S449">
        <f t="shared" si="34"/>
        <v>0.66493055555555558</v>
      </c>
      <c r="T449">
        <f>Prams!B$5/(S449-Prams!B$6)</f>
        <v>102.24921554484602</v>
      </c>
      <c r="U449">
        <f t="shared" ca="1" si="35"/>
        <v>0.78159722222222228</v>
      </c>
      <c r="V449">
        <f ca="1">Prams!C$5/(U449-Prams!C$6)</f>
        <v>96.901675817118658</v>
      </c>
      <c r="W449">
        <f t="shared" ca="1" si="36"/>
        <v>0.8075139651426555</v>
      </c>
    </row>
    <row r="450" spans="1:23" hidden="1" x14ac:dyDescent="0.55000000000000004">
      <c r="A450" s="1" t="s">
        <v>1071</v>
      </c>
      <c r="B450" s="1">
        <v>145</v>
      </c>
      <c r="C450">
        <v>620</v>
      </c>
      <c r="D450">
        <v>611.5</v>
      </c>
      <c r="E450">
        <v>11.01146</v>
      </c>
      <c r="F450" t="s">
        <v>346</v>
      </c>
      <c r="G450" s="10" t="s">
        <v>2427</v>
      </c>
      <c r="H450">
        <v>101</v>
      </c>
      <c r="I450" t="s">
        <v>1037</v>
      </c>
      <c r="J450">
        <f ca="1">VLOOKUP(G450,INDIRECT("球速変換!A$1:B$" &amp; Prams!$B$8),2,)</f>
        <v>119</v>
      </c>
      <c r="K450" t="str">
        <f ca="1">VLOOKUP(I450,INDIRECT("投手名変換!A$1:B$" &amp; Prams!$B$9),2,)</f>
        <v>DD022</v>
      </c>
      <c r="L450">
        <f t="shared" si="32"/>
        <v>44</v>
      </c>
      <c r="M450">
        <f ca="1">(B450-VLOOKUP(K450,INDIRECT("投手データ!B1:D"&amp;Prams!$B$1),3,FALSE)*2)</f>
        <v>51</v>
      </c>
      <c r="N450" t="str">
        <f ca="1">VLOOKUP(F450,INDIRECT("球種変換表!A$1:B$" &amp; Prams!$B$2),2,)</f>
        <v>カーブ</v>
      </c>
      <c r="O450">
        <f ca="1">VLOOKUP(N450,球種情報!A:B,2,FALSE)</f>
        <v>9</v>
      </c>
      <c r="P450">
        <f ca="1">VLOOKUP(K450,投手データ!B:AI,output!O450+6,FALSE)</f>
        <v>5</v>
      </c>
      <c r="R450">
        <f t="shared" ca="1" si="33"/>
        <v>8.4033613445378148E-3</v>
      </c>
      <c r="S450">
        <f t="shared" si="34"/>
        <v>0.72534722222222225</v>
      </c>
      <c r="T450">
        <f>Prams!B$5/(S450-Prams!B$6)</f>
        <v>92.960316101195815</v>
      </c>
      <c r="U450">
        <f t="shared" ca="1" si="35"/>
        <v>0.84201388888888895</v>
      </c>
      <c r="V450">
        <f ca="1">Prams!C$5/(U450-Prams!C$6)</f>
        <v>88.519144569639934</v>
      </c>
      <c r="W450">
        <f t="shared" ca="1" si="36"/>
        <v>0.74385835772806663</v>
      </c>
    </row>
    <row r="451" spans="1:23" hidden="1" x14ac:dyDescent="0.55000000000000004">
      <c r="A451" s="1" t="s">
        <v>1072</v>
      </c>
      <c r="B451" s="1">
        <v>144</v>
      </c>
      <c r="C451">
        <v>621</v>
      </c>
      <c r="D451">
        <v>602</v>
      </c>
      <c r="E451">
        <v>10.04998</v>
      </c>
      <c r="F451" t="s">
        <v>346</v>
      </c>
      <c r="G451" s="10" t="s">
        <v>2427</v>
      </c>
      <c r="H451">
        <v>101</v>
      </c>
      <c r="I451" t="s">
        <v>1038</v>
      </c>
      <c r="J451">
        <f ca="1">VLOOKUP(G451,INDIRECT("球速変換!A$1:B$" &amp; Prams!$B$8),2,)</f>
        <v>119</v>
      </c>
      <c r="K451" t="str">
        <f ca="1">VLOOKUP(I451,INDIRECT("投手名変換!A$1:B$" &amp; Prams!$B$9),2,)</f>
        <v>DD022</v>
      </c>
      <c r="L451">
        <f t="shared" ref="L451:L456" si="37">B451-H451</f>
        <v>43</v>
      </c>
      <c r="M451">
        <f ca="1">(B451-VLOOKUP(K451,INDIRECT("投手データ!B1:D"&amp;Prams!$B$1),3,FALSE)*2)</f>
        <v>50</v>
      </c>
      <c r="N451" t="str">
        <f ca="1">VLOOKUP(F451,INDIRECT("球種変換表!A$1:B$" &amp; Prams!$B$2),2,)</f>
        <v>カーブ</v>
      </c>
      <c r="O451">
        <f ca="1">VLOOKUP(N451,球種情報!A:B,2,FALSE)</f>
        <v>9</v>
      </c>
      <c r="P451">
        <f ca="1">VLOOKUP(K451,投手データ!B:AI,output!O451+6,FALSE)</f>
        <v>5</v>
      </c>
      <c r="R451">
        <f t="shared" ca="1" si="33"/>
        <v>8.4033613445378148E-3</v>
      </c>
      <c r="S451">
        <f t="shared" si="34"/>
        <v>0.71527777777777779</v>
      </c>
      <c r="T451">
        <f>Prams!B$5/(S451-Prams!B$6)</f>
        <v>94.389461898622514</v>
      </c>
      <c r="U451">
        <f t="shared" ca="1" si="35"/>
        <v>0.83194444444444438</v>
      </c>
      <c r="V451">
        <f ca="1">Prams!C$5/(U451-Prams!C$6)</f>
        <v>89.814046585204437</v>
      </c>
      <c r="W451">
        <f t="shared" ca="1" si="36"/>
        <v>0.75473988727062558</v>
      </c>
    </row>
    <row r="452" spans="1:23" hidden="1" x14ac:dyDescent="0.55000000000000004">
      <c r="A452" s="1" t="s">
        <v>1074</v>
      </c>
      <c r="B452" s="1">
        <v>145</v>
      </c>
      <c r="C452">
        <v>626.45239000000004</v>
      </c>
      <c r="D452">
        <v>606.5</v>
      </c>
      <c r="E452">
        <v>10.55955</v>
      </c>
      <c r="F452" t="s">
        <v>345</v>
      </c>
      <c r="G452" s="10" t="s">
        <v>2135</v>
      </c>
      <c r="H452">
        <v>101</v>
      </c>
      <c r="I452" t="s">
        <v>1037</v>
      </c>
      <c r="J452">
        <f ca="1">VLOOKUP(G452,INDIRECT("球速変換!A$1:B$" &amp; Prams!$B$8),2,)</f>
        <v>116</v>
      </c>
      <c r="K452" t="str">
        <f ca="1">VLOOKUP(I452,INDIRECT("投手名変換!A$1:B$" &amp; Prams!$B$9),2,)</f>
        <v>DD022</v>
      </c>
      <c r="L452">
        <f t="shared" si="37"/>
        <v>44</v>
      </c>
      <c r="M452">
        <f ca="1">(B452-VLOOKUP(K452,INDIRECT("投手データ!B1:D"&amp;Prams!$B$1),3,FALSE)*2)</f>
        <v>51</v>
      </c>
      <c r="N452" t="str">
        <f ca="1">VLOOKUP(F452,INDIRECT("球種変換表!A$1:B$" &amp; Prams!$B$2),2,)</f>
        <v>カーブ</v>
      </c>
      <c r="O452">
        <f ca="1">VLOOKUP(N452,球種情報!A:B,2,FALSE)</f>
        <v>9</v>
      </c>
      <c r="P452">
        <f ca="1">VLOOKUP(K452,投手データ!B:AI,output!O452+6,FALSE)</f>
        <v>5</v>
      </c>
      <c r="R452">
        <f t="shared" ca="1" si="33"/>
        <v>8.6206896551724137E-3</v>
      </c>
      <c r="S452">
        <f t="shared" si="34"/>
        <v>0.72881944444444435</v>
      </c>
      <c r="T452">
        <f>Prams!B$5/(S452-Prams!B$6)</f>
        <v>92.477489643366155</v>
      </c>
      <c r="U452">
        <f t="shared" ca="1" si="35"/>
        <v>0.84548611111111105</v>
      </c>
      <c r="V452">
        <f ca="1">Prams!C$5/(U452-Prams!C$6)</f>
        <v>88.081241416975701</v>
      </c>
      <c r="W452">
        <f t="shared" ca="1" si="36"/>
        <v>0.75932104669806644</v>
      </c>
    </row>
    <row r="453" spans="1:23" hidden="1" x14ac:dyDescent="0.55000000000000004">
      <c r="A453" s="1" t="s">
        <v>1075</v>
      </c>
      <c r="B453" s="1">
        <v>144</v>
      </c>
      <c r="C453">
        <v>627</v>
      </c>
      <c r="D453">
        <v>602.5</v>
      </c>
      <c r="E453">
        <v>11.01146</v>
      </c>
      <c r="F453" t="s">
        <v>345</v>
      </c>
      <c r="G453" s="10" t="s">
        <v>1684</v>
      </c>
      <c r="H453">
        <v>101</v>
      </c>
      <c r="I453" t="s">
        <v>1045</v>
      </c>
      <c r="J453">
        <f ca="1">VLOOKUP(G453,INDIRECT("球速変換!A$1:B$" &amp; Prams!$B$8),2,)</f>
        <v>95</v>
      </c>
      <c r="K453" t="str">
        <f ca="1">VLOOKUP(I453,INDIRECT("投手名変換!A$1:B$" &amp; Prams!$B$9),2,)</f>
        <v>DD022</v>
      </c>
      <c r="L453">
        <f t="shared" si="37"/>
        <v>43</v>
      </c>
      <c r="M453">
        <f ca="1">(B453-VLOOKUP(K453,INDIRECT("投手データ!B1:D"&amp;Prams!$B$1),3,FALSE)*2)</f>
        <v>50</v>
      </c>
      <c r="N453" t="str">
        <f ca="1">VLOOKUP(F453,INDIRECT("球種変換表!A$1:B$" &amp; Prams!$B$2),2,)</f>
        <v>カーブ</v>
      </c>
      <c r="O453">
        <f ca="1">VLOOKUP(N453,球種情報!A:B,2,FALSE)</f>
        <v>9</v>
      </c>
      <c r="P453">
        <f ca="1">VLOOKUP(K453,投手データ!B:AI,output!O453+6,FALSE)</f>
        <v>5</v>
      </c>
      <c r="R453">
        <f t="shared" ref="R453:R516" ca="1" si="38">1/J453</f>
        <v>1.0526315789473684E-2</v>
      </c>
      <c r="S453">
        <f t="shared" ref="S453:S516" si="39">(L453-(D453-600)/24)*2/120</f>
        <v>0.71493055555555562</v>
      </c>
      <c r="T453">
        <f>Prams!B$5/(S453-Prams!B$6)</f>
        <v>94.439526959650692</v>
      </c>
      <c r="U453">
        <f t="shared" ref="U453:U516" ca="1" si="40">(M453-(D453-600)/24)*2/120</f>
        <v>0.83159722222222221</v>
      </c>
      <c r="V453">
        <f ca="1">Prams!C$5/(U453-Prams!C$6)</f>
        <v>89.859374432228819</v>
      </c>
      <c r="W453">
        <f t="shared" ref="W453:W516" ca="1" si="41">V453/J453</f>
        <v>0.94588815191819808</v>
      </c>
    </row>
    <row r="454" spans="1:23" hidden="1" x14ac:dyDescent="0.55000000000000004">
      <c r="A454" s="1" t="s">
        <v>1077</v>
      </c>
      <c r="B454" s="1">
        <v>145</v>
      </c>
      <c r="C454">
        <v>619.5</v>
      </c>
      <c r="D454">
        <v>611</v>
      </c>
      <c r="E454">
        <v>11.5435</v>
      </c>
      <c r="F454" t="s">
        <v>346</v>
      </c>
      <c r="G454" s="10" t="s">
        <v>2427</v>
      </c>
      <c r="H454">
        <v>101</v>
      </c>
      <c r="I454">
        <v>190</v>
      </c>
      <c r="J454">
        <f ca="1">VLOOKUP(G454,INDIRECT("球速変換!A$1:B$" &amp; Prams!$B$8),2,)</f>
        <v>119</v>
      </c>
      <c r="K454" t="str">
        <f ca="1">VLOOKUP(I454,INDIRECT("投手名変換!A$1:B$" &amp; Prams!$B$9),2,)</f>
        <v>DD022</v>
      </c>
      <c r="L454">
        <f t="shared" si="37"/>
        <v>44</v>
      </c>
      <c r="M454">
        <f ca="1">(B454-VLOOKUP(K454,INDIRECT("投手データ!B1:D"&amp;Prams!$B$1),3,FALSE)*2)</f>
        <v>51</v>
      </c>
      <c r="N454" t="str">
        <f ca="1">VLOOKUP(F454,INDIRECT("球種変換表!A$1:B$" &amp; Prams!$B$2),2,)</f>
        <v>カーブ</v>
      </c>
      <c r="O454">
        <f ca="1">VLOOKUP(N454,球種情報!A:B,2,FALSE)</f>
        <v>9</v>
      </c>
      <c r="P454">
        <f ca="1">VLOOKUP(K454,投手データ!B:AI,output!O454+6,FALSE)</f>
        <v>5</v>
      </c>
      <c r="R454">
        <f t="shared" ca="1" si="38"/>
        <v>8.4033613445378148E-3</v>
      </c>
      <c r="S454">
        <f t="shared" si="39"/>
        <v>0.72569444444444442</v>
      </c>
      <c r="T454">
        <f>Prams!B$5/(S454-Prams!B$6)</f>
        <v>92.9118066977816</v>
      </c>
      <c r="U454">
        <f t="shared" ca="1" si="40"/>
        <v>0.84236111111111112</v>
      </c>
      <c r="V454">
        <f ca="1">Prams!C$5/(U454-Prams!C$6)</f>
        <v>88.475158415290551</v>
      </c>
      <c r="W454">
        <f t="shared" ca="1" si="41"/>
        <v>0.74348872617891215</v>
      </c>
    </row>
    <row r="455" spans="1:23" hidden="1" x14ac:dyDescent="0.55000000000000004">
      <c r="A455" s="1" t="s">
        <v>1078</v>
      </c>
      <c r="B455" s="1">
        <v>145</v>
      </c>
      <c r="C455">
        <v>624.5</v>
      </c>
      <c r="D455">
        <v>610.5</v>
      </c>
      <c r="E455">
        <v>10.512</v>
      </c>
      <c r="F455" t="s">
        <v>347</v>
      </c>
      <c r="G455" s="10" t="s">
        <v>631</v>
      </c>
      <c r="H455">
        <v>101</v>
      </c>
      <c r="I455" t="s">
        <v>1038</v>
      </c>
      <c r="J455">
        <f ca="1">VLOOKUP(G455,INDIRECT("球速変換!A$1:B$" &amp; Prams!$B$8),2,)</f>
        <v>117</v>
      </c>
      <c r="K455" t="str">
        <f ca="1">VLOOKUP(I455,INDIRECT("投手名変換!A$1:B$" &amp; Prams!$B$9),2,)</f>
        <v>DD022</v>
      </c>
      <c r="L455">
        <f t="shared" si="37"/>
        <v>44</v>
      </c>
      <c r="M455">
        <f ca="1">(B455-VLOOKUP(K455,INDIRECT("投手データ!B1:D"&amp;Prams!$B$1),3,FALSE)*2)</f>
        <v>51</v>
      </c>
      <c r="N455" t="str">
        <f ca="1">VLOOKUP(F455,INDIRECT("球種変換表!A$1:B$" &amp; Prams!$B$2),2,)</f>
        <v>カーブ</v>
      </c>
      <c r="O455">
        <f ca="1">VLOOKUP(N455,球種情報!A:B,2,FALSE)</f>
        <v>9</v>
      </c>
      <c r="P455">
        <f ca="1">VLOOKUP(K455,投手データ!B:AI,output!O455+6,FALSE)</f>
        <v>5</v>
      </c>
      <c r="R455">
        <f t="shared" ca="1" si="38"/>
        <v>8.5470085470085479E-3</v>
      </c>
      <c r="S455">
        <f t="shared" si="39"/>
        <v>0.7260416666666667</v>
      </c>
      <c r="T455">
        <f>Prams!B$5/(S455-Prams!B$6)</f>
        <v>92.863347895204598</v>
      </c>
      <c r="U455">
        <f t="shared" ca="1" si="40"/>
        <v>0.84270833333333328</v>
      </c>
      <c r="V455">
        <f ca="1">Prams!C$5/(U455-Prams!C$6)</f>
        <v>88.431215953655268</v>
      </c>
      <c r="W455">
        <f t="shared" ca="1" si="41"/>
        <v>0.7558223585782502</v>
      </c>
    </row>
    <row r="456" spans="1:23" hidden="1" x14ac:dyDescent="0.55000000000000004">
      <c r="A456" s="1" t="s">
        <v>1080</v>
      </c>
      <c r="B456" s="1">
        <v>145</v>
      </c>
      <c r="C456">
        <v>622.52380000000005</v>
      </c>
      <c r="D456">
        <v>609</v>
      </c>
      <c r="E456">
        <v>10.52392</v>
      </c>
      <c r="F456" t="s">
        <v>347</v>
      </c>
      <c r="G456" s="10" t="s">
        <v>1079</v>
      </c>
      <c r="H456">
        <v>101</v>
      </c>
      <c r="I456" t="s">
        <v>1037</v>
      </c>
      <c r="J456">
        <f ca="1">VLOOKUP(G456,INDIRECT("球速変換!A$1:B$" &amp; Prams!$B$8),2,)</f>
        <v>118</v>
      </c>
      <c r="K456" t="str">
        <f ca="1">VLOOKUP(I456,INDIRECT("投手名変換!A$1:B$" &amp; Prams!$B$9),2,)</f>
        <v>DD022</v>
      </c>
      <c r="L456">
        <f t="shared" si="37"/>
        <v>44</v>
      </c>
      <c r="M456">
        <f ca="1">(B456-VLOOKUP(K456,INDIRECT("投手データ!B1:D"&amp;Prams!$B$1),3,FALSE)*2)</f>
        <v>51</v>
      </c>
      <c r="N456" t="str">
        <f ca="1">VLOOKUP(F456,INDIRECT("球種変換表!A$1:B$" &amp; Prams!$B$2),2,)</f>
        <v>カーブ</v>
      </c>
      <c r="O456">
        <f ca="1">VLOOKUP(N456,球種情報!A:B,2,FALSE)</f>
        <v>9</v>
      </c>
      <c r="P456">
        <f ca="1">VLOOKUP(K456,投手データ!B:AI,output!O456+6,FALSE)</f>
        <v>5</v>
      </c>
      <c r="R456">
        <f t="shared" ca="1" si="38"/>
        <v>8.4745762711864406E-3</v>
      </c>
      <c r="S456">
        <f t="shared" si="39"/>
        <v>0.7270833333333333</v>
      </c>
      <c r="T456">
        <f>Prams!B$5/(S456-Prams!B$6)</f>
        <v>92.718274301997155</v>
      </c>
      <c r="U456">
        <f t="shared" ca="1" si="40"/>
        <v>0.84375</v>
      </c>
      <c r="V456">
        <f ca="1">Prams!C$5/(U456-Prams!C$6)</f>
        <v>88.29965007498393</v>
      </c>
      <c r="W456">
        <f t="shared" ca="1" si="41"/>
        <v>0.74830211927952484</v>
      </c>
    </row>
    <row r="457" spans="1:23" hidden="1" x14ac:dyDescent="0.55000000000000004">
      <c r="A457" s="1" t="s">
        <v>2137</v>
      </c>
      <c r="B457" s="1">
        <v>145</v>
      </c>
      <c r="C457">
        <v>627.5</v>
      </c>
      <c r="D457">
        <v>603.5</v>
      </c>
      <c r="E457">
        <v>10.512</v>
      </c>
      <c r="F457" t="s">
        <v>346</v>
      </c>
      <c r="G457" s="10" t="s">
        <v>2465</v>
      </c>
      <c r="H457">
        <v>101</v>
      </c>
      <c r="I457" t="s">
        <v>1038</v>
      </c>
      <c r="J457">
        <f ca="1">VLOOKUP(G457,INDIRECT("球速変換!A$1:B$" &amp; Prams!$B$8),2,)</f>
        <v>116</v>
      </c>
      <c r="K457" t="str">
        <f ca="1">VLOOKUP(I457,INDIRECT("投手名変換!A$1:B$" &amp; Prams!$B$9),2,)</f>
        <v>DD022</v>
      </c>
      <c r="L457">
        <f t="shared" ref="L457:L520" si="42">B457-H457</f>
        <v>44</v>
      </c>
      <c r="M457">
        <f ca="1">(B457-VLOOKUP(K457,INDIRECT("投手データ!B1:D"&amp;Prams!$B$1),3,FALSE)*2)</f>
        <v>51</v>
      </c>
      <c r="N457" t="str">
        <f ca="1">VLOOKUP(F457,INDIRECT("球種変換表!A$1:B$" &amp; Prams!$B$2),2,)</f>
        <v>カーブ</v>
      </c>
      <c r="O457">
        <f ca="1">VLOOKUP(N457,球種情報!A:B,2,FALSE)</f>
        <v>9</v>
      </c>
      <c r="P457">
        <f ca="1">VLOOKUP(K457,投手データ!B:AI,output!O457+6,FALSE)</f>
        <v>5</v>
      </c>
      <c r="R457">
        <f t="shared" ca="1" si="38"/>
        <v>8.6206896551724137E-3</v>
      </c>
      <c r="S457">
        <f t="shared" si="39"/>
        <v>0.73090277777777779</v>
      </c>
      <c r="T457">
        <f>Prams!B$5/(S457-Prams!B$6)</f>
        <v>92.190193731178837</v>
      </c>
      <c r="U457">
        <f t="shared" ca="1" si="40"/>
        <v>0.84756944444444438</v>
      </c>
      <c r="V457">
        <f ca="1">Prams!C$5/(U457-Prams!C$6)</f>
        <v>87.820573020451491</v>
      </c>
      <c r="W457">
        <f t="shared" ca="1" si="41"/>
        <v>0.75707390534871977</v>
      </c>
    </row>
    <row r="458" spans="1:23" hidden="1" x14ac:dyDescent="0.55000000000000004">
      <c r="A458" s="1" t="s">
        <v>2139</v>
      </c>
      <c r="B458" s="1">
        <v>145</v>
      </c>
      <c r="C458">
        <v>619.5</v>
      </c>
      <c r="D458">
        <v>605.5</v>
      </c>
      <c r="E458">
        <v>11.510960000000001</v>
      </c>
      <c r="F458" t="s">
        <v>347</v>
      </c>
      <c r="G458" s="10" t="s">
        <v>2429</v>
      </c>
      <c r="H458">
        <v>101</v>
      </c>
      <c r="I458" t="s">
        <v>2138</v>
      </c>
      <c r="J458">
        <f ca="1">VLOOKUP(G458,INDIRECT("球速変換!A$1:B$" &amp; Prams!$B$8),2,)</f>
        <v>118</v>
      </c>
      <c r="K458" t="s">
        <v>1894</v>
      </c>
      <c r="L458">
        <f t="shared" si="42"/>
        <v>44</v>
      </c>
      <c r="M458">
        <f ca="1">(B458-VLOOKUP(K458,INDIRECT("投手データ!B1:D"&amp;Prams!$B$1),3,FALSE)*2)</f>
        <v>51</v>
      </c>
      <c r="N458" t="str">
        <f ca="1">VLOOKUP(F458,INDIRECT("球種変換表!A$1:B$" &amp; Prams!$B$2),2,)</f>
        <v>カーブ</v>
      </c>
      <c r="O458">
        <f ca="1">VLOOKUP(N458,球種情報!A:B,2,FALSE)</f>
        <v>9</v>
      </c>
      <c r="P458">
        <f ca="1">VLOOKUP(K458,投手データ!B:AI,output!O458+6,FALSE)</f>
        <v>5</v>
      </c>
      <c r="R458">
        <f t="shared" ca="1" si="38"/>
        <v>8.4745762711864406E-3</v>
      </c>
      <c r="S458">
        <f t="shared" si="39"/>
        <v>0.72951388888888891</v>
      </c>
      <c r="T458">
        <f>Prams!B$5/(S458-Prams!B$6)</f>
        <v>92.381525587650515</v>
      </c>
      <c r="U458">
        <f t="shared" ca="1" si="40"/>
        <v>0.8461805555555556</v>
      </c>
      <c r="V458">
        <f ca="1">Prams!C$5/(U458-Prams!C$6)</f>
        <v>87.994180184953095</v>
      </c>
      <c r="W458">
        <f t="shared" ca="1" si="41"/>
        <v>0.7457133913979076</v>
      </c>
    </row>
    <row r="459" spans="1:23" hidden="1" x14ac:dyDescent="0.55000000000000004">
      <c r="A459" s="1" t="s">
        <v>2140</v>
      </c>
      <c r="B459" s="1">
        <v>131</v>
      </c>
      <c r="C459">
        <v>642</v>
      </c>
      <c r="D459">
        <v>615</v>
      </c>
      <c r="E459">
        <v>11.0001</v>
      </c>
      <c r="F459" t="s">
        <v>0</v>
      </c>
      <c r="G459" s="10" t="s">
        <v>940</v>
      </c>
      <c r="H459">
        <v>99</v>
      </c>
      <c r="I459" t="s">
        <v>1107</v>
      </c>
      <c r="J459">
        <f ca="1">VLOOKUP(G459,INDIRECT("球速変換!A$1:B$" &amp; Prams!$B$8),2,)</f>
        <v>134</v>
      </c>
      <c r="K459" t="str">
        <f ca="1">VLOOKUP(I459,INDIRECT("投手名変換!A$1:B$" &amp; Prams!$B$9),2,)</f>
        <v>DD009</v>
      </c>
      <c r="L459">
        <f t="shared" si="42"/>
        <v>32</v>
      </c>
      <c r="M459">
        <f ca="1">(B459-VLOOKUP(K459,INDIRECT("投手データ!B1:D"&amp;Prams!$B$1),3,FALSE)*2)</f>
        <v>37</v>
      </c>
      <c r="N459" t="str">
        <f ca="1">VLOOKUP(F459,INDIRECT("球種変換表!A$1:B$" &amp; Prams!$B$2),2,)</f>
        <v>ストレート</v>
      </c>
      <c r="O459">
        <f ca="1">VLOOKUP(N459,球種情報!A:B,2,FALSE)</f>
        <v>1</v>
      </c>
      <c r="P459">
        <f ca="1">VLOOKUP(K459,投手データ!B:AI,output!O459+6,FALSE)</f>
        <v>1</v>
      </c>
      <c r="R459">
        <f t="shared" ca="1" si="38"/>
        <v>7.462686567164179E-3</v>
      </c>
      <c r="S459">
        <f t="shared" si="39"/>
        <v>0.5229166666666667</v>
      </c>
      <c r="T459">
        <f>Prams!B$5/(S459-Prams!B$6)</f>
        <v>133.63764095543468</v>
      </c>
      <c r="U459">
        <f t="shared" ca="1" si="40"/>
        <v>0.60624999999999996</v>
      </c>
      <c r="V459">
        <f ca="1">Prams!C$5/(U459-Prams!C$6)</f>
        <v>133.62801253647467</v>
      </c>
      <c r="W459">
        <f t="shared" ca="1" si="41"/>
        <v>0.99722397415279607</v>
      </c>
    </row>
    <row r="460" spans="1:23" hidden="1" x14ac:dyDescent="0.55000000000000004">
      <c r="A460" s="1" t="s">
        <v>2141</v>
      </c>
      <c r="B460" s="1">
        <v>131</v>
      </c>
      <c r="C460">
        <v>642.40479000000005</v>
      </c>
      <c r="D460">
        <v>613</v>
      </c>
      <c r="E460">
        <v>10.59531</v>
      </c>
      <c r="F460" t="s">
        <v>0</v>
      </c>
      <c r="G460" s="10" t="s">
        <v>2463</v>
      </c>
      <c r="H460">
        <v>99</v>
      </c>
      <c r="I460">
        <v>0</v>
      </c>
      <c r="J460">
        <f ca="1">VLOOKUP(G460,INDIRECT("球速変換!A$1:B$" &amp; Prams!$B$8),2,)</f>
        <v>133</v>
      </c>
      <c r="K460" t="s">
        <v>1895</v>
      </c>
      <c r="L460">
        <f t="shared" si="42"/>
        <v>32</v>
      </c>
      <c r="M460">
        <f ca="1">(B460-VLOOKUP(K460,INDIRECT("投手データ!B1:D"&amp;Prams!$B$1),3,FALSE)*2)</f>
        <v>37</v>
      </c>
      <c r="N460" t="str">
        <f ca="1">VLOOKUP(F460,INDIRECT("球種変換表!A$1:B$" &amp; Prams!$B$2),2,)</f>
        <v>ストレート</v>
      </c>
      <c r="O460">
        <f ca="1">VLOOKUP(N460,球種情報!A:B,2,FALSE)</f>
        <v>1</v>
      </c>
      <c r="P460">
        <f ca="1">VLOOKUP(K460,投手データ!B:AI,output!O460+6,FALSE)</f>
        <v>1</v>
      </c>
      <c r="R460">
        <f t="shared" ca="1" si="38"/>
        <v>7.5187969924812026E-3</v>
      </c>
      <c r="S460">
        <f t="shared" si="39"/>
        <v>0.52430555555555558</v>
      </c>
      <c r="T460">
        <f>Prams!B$5/(S460-Prams!B$6)</f>
        <v>133.2376288598077</v>
      </c>
      <c r="U460">
        <f t="shared" ca="1" si="40"/>
        <v>0.60763888888888895</v>
      </c>
      <c r="V460">
        <f ca="1">Prams!C$5/(U460-Prams!C$6)</f>
        <v>133.22805799322373</v>
      </c>
      <c r="W460">
        <f t="shared" ca="1" si="41"/>
        <v>1.0017147217535618</v>
      </c>
    </row>
    <row r="461" spans="1:23" hidden="1" x14ac:dyDescent="0.55000000000000004">
      <c r="A461" s="1" t="s">
        <v>2143</v>
      </c>
      <c r="B461" s="1">
        <v>131</v>
      </c>
      <c r="C461">
        <v>637.5</v>
      </c>
      <c r="D461">
        <v>609.5</v>
      </c>
      <c r="E461">
        <v>9.6177899999999994</v>
      </c>
      <c r="F461" t="s">
        <v>0</v>
      </c>
      <c r="G461" s="10" t="s">
        <v>1099</v>
      </c>
      <c r="H461">
        <v>99</v>
      </c>
      <c r="I461" t="s">
        <v>2142</v>
      </c>
      <c r="J461">
        <v>132</v>
      </c>
      <c r="K461" t="s">
        <v>1895</v>
      </c>
      <c r="L461">
        <f t="shared" si="42"/>
        <v>32</v>
      </c>
      <c r="M461">
        <f ca="1">(B461-VLOOKUP(K461,INDIRECT("投手データ!B1:D"&amp;Prams!$B$1),3,FALSE)*2)</f>
        <v>37</v>
      </c>
      <c r="N461" t="str">
        <f ca="1">VLOOKUP(F461,INDIRECT("球種変換表!A$1:B$" &amp; Prams!$B$2),2,)</f>
        <v>ストレート</v>
      </c>
      <c r="O461">
        <f ca="1">VLOOKUP(N461,球種情報!A:B,2,FALSE)</f>
        <v>1</v>
      </c>
      <c r="P461">
        <f ca="1">VLOOKUP(K461,投手データ!B:AI,output!O461+6,FALSE)</f>
        <v>1</v>
      </c>
      <c r="R461">
        <f t="shared" si="38"/>
        <v>7.575757575757576E-3</v>
      </c>
      <c r="S461">
        <f t="shared" si="39"/>
        <v>0.52673611111111118</v>
      </c>
      <c r="T461">
        <f>Prams!B$5/(S461-Prams!B$6)</f>
        <v>132.54333986433772</v>
      </c>
      <c r="U461">
        <f t="shared" ca="1" si="40"/>
        <v>0.61006944444444444</v>
      </c>
      <c r="V461">
        <f ca="1">Prams!C$5/(U461-Prams!C$6)</f>
        <v>132.53386848013147</v>
      </c>
      <c r="W461">
        <f t="shared" ca="1" si="41"/>
        <v>1.0040444581828143</v>
      </c>
    </row>
    <row r="462" spans="1:23" hidden="1" x14ac:dyDescent="0.55000000000000004">
      <c r="A462" s="1" t="s">
        <v>2144</v>
      </c>
      <c r="B462" s="1">
        <v>131</v>
      </c>
      <c r="C462">
        <v>644.54760999999996</v>
      </c>
      <c r="D462">
        <v>620.5</v>
      </c>
      <c r="E462">
        <v>10.55958</v>
      </c>
      <c r="F462" t="s">
        <v>0</v>
      </c>
      <c r="G462" s="10" t="s">
        <v>587</v>
      </c>
      <c r="H462">
        <v>99</v>
      </c>
      <c r="I462" t="s">
        <v>1105</v>
      </c>
      <c r="J462">
        <v>135</v>
      </c>
      <c r="K462" t="str">
        <f ca="1">VLOOKUP(I462,INDIRECT("投手名変換!A$1:B$" &amp; Prams!$B$9),2,)</f>
        <v>DD009</v>
      </c>
      <c r="L462">
        <f t="shared" si="42"/>
        <v>32</v>
      </c>
      <c r="M462">
        <f ca="1">(B462-VLOOKUP(K462,INDIRECT("投手データ!B1:D"&amp;Prams!$B$1),3,FALSE)*2)</f>
        <v>37</v>
      </c>
      <c r="N462" t="str">
        <f ca="1">VLOOKUP(F462,INDIRECT("球種変換表!A$1:B$" &amp; Prams!$B$2),2,)</f>
        <v>ストレート</v>
      </c>
      <c r="O462">
        <f ca="1">VLOOKUP(N462,球種情報!A:B,2,FALSE)</f>
        <v>1</v>
      </c>
      <c r="P462">
        <f ca="1">VLOOKUP(K462,投手データ!B:AI,output!O462+6,FALSE)</f>
        <v>1</v>
      </c>
      <c r="R462">
        <f t="shared" si="38"/>
        <v>7.4074074074074077E-3</v>
      </c>
      <c r="S462">
        <f t="shared" si="39"/>
        <v>0.51909722222222221</v>
      </c>
      <c r="T462">
        <f>Prams!B$5/(S462-Prams!B$6)</f>
        <v>134.75016195729171</v>
      </c>
      <c r="U462">
        <f t="shared" ca="1" si="40"/>
        <v>0.60243055555555558</v>
      </c>
      <c r="V462">
        <f ca="1">Prams!C$5/(U462-Prams!C$6)</f>
        <v>134.74037256551983</v>
      </c>
      <c r="W462">
        <f t="shared" ca="1" si="41"/>
        <v>0.99807683381866541</v>
      </c>
    </row>
    <row r="463" spans="1:23" hidden="1" x14ac:dyDescent="0.55000000000000004">
      <c r="A463" s="1" t="s">
        <v>2145</v>
      </c>
      <c r="B463" s="1">
        <v>131</v>
      </c>
      <c r="C463">
        <v>636.54760999999996</v>
      </c>
      <c r="D463">
        <v>610.5</v>
      </c>
      <c r="E463">
        <v>10.55958</v>
      </c>
      <c r="F463" t="s">
        <v>0</v>
      </c>
      <c r="G463" s="10" t="s">
        <v>2463</v>
      </c>
      <c r="H463">
        <v>99</v>
      </c>
      <c r="I463" t="s">
        <v>1119</v>
      </c>
      <c r="J463">
        <f ca="1">VLOOKUP(G463,INDIRECT("球速変換!A$1:B$" &amp; Prams!$B$8),2,)</f>
        <v>133</v>
      </c>
      <c r="K463" t="str">
        <f ca="1">VLOOKUP(I463,INDIRECT("投手名変換!A$1:B$" &amp; Prams!$B$9),2,)</f>
        <v>DD009</v>
      </c>
      <c r="L463">
        <f t="shared" si="42"/>
        <v>32</v>
      </c>
      <c r="M463">
        <f ca="1">(B463-VLOOKUP(K463,INDIRECT("投手データ!B1:D"&amp;Prams!$B$1),3,FALSE)*2)</f>
        <v>37</v>
      </c>
      <c r="N463" t="str">
        <f ca="1">VLOOKUP(F463,INDIRECT("球種変換表!A$1:B$" &amp; Prams!$B$2),2,)</f>
        <v>ストレート</v>
      </c>
      <c r="O463">
        <f ca="1">VLOOKUP(N463,球種情報!A:B,2,FALSE)</f>
        <v>1</v>
      </c>
      <c r="P463">
        <f ca="1">VLOOKUP(K463,投手データ!B:AI,output!O463+6,FALSE)</f>
        <v>1</v>
      </c>
      <c r="R463">
        <f t="shared" ca="1" si="38"/>
        <v>7.5187969924812026E-3</v>
      </c>
      <c r="S463">
        <f t="shared" si="39"/>
        <v>0.52604166666666663</v>
      </c>
      <c r="T463">
        <f>Prams!B$5/(S463-Prams!B$6)</f>
        <v>132.74096870582764</v>
      </c>
      <c r="U463">
        <f t="shared" ca="1" si="40"/>
        <v>0.609375</v>
      </c>
      <c r="V463">
        <f ca="1">Prams!C$5/(U463-Prams!C$6)</f>
        <v>132.7314690569481</v>
      </c>
      <c r="W463">
        <f t="shared" ca="1" si="41"/>
        <v>0.99798097035299327</v>
      </c>
    </row>
    <row r="464" spans="1:23" hidden="1" x14ac:dyDescent="0.55000000000000004">
      <c r="A464" s="1" t="s">
        <v>2146</v>
      </c>
      <c r="B464" s="1">
        <v>130</v>
      </c>
      <c r="C464">
        <v>634.5</v>
      </c>
      <c r="D464">
        <v>602.5</v>
      </c>
      <c r="E464">
        <v>10.512</v>
      </c>
      <c r="F464" t="s">
        <v>716</v>
      </c>
      <c r="G464" s="10" t="s">
        <v>2459</v>
      </c>
      <c r="H464">
        <v>99</v>
      </c>
      <c r="I464" t="s">
        <v>1693</v>
      </c>
      <c r="J464">
        <f ca="1">VLOOKUP(G464,INDIRECT("球速変換!A$1:B$" &amp; Prams!$B$8),2,)</f>
        <v>136</v>
      </c>
      <c r="K464" t="s">
        <v>1895</v>
      </c>
      <c r="L464">
        <f t="shared" si="42"/>
        <v>31</v>
      </c>
      <c r="M464">
        <f ca="1">(B464-VLOOKUP(K464,INDIRECT("投手データ!B1:D"&amp;Prams!$B$1),3,FALSE)*2)</f>
        <v>36</v>
      </c>
      <c r="N464" t="str">
        <f ca="1">VLOOKUP(F464,INDIRECT("球種変換表!A$1:B$" &amp; Prams!$B$2),2,)</f>
        <v>ストレート</v>
      </c>
      <c r="O464">
        <f ca="1">VLOOKUP(N464,球種情報!A:B,2,FALSE)</f>
        <v>1</v>
      </c>
      <c r="P464">
        <f ca="1">VLOOKUP(K464,投手データ!B:AI,output!O464+6,FALSE)</f>
        <v>1</v>
      </c>
      <c r="R464">
        <f t="shared" ca="1" si="38"/>
        <v>7.3529411764705881E-3</v>
      </c>
      <c r="S464">
        <f t="shared" si="39"/>
        <v>0.51493055555555556</v>
      </c>
      <c r="T464">
        <f>Prams!B$5/(S464-Prams!B$6)</f>
        <v>135.98514055979521</v>
      </c>
      <c r="U464">
        <f t="shared" ca="1" si="40"/>
        <v>0.59826388888888893</v>
      </c>
      <c r="V464">
        <f ca="1">Prams!C$5/(U464-Prams!C$6)</f>
        <v>135.97517091380078</v>
      </c>
      <c r="W464">
        <f t="shared" ca="1" si="41"/>
        <v>0.99981743318971161</v>
      </c>
    </row>
    <row r="465" spans="1:24" hidden="1" x14ac:dyDescent="0.55000000000000004">
      <c r="A465" s="1" t="s">
        <v>2147</v>
      </c>
      <c r="B465" s="1">
        <v>130</v>
      </c>
      <c r="C465">
        <v>636.5</v>
      </c>
      <c r="D465">
        <v>602.5</v>
      </c>
      <c r="E465">
        <v>10.512</v>
      </c>
      <c r="F465" t="s">
        <v>0</v>
      </c>
      <c r="G465" s="10" t="s">
        <v>2459</v>
      </c>
      <c r="H465">
        <v>99</v>
      </c>
      <c r="I465" t="s">
        <v>1105</v>
      </c>
      <c r="J465">
        <f ca="1">VLOOKUP(G465,INDIRECT("球速変換!A$1:B$" &amp; Prams!$B$8),2,)</f>
        <v>136</v>
      </c>
      <c r="K465" t="str">
        <f ca="1">VLOOKUP(I465,INDIRECT("投手名変換!A$1:B$" &amp; Prams!$B$9),2,)</f>
        <v>DD009</v>
      </c>
      <c r="L465">
        <f t="shared" si="42"/>
        <v>31</v>
      </c>
      <c r="M465">
        <f ca="1">(B465-VLOOKUP(K465,INDIRECT("投手データ!B1:D"&amp;Prams!$B$1),3,FALSE)*2)</f>
        <v>36</v>
      </c>
      <c r="N465" t="str">
        <f ca="1">VLOOKUP(F465,INDIRECT("球種変換表!A$1:B$" &amp; Prams!$B$2),2,)</f>
        <v>ストレート</v>
      </c>
      <c r="O465">
        <f ca="1">VLOOKUP(N465,球種情報!A:B,2,FALSE)</f>
        <v>1</v>
      </c>
      <c r="P465">
        <f ca="1">VLOOKUP(K465,投手データ!B:AI,output!O465+6,FALSE)</f>
        <v>1</v>
      </c>
      <c r="R465">
        <f t="shared" ca="1" si="38"/>
        <v>7.3529411764705881E-3</v>
      </c>
      <c r="S465">
        <f t="shared" si="39"/>
        <v>0.51493055555555556</v>
      </c>
      <c r="T465">
        <f>Prams!B$5/(S465-Prams!B$6)</f>
        <v>135.98514055979521</v>
      </c>
      <c r="U465">
        <f t="shared" ca="1" si="40"/>
        <v>0.59826388888888893</v>
      </c>
      <c r="V465">
        <f ca="1">Prams!C$5/(U465-Prams!C$6)</f>
        <v>135.97517091380078</v>
      </c>
      <c r="W465">
        <f t="shared" ca="1" si="41"/>
        <v>0.99981743318971161</v>
      </c>
    </row>
    <row r="466" spans="1:24" hidden="1" x14ac:dyDescent="0.55000000000000004">
      <c r="A466" s="1" t="s">
        <v>2149</v>
      </c>
      <c r="B466" s="1">
        <v>131</v>
      </c>
      <c r="C466">
        <v>634.5</v>
      </c>
      <c r="D466">
        <v>606</v>
      </c>
      <c r="E466">
        <v>10.547610000000001</v>
      </c>
      <c r="F466" t="s">
        <v>0</v>
      </c>
      <c r="G466" s="10" t="s">
        <v>608</v>
      </c>
      <c r="H466">
        <v>99</v>
      </c>
      <c r="I466" t="s">
        <v>2148</v>
      </c>
      <c r="J466">
        <f ca="1">VLOOKUP(G466,INDIRECT("球速変換!A$1:B$" &amp; Prams!$B$8),2,)</f>
        <v>132</v>
      </c>
      <c r="K466" t="s">
        <v>1895</v>
      </c>
      <c r="L466">
        <f t="shared" si="42"/>
        <v>32</v>
      </c>
      <c r="M466">
        <f ca="1">(B466-VLOOKUP(K466,INDIRECT("投手データ!B1:D"&amp;Prams!$B$1),3,FALSE)*2)</f>
        <v>37</v>
      </c>
      <c r="N466" t="str">
        <f ca="1">VLOOKUP(F466,INDIRECT("球種変換表!A$1:B$" &amp; Prams!$B$2),2,)</f>
        <v>ストレート</v>
      </c>
      <c r="O466">
        <f ca="1">VLOOKUP(N466,球種情報!A:B,2,FALSE)</f>
        <v>1</v>
      </c>
      <c r="P466">
        <f ca="1">VLOOKUP(K466,投手データ!B:AI,output!O466+6,FALSE)</f>
        <v>1</v>
      </c>
      <c r="R466">
        <f t="shared" ca="1" si="38"/>
        <v>7.575757575757576E-3</v>
      </c>
      <c r="S466">
        <f t="shared" si="39"/>
        <v>0.52916666666666667</v>
      </c>
      <c r="T466">
        <f>Prams!B$5/(S466-Prams!B$6)</f>
        <v>131.85624911133229</v>
      </c>
      <c r="U466">
        <f t="shared" ca="1" si="40"/>
        <v>0.61250000000000004</v>
      </c>
      <c r="V466">
        <f ca="1">Prams!C$5/(U466-Prams!C$6)</f>
        <v>131.8468756664534</v>
      </c>
      <c r="W466">
        <f t="shared" ca="1" si="41"/>
        <v>0.99883996717010148</v>
      </c>
    </row>
    <row r="467" spans="1:24" hidden="1" x14ac:dyDescent="0.55000000000000004">
      <c r="A467" s="1" t="s">
        <v>1109</v>
      </c>
      <c r="B467" s="1">
        <v>130</v>
      </c>
      <c r="C467">
        <v>642.5</v>
      </c>
      <c r="D467">
        <v>601</v>
      </c>
      <c r="E467">
        <v>10.547610000000001</v>
      </c>
      <c r="F467" t="s">
        <v>0</v>
      </c>
      <c r="G467" s="10" t="s">
        <v>1108</v>
      </c>
      <c r="H467">
        <v>99</v>
      </c>
      <c r="I467" t="s">
        <v>1685</v>
      </c>
      <c r="J467">
        <f ca="1">VLOOKUP(G467,INDIRECT("球速変換!A$1:B$" &amp; Prams!$B$8),2,)</f>
        <v>135</v>
      </c>
      <c r="K467" t="s">
        <v>1895</v>
      </c>
      <c r="L467">
        <f t="shared" si="42"/>
        <v>31</v>
      </c>
      <c r="M467">
        <f ca="1">(B467-VLOOKUP(K467,INDIRECT("投手データ!B1:D"&amp;Prams!$B$1),3,FALSE)*2)</f>
        <v>36</v>
      </c>
      <c r="N467" t="str">
        <f ca="1">VLOOKUP(F467,INDIRECT("球種変換表!A$1:B$" &amp; Prams!$B$2),2,)</f>
        <v>ストレート</v>
      </c>
      <c r="O467">
        <f ca="1">VLOOKUP(N467,球種情報!A:B,2,FALSE)</f>
        <v>1</v>
      </c>
      <c r="P467">
        <f ca="1">VLOOKUP(K467,投手データ!B:AI,output!O467+6,FALSE)</f>
        <v>1</v>
      </c>
      <c r="R467">
        <f t="shared" ca="1" si="38"/>
        <v>7.4074074074074077E-3</v>
      </c>
      <c r="S467">
        <f t="shared" si="39"/>
        <v>0.51597222222222217</v>
      </c>
      <c r="T467">
        <f>Prams!B$5/(S467-Prams!B$6)</f>
        <v>135.67427853842312</v>
      </c>
      <c r="U467">
        <f t="shared" ca="1" si="40"/>
        <v>0.59930555555555565</v>
      </c>
      <c r="V467">
        <f ca="1">Prams!C$5/(U467-Prams!C$6)</f>
        <v>135.66435441988611</v>
      </c>
      <c r="W467">
        <f t="shared" ca="1" si="41"/>
        <v>1.0049211438510082</v>
      </c>
    </row>
    <row r="468" spans="1:24" hidden="1" x14ac:dyDescent="0.55000000000000004">
      <c r="A468" s="1" t="s">
        <v>1111</v>
      </c>
      <c r="B468" s="1">
        <v>130</v>
      </c>
      <c r="C468">
        <v>639</v>
      </c>
      <c r="D468">
        <v>602</v>
      </c>
      <c r="E468">
        <v>11.0001</v>
      </c>
      <c r="F468" t="s">
        <v>0</v>
      </c>
      <c r="G468" s="10" t="s">
        <v>587</v>
      </c>
      <c r="H468">
        <v>99</v>
      </c>
      <c r="I468" t="s">
        <v>1686</v>
      </c>
      <c r="J468">
        <v>135</v>
      </c>
      <c r="K468" t="s">
        <v>1895</v>
      </c>
      <c r="L468">
        <f t="shared" si="42"/>
        <v>31</v>
      </c>
      <c r="M468">
        <f ca="1">(B468-VLOOKUP(K468,INDIRECT("投手データ!B1:D"&amp;Prams!$B$1),3,FALSE)*2)</f>
        <v>36</v>
      </c>
      <c r="N468" t="str">
        <f ca="1">VLOOKUP(F468,INDIRECT("球種変換表!A$1:B$" &amp; Prams!$B$2),2,)</f>
        <v>ストレート</v>
      </c>
      <c r="O468">
        <f ca="1">VLOOKUP(N468,球種情報!A:B,2,FALSE)</f>
        <v>1</v>
      </c>
      <c r="P468">
        <f ca="1">VLOOKUP(K468,投手データ!B:AI,output!O468+6,FALSE)</f>
        <v>1</v>
      </c>
      <c r="R468">
        <f t="shared" si="38"/>
        <v>7.4074074074074077E-3</v>
      </c>
      <c r="S468">
        <f t="shared" si="39"/>
        <v>0.51527777777777783</v>
      </c>
      <c r="T468">
        <f>Prams!B$5/(S468-Prams!B$6)</f>
        <v>135.88136172706848</v>
      </c>
      <c r="U468">
        <f t="shared" ca="1" si="40"/>
        <v>0.59861111111111109</v>
      </c>
      <c r="V468">
        <f ca="1">Prams!C$5/(U468-Prams!C$6)</f>
        <v>135.87140729164125</v>
      </c>
      <c r="W468">
        <f t="shared" ca="1" si="41"/>
        <v>1.0064548688269721</v>
      </c>
    </row>
    <row r="469" spans="1:24" hidden="1" x14ac:dyDescent="0.55000000000000004">
      <c r="A469" s="1" t="s">
        <v>1113</v>
      </c>
      <c r="B469" s="1">
        <v>89</v>
      </c>
      <c r="C469">
        <v>641.95001000000002</v>
      </c>
      <c r="D469">
        <v>621.5</v>
      </c>
      <c r="E469">
        <v>10.062519999999999</v>
      </c>
      <c r="F469" t="s">
        <v>343</v>
      </c>
      <c r="G469" s="10" t="s">
        <v>803</v>
      </c>
      <c r="H469">
        <v>60</v>
      </c>
      <c r="I469" t="s">
        <v>1112</v>
      </c>
      <c r="J469">
        <f ca="1">VLOOKUP(G469,INDIRECT("球速変換!A$1:B$" &amp; Prams!$B$8),2,)</f>
        <v>144</v>
      </c>
      <c r="K469" t="str">
        <f ca="1">VLOOKUP(I469,INDIRECT("投手名変換!A$1:B$" &amp; Prams!$B$9),2,)</f>
        <v>DD009</v>
      </c>
      <c r="L469">
        <f t="shared" si="42"/>
        <v>29</v>
      </c>
      <c r="M469">
        <f ca="1">(B469-VLOOKUP(K469,INDIRECT("投手データ!B1:D"&amp;Prams!$B$1),3,FALSE)*2)</f>
        <v>-5</v>
      </c>
      <c r="N469" t="str">
        <f ca="1">VLOOKUP(F469,INDIRECT("球種変換表!A$1:B$" &amp; Prams!$B$2),2,)</f>
        <v>全力ストレート</v>
      </c>
      <c r="O469">
        <f ca="1">VLOOKUP(N469,球種情報!A:B,2,FALSE)</f>
        <v>2</v>
      </c>
      <c r="P469">
        <f ca="1">VLOOKUP(K469,投手データ!B:AI,output!O469+6,FALSE)</f>
        <v>1</v>
      </c>
      <c r="R469">
        <f t="shared" ca="1" si="38"/>
        <v>6.9444444444444441E-3</v>
      </c>
      <c r="S469">
        <f t="shared" si="39"/>
        <v>0.46840277777777778</v>
      </c>
      <c r="T469">
        <f>Prams!B$5/(S469-Prams!B$6)</f>
        <v>151.48879979852572</v>
      </c>
      <c r="U469">
        <f t="shared" ca="1" si="40"/>
        <v>-9.8263888888888887E-2</v>
      </c>
      <c r="V469">
        <f ca="1">Prams!C$5/(U469-Prams!C$6)</f>
        <v>-255.61070850225678</v>
      </c>
      <c r="W469">
        <f t="shared" ca="1" si="41"/>
        <v>-1.7750743645990055</v>
      </c>
      <c r="X469" t="s">
        <v>1888</v>
      </c>
    </row>
    <row r="470" spans="1:24" hidden="1" x14ac:dyDescent="0.55000000000000004">
      <c r="A470" s="1" t="s">
        <v>1114</v>
      </c>
      <c r="B470" s="1">
        <v>127</v>
      </c>
      <c r="C470">
        <v>641.95001000000002</v>
      </c>
      <c r="D470">
        <v>620.5</v>
      </c>
      <c r="E470">
        <v>10.062519999999999</v>
      </c>
      <c r="F470" t="s">
        <v>343</v>
      </c>
      <c r="G470" s="10" t="s">
        <v>2463</v>
      </c>
      <c r="H470">
        <v>98</v>
      </c>
      <c r="I470" t="s">
        <v>545</v>
      </c>
      <c r="J470">
        <f ca="1">VLOOKUP(G470,INDIRECT("球速変換!A$1:B$" &amp; Prams!$B$8),2,)</f>
        <v>133</v>
      </c>
      <c r="K470" t="str">
        <f ca="1">VLOOKUP(I470,INDIRECT("投手名変換!A$1:B$" &amp; Prams!$B$9),2,)</f>
        <v>DD003</v>
      </c>
      <c r="L470">
        <f t="shared" si="42"/>
        <v>29</v>
      </c>
      <c r="M470">
        <f ca="1">(B470-VLOOKUP(K470,INDIRECT("投手データ!B1:D"&amp;Prams!$B$1),3,FALSE)*2)</f>
        <v>33</v>
      </c>
      <c r="N470" t="str">
        <f ca="1">VLOOKUP(F470,INDIRECT("球種変換表!A$1:B$" &amp; Prams!$B$2),2,)</f>
        <v>全力ストレート</v>
      </c>
      <c r="O470">
        <f ca="1">VLOOKUP(N470,球種情報!A:B,2,FALSE)</f>
        <v>2</v>
      </c>
      <c r="P470">
        <f ca="1">VLOOKUP(K470,投手データ!B:AI,output!O470+6,FALSE)</f>
        <v>1</v>
      </c>
      <c r="R470">
        <f t="shared" ca="1" si="38"/>
        <v>7.5187969924812026E-3</v>
      </c>
      <c r="S470">
        <f t="shared" si="39"/>
        <v>0.46909722222222222</v>
      </c>
      <c r="T470">
        <f>Prams!B$5/(S470-Prams!B$6)</f>
        <v>151.23145813939269</v>
      </c>
      <c r="U470">
        <f t="shared" ca="1" si="40"/>
        <v>0.53576388888888893</v>
      </c>
      <c r="V470">
        <f ca="1">Prams!C$5/(U470-Prams!C$6)</f>
        <v>157.6458255122929</v>
      </c>
      <c r="W470">
        <f t="shared" ca="1" si="41"/>
        <v>1.1853069587390443</v>
      </c>
    </row>
    <row r="471" spans="1:24" hidden="1" x14ac:dyDescent="0.55000000000000004">
      <c r="A471" s="1" t="s">
        <v>1116</v>
      </c>
      <c r="B471" s="1">
        <v>126</v>
      </c>
      <c r="C471">
        <v>639</v>
      </c>
      <c r="D471">
        <v>603.5</v>
      </c>
      <c r="E471">
        <v>10.012589999999999</v>
      </c>
      <c r="F471" t="s">
        <v>343</v>
      </c>
      <c r="G471" s="10" t="s">
        <v>2459</v>
      </c>
      <c r="H471">
        <v>98</v>
      </c>
      <c r="I471" t="s">
        <v>1160</v>
      </c>
      <c r="J471">
        <f ca="1">VLOOKUP(G471,INDIRECT("球速変換!A$1:B$" &amp; Prams!$B$8),2,)</f>
        <v>136</v>
      </c>
      <c r="K471" t="str">
        <f ca="1">VLOOKUP(I471,INDIRECT("投手名変換!A$1:B$" &amp; Prams!$B$9),2,)</f>
        <v>DD009</v>
      </c>
      <c r="L471">
        <f t="shared" si="42"/>
        <v>28</v>
      </c>
      <c r="M471">
        <f ca="1">(B471-VLOOKUP(K471,INDIRECT("投手データ!B1:D"&amp;Prams!$B$1),3,FALSE)*2)</f>
        <v>32</v>
      </c>
      <c r="N471" t="str">
        <f ca="1">VLOOKUP(F471,INDIRECT("球種変換表!A$1:B$" &amp; Prams!$B$2),2,)</f>
        <v>全力ストレート</v>
      </c>
      <c r="O471">
        <f ca="1">VLOOKUP(N471,球種情報!A:B,2,FALSE)</f>
        <v>2</v>
      </c>
      <c r="P471">
        <f ca="1">VLOOKUP(K471,投手データ!B:AI,output!O471+6,FALSE)</f>
        <v>1</v>
      </c>
      <c r="R471">
        <f t="shared" ca="1" si="38"/>
        <v>7.3529411764705881E-3</v>
      </c>
      <c r="S471">
        <f t="shared" si="39"/>
        <v>0.46423611111111113</v>
      </c>
      <c r="T471">
        <f>Prams!B$5/(S471-Prams!B$6)</f>
        <v>153.05143140073031</v>
      </c>
      <c r="U471">
        <f t="shared" ca="1" si="40"/>
        <v>0.53090277777777783</v>
      </c>
      <c r="V471">
        <f ca="1">Prams!C$5/(U471-Prams!C$6)</f>
        <v>159.62446836741279</v>
      </c>
      <c r="W471">
        <f t="shared" ca="1" si="41"/>
        <v>1.1737093262309763</v>
      </c>
    </row>
    <row r="472" spans="1:24" hidden="1" x14ac:dyDescent="0.55000000000000004">
      <c r="A472" s="1" t="s">
        <v>1118</v>
      </c>
      <c r="B472" s="1">
        <v>127</v>
      </c>
      <c r="C472">
        <v>641</v>
      </c>
      <c r="D472">
        <v>619.5</v>
      </c>
      <c r="E472">
        <v>11.01146</v>
      </c>
      <c r="F472" t="s">
        <v>343</v>
      </c>
      <c r="G472" s="10" t="s">
        <v>762</v>
      </c>
      <c r="H472">
        <v>98</v>
      </c>
      <c r="I472" t="s">
        <v>1117</v>
      </c>
      <c r="J472">
        <v>133</v>
      </c>
      <c r="K472" t="str">
        <f ca="1">VLOOKUP(I472,INDIRECT("投手名変換!A$1:B$" &amp; Prams!$B$9),2,)</f>
        <v>DD009</v>
      </c>
      <c r="L472">
        <f t="shared" si="42"/>
        <v>29</v>
      </c>
      <c r="M472">
        <f ca="1">(B472-VLOOKUP(K472,INDIRECT("投手データ!B1:D"&amp;Prams!$B$1),3,FALSE)*2)</f>
        <v>33</v>
      </c>
      <c r="N472" t="str">
        <f ca="1">VLOOKUP(F472,INDIRECT("球種変換表!A$1:B$" &amp; Prams!$B$2),2,)</f>
        <v>全力ストレート</v>
      </c>
      <c r="O472">
        <f ca="1">VLOOKUP(N472,球種情報!A:B,2,FALSE)</f>
        <v>2</v>
      </c>
      <c r="P472">
        <f ca="1">VLOOKUP(K472,投手データ!B:AI,output!O472+6,FALSE)</f>
        <v>1</v>
      </c>
      <c r="R472">
        <f t="shared" si="38"/>
        <v>7.5187969924812026E-3</v>
      </c>
      <c r="S472">
        <f t="shared" si="39"/>
        <v>0.46979166666666666</v>
      </c>
      <c r="T472">
        <f>Prams!B$5/(S472-Prams!B$6)</f>
        <v>150.97498931602192</v>
      </c>
      <c r="U472">
        <f t="shared" ca="1" si="40"/>
        <v>0.53645833333333337</v>
      </c>
      <c r="V472">
        <f ca="1">Prams!C$5/(U472-Prams!C$6)</f>
        <v>157.36715949345606</v>
      </c>
      <c r="W472">
        <f t="shared" ca="1" si="41"/>
        <v>1.1832117255147072</v>
      </c>
    </row>
    <row r="473" spans="1:24" hidden="1" x14ac:dyDescent="0.55000000000000004">
      <c r="A473" s="1" t="s">
        <v>1120</v>
      </c>
      <c r="B473" s="1">
        <v>126</v>
      </c>
      <c r="C473">
        <v>639</v>
      </c>
      <c r="D473">
        <v>603.5</v>
      </c>
      <c r="E473">
        <v>10.012589999999999</v>
      </c>
      <c r="F473" t="s">
        <v>343</v>
      </c>
      <c r="G473" s="10" t="s">
        <v>2459</v>
      </c>
      <c r="H473">
        <v>98</v>
      </c>
      <c r="I473" t="s">
        <v>1110</v>
      </c>
      <c r="J473">
        <f ca="1">VLOOKUP(G473,INDIRECT("球速変換!A$1:B$" &amp; Prams!$B$8),2,)</f>
        <v>136</v>
      </c>
      <c r="K473" t="str">
        <f ca="1">VLOOKUP(I473,INDIRECT("投手名変換!A$1:B$" &amp; Prams!$B$9),2,)</f>
        <v>DD009</v>
      </c>
      <c r="L473">
        <f t="shared" si="42"/>
        <v>28</v>
      </c>
      <c r="M473">
        <f ca="1">(B473-VLOOKUP(K473,INDIRECT("投手データ!B1:D"&amp;Prams!$B$1),3,FALSE)*2)</f>
        <v>32</v>
      </c>
      <c r="N473" t="str">
        <f ca="1">VLOOKUP(F473,INDIRECT("球種変換表!A$1:B$" &amp; Prams!$B$2),2,)</f>
        <v>全力ストレート</v>
      </c>
      <c r="O473">
        <f ca="1">VLOOKUP(N473,球種情報!A:B,2,FALSE)</f>
        <v>2</v>
      </c>
      <c r="P473">
        <f ca="1">VLOOKUP(K473,投手データ!B:AI,output!O473+6,FALSE)</f>
        <v>1</v>
      </c>
      <c r="R473">
        <f t="shared" ca="1" si="38"/>
        <v>7.3529411764705881E-3</v>
      </c>
      <c r="S473">
        <f t="shared" si="39"/>
        <v>0.46423611111111113</v>
      </c>
      <c r="T473">
        <f>Prams!B$5/(S473-Prams!B$6)</f>
        <v>153.05143140073031</v>
      </c>
      <c r="U473">
        <f t="shared" ca="1" si="40"/>
        <v>0.53090277777777783</v>
      </c>
      <c r="V473">
        <f ca="1">Prams!C$5/(U473-Prams!C$6)</f>
        <v>159.62446836741279</v>
      </c>
      <c r="W473">
        <f t="shared" ca="1" si="41"/>
        <v>1.1737093262309763</v>
      </c>
    </row>
    <row r="474" spans="1:24" hidden="1" x14ac:dyDescent="0.55000000000000004">
      <c r="A474" s="1" t="s">
        <v>1122</v>
      </c>
      <c r="B474" s="1">
        <v>127</v>
      </c>
      <c r="C474">
        <v>642.45239000000004</v>
      </c>
      <c r="D474">
        <v>622.5</v>
      </c>
      <c r="E474">
        <v>10.55955</v>
      </c>
      <c r="F474" t="s">
        <v>1625</v>
      </c>
      <c r="G474" s="10" t="s">
        <v>940</v>
      </c>
      <c r="H474">
        <v>98</v>
      </c>
      <c r="I474" t="s">
        <v>1687</v>
      </c>
      <c r="J474">
        <f ca="1">VLOOKUP(G474,INDIRECT("球速変換!A$1:B$" &amp; Prams!$B$8),2,)</f>
        <v>134</v>
      </c>
      <c r="K474" t="s">
        <v>1895</v>
      </c>
      <c r="L474">
        <f t="shared" si="42"/>
        <v>29</v>
      </c>
      <c r="M474">
        <f ca="1">(B474-VLOOKUP(K474,INDIRECT("投手データ!B1:D"&amp;Prams!$B$1),3,FALSE)*2)</f>
        <v>33</v>
      </c>
      <c r="N474" t="str">
        <f ca="1">VLOOKUP(F474,INDIRECT("球種変換表!A$1:B$" &amp; Prams!$B$2),2,)</f>
        <v>全力ストレート</v>
      </c>
      <c r="O474">
        <f ca="1">VLOOKUP(N474,球種情報!A:B,2,FALSE)</f>
        <v>2</v>
      </c>
      <c r="P474">
        <f ca="1">VLOOKUP(K474,投手データ!B:AI,output!O474+6,FALSE)</f>
        <v>1</v>
      </c>
      <c r="R474">
        <f t="shared" ca="1" si="38"/>
        <v>7.462686567164179E-3</v>
      </c>
      <c r="S474">
        <f t="shared" si="39"/>
        <v>0.46770833333333334</v>
      </c>
      <c r="T474">
        <f>Prams!B$5/(S474-Prams!B$6)</f>
        <v>151.74701875677556</v>
      </c>
      <c r="U474">
        <f t="shared" ca="1" si="40"/>
        <v>0.53437500000000004</v>
      </c>
      <c r="V474">
        <f ca="1">Prams!C$5/(U474-Prams!C$6)</f>
        <v>158.20612884652292</v>
      </c>
      <c r="W474">
        <f t="shared" ca="1" si="41"/>
        <v>1.1806427525859919</v>
      </c>
    </row>
    <row r="475" spans="1:24" hidden="1" x14ac:dyDescent="0.55000000000000004">
      <c r="A475" s="1" t="s">
        <v>1124</v>
      </c>
      <c r="B475" s="1">
        <v>126</v>
      </c>
      <c r="C475">
        <v>639</v>
      </c>
      <c r="D475">
        <v>603.5</v>
      </c>
      <c r="E475">
        <v>10.012589999999999</v>
      </c>
      <c r="F475" t="s">
        <v>531</v>
      </c>
      <c r="G475" s="10" t="s">
        <v>587</v>
      </c>
      <c r="H475">
        <v>98</v>
      </c>
      <c r="I475" t="s">
        <v>1102</v>
      </c>
      <c r="J475">
        <v>135</v>
      </c>
      <c r="K475" t="str">
        <f ca="1">VLOOKUP(I475,INDIRECT("投手名変換!A$1:B$" &amp; Prams!$B$9),2,)</f>
        <v>DD009</v>
      </c>
      <c r="L475">
        <f t="shared" si="42"/>
        <v>28</v>
      </c>
      <c r="M475">
        <f ca="1">(B475-VLOOKUP(K475,INDIRECT("投手データ!B1:D"&amp;Prams!$B$1),3,FALSE)*2)</f>
        <v>32</v>
      </c>
      <c r="N475" t="str">
        <f ca="1">VLOOKUP(F475,INDIRECT("球種変換表!A$1:B$" &amp; Prams!$B$2),2,)</f>
        <v>全力ストレート</v>
      </c>
      <c r="O475">
        <f ca="1">VLOOKUP(N475,球種情報!A:B,2,FALSE)</f>
        <v>2</v>
      </c>
      <c r="P475">
        <f ca="1">VLOOKUP(K475,投手データ!B:AI,output!O475+6,FALSE)</f>
        <v>1</v>
      </c>
      <c r="R475">
        <f t="shared" si="38"/>
        <v>7.4074074074074077E-3</v>
      </c>
      <c r="S475">
        <f t="shared" si="39"/>
        <v>0.46423611111111113</v>
      </c>
      <c r="T475">
        <f>Prams!B$5/(S475-Prams!B$6)</f>
        <v>153.05143140073031</v>
      </c>
      <c r="U475">
        <f t="shared" ca="1" si="40"/>
        <v>0.53090277777777783</v>
      </c>
      <c r="V475">
        <f ca="1">Prams!C$5/(U475-Prams!C$6)</f>
        <v>159.62446836741279</v>
      </c>
      <c r="W475">
        <f t="shared" ca="1" si="41"/>
        <v>1.1824034693882428</v>
      </c>
    </row>
    <row r="476" spans="1:24" hidden="1" x14ac:dyDescent="0.55000000000000004">
      <c r="A476" s="1" t="s">
        <v>1126</v>
      </c>
      <c r="B476" s="1">
        <v>127</v>
      </c>
      <c r="C476">
        <v>641.5</v>
      </c>
      <c r="D476">
        <v>616.5</v>
      </c>
      <c r="E476">
        <v>10.512</v>
      </c>
      <c r="F476" t="s">
        <v>343</v>
      </c>
      <c r="G476" s="10" t="s">
        <v>1012</v>
      </c>
      <c r="H476">
        <v>98</v>
      </c>
      <c r="I476" t="s">
        <v>1107</v>
      </c>
      <c r="J476">
        <f ca="1">VLOOKUP(G476,INDIRECT("球速変換!A$1:B$" &amp; Prams!$B$8),2,)</f>
        <v>132</v>
      </c>
      <c r="K476" t="str">
        <f ca="1">VLOOKUP(I476,INDIRECT("投手名変換!A$1:B$" &amp; Prams!$B$9),2,)</f>
        <v>DD009</v>
      </c>
      <c r="L476">
        <f t="shared" si="42"/>
        <v>29</v>
      </c>
      <c r="M476">
        <f ca="1">(B476-VLOOKUP(K476,INDIRECT("投手データ!B1:D"&amp;Prams!$B$1),3,FALSE)*2)</f>
        <v>33</v>
      </c>
      <c r="N476" t="str">
        <f ca="1">VLOOKUP(F476,INDIRECT("球種変換表!A$1:B$" &amp; Prams!$B$2),2,)</f>
        <v>全力ストレート</v>
      </c>
      <c r="O476">
        <f ca="1">VLOOKUP(N476,球種情報!A:B,2,FALSE)</f>
        <v>2</v>
      </c>
      <c r="P476">
        <f ca="1">VLOOKUP(K476,投手データ!B:AI,output!O476+6,FALSE)</f>
        <v>1</v>
      </c>
      <c r="R476">
        <f t="shared" ca="1" si="38"/>
        <v>7.575757575757576E-3</v>
      </c>
      <c r="S476">
        <f t="shared" si="39"/>
        <v>0.47187499999999999</v>
      </c>
      <c r="T476">
        <f>Prams!B$5/(S476-Prams!B$6)</f>
        <v>150.21077567879487</v>
      </c>
      <c r="U476">
        <f t="shared" ca="1" si="40"/>
        <v>0.5385416666666667</v>
      </c>
      <c r="V476">
        <f ca="1">Prams!C$5/(U476-Prams!C$6)</f>
        <v>156.53704133521828</v>
      </c>
      <c r="W476">
        <f t="shared" ca="1" si="41"/>
        <v>1.1858866767819567</v>
      </c>
    </row>
    <row r="477" spans="1:24" hidden="1" x14ac:dyDescent="0.55000000000000004">
      <c r="A477" s="1" t="s">
        <v>1128</v>
      </c>
      <c r="B477" s="1">
        <v>126</v>
      </c>
      <c r="C477">
        <v>639.5</v>
      </c>
      <c r="D477">
        <v>603.5</v>
      </c>
      <c r="E477">
        <v>10.512</v>
      </c>
      <c r="F477" t="s">
        <v>343</v>
      </c>
      <c r="G477" s="10" t="s">
        <v>2459</v>
      </c>
      <c r="H477">
        <v>98</v>
      </c>
      <c r="I477" t="s">
        <v>1117</v>
      </c>
      <c r="J477">
        <f ca="1">VLOOKUP(G477,INDIRECT("球速変換!A$1:B$" &amp; Prams!$B$8),2,)</f>
        <v>136</v>
      </c>
      <c r="K477" t="str">
        <f ca="1">VLOOKUP(I477,INDIRECT("投手名変換!A$1:B$" &amp; Prams!$B$9),2,)</f>
        <v>DD009</v>
      </c>
      <c r="L477">
        <f t="shared" si="42"/>
        <v>28</v>
      </c>
      <c r="M477">
        <f ca="1">(B477-VLOOKUP(K477,INDIRECT("投手データ!B1:D"&amp;Prams!$B$1),3,FALSE)*2)</f>
        <v>32</v>
      </c>
      <c r="N477" t="str">
        <f ca="1">VLOOKUP(F477,INDIRECT("球種変換表!A$1:B$" &amp; Prams!$B$2),2,)</f>
        <v>全力ストレート</v>
      </c>
      <c r="O477">
        <f ca="1">VLOOKUP(N477,球種情報!A:B,2,FALSE)</f>
        <v>2</v>
      </c>
      <c r="P477">
        <f ca="1">VLOOKUP(K477,投手データ!B:AI,output!O477+6,FALSE)</f>
        <v>1</v>
      </c>
      <c r="R477">
        <f t="shared" ca="1" si="38"/>
        <v>7.3529411764705881E-3</v>
      </c>
      <c r="S477">
        <f t="shared" si="39"/>
        <v>0.46423611111111113</v>
      </c>
      <c r="T477">
        <f>Prams!B$5/(S477-Prams!B$6)</f>
        <v>153.05143140073031</v>
      </c>
      <c r="U477">
        <f t="shared" ca="1" si="40"/>
        <v>0.53090277777777783</v>
      </c>
      <c r="V477">
        <f ca="1">Prams!C$5/(U477-Prams!C$6)</f>
        <v>159.62446836741279</v>
      </c>
      <c r="W477">
        <f t="shared" ca="1" si="41"/>
        <v>1.1737093262309763</v>
      </c>
    </row>
    <row r="478" spans="1:24" hidden="1" x14ac:dyDescent="0.55000000000000004">
      <c r="A478" s="1" t="s">
        <v>1130</v>
      </c>
      <c r="B478" s="1">
        <v>127</v>
      </c>
      <c r="C478">
        <v>642</v>
      </c>
      <c r="D478">
        <v>624</v>
      </c>
      <c r="E478">
        <v>10.04998</v>
      </c>
      <c r="F478" t="s">
        <v>343</v>
      </c>
      <c r="G478" s="10" t="s">
        <v>940</v>
      </c>
      <c r="H478">
        <v>98</v>
      </c>
      <c r="I478" t="s">
        <v>1688</v>
      </c>
      <c r="J478">
        <f ca="1">VLOOKUP(G478,INDIRECT("球速変換!A$1:B$" &amp; Prams!$B$8),2,)</f>
        <v>134</v>
      </c>
      <c r="K478" t="s">
        <v>1895</v>
      </c>
      <c r="L478">
        <f t="shared" si="42"/>
        <v>29</v>
      </c>
      <c r="M478">
        <f ca="1">(B478-VLOOKUP(K478,INDIRECT("投手データ!B1:D"&amp;Prams!$B$1),3,FALSE)*2)</f>
        <v>33</v>
      </c>
      <c r="N478" t="str">
        <f ca="1">VLOOKUP(F478,INDIRECT("球種変換表!A$1:B$" &amp; Prams!$B$2),2,)</f>
        <v>全力ストレート</v>
      </c>
      <c r="O478">
        <f ca="1">VLOOKUP(N478,球種情報!A:B,2,FALSE)</f>
        <v>2</v>
      </c>
      <c r="P478">
        <f ca="1">VLOOKUP(K478,投手データ!B:AI,output!O478+6,FALSE)</f>
        <v>1</v>
      </c>
      <c r="R478">
        <f t="shared" ca="1" si="38"/>
        <v>7.462686567164179E-3</v>
      </c>
      <c r="S478">
        <f t="shared" si="39"/>
        <v>0.46666666666666667</v>
      </c>
      <c r="T478">
        <f>Prams!B$5/(S478-Prams!B$6)</f>
        <v>152.13600196866543</v>
      </c>
      <c r="U478">
        <f t="shared" ca="1" si="40"/>
        <v>0.53333333333333333</v>
      </c>
      <c r="V478">
        <f ca="1">Prams!C$5/(U478-Prams!C$6)</f>
        <v>158.62897707834418</v>
      </c>
      <c r="W478">
        <f t="shared" ca="1" si="41"/>
        <v>1.1837983364055535</v>
      </c>
    </row>
    <row r="479" spans="1:24" hidden="1" x14ac:dyDescent="0.55000000000000004">
      <c r="A479" s="1" t="s">
        <v>1132</v>
      </c>
      <c r="B479" s="1">
        <v>135</v>
      </c>
      <c r="C479">
        <v>641.97497999999996</v>
      </c>
      <c r="D479">
        <v>607</v>
      </c>
      <c r="E479">
        <v>10.025119999999999</v>
      </c>
      <c r="F479" t="s">
        <v>15</v>
      </c>
      <c r="G479" s="10" t="s">
        <v>1328</v>
      </c>
      <c r="H479">
        <v>101</v>
      </c>
      <c r="I479">
        <v>0</v>
      </c>
      <c r="J479">
        <f ca="1">VLOOKUP(G479,INDIRECT("球速変換!A$1:B$" &amp; Prams!$B$8),2,)</f>
        <v>126</v>
      </c>
      <c r="K479" t="s">
        <v>1895</v>
      </c>
      <c r="L479">
        <f t="shared" si="42"/>
        <v>34</v>
      </c>
      <c r="M479">
        <f ca="1">(B479-VLOOKUP(K479,INDIRECT("投手データ!B1:D"&amp;Prams!$B$1),3,FALSE)*2)</f>
        <v>41</v>
      </c>
      <c r="N479" t="str">
        <f ca="1">VLOOKUP(F479,INDIRECT("球種変換表!A$1:B$" &amp; Prams!$B$2),2,)</f>
        <v>カットボール</v>
      </c>
      <c r="O479">
        <f ca="1">VLOOKUP(N479,球種情報!A:B,2,FALSE)</f>
        <v>8</v>
      </c>
      <c r="P479">
        <f ca="1">VLOOKUP(K479,投手データ!B:AI,output!O479+6,FALSE)</f>
        <v>4</v>
      </c>
      <c r="R479">
        <f t="shared" ca="1" si="38"/>
        <v>7.9365079365079361E-3</v>
      </c>
      <c r="S479">
        <f t="shared" si="39"/>
        <v>0.56180555555555556</v>
      </c>
      <c r="T479">
        <f>Prams!B$5/(S479-Prams!B$6)</f>
        <v>123.27480586234782</v>
      </c>
      <c r="U479">
        <f t="shared" ca="1" si="40"/>
        <v>0.67847222222222225</v>
      </c>
      <c r="V479">
        <f ca="1">Prams!C$5/(U479-Prams!C$6)</f>
        <v>115.58461522482006</v>
      </c>
      <c r="W479">
        <f t="shared" ca="1" si="41"/>
        <v>0.91733821607000043</v>
      </c>
    </row>
    <row r="480" spans="1:24" hidden="1" x14ac:dyDescent="0.55000000000000004">
      <c r="A480" s="1" t="s">
        <v>1133</v>
      </c>
      <c r="B480" s="1">
        <v>135</v>
      </c>
      <c r="C480">
        <v>650.42858999999999</v>
      </c>
      <c r="D480">
        <v>614</v>
      </c>
      <c r="E480">
        <v>10.6187</v>
      </c>
      <c r="F480" t="s">
        <v>15</v>
      </c>
      <c r="G480" s="10" t="s">
        <v>589</v>
      </c>
      <c r="H480">
        <v>101</v>
      </c>
      <c r="I480" t="s">
        <v>1121</v>
      </c>
      <c r="J480">
        <f ca="1">VLOOKUP(G480,INDIRECT("球速変換!A$1:B$" &amp; Prams!$B$8),2,)</f>
        <v>127</v>
      </c>
      <c r="K480" t="str">
        <f ca="1">VLOOKUP(I480,INDIRECT("投手名変換!A$1:B$" &amp; Prams!$B$9),2,)</f>
        <v>DD009</v>
      </c>
      <c r="L480">
        <f t="shared" si="42"/>
        <v>34</v>
      </c>
      <c r="M480">
        <f ca="1">(B480-VLOOKUP(K480,INDIRECT("投手データ!B1:D"&amp;Prams!$B$1),3,FALSE)*2)</f>
        <v>41</v>
      </c>
      <c r="N480" t="str">
        <f ca="1">VLOOKUP(F480,INDIRECT("球種変換表!A$1:B$" &amp; Prams!$B$2),2,)</f>
        <v>カットボール</v>
      </c>
      <c r="O480">
        <f ca="1">VLOOKUP(N480,球種情報!A:B,2,FALSE)</f>
        <v>8</v>
      </c>
      <c r="P480">
        <f ca="1">VLOOKUP(K480,投手データ!B:AI,output!O480+6,FALSE)</f>
        <v>4</v>
      </c>
      <c r="R480">
        <f t="shared" ca="1" si="38"/>
        <v>7.874015748031496E-3</v>
      </c>
      <c r="S480">
        <f t="shared" si="39"/>
        <v>0.55694444444444435</v>
      </c>
      <c r="T480">
        <f>Prams!B$5/(S480-Prams!B$6)</f>
        <v>124.4814085641416</v>
      </c>
      <c r="U480">
        <f t="shared" ca="1" si="40"/>
        <v>0.67361111111111105</v>
      </c>
      <c r="V480">
        <f ca="1">Prams!C$5/(U480-Prams!C$6)</f>
        <v>116.64472442925728</v>
      </c>
      <c r="W480">
        <f t="shared" ca="1" si="41"/>
        <v>0.91846239708076594</v>
      </c>
    </row>
    <row r="481" spans="1:23" hidden="1" x14ac:dyDescent="0.55000000000000004">
      <c r="A481" s="1" t="s">
        <v>1135</v>
      </c>
      <c r="B481" s="1">
        <v>135</v>
      </c>
      <c r="C481">
        <v>642.47619999999995</v>
      </c>
      <c r="D481">
        <v>613</v>
      </c>
      <c r="E481">
        <v>10.523899999999999</v>
      </c>
      <c r="F481" t="s">
        <v>15</v>
      </c>
      <c r="G481" s="10" t="s">
        <v>589</v>
      </c>
      <c r="H481">
        <v>101</v>
      </c>
      <c r="I481" t="s">
        <v>1117</v>
      </c>
      <c r="J481">
        <f ca="1">VLOOKUP(G481,INDIRECT("球速変換!A$1:B$" &amp; Prams!$B$8),2,)</f>
        <v>127</v>
      </c>
      <c r="K481" t="str">
        <f ca="1">VLOOKUP(I481,INDIRECT("投手名変換!A$1:B$" &amp; Prams!$B$9),2,)</f>
        <v>DD009</v>
      </c>
      <c r="L481">
        <f t="shared" si="42"/>
        <v>34</v>
      </c>
      <c r="M481">
        <f ca="1">(B481-VLOOKUP(K481,INDIRECT("投手データ!B1:D"&amp;Prams!$B$1),3,FALSE)*2)</f>
        <v>41</v>
      </c>
      <c r="N481" t="str">
        <f ca="1">VLOOKUP(F481,INDIRECT("球種変換表!A$1:B$" &amp; Prams!$B$2),2,)</f>
        <v>カットボール</v>
      </c>
      <c r="O481">
        <f ca="1">VLOOKUP(N481,球種情報!A:B,2,FALSE)</f>
        <v>8</v>
      </c>
      <c r="P481">
        <f ca="1">VLOOKUP(K481,投手データ!B:AI,output!O481+6,FALSE)</f>
        <v>4</v>
      </c>
      <c r="R481">
        <f t="shared" ca="1" si="38"/>
        <v>7.874015748031496E-3</v>
      </c>
      <c r="S481">
        <f t="shared" si="39"/>
        <v>0.55763888888888891</v>
      </c>
      <c r="T481">
        <f>Prams!B$5/(S481-Prams!B$6)</f>
        <v>124.30759263189643</v>
      </c>
      <c r="U481">
        <f t="shared" ca="1" si="40"/>
        <v>0.6743055555555556</v>
      </c>
      <c r="V481">
        <f ca="1">Prams!C$5/(U481-Prams!C$6)</f>
        <v>116.49209124121977</v>
      </c>
      <c r="W481">
        <f t="shared" ca="1" si="41"/>
        <v>0.91726056095448638</v>
      </c>
    </row>
    <row r="482" spans="1:23" hidden="1" x14ac:dyDescent="0.55000000000000004">
      <c r="A482" s="1" t="s">
        <v>1137</v>
      </c>
      <c r="B482" s="1">
        <v>135</v>
      </c>
      <c r="C482">
        <v>650.5</v>
      </c>
      <c r="D482">
        <v>617.5</v>
      </c>
      <c r="E482">
        <v>10.6067</v>
      </c>
      <c r="F482" t="s">
        <v>15</v>
      </c>
      <c r="G482" s="10" t="s">
        <v>624</v>
      </c>
      <c r="H482">
        <v>101</v>
      </c>
      <c r="I482" t="s">
        <v>2150</v>
      </c>
      <c r="J482">
        <f ca="1">VLOOKUP(G482,INDIRECT("球速変換!A$1:B$" &amp; Prams!$B$8),2,)</f>
        <v>128</v>
      </c>
      <c r="K482" t="s">
        <v>1895</v>
      </c>
      <c r="L482">
        <f t="shared" si="42"/>
        <v>34</v>
      </c>
      <c r="M482">
        <f ca="1">(B482-VLOOKUP(K482,INDIRECT("投手データ!B1:D"&amp;Prams!$B$1),3,FALSE)*2)</f>
        <v>41</v>
      </c>
      <c r="N482" t="str">
        <f ca="1">VLOOKUP(F482,INDIRECT("球種変換表!A$1:B$" &amp; Prams!$B$2),2,)</f>
        <v>カットボール</v>
      </c>
      <c r="O482">
        <f ca="1">VLOOKUP(N482,球種情報!A:B,2,FALSE)</f>
        <v>8</v>
      </c>
      <c r="P482">
        <f ca="1">VLOOKUP(K482,投手データ!B:AI,output!O482+6,FALSE)</f>
        <v>4</v>
      </c>
      <c r="R482">
        <f t="shared" ca="1" si="38"/>
        <v>7.8125E-3</v>
      </c>
      <c r="S482">
        <f t="shared" si="39"/>
        <v>0.55451388888888897</v>
      </c>
      <c r="T482">
        <f>Prams!B$5/(S482-Prams!B$6)</f>
        <v>125.09361106583405</v>
      </c>
      <c r="U482">
        <f t="shared" ca="1" si="40"/>
        <v>0.67118055555555556</v>
      </c>
      <c r="V482">
        <f ca="1">Prams!C$5/(U482-Prams!C$6)</f>
        <v>117.18210489182802</v>
      </c>
      <c r="W482">
        <f t="shared" ca="1" si="41"/>
        <v>0.91548519446740639</v>
      </c>
    </row>
    <row r="483" spans="1:23" hidden="1" x14ac:dyDescent="0.55000000000000004">
      <c r="A483" s="1" t="s">
        <v>1138</v>
      </c>
      <c r="B483" s="1">
        <v>135</v>
      </c>
      <c r="C483">
        <v>647.5</v>
      </c>
      <c r="D483">
        <v>616.5</v>
      </c>
      <c r="E483">
        <v>10.512</v>
      </c>
      <c r="F483" t="s">
        <v>15</v>
      </c>
      <c r="G483" s="10" t="s">
        <v>2461</v>
      </c>
      <c r="H483">
        <v>101</v>
      </c>
      <c r="I483" t="s">
        <v>1689</v>
      </c>
      <c r="J483">
        <f ca="1">VLOOKUP(G483,INDIRECT("球速変換!A$1:B$" &amp; Prams!$B$8),2,)</f>
        <v>128</v>
      </c>
      <c r="K483" t="s">
        <v>1895</v>
      </c>
      <c r="L483">
        <f t="shared" si="42"/>
        <v>34</v>
      </c>
      <c r="M483">
        <f ca="1">(B483-VLOOKUP(K483,INDIRECT("投手データ!B1:D"&amp;Prams!$B$1),3,FALSE)*2)</f>
        <v>41</v>
      </c>
      <c r="N483" t="str">
        <f ca="1">VLOOKUP(F483,INDIRECT("球種変換表!A$1:B$" &amp; Prams!$B$2),2,)</f>
        <v>カットボール</v>
      </c>
      <c r="O483">
        <f ca="1">VLOOKUP(N483,球種情報!A:B,2,FALSE)</f>
        <v>8</v>
      </c>
      <c r="P483">
        <f ca="1">VLOOKUP(K483,投手データ!B:AI,output!O483+6,FALSE)</f>
        <v>4</v>
      </c>
      <c r="R483">
        <f t="shared" ca="1" si="38"/>
        <v>7.8125E-3</v>
      </c>
      <c r="S483">
        <f t="shared" si="39"/>
        <v>0.5552083333333333</v>
      </c>
      <c r="T483">
        <f>Prams!B$5/(S483-Prams!B$6)</f>
        <v>124.91808247318528</v>
      </c>
      <c r="U483">
        <f t="shared" ca="1" si="40"/>
        <v>0.671875</v>
      </c>
      <c r="V483">
        <f ca="1">Prams!C$5/(U483-Prams!C$6)</f>
        <v>117.0280630353509</v>
      </c>
      <c r="W483">
        <f t="shared" ca="1" si="41"/>
        <v>0.91428174246367888</v>
      </c>
    </row>
    <row r="484" spans="1:23" hidden="1" x14ac:dyDescent="0.55000000000000004">
      <c r="A484" s="1" t="s">
        <v>1139</v>
      </c>
      <c r="B484" s="1">
        <v>135</v>
      </c>
      <c r="C484">
        <v>654.5</v>
      </c>
      <c r="D484">
        <v>609</v>
      </c>
      <c r="E484">
        <v>10.547610000000001</v>
      </c>
      <c r="F484" t="s">
        <v>15</v>
      </c>
      <c r="G484" s="10" t="s">
        <v>588</v>
      </c>
      <c r="H484">
        <v>101</v>
      </c>
      <c r="I484" t="s">
        <v>1671</v>
      </c>
      <c r="J484">
        <f ca="1">VLOOKUP(G484,INDIRECT("球速変換!A$1:B$" &amp; Prams!$B$8),2,)</f>
        <v>126</v>
      </c>
      <c r="K484" t="s">
        <v>1895</v>
      </c>
      <c r="L484">
        <f t="shared" si="42"/>
        <v>34</v>
      </c>
      <c r="M484">
        <f ca="1">(B484-VLOOKUP(K484,INDIRECT("投手データ!B1:D"&amp;Prams!$B$1),3,FALSE)*2)</f>
        <v>41</v>
      </c>
      <c r="N484" t="str">
        <f ca="1">VLOOKUP(F484,INDIRECT("球種変換表!A$1:B$" &amp; Prams!$B$2),2,)</f>
        <v>カットボール</v>
      </c>
      <c r="O484">
        <f ca="1">VLOOKUP(N484,球種情報!A:B,2,FALSE)</f>
        <v>8</v>
      </c>
      <c r="P484">
        <f ca="1">VLOOKUP(K484,投手データ!B:AI,output!O484+6,FALSE)</f>
        <v>4</v>
      </c>
      <c r="R484">
        <f t="shared" ca="1" si="38"/>
        <v>7.9365079365079361E-3</v>
      </c>
      <c r="S484">
        <f t="shared" si="39"/>
        <v>0.56041666666666667</v>
      </c>
      <c r="T484">
        <f>Prams!B$5/(S484-Prams!B$6)</f>
        <v>123.61715599693406</v>
      </c>
      <c r="U484">
        <f t="shared" ca="1" si="40"/>
        <v>0.67708333333333337</v>
      </c>
      <c r="V484">
        <f ca="1">Prams!C$5/(U484-Prams!C$6)</f>
        <v>115.88553219407042</v>
      </c>
      <c r="W484">
        <f t="shared" ca="1" si="41"/>
        <v>0.91972644598468589</v>
      </c>
    </row>
    <row r="485" spans="1:23" hidden="1" x14ac:dyDescent="0.55000000000000004">
      <c r="A485" s="1" t="s">
        <v>1140</v>
      </c>
      <c r="B485" s="1">
        <v>135</v>
      </c>
      <c r="C485">
        <v>646.5</v>
      </c>
      <c r="D485">
        <v>617.5</v>
      </c>
      <c r="E485">
        <v>10.512</v>
      </c>
      <c r="F485" t="s">
        <v>15</v>
      </c>
      <c r="G485" s="10" t="s">
        <v>591</v>
      </c>
      <c r="H485">
        <v>101</v>
      </c>
      <c r="I485" t="s">
        <v>1134</v>
      </c>
      <c r="J485">
        <f ca="1">VLOOKUP(G485,INDIRECT("球速変換!A$1:B$" &amp; Prams!$B$8),2,)</f>
        <v>128</v>
      </c>
      <c r="K485" t="str">
        <f ca="1">VLOOKUP(I485,INDIRECT("投手名変換!A$1:B$" &amp; Prams!$B$9),2,)</f>
        <v>DD009</v>
      </c>
      <c r="L485">
        <f t="shared" si="42"/>
        <v>34</v>
      </c>
      <c r="M485">
        <f ca="1">(B485-VLOOKUP(K485,INDIRECT("投手データ!B1:D"&amp;Prams!$B$1),3,FALSE)*2)</f>
        <v>41</v>
      </c>
      <c r="N485" t="str">
        <f ca="1">VLOOKUP(F485,INDIRECT("球種変換表!A$1:B$" &amp; Prams!$B$2),2,)</f>
        <v>カットボール</v>
      </c>
      <c r="O485">
        <f ca="1">VLOOKUP(N485,球種情報!A:B,2,FALSE)</f>
        <v>8</v>
      </c>
      <c r="P485">
        <f ca="1">VLOOKUP(K485,投手データ!B:AI,output!O485+6,FALSE)</f>
        <v>4</v>
      </c>
      <c r="R485">
        <f t="shared" ca="1" si="38"/>
        <v>7.8125E-3</v>
      </c>
      <c r="S485">
        <f t="shared" si="39"/>
        <v>0.55451388888888897</v>
      </c>
      <c r="T485">
        <f>Prams!B$5/(S485-Prams!B$6)</f>
        <v>125.09361106583405</v>
      </c>
      <c r="U485">
        <f t="shared" ca="1" si="40"/>
        <v>0.67118055555555556</v>
      </c>
      <c r="V485">
        <f ca="1">Prams!C$5/(U485-Prams!C$6)</f>
        <v>117.18210489182802</v>
      </c>
      <c r="W485">
        <f t="shared" ca="1" si="41"/>
        <v>0.91548519446740639</v>
      </c>
    </row>
    <row r="486" spans="1:23" hidden="1" x14ac:dyDescent="0.55000000000000004">
      <c r="A486" s="1" t="s">
        <v>1141</v>
      </c>
      <c r="B486" s="1">
        <v>135</v>
      </c>
      <c r="C486">
        <v>652</v>
      </c>
      <c r="D486">
        <v>609</v>
      </c>
      <c r="E486">
        <v>11.04546</v>
      </c>
      <c r="F486" t="s">
        <v>15</v>
      </c>
      <c r="G486" s="10" t="s">
        <v>588</v>
      </c>
      <c r="H486">
        <v>101</v>
      </c>
      <c r="I486" t="s">
        <v>1105</v>
      </c>
      <c r="J486">
        <f ca="1">VLOOKUP(G486,INDIRECT("球速変換!A$1:B$" &amp; Prams!$B$8),2,)</f>
        <v>126</v>
      </c>
      <c r="K486" t="str">
        <f ca="1">VLOOKUP(I486,INDIRECT("投手名変換!A$1:B$" &amp; Prams!$B$9),2,)</f>
        <v>DD009</v>
      </c>
      <c r="L486">
        <f t="shared" si="42"/>
        <v>34</v>
      </c>
      <c r="M486">
        <f ca="1">(B486-VLOOKUP(K486,INDIRECT("投手データ!B1:D"&amp;Prams!$B$1),3,FALSE)*2)</f>
        <v>41</v>
      </c>
      <c r="N486" t="str">
        <f ca="1">VLOOKUP(F486,INDIRECT("球種変換表!A$1:B$" &amp; Prams!$B$2),2,)</f>
        <v>カットボール</v>
      </c>
      <c r="O486">
        <f ca="1">VLOOKUP(N486,球種情報!A:B,2,FALSE)</f>
        <v>8</v>
      </c>
      <c r="P486">
        <f ca="1">VLOOKUP(K486,投手データ!B:AI,output!O486+6,FALSE)</f>
        <v>4</v>
      </c>
      <c r="R486">
        <f t="shared" ca="1" si="38"/>
        <v>7.9365079365079361E-3</v>
      </c>
      <c r="S486">
        <f t="shared" si="39"/>
        <v>0.56041666666666667</v>
      </c>
      <c r="T486">
        <f>Prams!B$5/(S486-Prams!B$6)</f>
        <v>123.61715599693406</v>
      </c>
      <c r="U486">
        <f t="shared" ca="1" si="40"/>
        <v>0.67708333333333337</v>
      </c>
      <c r="V486">
        <f ca="1">Prams!C$5/(U486-Prams!C$6)</f>
        <v>115.88553219407042</v>
      </c>
      <c r="W486">
        <f t="shared" ca="1" si="41"/>
        <v>0.91972644598468589</v>
      </c>
    </row>
    <row r="487" spans="1:23" hidden="1" x14ac:dyDescent="0.55000000000000004">
      <c r="A487" s="1" t="s">
        <v>1143</v>
      </c>
      <c r="B487" s="1">
        <v>135</v>
      </c>
      <c r="C487">
        <v>645.5</v>
      </c>
      <c r="D487">
        <v>608</v>
      </c>
      <c r="E487">
        <v>10.5001</v>
      </c>
      <c r="F487" t="s">
        <v>15</v>
      </c>
      <c r="G487" s="10" t="s">
        <v>2419</v>
      </c>
      <c r="H487">
        <v>101</v>
      </c>
      <c r="I487" t="s">
        <v>1690</v>
      </c>
      <c r="J487">
        <f ca="1">VLOOKUP(G487,INDIRECT("球速変換!A$1:B$" &amp; Prams!$B$8),2,)</f>
        <v>126</v>
      </c>
      <c r="K487" t="s">
        <v>1895</v>
      </c>
      <c r="L487">
        <f t="shared" si="42"/>
        <v>34</v>
      </c>
      <c r="M487">
        <f ca="1">(B487-VLOOKUP(K487,INDIRECT("投手データ!B1:D"&amp;Prams!$B$1),3,FALSE)*2)</f>
        <v>41</v>
      </c>
      <c r="N487" t="str">
        <f ca="1">VLOOKUP(F487,INDIRECT("球種変換表!A$1:B$" &amp; Prams!$B$2),2,)</f>
        <v>カットボール</v>
      </c>
      <c r="O487">
        <f ca="1">VLOOKUP(N487,球種情報!A:B,2,FALSE)</f>
        <v>8</v>
      </c>
      <c r="P487">
        <f ca="1">VLOOKUP(K487,投手データ!B:AI,output!O487+6,FALSE)</f>
        <v>4</v>
      </c>
      <c r="R487">
        <f t="shared" ca="1" si="38"/>
        <v>7.9365079365079361E-3</v>
      </c>
      <c r="S487">
        <f t="shared" si="39"/>
        <v>0.56111111111111112</v>
      </c>
      <c r="T487">
        <f>Prams!B$5/(S487-Prams!B$6)</f>
        <v>123.44574357153951</v>
      </c>
      <c r="U487">
        <f t="shared" ca="1" si="40"/>
        <v>0.6777777777777777</v>
      </c>
      <c r="V487">
        <f ca="1">Prams!C$5/(U487-Prams!C$6)</f>
        <v>115.73487810965973</v>
      </c>
      <c r="W487">
        <f t="shared" ca="1" si="41"/>
        <v>0.91853077864809307</v>
      </c>
    </row>
    <row r="488" spans="1:23" hidden="1" x14ac:dyDescent="0.55000000000000004">
      <c r="A488" s="1" t="s">
        <v>1145</v>
      </c>
      <c r="B488" s="1">
        <v>135</v>
      </c>
      <c r="C488">
        <v>658.47619999999995</v>
      </c>
      <c r="D488">
        <v>617</v>
      </c>
      <c r="E488">
        <v>10.523899999999999</v>
      </c>
      <c r="F488" t="s">
        <v>15</v>
      </c>
      <c r="G488" s="10" t="s">
        <v>625</v>
      </c>
      <c r="H488">
        <v>101</v>
      </c>
      <c r="I488">
        <v>0</v>
      </c>
      <c r="J488">
        <f ca="1">VLOOKUP(G488,INDIRECT("球速変換!A$1:B$" &amp; Prams!$B$8),2,)</f>
        <v>123</v>
      </c>
      <c r="K488" t="s">
        <v>1895</v>
      </c>
      <c r="L488">
        <f t="shared" si="42"/>
        <v>34</v>
      </c>
      <c r="M488">
        <f ca="1">(B488-VLOOKUP(K488,INDIRECT("投手データ!B1:D"&amp;Prams!$B$1),3,FALSE)*2)</f>
        <v>41</v>
      </c>
      <c r="N488" t="str">
        <f ca="1">VLOOKUP(F488,INDIRECT("球種変換表!A$1:B$" &amp; Prams!$B$2),2,)</f>
        <v>カットボール</v>
      </c>
      <c r="O488">
        <f ca="1">VLOOKUP(N488,球種情報!A:B,2,FALSE)</f>
        <v>8</v>
      </c>
      <c r="P488">
        <f ca="1">VLOOKUP(K488,投手データ!B:AI,output!O488+6,FALSE)</f>
        <v>4</v>
      </c>
      <c r="R488">
        <f t="shared" ca="1" si="38"/>
        <v>8.130081300813009E-3</v>
      </c>
      <c r="S488">
        <f t="shared" si="39"/>
        <v>0.55486111111111103</v>
      </c>
      <c r="T488">
        <f>Prams!B$5/(S488-Prams!B$6)</f>
        <v>125.00578515181813</v>
      </c>
      <c r="U488">
        <f t="shared" ca="1" si="40"/>
        <v>0.67152777777777772</v>
      </c>
      <c r="V488">
        <f ca="1">Prams!C$5/(U488-Prams!C$6)</f>
        <v>117.10503330632346</v>
      </c>
      <c r="W488">
        <f t="shared" ca="1" si="41"/>
        <v>0.95207344151482487</v>
      </c>
    </row>
    <row r="489" spans="1:23" hidden="1" x14ac:dyDescent="0.55000000000000004">
      <c r="A489" s="1" t="s">
        <v>1147</v>
      </c>
      <c r="B489" s="1">
        <v>135</v>
      </c>
      <c r="C489">
        <v>639</v>
      </c>
      <c r="D489">
        <v>611.5</v>
      </c>
      <c r="E489">
        <v>11.01146</v>
      </c>
      <c r="F489" t="s">
        <v>6</v>
      </c>
      <c r="G489" s="10" t="s">
        <v>2429</v>
      </c>
      <c r="H489">
        <v>98</v>
      </c>
      <c r="I489" t="s">
        <v>1121</v>
      </c>
      <c r="J489">
        <f ca="1">VLOOKUP(G489,INDIRECT("球速変換!A$1:B$" &amp; Prams!$B$8),2,)</f>
        <v>118</v>
      </c>
      <c r="K489" t="str">
        <f ca="1">VLOOKUP(I489,INDIRECT("投手名変換!A$1:B$" &amp; Prams!$B$9),2,)</f>
        <v>DD009</v>
      </c>
      <c r="L489">
        <f t="shared" si="42"/>
        <v>37</v>
      </c>
      <c r="M489">
        <f ca="1">(B489-VLOOKUP(K489,INDIRECT("投手データ!B1:D"&amp;Prams!$B$1),3,FALSE)*2)</f>
        <v>41</v>
      </c>
      <c r="N489" t="str">
        <f ca="1">VLOOKUP(F489,INDIRECT("球種変換表!A$1:B$" &amp; Prams!$B$2),2,)</f>
        <v>フォーク</v>
      </c>
      <c r="O489">
        <f ca="1">VLOOKUP(N489,球種情報!A:B,2,FALSE)</f>
        <v>16</v>
      </c>
      <c r="P489">
        <f ca="1">VLOOKUP(K489,投手データ!B:AI,output!O489+6,FALSE)</f>
        <v>3</v>
      </c>
      <c r="R489">
        <f t="shared" ca="1" si="38"/>
        <v>8.4745762711864406E-3</v>
      </c>
      <c r="S489">
        <f t="shared" si="39"/>
        <v>0.60868055555555556</v>
      </c>
      <c r="T489">
        <f>Prams!B$5/(S489-Prams!B$6)</f>
        <v>112.7374035670687</v>
      </c>
      <c r="U489">
        <f t="shared" ca="1" si="40"/>
        <v>0.67534722222222221</v>
      </c>
      <c r="V489">
        <f ca="1">Prams!C$5/(U489-Prams!C$6)</f>
        <v>116.26388896144265</v>
      </c>
      <c r="W489">
        <f t="shared" ca="1" si="41"/>
        <v>0.98528719458849701</v>
      </c>
    </row>
    <row r="490" spans="1:23" hidden="1" x14ac:dyDescent="0.55000000000000004">
      <c r="A490" s="1" t="s">
        <v>1148</v>
      </c>
      <c r="B490" s="1">
        <v>136</v>
      </c>
      <c r="C490">
        <v>644.54760999999996</v>
      </c>
      <c r="D490">
        <v>616.5</v>
      </c>
      <c r="E490">
        <v>10.55958</v>
      </c>
      <c r="F490" t="s">
        <v>6</v>
      </c>
      <c r="G490" s="10" t="s">
        <v>2465</v>
      </c>
      <c r="H490">
        <v>98</v>
      </c>
      <c r="I490" t="s">
        <v>1691</v>
      </c>
      <c r="J490">
        <f ca="1">VLOOKUP(G490,INDIRECT("球速変換!A$1:B$" &amp; Prams!$B$8),2,)</f>
        <v>116</v>
      </c>
      <c r="K490" t="s">
        <v>1895</v>
      </c>
      <c r="L490">
        <f t="shared" si="42"/>
        <v>38</v>
      </c>
      <c r="M490">
        <f ca="1">(B490-VLOOKUP(K490,INDIRECT("投手データ!B1:D"&amp;Prams!$B$1),3,FALSE)*2)</f>
        <v>42</v>
      </c>
      <c r="N490" t="str">
        <f ca="1">VLOOKUP(F490,INDIRECT("球種変換表!A$1:B$" &amp; Prams!$B$2),2,)</f>
        <v>フォーク</v>
      </c>
      <c r="O490">
        <f ca="1">VLOOKUP(N490,球種情報!A:B,2,FALSE)</f>
        <v>16</v>
      </c>
      <c r="P490">
        <f ca="1">VLOOKUP(K490,投手データ!B:AI,output!O490+6,FALSE)</f>
        <v>3</v>
      </c>
      <c r="R490">
        <f t="shared" ca="1" si="38"/>
        <v>8.6206896551724137E-3</v>
      </c>
      <c r="S490">
        <f t="shared" si="39"/>
        <v>0.62187499999999996</v>
      </c>
      <c r="T490">
        <f>Prams!B$5/(S490-Prams!B$6)</f>
        <v>110.08859012598496</v>
      </c>
      <c r="U490">
        <f t="shared" ca="1" si="40"/>
        <v>0.68854166666666672</v>
      </c>
      <c r="V490">
        <f ca="1">Prams!C$5/(U490-Prams!C$6)</f>
        <v>113.44884008991788</v>
      </c>
      <c r="W490">
        <f t="shared" ca="1" si="41"/>
        <v>0.97800724215446444</v>
      </c>
    </row>
    <row r="491" spans="1:23" hidden="1" x14ac:dyDescent="0.55000000000000004">
      <c r="A491" s="1" t="s">
        <v>1150</v>
      </c>
      <c r="B491" s="1">
        <v>135</v>
      </c>
      <c r="C491">
        <v>642.5</v>
      </c>
      <c r="D491">
        <v>610</v>
      </c>
      <c r="E491">
        <v>10.547610000000001</v>
      </c>
      <c r="F491" t="s">
        <v>6</v>
      </c>
      <c r="G491" s="10" t="s">
        <v>1692</v>
      </c>
      <c r="H491">
        <v>98</v>
      </c>
      <c r="I491" t="s">
        <v>1105</v>
      </c>
      <c r="J491">
        <v>118</v>
      </c>
      <c r="K491" t="str">
        <f ca="1">VLOOKUP(I491,INDIRECT("投手名変換!A$1:B$" &amp; Prams!$B$9),2,)</f>
        <v>DD009</v>
      </c>
      <c r="L491">
        <f t="shared" si="42"/>
        <v>37</v>
      </c>
      <c r="M491">
        <f ca="1">(B491-VLOOKUP(K491,INDIRECT("投手データ!B1:D"&amp;Prams!$B$1),3,FALSE)*2)</f>
        <v>41</v>
      </c>
      <c r="N491" t="str">
        <f ca="1">VLOOKUP(F491,INDIRECT("球種変換表!A$1:B$" &amp; Prams!$B$2),2,)</f>
        <v>フォーク</v>
      </c>
      <c r="O491">
        <f ca="1">VLOOKUP(N491,球種情報!A:B,2,FALSE)</f>
        <v>16</v>
      </c>
      <c r="P491">
        <f ca="1">VLOOKUP(K491,投手データ!B:AI,output!O491+6,FALSE)</f>
        <v>3</v>
      </c>
      <c r="R491">
        <f t="shared" si="38"/>
        <v>8.4745762711864406E-3</v>
      </c>
      <c r="S491">
        <f t="shared" si="39"/>
        <v>0.60972222222222228</v>
      </c>
      <c r="T491">
        <f>Prams!B$5/(S491-Prams!B$6)</f>
        <v>112.52366121986734</v>
      </c>
      <c r="U491">
        <f t="shared" ca="1" si="40"/>
        <v>0.67638888888888893</v>
      </c>
      <c r="V491">
        <f ca="1">Prams!C$5/(U491-Prams!C$6)</f>
        <v>116.03657900773705</v>
      </c>
      <c r="W491">
        <f t="shared" ca="1" si="41"/>
        <v>0.98336083904861904</v>
      </c>
    </row>
    <row r="492" spans="1:23" hidden="1" x14ac:dyDescent="0.55000000000000004">
      <c r="A492" s="1" t="s">
        <v>1151</v>
      </c>
      <c r="B492" s="1">
        <v>135</v>
      </c>
      <c r="C492">
        <v>645</v>
      </c>
      <c r="D492">
        <v>604</v>
      </c>
      <c r="E492">
        <v>10.04998</v>
      </c>
      <c r="F492" t="s">
        <v>6</v>
      </c>
      <c r="G492" s="10" t="s">
        <v>631</v>
      </c>
      <c r="H492">
        <v>98</v>
      </c>
      <c r="I492" t="s">
        <v>1693</v>
      </c>
      <c r="J492">
        <f ca="1">VLOOKUP(G492,INDIRECT("球速変換!A$1:B$" &amp; Prams!$B$8),2,)</f>
        <v>117</v>
      </c>
      <c r="K492" t="s">
        <v>1895</v>
      </c>
      <c r="L492">
        <f t="shared" si="42"/>
        <v>37</v>
      </c>
      <c r="M492">
        <f ca="1">(B492-VLOOKUP(K492,INDIRECT("投手データ!B1:D"&amp;Prams!$B$1),3,FALSE)*2)</f>
        <v>41</v>
      </c>
      <c r="N492" t="str">
        <f ca="1">VLOOKUP(F492,INDIRECT("球種変換表!A$1:B$" &amp; Prams!$B$2),2,)</f>
        <v>フォーク</v>
      </c>
      <c r="O492">
        <f ca="1">VLOOKUP(N492,球種情報!A:B,2,FALSE)</f>
        <v>16</v>
      </c>
      <c r="P492">
        <f ca="1">VLOOKUP(K492,投手データ!B:AI,output!O492+6,FALSE)</f>
        <v>3</v>
      </c>
      <c r="R492">
        <f t="shared" ca="1" si="38"/>
        <v>8.5470085470085479E-3</v>
      </c>
      <c r="S492">
        <f t="shared" si="39"/>
        <v>0.61388888888888893</v>
      </c>
      <c r="T492">
        <f>Prams!B$5/(S492-Prams!B$6)</f>
        <v>111.6767356441804</v>
      </c>
      <c r="U492">
        <f t="shared" ca="1" si="40"/>
        <v>0.68055555555555558</v>
      </c>
      <c r="V492">
        <f ca="1">Prams!C$5/(U492-Prams!C$6)</f>
        <v>115.1361585895791</v>
      </c>
      <c r="W492">
        <f t="shared" ca="1" si="41"/>
        <v>0.9840697315348641</v>
      </c>
    </row>
    <row r="493" spans="1:23" hidden="1" x14ac:dyDescent="0.55000000000000004">
      <c r="A493" s="1" t="s">
        <v>1154</v>
      </c>
      <c r="B493" s="1">
        <v>135</v>
      </c>
      <c r="C493">
        <v>642.47619999999995</v>
      </c>
      <c r="D493">
        <v>605</v>
      </c>
      <c r="E493">
        <v>10.523899999999999</v>
      </c>
      <c r="F493" t="s">
        <v>1152</v>
      </c>
      <c r="G493" s="10" t="s">
        <v>631</v>
      </c>
      <c r="H493">
        <v>98</v>
      </c>
      <c r="I493" t="s">
        <v>1694</v>
      </c>
      <c r="J493">
        <f ca="1">VLOOKUP(G493,INDIRECT("球速変換!A$1:B$" &amp; Prams!$B$8),2,)</f>
        <v>117</v>
      </c>
      <c r="K493" t="s">
        <v>1895</v>
      </c>
      <c r="L493">
        <f t="shared" si="42"/>
        <v>37</v>
      </c>
      <c r="M493">
        <f ca="1">(B493-VLOOKUP(K493,INDIRECT("投手データ!B1:D"&amp;Prams!$B$1),3,FALSE)*2)</f>
        <v>41</v>
      </c>
      <c r="N493" t="str">
        <f ca="1">VLOOKUP(F493,INDIRECT("球種変換表!A$1:B$" &amp; Prams!$B$2),2,)</f>
        <v>フォーク</v>
      </c>
      <c r="O493">
        <f ca="1">VLOOKUP(N493,球種情報!A:B,2,FALSE)</f>
        <v>16</v>
      </c>
      <c r="P493">
        <f ca="1">VLOOKUP(K493,投手データ!B:AI,output!O493+6,FALSE)</f>
        <v>3</v>
      </c>
      <c r="R493">
        <f t="shared" ca="1" si="38"/>
        <v>8.5470085470085479E-3</v>
      </c>
      <c r="S493">
        <f t="shared" si="39"/>
        <v>0.61319444444444438</v>
      </c>
      <c r="T493">
        <f>Prams!B$5/(S493-Prams!B$6)</f>
        <v>111.81700344650879</v>
      </c>
      <c r="U493">
        <f t="shared" ca="1" si="40"/>
        <v>0.67986111111111103</v>
      </c>
      <c r="V493">
        <f ca="1">Prams!C$5/(U493-Prams!C$6)</f>
        <v>115.28525697473246</v>
      </c>
      <c r="W493">
        <f t="shared" ca="1" si="41"/>
        <v>0.9853440767071151</v>
      </c>
    </row>
    <row r="494" spans="1:23" hidden="1" x14ac:dyDescent="0.55000000000000004">
      <c r="A494" s="1" t="s">
        <v>1155</v>
      </c>
      <c r="B494" s="1">
        <v>135</v>
      </c>
      <c r="C494">
        <v>633.90002000000004</v>
      </c>
      <c r="D494">
        <v>608</v>
      </c>
      <c r="E494">
        <v>10.10008</v>
      </c>
      <c r="F494" t="s">
        <v>6</v>
      </c>
      <c r="G494" s="10" t="s">
        <v>631</v>
      </c>
      <c r="H494">
        <v>98</v>
      </c>
      <c r="I494">
        <v>0</v>
      </c>
      <c r="J494">
        <f ca="1">VLOOKUP(G494,INDIRECT("球速変換!A$1:B$" &amp; Prams!$B$8),2,)</f>
        <v>117</v>
      </c>
      <c r="K494" t="s">
        <v>1895</v>
      </c>
      <c r="L494">
        <f t="shared" si="42"/>
        <v>37</v>
      </c>
      <c r="M494">
        <f ca="1">(B494-VLOOKUP(K494,INDIRECT("投手データ!B1:D"&amp;Prams!$B$1),3,FALSE)*2)</f>
        <v>41</v>
      </c>
      <c r="N494" t="str">
        <f ca="1">VLOOKUP(F494,INDIRECT("球種変換表!A$1:B$" &amp; Prams!$B$2),2,)</f>
        <v>フォーク</v>
      </c>
      <c r="O494">
        <f ca="1">VLOOKUP(N494,球種情報!A:B,2,FALSE)</f>
        <v>16</v>
      </c>
      <c r="P494">
        <f ca="1">VLOOKUP(K494,投手データ!B:AI,output!O494+6,FALSE)</f>
        <v>3</v>
      </c>
      <c r="R494">
        <f t="shared" ca="1" si="38"/>
        <v>8.5470085470085479E-3</v>
      </c>
      <c r="S494">
        <f t="shared" si="39"/>
        <v>0.61111111111111105</v>
      </c>
      <c r="T494">
        <f>Prams!B$5/(S494-Prams!B$6)</f>
        <v>112.2399289936054</v>
      </c>
      <c r="U494">
        <f t="shared" ca="1" si="40"/>
        <v>0.6777777777777777</v>
      </c>
      <c r="V494">
        <f ca="1">Prams!C$5/(U494-Prams!C$6)</f>
        <v>115.73487810965973</v>
      </c>
      <c r="W494">
        <f t="shared" ca="1" si="41"/>
        <v>0.98918699239025409</v>
      </c>
    </row>
    <row r="495" spans="1:23" hidden="1" x14ac:dyDescent="0.55000000000000004">
      <c r="A495" s="1" t="s">
        <v>1157</v>
      </c>
      <c r="B495" s="1">
        <v>135</v>
      </c>
      <c r="C495">
        <v>634.45239000000004</v>
      </c>
      <c r="D495">
        <v>612.5</v>
      </c>
      <c r="E495">
        <v>10.55955</v>
      </c>
      <c r="F495" t="s">
        <v>6</v>
      </c>
      <c r="G495" s="10" t="s">
        <v>1522</v>
      </c>
      <c r="H495">
        <v>98</v>
      </c>
      <c r="I495" t="s">
        <v>1695</v>
      </c>
      <c r="J495">
        <f ca="1">VLOOKUP(G495,INDIRECT("球速変換!A$1:B$" &amp; Prams!$B$8),2,)</f>
        <v>118</v>
      </c>
      <c r="K495" t="s">
        <v>1895</v>
      </c>
      <c r="L495">
        <f t="shared" si="42"/>
        <v>37</v>
      </c>
      <c r="M495">
        <f ca="1">(B495-VLOOKUP(K495,INDIRECT("投手データ!B1:D"&amp;Prams!$B$1),3,FALSE)*2)</f>
        <v>41</v>
      </c>
      <c r="N495" t="str">
        <f ca="1">VLOOKUP(F495,INDIRECT("球種変換表!A$1:B$" &amp; Prams!$B$2),2,)</f>
        <v>フォーク</v>
      </c>
      <c r="O495">
        <f ca="1">VLOOKUP(N495,球種情報!A:B,2,FALSE)</f>
        <v>16</v>
      </c>
      <c r="P495">
        <f ca="1">VLOOKUP(K495,投手データ!B:AI,output!O495+6,FALSE)</f>
        <v>3</v>
      </c>
      <c r="R495">
        <f t="shared" ca="1" si="38"/>
        <v>8.4745762711864406E-3</v>
      </c>
      <c r="S495">
        <f t="shared" si="39"/>
        <v>0.60798611111111112</v>
      </c>
      <c r="T495">
        <f>Prams!B$5/(S495-Prams!B$6)</f>
        <v>112.88035016001663</v>
      </c>
      <c r="U495">
        <f t="shared" ca="1" si="40"/>
        <v>0.67465277777777777</v>
      </c>
      <c r="V495">
        <f ca="1">Prams!C$5/(U495-Prams!C$6)</f>
        <v>116.41592434315484</v>
      </c>
      <c r="W495">
        <f t="shared" ca="1" si="41"/>
        <v>0.98657563002673598</v>
      </c>
    </row>
    <row r="496" spans="1:23" hidden="1" x14ac:dyDescent="0.55000000000000004">
      <c r="A496" s="1" t="s">
        <v>1158</v>
      </c>
      <c r="B496" s="1">
        <v>136</v>
      </c>
      <c r="C496">
        <v>649.95001000000002</v>
      </c>
      <c r="D496">
        <v>615.5</v>
      </c>
      <c r="E496">
        <v>10.062519999999999</v>
      </c>
      <c r="F496" t="s">
        <v>6</v>
      </c>
      <c r="G496" s="10" t="s">
        <v>2422</v>
      </c>
      <c r="H496">
        <v>98</v>
      </c>
      <c r="I496" t="s">
        <v>1689</v>
      </c>
      <c r="J496">
        <f ca="1">VLOOKUP(G496,INDIRECT("球速変換!A$1:B$" &amp; Prams!$B$8),2,)</f>
        <v>115</v>
      </c>
      <c r="K496" t="s">
        <v>1895</v>
      </c>
      <c r="L496">
        <f t="shared" si="42"/>
        <v>38</v>
      </c>
      <c r="M496">
        <f ca="1">(B496-VLOOKUP(K496,INDIRECT("投手データ!B1:D"&amp;Prams!$B$1),3,FALSE)*2)</f>
        <v>42</v>
      </c>
      <c r="N496" t="str">
        <f ca="1">VLOOKUP(F496,INDIRECT("球種変換表!A$1:B$" &amp; Prams!$B$2),2,)</f>
        <v>フォーク</v>
      </c>
      <c r="O496">
        <f ca="1">VLOOKUP(N496,球種情報!A:B,2,FALSE)</f>
        <v>16</v>
      </c>
      <c r="P496">
        <f ca="1">VLOOKUP(K496,投手データ!B:AI,output!O496+6,FALSE)</f>
        <v>3</v>
      </c>
      <c r="R496">
        <f t="shared" ca="1" si="38"/>
        <v>8.6956521739130436E-3</v>
      </c>
      <c r="S496">
        <f t="shared" si="39"/>
        <v>0.6225694444444444</v>
      </c>
      <c r="T496">
        <f>Prams!B$5/(S496-Prams!B$6)</f>
        <v>109.95262255640586</v>
      </c>
      <c r="U496">
        <f t="shared" ca="1" si="40"/>
        <v>0.68923611111111105</v>
      </c>
      <c r="V496">
        <f ca="1">Prams!C$5/(U496-Prams!C$6)</f>
        <v>113.30445097210699</v>
      </c>
      <c r="W496">
        <f t="shared" ca="1" si="41"/>
        <v>0.985256095409626</v>
      </c>
    </row>
    <row r="497" spans="1:23" hidden="1" x14ac:dyDescent="0.55000000000000004">
      <c r="A497" s="1" t="s">
        <v>2151</v>
      </c>
      <c r="B497" s="1">
        <v>135</v>
      </c>
      <c r="C497">
        <v>634.47619999999995</v>
      </c>
      <c r="D497">
        <v>613</v>
      </c>
      <c r="E497">
        <v>10.523899999999999</v>
      </c>
      <c r="F497" t="s">
        <v>6</v>
      </c>
      <c r="G497" s="10" t="s">
        <v>604</v>
      </c>
      <c r="H497">
        <v>98</v>
      </c>
      <c r="I497" t="s">
        <v>1686</v>
      </c>
      <c r="J497">
        <f ca="1">VLOOKUP(G497,INDIRECT("球速変換!A$1:B$" &amp; Prams!$B$8),2,)</f>
        <v>118</v>
      </c>
      <c r="K497" t="s">
        <v>1895</v>
      </c>
      <c r="L497">
        <f t="shared" si="42"/>
        <v>37</v>
      </c>
      <c r="M497">
        <f ca="1">(B497-VLOOKUP(K497,INDIRECT("投手データ!B1:D"&amp;Prams!$B$1),3,FALSE)*2)</f>
        <v>41</v>
      </c>
      <c r="N497" t="str">
        <f ca="1">VLOOKUP(F497,INDIRECT("球種変換表!A$1:B$" &amp; Prams!$B$2),2,)</f>
        <v>フォーク</v>
      </c>
      <c r="O497">
        <f ca="1">VLOOKUP(N497,球種情報!A:B,2,FALSE)</f>
        <v>16</v>
      </c>
      <c r="P497">
        <f ca="1">VLOOKUP(K497,投手データ!B:AI,output!O497+6,FALSE)</f>
        <v>3</v>
      </c>
      <c r="R497">
        <f t="shared" ca="1" si="38"/>
        <v>8.4745762711864406E-3</v>
      </c>
      <c r="S497">
        <f t="shared" si="39"/>
        <v>0.60763888888888895</v>
      </c>
      <c r="T497">
        <f>Prams!B$5/(S497-Prams!B$6)</f>
        <v>112.95195948071984</v>
      </c>
      <c r="U497">
        <f t="shared" ca="1" si="40"/>
        <v>0.6743055555555556</v>
      </c>
      <c r="V497">
        <f ca="1">Prams!C$5/(U497-Prams!C$6)</f>
        <v>116.49209124121977</v>
      </c>
      <c r="W497">
        <f t="shared" ca="1" si="41"/>
        <v>0.98722111221372688</v>
      </c>
    </row>
    <row r="498" spans="1:23" hidden="1" x14ac:dyDescent="0.55000000000000004">
      <c r="A498" s="1" t="s">
        <v>2152</v>
      </c>
      <c r="B498" s="1">
        <v>135</v>
      </c>
      <c r="C498">
        <v>632.5</v>
      </c>
      <c r="D498">
        <v>600.5</v>
      </c>
      <c r="E498">
        <v>10.512</v>
      </c>
      <c r="F498" t="s">
        <v>6</v>
      </c>
      <c r="G498" s="10" t="s">
        <v>2465</v>
      </c>
      <c r="H498">
        <v>98</v>
      </c>
      <c r="I498" t="s">
        <v>1117</v>
      </c>
      <c r="J498">
        <f ca="1">VLOOKUP(G498,INDIRECT("球速変換!A$1:B$" &amp; Prams!$B$8),2,)</f>
        <v>116</v>
      </c>
      <c r="K498" t="str">
        <f ca="1">VLOOKUP(I498,INDIRECT("投手名変換!A$1:B$" &amp; Prams!$B$9),2,)</f>
        <v>DD009</v>
      </c>
      <c r="L498">
        <f t="shared" si="42"/>
        <v>37</v>
      </c>
      <c r="M498">
        <f ca="1">(B498-VLOOKUP(K498,INDIRECT("投手データ!B1:D"&amp;Prams!$B$1),3,FALSE)*2)</f>
        <v>41</v>
      </c>
      <c r="N498" t="str">
        <f ca="1">VLOOKUP(F498,INDIRECT("球種変換表!A$1:B$" &amp; Prams!$B$2),2,)</f>
        <v>フォーク</v>
      </c>
      <c r="O498">
        <f ca="1">VLOOKUP(N498,球種情報!A:B,2,FALSE)</f>
        <v>16</v>
      </c>
      <c r="P498">
        <f ca="1">VLOOKUP(K498,投手データ!B:AI,output!O498+6,FALSE)</f>
        <v>3</v>
      </c>
      <c r="R498">
        <f t="shared" ca="1" si="38"/>
        <v>8.6206896551724137E-3</v>
      </c>
      <c r="S498">
        <f t="shared" si="39"/>
        <v>0.61631944444444442</v>
      </c>
      <c r="T498">
        <f>Prams!B$5/(S498-Prams!B$6)</f>
        <v>111.18855755444206</v>
      </c>
      <c r="U498">
        <f t="shared" ca="1" si="40"/>
        <v>0.68298611111111107</v>
      </c>
      <c r="V498">
        <f ca="1">Prams!C$5/(U498-Prams!C$6)</f>
        <v>114.6173376111732</v>
      </c>
      <c r="W498">
        <f t="shared" ca="1" si="41"/>
        <v>0.98808049664804476</v>
      </c>
    </row>
    <row r="499" spans="1:23" hidden="1" x14ac:dyDescent="0.55000000000000004">
      <c r="A499" s="1" t="s">
        <v>2153</v>
      </c>
      <c r="B499" s="1">
        <v>128</v>
      </c>
      <c r="C499">
        <v>636.5</v>
      </c>
      <c r="D499">
        <v>602.5</v>
      </c>
      <c r="E499">
        <v>10.512</v>
      </c>
      <c r="F499" t="s">
        <v>0</v>
      </c>
      <c r="G499" s="10" t="s">
        <v>613</v>
      </c>
      <c r="H499">
        <v>99</v>
      </c>
      <c r="I499" t="s">
        <v>1162</v>
      </c>
      <c r="J499">
        <f ca="1">VLOOKUP(G499,INDIRECT("球速変換!A$1:B$" &amp; Prams!$B$8),2,)</f>
        <v>147</v>
      </c>
      <c r="K499" t="str">
        <f ca="1">VLOOKUP(I499,INDIRECT("投手名変換!A$1:B$" &amp; Prams!$B$9),2,)</f>
        <v>DD016</v>
      </c>
      <c r="L499">
        <f t="shared" si="42"/>
        <v>29</v>
      </c>
      <c r="M499">
        <f ca="1">(B499-VLOOKUP(K499,INDIRECT("投手データ!B1:D"&amp;Prams!$B$1),3,FALSE)*2)</f>
        <v>34</v>
      </c>
      <c r="N499" t="str">
        <f ca="1">VLOOKUP(F499,INDIRECT("球種変換表!A$1:B$" &amp; Prams!$B$2),2,)</f>
        <v>ストレート</v>
      </c>
      <c r="O499">
        <f ca="1">VLOOKUP(N499,球種情報!A:B,2,FALSE)</f>
        <v>1</v>
      </c>
      <c r="P499">
        <f ca="1">VLOOKUP(K499,投手データ!B:AI,output!O499+6,FALSE)</f>
        <v>1</v>
      </c>
      <c r="R499">
        <f t="shared" ca="1" si="38"/>
        <v>6.8027210884353739E-3</v>
      </c>
      <c r="S499">
        <f t="shared" si="39"/>
        <v>0.48159722222222218</v>
      </c>
      <c r="T499">
        <f>Prams!B$5/(S499-Prams!B$6)</f>
        <v>146.74438078158073</v>
      </c>
      <c r="U499">
        <f t="shared" ca="1" si="40"/>
        <v>0.5649305555555556</v>
      </c>
      <c r="V499">
        <f ca="1">Prams!C$5/(U499-Prams!C$6)</f>
        <v>146.7327711812446</v>
      </c>
      <c r="W499">
        <f t="shared" ca="1" si="41"/>
        <v>0.99818211687921499</v>
      </c>
    </row>
    <row r="500" spans="1:23" hidden="1" x14ac:dyDescent="0.55000000000000004">
      <c r="A500" s="1" t="s">
        <v>2154</v>
      </c>
      <c r="B500" s="1">
        <v>129</v>
      </c>
      <c r="C500">
        <v>643.5</v>
      </c>
      <c r="D500">
        <v>618.5</v>
      </c>
      <c r="E500">
        <v>11.510960000000001</v>
      </c>
      <c r="F500" t="s">
        <v>0</v>
      </c>
      <c r="G500" s="10" t="s">
        <v>1355</v>
      </c>
      <c r="H500">
        <v>99</v>
      </c>
      <c r="I500" t="s">
        <v>1162</v>
      </c>
      <c r="J500">
        <f ca="1">VLOOKUP(G500,INDIRECT("球速変換!A$1:B$" &amp; Prams!$B$8),2,)</f>
        <v>145</v>
      </c>
      <c r="K500" t="str">
        <f ca="1">VLOOKUP(I500,INDIRECT("投手名変換!A$1:B$" &amp; Prams!$B$9),2,)</f>
        <v>DD016</v>
      </c>
      <c r="L500">
        <f t="shared" si="42"/>
        <v>30</v>
      </c>
      <c r="M500">
        <f ca="1">(B500-VLOOKUP(K500,INDIRECT("投手データ!B1:D"&amp;Prams!$B$1),3,FALSE)*2)</f>
        <v>35</v>
      </c>
      <c r="N500" t="str">
        <f ca="1">VLOOKUP(F500,INDIRECT("球種変換表!A$1:B$" &amp; Prams!$B$2),2,)</f>
        <v>ストレート</v>
      </c>
      <c r="O500">
        <f ca="1">VLOOKUP(N500,球種情報!A:B,2,FALSE)</f>
        <v>1</v>
      </c>
      <c r="P500">
        <f ca="1">VLOOKUP(K500,投手データ!B:AI,output!O500+6,FALSE)</f>
        <v>1</v>
      </c>
      <c r="R500">
        <f t="shared" ca="1" si="38"/>
        <v>6.8965517241379309E-3</v>
      </c>
      <c r="S500">
        <f t="shared" si="39"/>
        <v>0.48715277777777782</v>
      </c>
      <c r="T500">
        <f>Prams!B$5/(S500-Prams!B$6)</f>
        <v>144.83447975167081</v>
      </c>
      <c r="U500">
        <f t="shared" ca="1" si="40"/>
        <v>0.57048611111111103</v>
      </c>
      <c r="V500">
        <f ca="1">Prams!C$5/(U500-Prams!C$6)</f>
        <v>144.82317037461203</v>
      </c>
      <c r="W500">
        <f t="shared" ca="1" si="41"/>
        <v>0.99878048534215191</v>
      </c>
    </row>
    <row r="501" spans="1:23" hidden="1" x14ac:dyDescent="0.55000000000000004">
      <c r="A501" s="1" t="s">
        <v>2155</v>
      </c>
      <c r="B501" s="1">
        <v>129</v>
      </c>
      <c r="C501">
        <v>643.5</v>
      </c>
      <c r="D501">
        <v>612.5</v>
      </c>
      <c r="E501">
        <v>11.510960000000001</v>
      </c>
      <c r="F501" t="s">
        <v>0</v>
      </c>
      <c r="G501" s="10" t="s">
        <v>1098</v>
      </c>
      <c r="H501">
        <v>99</v>
      </c>
      <c r="I501" t="s">
        <v>1163</v>
      </c>
      <c r="J501">
        <f ca="1">VLOOKUP(G501,INDIRECT("球速変換!A$1:B$" &amp; Prams!$B$8),2,)</f>
        <v>143</v>
      </c>
      <c r="K501" t="str">
        <f ca="1">VLOOKUP(I501,INDIRECT("投手名変換!A$1:B$" &amp; Prams!$B$9),2,)</f>
        <v>DD016</v>
      </c>
      <c r="L501">
        <f t="shared" si="42"/>
        <v>30</v>
      </c>
      <c r="M501">
        <f ca="1">(B501-VLOOKUP(K501,INDIRECT("投手データ!B1:D"&amp;Prams!$B$1),3,FALSE)*2)</f>
        <v>35</v>
      </c>
      <c r="N501" t="str">
        <f ca="1">VLOOKUP(F501,INDIRECT("球種変換表!A$1:B$" &amp; Prams!$B$2),2,)</f>
        <v>ストレート</v>
      </c>
      <c r="O501">
        <f ca="1">VLOOKUP(N501,球種情報!A:B,2,FALSE)</f>
        <v>1</v>
      </c>
      <c r="P501">
        <f ca="1">VLOOKUP(K501,投手データ!B:AI,output!O501+6,FALSE)</f>
        <v>1</v>
      </c>
      <c r="R501">
        <f t="shared" ca="1" si="38"/>
        <v>6.993006993006993E-3</v>
      </c>
      <c r="S501">
        <f t="shared" si="39"/>
        <v>0.49131944444444448</v>
      </c>
      <c r="T501">
        <f>Prams!B$5/(S501-Prams!B$6)</f>
        <v>143.43436426559771</v>
      </c>
      <c r="U501">
        <f t="shared" ca="1" si="40"/>
        <v>0.57465277777777779</v>
      </c>
      <c r="V501">
        <f ca="1">Prams!C$5/(U501-Prams!C$6)</f>
        <v>143.42327247887923</v>
      </c>
      <c r="W501">
        <f t="shared" ca="1" si="41"/>
        <v>1.0029599474047499</v>
      </c>
    </row>
    <row r="502" spans="1:23" hidden="1" x14ac:dyDescent="0.55000000000000004">
      <c r="A502" s="1" t="s">
        <v>2156</v>
      </c>
      <c r="B502" s="1">
        <v>129</v>
      </c>
      <c r="C502">
        <v>640</v>
      </c>
      <c r="D502">
        <v>614</v>
      </c>
      <c r="E502">
        <v>10.04998</v>
      </c>
      <c r="F502" t="s">
        <v>656</v>
      </c>
      <c r="G502" s="10" t="s">
        <v>975</v>
      </c>
      <c r="H502">
        <v>99</v>
      </c>
      <c r="I502" t="s">
        <v>1162</v>
      </c>
      <c r="J502">
        <f ca="1">VLOOKUP(G502,INDIRECT("球速変換!A$1:B$" &amp; Prams!$B$8),2,)</f>
        <v>144</v>
      </c>
      <c r="K502" t="str">
        <f ca="1">VLOOKUP(I502,INDIRECT("投手名変換!A$1:B$" &amp; Prams!$B$9),2,)</f>
        <v>DD016</v>
      </c>
      <c r="L502">
        <f t="shared" si="42"/>
        <v>30</v>
      </c>
      <c r="M502">
        <f ca="1">(B502-VLOOKUP(K502,INDIRECT("投手データ!B1:D"&amp;Prams!$B$1),3,FALSE)*2)</f>
        <v>35</v>
      </c>
      <c r="N502" t="str">
        <f ca="1">VLOOKUP(F502,INDIRECT("球種変換表!A$1:B$" &amp; Prams!$B$2),2,)</f>
        <v>ストレート</v>
      </c>
      <c r="O502">
        <f ca="1">VLOOKUP(N502,球種情報!A:B,2,FALSE)</f>
        <v>1</v>
      </c>
      <c r="P502">
        <f ca="1">VLOOKUP(K502,投手データ!B:AI,output!O502+6,FALSE)</f>
        <v>1</v>
      </c>
      <c r="R502">
        <f t="shared" ca="1" si="38"/>
        <v>6.9444444444444441E-3</v>
      </c>
      <c r="S502">
        <f t="shared" si="39"/>
        <v>0.49027777777777781</v>
      </c>
      <c r="T502">
        <f>Prams!B$5/(S502-Prams!B$6)</f>
        <v>143.78184919117265</v>
      </c>
      <c r="U502">
        <f t="shared" ca="1" si="40"/>
        <v>0.57361111111111107</v>
      </c>
      <c r="V502">
        <f ca="1">Prams!C$5/(U502-Prams!C$6)</f>
        <v>143.7707035993902</v>
      </c>
      <c r="W502">
        <f t="shared" ca="1" si="41"/>
        <v>0.99840766388465418</v>
      </c>
    </row>
    <row r="503" spans="1:23" hidden="1" x14ac:dyDescent="0.55000000000000004">
      <c r="A503" s="1" t="s">
        <v>2157</v>
      </c>
      <c r="B503" s="1">
        <v>129</v>
      </c>
      <c r="C503">
        <v>638.5</v>
      </c>
      <c r="D503">
        <v>617</v>
      </c>
      <c r="E503">
        <v>10.547610000000001</v>
      </c>
      <c r="F503" t="s">
        <v>0</v>
      </c>
      <c r="G503" s="10" t="s">
        <v>2462</v>
      </c>
      <c r="H503">
        <v>99</v>
      </c>
      <c r="I503" t="s">
        <v>1189</v>
      </c>
      <c r="J503">
        <f ca="1">VLOOKUP(G503,INDIRECT("球速変換!A$1:B$" &amp; Prams!$B$8),2,)</f>
        <v>145</v>
      </c>
      <c r="K503" t="str">
        <f ca="1">VLOOKUP(I503,INDIRECT("投手名変換!A$1:B$" &amp; Prams!$B$9),2,)</f>
        <v>DD016</v>
      </c>
      <c r="L503">
        <f t="shared" si="42"/>
        <v>30</v>
      </c>
      <c r="M503">
        <f ca="1">(B503-VLOOKUP(K503,INDIRECT("投手データ!B1:D"&amp;Prams!$B$1),3,FALSE)*2)</f>
        <v>35</v>
      </c>
      <c r="N503" t="str">
        <f ca="1">VLOOKUP(F503,INDIRECT("球種変換表!A$1:B$" &amp; Prams!$B$2),2,)</f>
        <v>ストレート</v>
      </c>
      <c r="O503">
        <f ca="1">VLOOKUP(N503,球種情報!A:B,2,FALSE)</f>
        <v>1</v>
      </c>
      <c r="P503">
        <f ca="1">VLOOKUP(K503,投手データ!B:AI,output!O503+6,FALSE)</f>
        <v>1</v>
      </c>
      <c r="R503">
        <f t="shared" ca="1" si="38"/>
        <v>6.8965517241379309E-3</v>
      </c>
      <c r="S503">
        <f t="shared" si="39"/>
        <v>0.48819444444444449</v>
      </c>
      <c r="T503">
        <f>Prams!B$5/(S503-Prams!B$6)</f>
        <v>144.48189454824009</v>
      </c>
      <c r="U503">
        <f t="shared" ca="1" si="40"/>
        <v>0.57152777777777775</v>
      </c>
      <c r="V503">
        <f ca="1">Prams!C$5/(U503-Prams!C$6)</f>
        <v>144.47064016513693</v>
      </c>
      <c r="W503">
        <f t="shared" ca="1" si="41"/>
        <v>0.99634924251818568</v>
      </c>
    </row>
    <row r="504" spans="1:23" hidden="1" x14ac:dyDescent="0.55000000000000004">
      <c r="A504" s="1" t="s">
        <v>2158</v>
      </c>
      <c r="B504" s="1">
        <v>129</v>
      </c>
      <c r="C504">
        <v>641.44739000000004</v>
      </c>
      <c r="D504">
        <v>620.5</v>
      </c>
      <c r="E504">
        <v>9.5657899999999998</v>
      </c>
      <c r="F504" t="s">
        <v>0</v>
      </c>
      <c r="G504" s="10" t="s">
        <v>2433</v>
      </c>
      <c r="H504">
        <v>99</v>
      </c>
      <c r="I504" t="s">
        <v>1162</v>
      </c>
      <c r="J504">
        <f ca="1">VLOOKUP(G504,INDIRECT("球速変換!A$1:B$" &amp; Prams!$B$8),2,)</f>
        <v>146</v>
      </c>
      <c r="K504" t="str">
        <f ca="1">VLOOKUP(I504,INDIRECT("投手名変換!A$1:B$" &amp; Prams!$B$9),2,)</f>
        <v>DD016</v>
      </c>
      <c r="L504">
        <f t="shared" si="42"/>
        <v>30</v>
      </c>
      <c r="M504">
        <f ca="1">(B504-VLOOKUP(K504,INDIRECT("投手データ!B1:D"&amp;Prams!$B$1),3,FALSE)*2)</f>
        <v>35</v>
      </c>
      <c r="N504" t="str">
        <f ca="1">VLOOKUP(F504,INDIRECT("球種変換表!A$1:B$" &amp; Prams!$B$2),2,)</f>
        <v>ストレート</v>
      </c>
      <c r="O504">
        <f ca="1">VLOOKUP(N504,球種情報!A:B,2,FALSE)</f>
        <v>1</v>
      </c>
      <c r="P504">
        <f ca="1">VLOOKUP(K504,投手データ!B:AI,output!O504+6,FALSE)</f>
        <v>1</v>
      </c>
      <c r="R504">
        <f t="shared" ca="1" si="38"/>
        <v>6.8493150684931503E-3</v>
      </c>
      <c r="S504">
        <f t="shared" si="39"/>
        <v>0.48576388888888888</v>
      </c>
      <c r="T504">
        <f>Prams!B$5/(S504-Prams!B$6)</f>
        <v>145.30727898307077</v>
      </c>
      <c r="U504">
        <f t="shared" ca="1" si="40"/>
        <v>0.56909722222222225</v>
      </c>
      <c r="V504">
        <f ca="1">Prams!C$5/(U504-Prams!C$6)</f>
        <v>145.29589565149269</v>
      </c>
      <c r="W504">
        <f t="shared" ca="1" si="41"/>
        <v>0.99517736747597729</v>
      </c>
    </row>
    <row r="505" spans="1:23" hidden="1" x14ac:dyDescent="0.55000000000000004">
      <c r="A505" s="1" t="s">
        <v>1164</v>
      </c>
      <c r="B505" s="1">
        <v>130</v>
      </c>
      <c r="C505">
        <v>640.5</v>
      </c>
      <c r="D505">
        <v>646</v>
      </c>
      <c r="E505">
        <v>10.688879999999999</v>
      </c>
      <c r="F505" t="s">
        <v>0</v>
      </c>
      <c r="G505" s="10" t="s">
        <v>620</v>
      </c>
      <c r="H505">
        <v>99</v>
      </c>
      <c r="I505" t="s">
        <v>1162</v>
      </c>
      <c r="J505">
        <f ca="1">VLOOKUP(G505,INDIRECT("球速変換!A$1:B$" &amp; Prams!$B$8),2,)</f>
        <v>146</v>
      </c>
      <c r="K505" t="str">
        <f ca="1">VLOOKUP(I505,INDIRECT("投手名変換!A$1:B$" &amp; Prams!$B$9),2,)</f>
        <v>DD016</v>
      </c>
      <c r="L505">
        <f t="shared" si="42"/>
        <v>31</v>
      </c>
      <c r="M505">
        <f ca="1">(B505-VLOOKUP(K505,INDIRECT("投手データ!B1:D"&amp;Prams!$B$1),3,FALSE)*2)</f>
        <v>36</v>
      </c>
      <c r="N505" t="str">
        <f ca="1">VLOOKUP(F505,INDIRECT("球種変換表!A$1:B$" &amp; Prams!$B$2),2,)</f>
        <v>ストレート</v>
      </c>
      <c r="O505">
        <f ca="1">VLOOKUP(N505,球種情報!A:B,2,FALSE)</f>
        <v>1</v>
      </c>
      <c r="P505">
        <f ca="1">VLOOKUP(K505,投手データ!B:AI,output!O505+6,FALSE)</f>
        <v>1</v>
      </c>
      <c r="R505">
        <f t="shared" ca="1" si="38"/>
        <v>6.8493150684931503E-3</v>
      </c>
      <c r="S505">
        <f t="shared" si="39"/>
        <v>0.48472222222222222</v>
      </c>
      <c r="T505">
        <f>Prams!B$5/(S505-Prams!B$6)</f>
        <v>145.66390910518876</v>
      </c>
      <c r="U505">
        <f t="shared" ca="1" si="40"/>
        <v>0.56805555555555565</v>
      </c>
      <c r="V505">
        <f ca="1">Prams!C$5/(U505-Prams!C$6)</f>
        <v>145.65246983063267</v>
      </c>
      <c r="W505">
        <f t="shared" ca="1" si="41"/>
        <v>0.99761965637419636</v>
      </c>
    </row>
    <row r="506" spans="1:23" hidden="1" x14ac:dyDescent="0.55000000000000004">
      <c r="A506" s="1" t="s">
        <v>1166</v>
      </c>
      <c r="B506" s="1">
        <v>129</v>
      </c>
      <c r="C506">
        <v>644.02270999999996</v>
      </c>
      <c r="D506">
        <v>612</v>
      </c>
      <c r="E506">
        <v>11.02285</v>
      </c>
      <c r="F506" t="s">
        <v>656</v>
      </c>
      <c r="G506" s="10" t="s">
        <v>584</v>
      </c>
      <c r="H506">
        <v>99</v>
      </c>
      <c r="I506" t="s">
        <v>1189</v>
      </c>
      <c r="J506">
        <f ca="1">VLOOKUP(G506,INDIRECT("球速変換!A$1:B$" &amp; Prams!$B$8),2,)</f>
        <v>141</v>
      </c>
      <c r="K506" t="str">
        <f ca="1">VLOOKUP(I506,INDIRECT("投手名変換!A$1:B$" &amp; Prams!$B$9),2,)</f>
        <v>DD016</v>
      </c>
      <c r="L506">
        <f t="shared" si="42"/>
        <v>30</v>
      </c>
      <c r="M506">
        <f ca="1">(B506-VLOOKUP(K506,INDIRECT("投手データ!B1:D"&amp;Prams!$B$1),3,FALSE)*2)</f>
        <v>35</v>
      </c>
      <c r="N506" t="str">
        <f ca="1">VLOOKUP(F506,INDIRECT("球種変換表!A$1:B$" &amp; Prams!$B$2),2,)</f>
        <v>ストレート</v>
      </c>
      <c r="O506">
        <f ca="1">VLOOKUP(N506,球種情報!A:B,2,FALSE)</f>
        <v>1</v>
      </c>
      <c r="P506">
        <f ca="1">VLOOKUP(K506,投手データ!B:AI,output!O506+6,FALSE)</f>
        <v>1</v>
      </c>
      <c r="R506">
        <f t="shared" ca="1" si="38"/>
        <v>7.0921985815602835E-3</v>
      </c>
      <c r="S506">
        <f t="shared" si="39"/>
        <v>0.49166666666666664</v>
      </c>
      <c r="T506">
        <f>Prams!B$5/(S506-Prams!B$6)</f>
        <v>143.3189088942122</v>
      </c>
      <c r="U506">
        <f t="shared" ca="1" si="40"/>
        <v>0.57499999999999996</v>
      </c>
      <c r="V506">
        <f ca="1">Prams!C$5/(U506-Prams!C$6)</f>
        <v>143.30783495595736</v>
      </c>
      <c r="W506">
        <f t="shared" ca="1" si="41"/>
        <v>1.0163676238011161</v>
      </c>
    </row>
    <row r="507" spans="1:23" hidden="1" x14ac:dyDescent="0.55000000000000004">
      <c r="A507" s="1" t="s">
        <v>1167</v>
      </c>
      <c r="B507" s="1">
        <v>125</v>
      </c>
      <c r="C507">
        <v>640.5</v>
      </c>
      <c r="D507">
        <v>613</v>
      </c>
      <c r="E507">
        <v>10.547610000000001</v>
      </c>
      <c r="F507" t="s">
        <v>343</v>
      </c>
      <c r="G507" s="10" t="s">
        <v>1034</v>
      </c>
      <c r="H507">
        <v>98</v>
      </c>
      <c r="I507" t="s">
        <v>1162</v>
      </c>
      <c r="J507">
        <f ca="1">VLOOKUP(G507,INDIRECT("球速変換!A$1:B$" &amp; Prams!$B$8),2,)</f>
        <v>145</v>
      </c>
      <c r="K507" t="str">
        <f ca="1">VLOOKUP(I507,INDIRECT("投手名変換!A$1:B$" &amp; Prams!$B$9),2,)</f>
        <v>DD016</v>
      </c>
      <c r="L507">
        <f t="shared" si="42"/>
        <v>27</v>
      </c>
      <c r="M507">
        <f ca="1">(B507-VLOOKUP(K507,INDIRECT("投手データ!B1:D"&amp;Prams!$B$1),3,FALSE)*2)</f>
        <v>31</v>
      </c>
      <c r="N507" t="str">
        <f ca="1">VLOOKUP(F507,INDIRECT("球種変換表!A$1:B$" &amp; Prams!$B$2),2,)</f>
        <v>全力ストレート</v>
      </c>
      <c r="O507">
        <f ca="1">VLOOKUP(N507,球種情報!A:B,2,FALSE)</f>
        <v>2</v>
      </c>
      <c r="P507">
        <f ca="1">VLOOKUP(K507,投手データ!B:AI,output!O507+6,FALSE)</f>
        <v>1</v>
      </c>
      <c r="R507">
        <f t="shared" ca="1" si="38"/>
        <v>6.8965517241379309E-3</v>
      </c>
      <c r="S507">
        <f t="shared" si="39"/>
        <v>0.44097222222222221</v>
      </c>
      <c r="T507">
        <f>Prams!B$5/(S507-Prams!B$6)</f>
        <v>162.40481020417099</v>
      </c>
      <c r="U507">
        <f t="shared" ca="1" si="40"/>
        <v>0.50763888888888886</v>
      </c>
      <c r="V507">
        <f ca="1">Prams!C$5/(U507-Prams!C$6)</f>
        <v>169.82526286874113</v>
      </c>
      <c r="W507">
        <f t="shared" ca="1" si="41"/>
        <v>1.171208709439594</v>
      </c>
    </row>
    <row r="508" spans="1:23" hidden="1" x14ac:dyDescent="0.55000000000000004">
      <c r="A508" s="1" t="s">
        <v>1168</v>
      </c>
      <c r="B508" s="1">
        <v>125</v>
      </c>
      <c r="C508">
        <v>641.5</v>
      </c>
      <c r="D508">
        <v>623</v>
      </c>
      <c r="E508">
        <v>10.5001</v>
      </c>
      <c r="F508" t="s">
        <v>1397</v>
      </c>
      <c r="G508" s="10" t="s">
        <v>1696</v>
      </c>
      <c r="H508">
        <v>98</v>
      </c>
      <c r="I508" t="s">
        <v>1162</v>
      </c>
      <c r="J508">
        <v>148</v>
      </c>
      <c r="K508" t="str">
        <f ca="1">VLOOKUP(I508,INDIRECT("投手名変換!A$1:B$" &amp; Prams!$B$9),2,)</f>
        <v>DD016</v>
      </c>
      <c r="L508">
        <f t="shared" si="42"/>
        <v>27</v>
      </c>
      <c r="M508">
        <f ca="1">(B508-VLOOKUP(K508,INDIRECT("投手データ!B1:D"&amp;Prams!$B$1),3,FALSE)*2)</f>
        <v>31</v>
      </c>
      <c r="N508" t="str">
        <f ca="1">VLOOKUP(F508,INDIRECT("球種変換表!A$1:B$" &amp; Prams!$B$2),2,)</f>
        <v>全力ストレート</v>
      </c>
      <c r="O508">
        <f ca="1">VLOOKUP(N508,球種情報!A:B,2,FALSE)</f>
        <v>2</v>
      </c>
      <c r="P508">
        <f ca="1">VLOOKUP(K508,投手データ!B:AI,output!O508+6,FALSE)</f>
        <v>1</v>
      </c>
      <c r="R508">
        <f t="shared" si="38"/>
        <v>6.7567567567567571E-3</v>
      </c>
      <c r="S508">
        <f t="shared" si="39"/>
        <v>0.43402777777777779</v>
      </c>
      <c r="T508">
        <f>Prams!B$5/(S508-Prams!B$6)</f>
        <v>165.42254463290274</v>
      </c>
      <c r="U508">
        <f t="shared" ca="1" si="40"/>
        <v>0.50069444444444444</v>
      </c>
      <c r="V508">
        <f ca="1">Prams!C$5/(U508-Prams!C$6)</f>
        <v>173.12786844438912</v>
      </c>
      <c r="W508">
        <f t="shared" ca="1" si="41"/>
        <v>1.169782894894521</v>
      </c>
    </row>
    <row r="509" spans="1:23" hidden="1" x14ac:dyDescent="0.55000000000000004">
      <c r="A509" s="1" t="s">
        <v>1169</v>
      </c>
      <c r="B509" s="1">
        <v>125</v>
      </c>
      <c r="C509">
        <v>641.5</v>
      </c>
      <c r="D509">
        <v>623</v>
      </c>
      <c r="E509">
        <v>10.5001</v>
      </c>
      <c r="F509" t="s">
        <v>343</v>
      </c>
      <c r="G509" s="10" t="s">
        <v>635</v>
      </c>
      <c r="H509">
        <v>98</v>
      </c>
      <c r="I509" t="s">
        <v>1162</v>
      </c>
      <c r="J509">
        <f ca="1">VLOOKUP(G509,INDIRECT("球速変換!A$1:B$" &amp; Prams!$B$8),2,)</f>
        <v>148</v>
      </c>
      <c r="K509" t="str">
        <f ca="1">VLOOKUP(I509,INDIRECT("投手名変換!A$1:B$" &amp; Prams!$B$9),2,)</f>
        <v>DD016</v>
      </c>
      <c r="L509">
        <f t="shared" si="42"/>
        <v>27</v>
      </c>
      <c r="M509">
        <f ca="1">(B509-VLOOKUP(K509,INDIRECT("投手データ!B1:D"&amp;Prams!$B$1),3,FALSE)*2)</f>
        <v>31</v>
      </c>
      <c r="N509" t="str">
        <f ca="1">VLOOKUP(F509,INDIRECT("球種変換表!A$1:B$" &amp; Prams!$B$2),2,)</f>
        <v>全力ストレート</v>
      </c>
      <c r="O509">
        <f ca="1">VLOOKUP(N509,球種情報!A:B,2,FALSE)</f>
        <v>2</v>
      </c>
      <c r="P509">
        <f ca="1">VLOOKUP(K509,投手データ!B:AI,output!O509+6,FALSE)</f>
        <v>1</v>
      </c>
      <c r="R509">
        <f t="shared" ca="1" si="38"/>
        <v>6.7567567567567571E-3</v>
      </c>
      <c r="S509">
        <f t="shared" si="39"/>
        <v>0.43402777777777779</v>
      </c>
      <c r="T509">
        <f>Prams!B$5/(S509-Prams!B$6)</f>
        <v>165.42254463290274</v>
      </c>
      <c r="U509">
        <f t="shared" ca="1" si="40"/>
        <v>0.50069444444444444</v>
      </c>
      <c r="V509">
        <f ca="1">Prams!C$5/(U509-Prams!C$6)</f>
        <v>173.12786844438912</v>
      </c>
      <c r="W509">
        <f t="shared" ca="1" si="41"/>
        <v>1.169782894894521</v>
      </c>
    </row>
    <row r="510" spans="1:23" hidden="1" x14ac:dyDescent="0.55000000000000004">
      <c r="A510" s="1" t="s">
        <v>1171</v>
      </c>
      <c r="B510" s="1">
        <v>125</v>
      </c>
      <c r="C510">
        <v>640.5</v>
      </c>
      <c r="D510">
        <v>615</v>
      </c>
      <c r="E510">
        <v>10.5001</v>
      </c>
      <c r="F510" t="s">
        <v>343</v>
      </c>
      <c r="G510" s="10" t="s">
        <v>2462</v>
      </c>
      <c r="H510">
        <v>98</v>
      </c>
      <c r="I510" t="s">
        <v>1162</v>
      </c>
      <c r="J510">
        <f ca="1">VLOOKUP(G510,INDIRECT("球速変換!A$1:B$" &amp; Prams!$B$8),2,)</f>
        <v>145</v>
      </c>
      <c r="K510" t="str">
        <f ca="1">VLOOKUP(I510,INDIRECT("投手名変換!A$1:B$" &amp; Prams!$B$9),2,)</f>
        <v>DD016</v>
      </c>
      <c r="L510">
        <f t="shared" si="42"/>
        <v>27</v>
      </c>
      <c r="M510">
        <f ca="1">(B510-VLOOKUP(K510,INDIRECT("投手データ!B1:D"&amp;Prams!$B$1),3,FALSE)*2)</f>
        <v>31</v>
      </c>
      <c r="N510" t="str">
        <f ca="1">VLOOKUP(F510,INDIRECT("球種変換表!A$1:B$" &amp; Prams!$B$2),2,)</f>
        <v>全力ストレート</v>
      </c>
      <c r="O510">
        <f ca="1">VLOOKUP(N510,球種情報!A:B,2,FALSE)</f>
        <v>2</v>
      </c>
      <c r="P510">
        <f ca="1">VLOOKUP(K510,投手データ!B:AI,output!O510+6,FALSE)</f>
        <v>1</v>
      </c>
      <c r="R510">
        <f t="shared" ca="1" si="38"/>
        <v>6.8965517241379309E-3</v>
      </c>
      <c r="S510">
        <f t="shared" si="39"/>
        <v>0.43958333333333333</v>
      </c>
      <c r="T510">
        <f>Prams!B$5/(S510-Prams!B$6)</f>
        <v>162.99951663224505</v>
      </c>
      <c r="U510">
        <f t="shared" ca="1" si="40"/>
        <v>0.50624999999999998</v>
      </c>
      <c r="V510">
        <f ca="1">Prams!C$5/(U510-Prams!C$6)</f>
        <v>170.47566524196884</v>
      </c>
      <c r="W510">
        <f t="shared" ca="1" si="41"/>
        <v>1.175694243048061</v>
      </c>
    </row>
    <row r="511" spans="1:23" hidden="1" x14ac:dyDescent="0.55000000000000004">
      <c r="A511" s="1" t="s">
        <v>1172</v>
      </c>
      <c r="B511" s="1">
        <v>125</v>
      </c>
      <c r="C511">
        <v>641.95001000000002</v>
      </c>
      <c r="D511">
        <v>622.5</v>
      </c>
      <c r="E511">
        <v>10.062519999999999</v>
      </c>
      <c r="F511" t="s">
        <v>1697</v>
      </c>
      <c r="G511" s="10" t="s">
        <v>2435</v>
      </c>
      <c r="H511">
        <v>98</v>
      </c>
      <c r="I511" t="s">
        <v>1162</v>
      </c>
      <c r="J511">
        <f ca="1">VLOOKUP(G511,INDIRECT("球速変換!A$1:B$" &amp; Prams!$B$8),2,)</f>
        <v>148</v>
      </c>
      <c r="K511" t="str">
        <f ca="1">VLOOKUP(I511,INDIRECT("投手名変換!A$1:B$" &amp; Prams!$B$9),2,)</f>
        <v>DD016</v>
      </c>
      <c r="L511">
        <f t="shared" si="42"/>
        <v>27</v>
      </c>
      <c r="M511">
        <f ca="1">(B511-VLOOKUP(K511,INDIRECT("投手データ!B1:D"&amp;Prams!$B$1),3,FALSE)*2)</f>
        <v>31</v>
      </c>
      <c r="N511" t="str">
        <f ca="1">VLOOKUP(F511,INDIRECT("球種変換表!A$1:B$" &amp; Prams!$B$2),2,)</f>
        <v>全力ストレート</v>
      </c>
      <c r="O511">
        <f ca="1">VLOOKUP(N511,球種情報!A:B,2,FALSE)</f>
        <v>2</v>
      </c>
      <c r="P511">
        <f ca="1">VLOOKUP(K511,投手データ!B:AI,output!O511+6,FALSE)</f>
        <v>1</v>
      </c>
      <c r="R511">
        <f t="shared" ca="1" si="38"/>
        <v>6.7567567567567571E-3</v>
      </c>
      <c r="S511">
        <f t="shared" si="39"/>
        <v>0.43437500000000001</v>
      </c>
      <c r="T511">
        <f>Prams!B$5/(S511-Prams!B$6)</f>
        <v>165.26899685891868</v>
      </c>
      <c r="U511">
        <f t="shared" ca="1" si="40"/>
        <v>0.50104166666666672</v>
      </c>
      <c r="V511">
        <f ca="1">Prams!C$5/(U511-Prams!C$6)</f>
        <v>172.9596903923717</v>
      </c>
      <c r="W511">
        <f t="shared" ca="1" si="41"/>
        <v>1.1686465567052142</v>
      </c>
    </row>
    <row r="512" spans="1:23" hidden="1" x14ac:dyDescent="0.55000000000000004">
      <c r="A512" s="1" t="s">
        <v>1173</v>
      </c>
      <c r="B512" s="1">
        <v>125</v>
      </c>
      <c r="C512">
        <v>640</v>
      </c>
      <c r="D512">
        <v>609.5</v>
      </c>
      <c r="E512">
        <v>11.01146</v>
      </c>
      <c r="F512" t="s">
        <v>343</v>
      </c>
      <c r="G512" s="10" t="s">
        <v>1098</v>
      </c>
      <c r="H512">
        <v>98</v>
      </c>
      <c r="I512" t="s">
        <v>1162</v>
      </c>
      <c r="J512">
        <f ca="1">VLOOKUP(G512,INDIRECT("球速変換!A$1:B$" &amp; Prams!$B$8),2,)</f>
        <v>143</v>
      </c>
      <c r="K512" t="str">
        <f ca="1">VLOOKUP(I512,INDIRECT("投手名変換!A$1:B$" &amp; Prams!$B$9),2,)</f>
        <v>DD016</v>
      </c>
      <c r="L512">
        <f t="shared" si="42"/>
        <v>27</v>
      </c>
      <c r="M512">
        <f ca="1">(B512-VLOOKUP(K512,INDIRECT("投手データ!B1:D"&amp;Prams!$B$1),3,FALSE)*2)</f>
        <v>31</v>
      </c>
      <c r="N512" t="str">
        <f ca="1">VLOOKUP(F512,INDIRECT("球種変換表!A$1:B$" &amp; Prams!$B$2),2,)</f>
        <v>全力ストレート</v>
      </c>
      <c r="O512">
        <f ca="1">VLOOKUP(N512,球種情報!A:B,2,FALSE)</f>
        <v>2</v>
      </c>
      <c r="P512">
        <f ca="1">VLOOKUP(K512,投手データ!B:AI,output!O512+6,FALSE)</f>
        <v>1</v>
      </c>
      <c r="R512">
        <f t="shared" ca="1" si="38"/>
        <v>6.993006993006993E-3</v>
      </c>
      <c r="S512">
        <f t="shared" si="39"/>
        <v>0.44340277777777781</v>
      </c>
      <c r="T512">
        <f>Prams!B$5/(S512-Prams!B$6)</f>
        <v>161.37444985027227</v>
      </c>
      <c r="U512">
        <f t="shared" ca="1" si="40"/>
        <v>0.51006944444444446</v>
      </c>
      <c r="V512">
        <f ca="1">Prams!C$5/(U512-Prams!C$6)</f>
        <v>168.69892138953529</v>
      </c>
      <c r="W512">
        <f t="shared" ca="1" si="41"/>
        <v>1.1797127369897573</v>
      </c>
    </row>
    <row r="513" spans="1:23" hidden="1" x14ac:dyDescent="0.55000000000000004">
      <c r="A513" s="1" t="s">
        <v>1174</v>
      </c>
      <c r="B513" s="1">
        <v>125</v>
      </c>
      <c r="C513">
        <v>641.95001000000002</v>
      </c>
      <c r="D513">
        <v>620.5</v>
      </c>
      <c r="E513">
        <v>10.062519999999999</v>
      </c>
      <c r="F513" t="s">
        <v>343</v>
      </c>
      <c r="G513" s="10" t="s">
        <v>613</v>
      </c>
      <c r="H513">
        <v>98</v>
      </c>
      <c r="I513" t="s">
        <v>1162</v>
      </c>
      <c r="J513">
        <f ca="1">VLOOKUP(G513,INDIRECT("球速変換!A$1:B$" &amp; Prams!$B$8),2,)</f>
        <v>147</v>
      </c>
      <c r="K513" t="str">
        <f ca="1">VLOOKUP(I513,INDIRECT("投手名変換!A$1:B$" &amp; Prams!$B$9),2,)</f>
        <v>DD016</v>
      </c>
      <c r="L513">
        <f t="shared" si="42"/>
        <v>27</v>
      </c>
      <c r="M513">
        <f ca="1">(B513-VLOOKUP(K513,INDIRECT("投手データ!B1:D"&amp;Prams!$B$1),3,FALSE)*2)</f>
        <v>31</v>
      </c>
      <c r="N513" t="str">
        <f ca="1">VLOOKUP(F513,INDIRECT("球種変換表!A$1:B$" &amp; Prams!$B$2),2,)</f>
        <v>全力ストレート</v>
      </c>
      <c r="O513">
        <f ca="1">VLOOKUP(N513,球種情報!A:B,2,FALSE)</f>
        <v>2</v>
      </c>
      <c r="P513">
        <f ca="1">VLOOKUP(K513,投手データ!B:AI,output!O513+6,FALSE)</f>
        <v>1</v>
      </c>
      <c r="R513">
        <f t="shared" ca="1" si="38"/>
        <v>6.8027210884353739E-3</v>
      </c>
      <c r="S513">
        <f t="shared" si="39"/>
        <v>0.4357638888888889</v>
      </c>
      <c r="T513">
        <f>Prams!B$5/(S513-Prams!B$6)</f>
        <v>164.65764572713755</v>
      </c>
      <c r="U513">
        <f t="shared" ca="1" si="40"/>
        <v>0.50243055555555549</v>
      </c>
      <c r="V513">
        <f ca="1">Prams!C$5/(U513-Prams!C$6)</f>
        <v>172.29023293259743</v>
      </c>
      <c r="W513">
        <f t="shared" ca="1" si="41"/>
        <v>1.1720424009020234</v>
      </c>
    </row>
    <row r="514" spans="1:23" hidden="1" x14ac:dyDescent="0.55000000000000004">
      <c r="A514" s="1" t="s">
        <v>1175</v>
      </c>
      <c r="B514" s="1">
        <v>125</v>
      </c>
      <c r="C514">
        <v>641.95001000000002</v>
      </c>
      <c r="D514">
        <v>622.5</v>
      </c>
      <c r="E514">
        <v>10.062519999999999</v>
      </c>
      <c r="F514" t="s">
        <v>1698</v>
      </c>
      <c r="G514" s="10" t="s">
        <v>967</v>
      </c>
      <c r="H514">
        <v>98</v>
      </c>
      <c r="I514" t="s">
        <v>1162</v>
      </c>
      <c r="J514">
        <f ca="1">VLOOKUP(G514,INDIRECT("球速変換!A$1:B$" &amp; Prams!$B$8),2,)</f>
        <v>148</v>
      </c>
      <c r="K514" t="str">
        <f ca="1">VLOOKUP(I514,INDIRECT("投手名変換!A$1:B$" &amp; Prams!$B$9),2,)</f>
        <v>DD016</v>
      </c>
      <c r="L514">
        <f t="shared" si="42"/>
        <v>27</v>
      </c>
      <c r="M514">
        <f ca="1">(B514-VLOOKUP(K514,INDIRECT("投手データ!B1:D"&amp;Prams!$B$1),3,FALSE)*2)</f>
        <v>31</v>
      </c>
      <c r="N514" t="str">
        <f ca="1">VLOOKUP(F514,INDIRECT("球種変換表!A$1:B$" &amp; Prams!$B$2),2,)</f>
        <v>全力ストレート</v>
      </c>
      <c r="O514">
        <f ca="1">VLOOKUP(N514,球種情報!A:B,2,FALSE)</f>
        <v>2</v>
      </c>
      <c r="P514">
        <f ca="1">VLOOKUP(K514,投手データ!B:AI,output!O514+6,FALSE)</f>
        <v>1</v>
      </c>
      <c r="R514">
        <f t="shared" ca="1" si="38"/>
        <v>6.7567567567567571E-3</v>
      </c>
      <c r="S514">
        <f t="shared" si="39"/>
        <v>0.43437500000000001</v>
      </c>
      <c r="T514">
        <f>Prams!B$5/(S514-Prams!B$6)</f>
        <v>165.26899685891868</v>
      </c>
      <c r="U514">
        <f t="shared" ca="1" si="40"/>
        <v>0.50104166666666672</v>
      </c>
      <c r="V514">
        <f ca="1">Prams!C$5/(U514-Prams!C$6)</f>
        <v>172.9596903923717</v>
      </c>
      <c r="W514">
        <f t="shared" ca="1" si="41"/>
        <v>1.1686465567052142</v>
      </c>
    </row>
    <row r="515" spans="1:23" hidden="1" x14ac:dyDescent="0.55000000000000004">
      <c r="A515" s="1" t="s">
        <v>1176</v>
      </c>
      <c r="B515" s="1">
        <v>125</v>
      </c>
      <c r="C515">
        <v>641.95001000000002</v>
      </c>
      <c r="D515">
        <v>621.5</v>
      </c>
      <c r="E515">
        <v>10.062519999999999</v>
      </c>
      <c r="F515" t="s">
        <v>343</v>
      </c>
      <c r="G515" s="10" t="s">
        <v>931</v>
      </c>
      <c r="H515">
        <v>98</v>
      </c>
      <c r="I515" t="s">
        <v>1189</v>
      </c>
      <c r="J515">
        <f ca="1">VLOOKUP(G515,INDIRECT("球速変換!A$1:B$" &amp; Prams!$B$8),2,)</f>
        <v>147</v>
      </c>
      <c r="K515" t="str">
        <f ca="1">VLOOKUP(I515,INDIRECT("投手名変換!A$1:B$" &amp; Prams!$B$9),2,)</f>
        <v>DD016</v>
      </c>
      <c r="L515">
        <f t="shared" si="42"/>
        <v>27</v>
      </c>
      <c r="M515">
        <f ca="1">(B515-VLOOKUP(K515,INDIRECT("投手データ!B1:D"&amp;Prams!$B$1),3,FALSE)*2)</f>
        <v>31</v>
      </c>
      <c r="N515" t="str">
        <f ca="1">VLOOKUP(F515,INDIRECT("球種変換表!A$1:B$" &amp; Prams!$B$2),2,)</f>
        <v>全力ストレート</v>
      </c>
      <c r="O515">
        <f ca="1">VLOOKUP(N515,球種情報!A:B,2,FALSE)</f>
        <v>2</v>
      </c>
      <c r="P515">
        <f ca="1">VLOOKUP(K515,投手データ!B:AI,output!O515+6,FALSE)</f>
        <v>1</v>
      </c>
      <c r="R515">
        <f t="shared" ca="1" si="38"/>
        <v>6.8027210884353739E-3</v>
      </c>
      <c r="S515">
        <f t="shared" si="39"/>
        <v>0.43506944444444445</v>
      </c>
      <c r="T515">
        <f>Prams!B$5/(S515-Prams!B$6)</f>
        <v>164.96275487892558</v>
      </c>
      <c r="U515">
        <f t="shared" ca="1" si="40"/>
        <v>0.50173611111111116</v>
      </c>
      <c r="V515">
        <f ca="1">Prams!C$5/(U515-Prams!C$6)</f>
        <v>172.62431260616307</v>
      </c>
      <c r="W515">
        <f t="shared" ca="1" si="41"/>
        <v>1.174315051742606</v>
      </c>
    </row>
    <row r="516" spans="1:23" hidden="1" x14ac:dyDescent="0.55000000000000004">
      <c r="A516" s="1" t="s">
        <v>1177</v>
      </c>
      <c r="B516" s="1">
        <v>140</v>
      </c>
      <c r="C516">
        <v>629.55260999999996</v>
      </c>
      <c r="D516">
        <v>601.5</v>
      </c>
      <c r="E516">
        <v>9.5658300000000001</v>
      </c>
      <c r="F516" t="s">
        <v>42</v>
      </c>
      <c r="G516" s="10" t="s">
        <v>591</v>
      </c>
      <c r="H516">
        <v>101</v>
      </c>
      <c r="I516" t="s">
        <v>1162</v>
      </c>
      <c r="J516">
        <f ca="1">VLOOKUP(G516,INDIRECT("球速変換!A$1:B$" &amp; Prams!$B$8),2,)</f>
        <v>128</v>
      </c>
      <c r="K516" t="str">
        <f ca="1">VLOOKUP(I516,INDIRECT("投手名変換!A$1:B$" &amp; Prams!$B$9),2,)</f>
        <v>DD016</v>
      </c>
      <c r="L516">
        <f t="shared" si="42"/>
        <v>39</v>
      </c>
      <c r="M516">
        <f ca="1">(B516-VLOOKUP(K516,INDIRECT("投手データ!B1:D"&amp;Prams!$B$1),3,FALSE)*2)</f>
        <v>46</v>
      </c>
      <c r="N516" t="str">
        <f ca="1">VLOOKUP(F516,INDIRECT("球種変換表!A$1:B$" &amp; Prams!$B$2),2,)</f>
        <v>パーム</v>
      </c>
      <c r="O516">
        <f ca="1">VLOOKUP(N516,球種情報!A:B,2,FALSE)</f>
        <v>17</v>
      </c>
      <c r="P516">
        <f ca="1">VLOOKUP(K516,投手データ!B:AI,output!O516+6,FALSE)</f>
        <v>1</v>
      </c>
      <c r="R516">
        <f t="shared" ca="1" si="38"/>
        <v>7.8125E-3</v>
      </c>
      <c r="S516">
        <f t="shared" si="39"/>
        <v>0.6489583333333333</v>
      </c>
      <c r="T516">
        <f>Prams!B$5/(S516-Prams!B$6)</f>
        <v>105.02357054884696</v>
      </c>
      <c r="U516">
        <f t="shared" ca="1" si="40"/>
        <v>0.765625</v>
      </c>
      <c r="V516">
        <f ca="1">Prams!C$5/(U516-Prams!C$6)</f>
        <v>99.389895904505437</v>
      </c>
      <c r="W516">
        <f t="shared" ca="1" si="41"/>
        <v>0.77648356175394873</v>
      </c>
    </row>
    <row r="517" spans="1:23" hidden="1" x14ac:dyDescent="0.55000000000000004">
      <c r="A517" s="1" t="s">
        <v>1178</v>
      </c>
      <c r="B517" s="1">
        <v>141</v>
      </c>
      <c r="C517">
        <v>639</v>
      </c>
      <c r="D517">
        <v>611.5</v>
      </c>
      <c r="E517">
        <v>10.012589999999999</v>
      </c>
      <c r="F517" t="s">
        <v>506</v>
      </c>
      <c r="G517" s="10" t="s">
        <v>629</v>
      </c>
      <c r="H517">
        <v>101</v>
      </c>
      <c r="I517" t="s">
        <v>1162</v>
      </c>
      <c r="J517">
        <f ca="1">VLOOKUP(G517,INDIRECT("球速変換!A$1:B$" &amp; Prams!$B$8),2,)</f>
        <v>121</v>
      </c>
      <c r="K517" t="str">
        <f ca="1">VLOOKUP(I517,INDIRECT("投手名変換!A$1:B$" &amp; Prams!$B$9),2,)</f>
        <v>DD016</v>
      </c>
      <c r="L517">
        <f t="shared" si="42"/>
        <v>40</v>
      </c>
      <c r="M517">
        <f ca="1">(B517-VLOOKUP(K517,INDIRECT("投手データ!B1:D"&amp;Prams!$B$1),3,FALSE)*2)</f>
        <v>47</v>
      </c>
      <c r="N517" t="str">
        <f ca="1">VLOOKUP(F517,INDIRECT("球種変換表!A$1:B$" &amp; Prams!$B$2),2,)</f>
        <v>パーム</v>
      </c>
      <c r="O517">
        <f ca="1">VLOOKUP(N517,球種情報!A:B,2,FALSE)</f>
        <v>17</v>
      </c>
      <c r="P517">
        <f ca="1">VLOOKUP(K517,投手データ!B:AI,output!O517+6,FALSE)</f>
        <v>1</v>
      </c>
      <c r="R517">
        <f t="shared" ref="R517:R580" ca="1" si="43">1/J517</f>
        <v>8.2644628099173556E-3</v>
      </c>
      <c r="S517">
        <f t="shared" ref="S517:S580" si="44">(L517-(D517-600)/24)*2/120</f>
        <v>0.6586805555555556</v>
      </c>
      <c r="T517">
        <f>Prams!B$5/(S517-Prams!B$6)</f>
        <v>103.31719409331669</v>
      </c>
      <c r="U517">
        <f t="shared" ref="U517:U580" ca="1" si="45">(M517-(D517-600)/24)*2/120</f>
        <v>0.7753472222222223</v>
      </c>
      <c r="V517">
        <f ca="1">Prams!C$5/(U517-Prams!C$6)</f>
        <v>97.860343227996424</v>
      </c>
      <c r="W517">
        <f t="shared" ref="W517:W580" ca="1" si="46">V517/J517</f>
        <v>0.80876316717352414</v>
      </c>
    </row>
    <row r="518" spans="1:23" hidden="1" x14ac:dyDescent="0.55000000000000004">
      <c r="A518" s="1" t="s">
        <v>1179</v>
      </c>
      <c r="B518" s="1">
        <v>140</v>
      </c>
      <c r="C518">
        <v>638</v>
      </c>
      <c r="D518">
        <v>600.5</v>
      </c>
      <c r="E518">
        <v>10.012589999999999</v>
      </c>
      <c r="F518" t="s">
        <v>42</v>
      </c>
      <c r="G518" s="10" t="s">
        <v>1056</v>
      </c>
      <c r="H518">
        <v>101</v>
      </c>
      <c r="I518" t="s">
        <v>1162</v>
      </c>
      <c r="J518">
        <f ca="1">VLOOKUP(G518,INDIRECT("球速変換!A$1:B$" &amp; Prams!$B$8),2,)</f>
        <v>122</v>
      </c>
      <c r="K518" t="str">
        <f ca="1">VLOOKUP(I518,INDIRECT("投手名変換!A$1:B$" &amp; Prams!$B$9),2,)</f>
        <v>DD016</v>
      </c>
      <c r="L518">
        <f t="shared" si="42"/>
        <v>39</v>
      </c>
      <c r="M518">
        <f ca="1">(B518-VLOOKUP(K518,INDIRECT("投手データ!B1:D"&amp;Prams!$B$1),3,FALSE)*2)</f>
        <v>46</v>
      </c>
      <c r="N518" t="str">
        <f ca="1">VLOOKUP(F518,INDIRECT("球種変換表!A$1:B$" &amp; Prams!$B$2),2,)</f>
        <v>パーム</v>
      </c>
      <c r="O518">
        <f ca="1">VLOOKUP(N518,球種情報!A:B,2,FALSE)</f>
        <v>17</v>
      </c>
      <c r="P518">
        <f ca="1">VLOOKUP(K518,投手データ!B:AI,output!O518+6,FALSE)</f>
        <v>1</v>
      </c>
      <c r="R518">
        <f t="shared" ca="1" si="43"/>
        <v>8.1967213114754103E-3</v>
      </c>
      <c r="S518">
        <f t="shared" si="44"/>
        <v>0.64965277777777775</v>
      </c>
      <c r="T518">
        <f>Prams!B$5/(S518-Prams!B$6)</f>
        <v>104.89981948182329</v>
      </c>
      <c r="U518">
        <f t="shared" ca="1" si="45"/>
        <v>0.76631944444444444</v>
      </c>
      <c r="V518">
        <f ca="1">Prams!C$5/(U518-Prams!C$6)</f>
        <v>99.279058252557121</v>
      </c>
      <c r="W518">
        <f t="shared" ca="1" si="46"/>
        <v>0.81376277256194363</v>
      </c>
    </row>
    <row r="519" spans="1:23" hidden="1" x14ac:dyDescent="0.55000000000000004">
      <c r="A519" s="1" t="s">
        <v>1180</v>
      </c>
      <c r="B519" s="1">
        <v>140</v>
      </c>
      <c r="C519">
        <v>635.5</v>
      </c>
      <c r="D519">
        <v>604.5</v>
      </c>
      <c r="E519">
        <v>11.510960000000001</v>
      </c>
      <c r="F519" t="s">
        <v>42</v>
      </c>
      <c r="G519" s="10" t="s">
        <v>625</v>
      </c>
      <c r="H519">
        <v>101</v>
      </c>
      <c r="I519" t="s">
        <v>1162</v>
      </c>
      <c r="J519">
        <f ca="1">VLOOKUP(G519,INDIRECT("球速変換!A$1:B$" &amp; Prams!$B$8),2,)</f>
        <v>123</v>
      </c>
      <c r="K519" t="str">
        <f ca="1">VLOOKUP(I519,INDIRECT("投手名変換!A$1:B$" &amp; Prams!$B$9),2,)</f>
        <v>DD016</v>
      </c>
      <c r="L519">
        <f t="shared" si="42"/>
        <v>39</v>
      </c>
      <c r="M519">
        <f ca="1">(B519-VLOOKUP(K519,INDIRECT("投手データ!B1:D"&amp;Prams!$B$1),3,FALSE)*2)</f>
        <v>46</v>
      </c>
      <c r="N519" t="str">
        <f ca="1">VLOOKUP(F519,INDIRECT("球種変換表!A$1:B$" &amp; Prams!$B$2),2,)</f>
        <v>パーム</v>
      </c>
      <c r="O519">
        <f ca="1">VLOOKUP(N519,球種情報!A:B,2,FALSE)</f>
        <v>17</v>
      </c>
      <c r="P519">
        <f ca="1">VLOOKUP(K519,投手データ!B:AI,output!O519+6,FALSE)</f>
        <v>1</v>
      </c>
      <c r="R519">
        <f t="shared" ca="1" si="43"/>
        <v>8.130081300813009E-3</v>
      </c>
      <c r="S519">
        <f t="shared" si="44"/>
        <v>0.64687499999999998</v>
      </c>
      <c r="T519">
        <f>Prams!B$5/(S519-Prams!B$6)</f>
        <v>105.39658185227806</v>
      </c>
      <c r="U519">
        <f t="shared" ca="1" si="45"/>
        <v>0.76354166666666667</v>
      </c>
      <c r="V519">
        <f ca="1">Prams!C$5/(U519-Prams!C$6)</f>
        <v>99.723898753915023</v>
      </c>
      <c r="W519">
        <f t="shared" ca="1" si="46"/>
        <v>0.81076340450337414</v>
      </c>
    </row>
    <row r="520" spans="1:23" hidden="1" x14ac:dyDescent="0.55000000000000004">
      <c r="A520" s="1" t="s">
        <v>1181</v>
      </c>
      <c r="B520" s="1">
        <v>140</v>
      </c>
      <c r="C520">
        <v>637.02502000000004</v>
      </c>
      <c r="D520">
        <v>605</v>
      </c>
      <c r="E520">
        <v>10.025080000000001</v>
      </c>
      <c r="F520" t="s">
        <v>42</v>
      </c>
      <c r="G520" s="10" t="s">
        <v>2424</v>
      </c>
      <c r="H520">
        <v>101</v>
      </c>
      <c r="I520" t="s">
        <v>1189</v>
      </c>
      <c r="J520">
        <f ca="1">VLOOKUP(G520,INDIRECT("球速変換!A$1:B$" &amp; Prams!$B$8),2,)</f>
        <v>123</v>
      </c>
      <c r="K520" t="str">
        <f ca="1">VLOOKUP(I520,INDIRECT("投手名変換!A$1:B$" &amp; Prams!$B$9),2,)</f>
        <v>DD016</v>
      </c>
      <c r="L520">
        <f t="shared" si="42"/>
        <v>39</v>
      </c>
      <c r="M520">
        <f ca="1">(B520-VLOOKUP(K520,INDIRECT("投手データ!B1:D"&amp;Prams!$B$1),3,FALSE)*2)</f>
        <v>46</v>
      </c>
      <c r="N520" t="str">
        <f ca="1">VLOOKUP(F520,INDIRECT("球種変換表!A$1:B$" &amp; Prams!$B$2),2,)</f>
        <v>パーム</v>
      </c>
      <c r="O520">
        <f ca="1">VLOOKUP(N520,球種情報!A:B,2,FALSE)</f>
        <v>17</v>
      </c>
      <c r="P520">
        <f ca="1">VLOOKUP(K520,投手データ!B:AI,output!O520+6,FALSE)</f>
        <v>1</v>
      </c>
      <c r="R520">
        <f t="shared" ca="1" si="43"/>
        <v>8.130081300813009E-3</v>
      </c>
      <c r="S520">
        <f t="shared" si="44"/>
        <v>0.6465277777777777</v>
      </c>
      <c r="T520">
        <f>Prams!B$5/(S520-Prams!B$6)</f>
        <v>105.45900815951329</v>
      </c>
      <c r="U520">
        <f t="shared" ca="1" si="45"/>
        <v>0.7631944444444444</v>
      </c>
      <c r="V520">
        <f ca="1">Prams!C$5/(U520-Prams!C$6)</f>
        <v>99.779784267486818</v>
      </c>
      <c r="W520">
        <f t="shared" ca="1" si="46"/>
        <v>0.81121775827225051</v>
      </c>
    </row>
    <row r="521" spans="1:23" hidden="1" x14ac:dyDescent="0.55000000000000004">
      <c r="A521" s="1" t="s">
        <v>1183</v>
      </c>
      <c r="B521" s="1">
        <v>141</v>
      </c>
      <c r="C521">
        <v>640.5</v>
      </c>
      <c r="D521">
        <v>611.5</v>
      </c>
      <c r="E521">
        <v>10.512</v>
      </c>
      <c r="F521" t="s">
        <v>1182</v>
      </c>
      <c r="G521" s="10" t="s">
        <v>629</v>
      </c>
      <c r="H521">
        <v>101</v>
      </c>
      <c r="I521" t="s">
        <v>1162</v>
      </c>
      <c r="J521">
        <f ca="1">VLOOKUP(G521,INDIRECT("球速変換!A$1:B$" &amp; Prams!$B$8),2,)</f>
        <v>121</v>
      </c>
      <c r="K521" t="str">
        <f ca="1">VLOOKUP(I521,INDIRECT("投手名変換!A$1:B$" &amp; Prams!$B$9),2,)</f>
        <v>DD016</v>
      </c>
      <c r="L521">
        <f t="shared" ref="L521:L584" si="47">B521-H521</f>
        <v>40</v>
      </c>
      <c r="M521">
        <f ca="1">(B521-VLOOKUP(K521,INDIRECT("投手データ!B1:D"&amp;Prams!$B$1),3,FALSE)*2)</f>
        <v>47</v>
      </c>
      <c r="N521" t="str">
        <f ca="1">VLOOKUP(F521,INDIRECT("球種変換表!A$1:B$" &amp; Prams!$B$2),2,)</f>
        <v>パーム</v>
      </c>
      <c r="O521">
        <f ca="1">VLOOKUP(N521,球種情報!A:B,2,FALSE)</f>
        <v>17</v>
      </c>
      <c r="P521">
        <f ca="1">VLOOKUP(K521,投手データ!B:AI,output!O521+6,FALSE)</f>
        <v>1</v>
      </c>
      <c r="R521">
        <f t="shared" ca="1" si="43"/>
        <v>8.2644628099173556E-3</v>
      </c>
      <c r="S521">
        <f t="shared" si="44"/>
        <v>0.6586805555555556</v>
      </c>
      <c r="T521">
        <f>Prams!B$5/(S521-Prams!B$6)</f>
        <v>103.31719409331669</v>
      </c>
      <c r="U521">
        <f t="shared" ca="1" si="45"/>
        <v>0.7753472222222223</v>
      </c>
      <c r="V521">
        <f ca="1">Prams!C$5/(U521-Prams!C$6)</f>
        <v>97.860343227996424</v>
      </c>
      <c r="W521">
        <f t="shared" ca="1" si="46"/>
        <v>0.80876316717352414</v>
      </c>
    </row>
    <row r="522" spans="1:23" hidden="1" x14ac:dyDescent="0.55000000000000004">
      <c r="A522" s="1" t="s">
        <v>1184</v>
      </c>
      <c r="B522" s="1">
        <v>141</v>
      </c>
      <c r="C522">
        <v>643.5</v>
      </c>
      <c r="D522">
        <v>606.5</v>
      </c>
      <c r="E522">
        <v>11.510960000000001</v>
      </c>
      <c r="F522" t="s">
        <v>42</v>
      </c>
      <c r="G522" s="10" t="s">
        <v>622</v>
      </c>
      <c r="H522">
        <v>101</v>
      </c>
      <c r="I522" t="s">
        <v>1162</v>
      </c>
      <c r="J522">
        <f ca="1">VLOOKUP(G522,INDIRECT("球速変換!A$1:B$" &amp; Prams!$B$8),2,)</f>
        <v>128</v>
      </c>
      <c r="K522" t="str">
        <f ca="1">VLOOKUP(I522,INDIRECT("投手名変換!A$1:B$" &amp; Prams!$B$9),2,)</f>
        <v>DD016</v>
      </c>
      <c r="L522">
        <f t="shared" si="47"/>
        <v>40</v>
      </c>
      <c r="M522">
        <f ca="1">(B522-VLOOKUP(K522,INDIRECT("投手データ!B1:D"&amp;Prams!$B$1),3,FALSE)*2)</f>
        <v>47</v>
      </c>
      <c r="N522" t="str">
        <f ca="1">VLOOKUP(F522,INDIRECT("球種変換表!A$1:B$" &amp; Prams!$B$2),2,)</f>
        <v>パーム</v>
      </c>
      <c r="O522">
        <f ca="1">VLOOKUP(N522,球種情報!A:B,2,FALSE)</f>
        <v>17</v>
      </c>
      <c r="P522">
        <f ca="1">VLOOKUP(K522,投手データ!B:AI,output!O522+6,FALSE)</f>
        <v>1</v>
      </c>
      <c r="R522">
        <f t="shared" ca="1" si="43"/>
        <v>7.8125E-3</v>
      </c>
      <c r="S522">
        <f t="shared" si="44"/>
        <v>0.6621527777777777</v>
      </c>
      <c r="T522">
        <f>Prams!B$5/(S522-Prams!B$6)</f>
        <v>102.72113427517806</v>
      </c>
      <c r="U522">
        <f t="shared" ca="1" si="45"/>
        <v>0.7788194444444444</v>
      </c>
      <c r="V522">
        <f ca="1">Prams!C$5/(U522-Prams!C$6)</f>
        <v>97.325421223636639</v>
      </c>
      <c r="W522">
        <f t="shared" ca="1" si="46"/>
        <v>0.76035485330966124</v>
      </c>
    </row>
    <row r="523" spans="1:23" hidden="1" x14ac:dyDescent="0.55000000000000004">
      <c r="A523" s="1" t="s">
        <v>1185</v>
      </c>
      <c r="B523" s="1">
        <v>141</v>
      </c>
      <c r="C523">
        <v>638.5</v>
      </c>
      <c r="D523">
        <v>608.5</v>
      </c>
      <c r="E523">
        <v>10.512</v>
      </c>
      <c r="F523" t="s">
        <v>506</v>
      </c>
      <c r="G523" s="10" t="s">
        <v>629</v>
      </c>
      <c r="H523">
        <v>101</v>
      </c>
      <c r="I523" t="s">
        <v>1162</v>
      </c>
      <c r="J523">
        <f ca="1">VLOOKUP(G523,INDIRECT("球速変換!A$1:B$" &amp; Prams!$B$8),2,)</f>
        <v>121</v>
      </c>
      <c r="K523" t="str">
        <f ca="1">VLOOKUP(I523,INDIRECT("投手名変換!A$1:B$" &amp; Prams!$B$9),2,)</f>
        <v>DD016</v>
      </c>
      <c r="L523">
        <f t="shared" si="47"/>
        <v>40</v>
      </c>
      <c r="M523">
        <f ca="1">(B523-VLOOKUP(K523,INDIRECT("投手データ!B1:D"&amp;Prams!$B$1),3,FALSE)*2)</f>
        <v>47</v>
      </c>
      <c r="N523" t="str">
        <f ca="1">VLOOKUP(F523,INDIRECT("球種変換表!A$1:B$" &amp; Prams!$B$2),2,)</f>
        <v>パーム</v>
      </c>
      <c r="O523">
        <f ca="1">VLOOKUP(N523,球種情報!A:B,2,FALSE)</f>
        <v>17</v>
      </c>
      <c r="P523">
        <f ca="1">VLOOKUP(K523,投手データ!B:AI,output!O523+6,FALSE)</f>
        <v>1</v>
      </c>
      <c r="R523">
        <f t="shared" ca="1" si="43"/>
        <v>8.2644628099173556E-3</v>
      </c>
      <c r="S523">
        <f t="shared" si="44"/>
        <v>0.66076388888888893</v>
      </c>
      <c r="T523">
        <f>Prams!B$5/(S523-Prams!B$6)</f>
        <v>102.95873098113958</v>
      </c>
      <c r="U523">
        <f t="shared" ca="1" si="45"/>
        <v>0.77743055555555562</v>
      </c>
      <c r="V523">
        <f ca="1">Prams!C$5/(U523-Prams!C$6)</f>
        <v>97.538686732784328</v>
      </c>
      <c r="W523">
        <f t="shared" ca="1" si="46"/>
        <v>0.80610484903127544</v>
      </c>
    </row>
    <row r="524" spans="1:23" hidden="1" x14ac:dyDescent="0.55000000000000004">
      <c r="A524" s="1" t="s">
        <v>1187</v>
      </c>
      <c r="B524" s="1">
        <v>140</v>
      </c>
      <c r="C524">
        <v>642.5</v>
      </c>
      <c r="D524">
        <v>605</v>
      </c>
      <c r="E524">
        <v>10.547610000000001</v>
      </c>
      <c r="F524" t="s">
        <v>506</v>
      </c>
      <c r="G524" s="10" t="s">
        <v>1186</v>
      </c>
      <c r="H524">
        <v>101</v>
      </c>
      <c r="I524" t="s">
        <v>1162</v>
      </c>
      <c r="J524">
        <f ca="1">VLOOKUP(G524,INDIRECT("球速変換!A$1:B$" &amp; Prams!$B$8),2,)</f>
        <v>123</v>
      </c>
      <c r="K524" t="str">
        <f ca="1">VLOOKUP(I524,INDIRECT("投手名変換!A$1:B$" &amp; Prams!$B$9),2,)</f>
        <v>DD016</v>
      </c>
      <c r="L524">
        <f t="shared" si="47"/>
        <v>39</v>
      </c>
      <c r="M524">
        <f ca="1">(B524-VLOOKUP(K524,INDIRECT("投手データ!B1:D"&amp;Prams!$B$1),3,FALSE)*2)</f>
        <v>46</v>
      </c>
      <c r="N524" t="str">
        <f ca="1">VLOOKUP(F524,INDIRECT("球種変換表!A$1:B$" &amp; Prams!$B$2),2,)</f>
        <v>パーム</v>
      </c>
      <c r="O524">
        <f ca="1">VLOOKUP(N524,球種情報!A:B,2,FALSE)</f>
        <v>17</v>
      </c>
      <c r="P524">
        <f ca="1">VLOOKUP(K524,投手データ!B:AI,output!O524+6,FALSE)</f>
        <v>1</v>
      </c>
      <c r="R524">
        <f t="shared" ca="1" si="43"/>
        <v>8.130081300813009E-3</v>
      </c>
      <c r="S524">
        <f t="shared" si="44"/>
        <v>0.6465277777777777</v>
      </c>
      <c r="T524">
        <f>Prams!B$5/(S524-Prams!B$6)</f>
        <v>105.45900815951329</v>
      </c>
      <c r="U524">
        <f t="shared" ca="1" si="45"/>
        <v>0.7631944444444444</v>
      </c>
      <c r="V524">
        <f ca="1">Prams!C$5/(U524-Prams!C$6)</f>
        <v>99.779784267486818</v>
      </c>
      <c r="W524">
        <f t="shared" ca="1" si="46"/>
        <v>0.81121775827225051</v>
      </c>
    </row>
    <row r="525" spans="1:23" hidden="1" x14ac:dyDescent="0.55000000000000004">
      <c r="A525" s="1" t="s">
        <v>1188</v>
      </c>
      <c r="B525" s="1">
        <v>141</v>
      </c>
      <c r="C525">
        <v>638.5</v>
      </c>
      <c r="D525">
        <v>608.5</v>
      </c>
      <c r="E525">
        <v>10.512</v>
      </c>
      <c r="F525" t="s">
        <v>506</v>
      </c>
      <c r="G525" s="10" t="s">
        <v>629</v>
      </c>
      <c r="H525">
        <v>101</v>
      </c>
      <c r="I525" t="s">
        <v>1162</v>
      </c>
      <c r="J525">
        <f ca="1">VLOOKUP(G525,INDIRECT("球速変換!A$1:B$" &amp; Prams!$B$8),2,)</f>
        <v>121</v>
      </c>
      <c r="K525" t="str">
        <f ca="1">VLOOKUP(I525,INDIRECT("投手名変換!A$1:B$" &amp; Prams!$B$9),2,)</f>
        <v>DD016</v>
      </c>
      <c r="L525">
        <f t="shared" si="47"/>
        <v>40</v>
      </c>
      <c r="M525">
        <f ca="1">(B525-VLOOKUP(K525,INDIRECT("投手データ!B1:D"&amp;Prams!$B$1),3,FALSE)*2)</f>
        <v>47</v>
      </c>
      <c r="N525" t="str">
        <f ca="1">VLOOKUP(F525,INDIRECT("球種変換表!A$1:B$" &amp; Prams!$B$2),2,)</f>
        <v>パーム</v>
      </c>
      <c r="O525">
        <f ca="1">VLOOKUP(N525,球種情報!A:B,2,FALSE)</f>
        <v>17</v>
      </c>
      <c r="P525">
        <f ca="1">VLOOKUP(K525,投手データ!B:AI,output!O525+6,FALSE)</f>
        <v>1</v>
      </c>
      <c r="R525">
        <f t="shared" ca="1" si="43"/>
        <v>8.2644628099173556E-3</v>
      </c>
      <c r="S525">
        <f t="shared" si="44"/>
        <v>0.66076388888888893</v>
      </c>
      <c r="T525">
        <f>Prams!B$5/(S525-Prams!B$6)</f>
        <v>102.95873098113958</v>
      </c>
      <c r="U525">
        <f t="shared" ca="1" si="45"/>
        <v>0.77743055555555562</v>
      </c>
      <c r="V525">
        <f ca="1">Prams!C$5/(U525-Prams!C$6)</f>
        <v>97.538686732784328</v>
      </c>
      <c r="W525">
        <f t="shared" ca="1" si="46"/>
        <v>0.80610484903127544</v>
      </c>
    </row>
    <row r="526" spans="1:23" hidden="1" x14ac:dyDescent="0.55000000000000004">
      <c r="A526" s="1" t="s">
        <v>1190</v>
      </c>
      <c r="B526" s="1">
        <v>77</v>
      </c>
      <c r="C526">
        <v>627.54345999999998</v>
      </c>
      <c r="D526">
        <v>609.5</v>
      </c>
      <c r="E526">
        <v>11.55442</v>
      </c>
      <c r="F526" t="s">
        <v>47</v>
      </c>
      <c r="G526" s="10" t="s">
        <v>629</v>
      </c>
      <c r="H526">
        <v>35</v>
      </c>
      <c r="I526" t="s">
        <v>1189</v>
      </c>
      <c r="J526">
        <f ca="1">VLOOKUP(G526,INDIRECT("球速変換!A$1:B$" &amp; Prams!$B$8),2,)</f>
        <v>121</v>
      </c>
      <c r="K526" t="str">
        <f ca="1">VLOOKUP(I526,INDIRECT("投手名変換!A$1:B$" &amp; Prams!$B$9),2,)</f>
        <v>DD016</v>
      </c>
      <c r="L526">
        <f t="shared" si="47"/>
        <v>42</v>
      </c>
      <c r="M526">
        <f ca="1">(B526-VLOOKUP(K526,INDIRECT("投手データ!B1:D"&amp;Prams!$B$1),3,FALSE)*2)</f>
        <v>-17</v>
      </c>
      <c r="N526" t="str">
        <f ca="1">VLOOKUP(F526,INDIRECT("球種変換表!A$1:B$" &amp; Prams!$B$2),2,)</f>
        <v>サークルチェンジ</v>
      </c>
      <c r="O526">
        <f ca="1">VLOOKUP(N526,球種情報!A:B,2,FALSE)</f>
        <v>24</v>
      </c>
      <c r="P526">
        <f ca="1">VLOOKUP(K526,投手データ!B:AI,output!O526+6,FALSE)</f>
        <v>3</v>
      </c>
      <c r="R526">
        <f t="shared" ca="1" si="43"/>
        <v>8.2644628099173556E-3</v>
      </c>
      <c r="S526">
        <f t="shared" si="44"/>
        <v>0.6934027777777777</v>
      </c>
      <c r="T526">
        <f>Prams!B$5/(S526-Prams!B$6)</f>
        <v>97.650811479617602</v>
      </c>
      <c r="U526">
        <f t="shared" ca="1" si="45"/>
        <v>-0.28993055555555552</v>
      </c>
      <c r="V526">
        <f ca="1">Prams!C$5/(U526-Prams!C$6)</f>
        <v>-142.6035586367743</v>
      </c>
      <c r="W526">
        <f t="shared" ca="1" si="46"/>
        <v>-1.17854180691549</v>
      </c>
    </row>
    <row r="527" spans="1:23" hidden="1" x14ac:dyDescent="0.55000000000000004">
      <c r="A527" s="1" t="s">
        <v>1191</v>
      </c>
      <c r="B527" s="1">
        <v>140</v>
      </c>
      <c r="C527">
        <v>632</v>
      </c>
      <c r="D527">
        <v>610.5</v>
      </c>
      <c r="E527">
        <v>11.01146</v>
      </c>
      <c r="F527" t="s">
        <v>47</v>
      </c>
      <c r="G527" s="10" t="s">
        <v>2426</v>
      </c>
      <c r="H527">
        <v>98</v>
      </c>
      <c r="I527" t="s">
        <v>1189</v>
      </c>
      <c r="J527">
        <f ca="1">VLOOKUP(G527,INDIRECT("球速変換!A$1:B$" &amp; Prams!$B$8),2,)</f>
        <v>121</v>
      </c>
      <c r="K527" t="str">
        <f ca="1">VLOOKUP(I527,INDIRECT("投手名変換!A$1:B$" &amp; Prams!$B$9),2,)</f>
        <v>DD016</v>
      </c>
      <c r="L527">
        <f t="shared" si="47"/>
        <v>42</v>
      </c>
      <c r="M527">
        <f ca="1">(B527-VLOOKUP(K527,INDIRECT("投手データ!B1:D"&amp;Prams!$B$1),3,FALSE)*2)</f>
        <v>46</v>
      </c>
      <c r="N527" t="str">
        <f ca="1">VLOOKUP(F527,INDIRECT("球種変換表!A$1:B$" &amp; Prams!$B$2),2,)</f>
        <v>サークルチェンジ</v>
      </c>
      <c r="O527">
        <f ca="1">VLOOKUP(N527,球種情報!A:B,2,FALSE)</f>
        <v>24</v>
      </c>
      <c r="P527">
        <f ca="1">VLOOKUP(K527,投手データ!B:AI,output!O527+6,FALSE)</f>
        <v>3</v>
      </c>
      <c r="R527">
        <f t="shared" ca="1" si="43"/>
        <v>8.2644628099173556E-3</v>
      </c>
      <c r="S527">
        <f t="shared" si="44"/>
        <v>0.69270833333333337</v>
      </c>
      <c r="T527">
        <f>Prams!B$5/(S527-Prams!B$6)</f>
        <v>97.758041349866247</v>
      </c>
      <c r="U527">
        <f t="shared" ca="1" si="45"/>
        <v>0.75937500000000002</v>
      </c>
      <c r="V527">
        <f ca="1">Prams!C$5/(U527-Prams!C$6)</f>
        <v>100.39868458446674</v>
      </c>
      <c r="W527">
        <f t="shared" ca="1" si="46"/>
        <v>0.82974119491294818</v>
      </c>
    </row>
    <row r="528" spans="1:23" hidden="1" x14ac:dyDescent="0.55000000000000004">
      <c r="A528" s="1" t="s">
        <v>1192</v>
      </c>
      <c r="B528" s="1">
        <v>139</v>
      </c>
      <c r="C528">
        <v>633.95001000000002</v>
      </c>
      <c r="D528">
        <v>601.5</v>
      </c>
      <c r="E528">
        <v>10.062519999999999</v>
      </c>
      <c r="F528" t="s">
        <v>47</v>
      </c>
      <c r="G528" s="10" t="s">
        <v>2424</v>
      </c>
      <c r="H528">
        <v>98</v>
      </c>
      <c r="I528" t="s">
        <v>1162</v>
      </c>
      <c r="J528">
        <f ca="1">VLOOKUP(G528,INDIRECT("球速変換!A$1:B$" &amp; Prams!$B$8),2,)</f>
        <v>123</v>
      </c>
      <c r="K528" t="str">
        <f ca="1">VLOOKUP(I528,INDIRECT("投手名変換!A$1:B$" &amp; Prams!$B$9),2,)</f>
        <v>DD016</v>
      </c>
      <c r="L528">
        <f t="shared" si="47"/>
        <v>41</v>
      </c>
      <c r="M528">
        <f ca="1">(B528-VLOOKUP(K528,INDIRECT("投手データ!B1:D"&amp;Prams!$B$1),3,FALSE)*2)</f>
        <v>45</v>
      </c>
      <c r="N528" t="str">
        <f ca="1">VLOOKUP(F528,INDIRECT("球種変換表!A$1:B$" &amp; Prams!$B$2),2,)</f>
        <v>サークルチェンジ</v>
      </c>
      <c r="O528">
        <f ca="1">VLOOKUP(N528,球種情報!A:B,2,FALSE)</f>
        <v>24</v>
      </c>
      <c r="P528">
        <f ca="1">VLOOKUP(K528,投手データ!B:AI,output!O528+6,FALSE)</f>
        <v>3</v>
      </c>
      <c r="R528">
        <f t="shared" ca="1" si="43"/>
        <v>8.130081300813009E-3</v>
      </c>
      <c r="S528">
        <f t="shared" si="44"/>
        <v>0.68229166666666663</v>
      </c>
      <c r="T528">
        <f>Prams!B$5/(S528-Prams!B$6)</f>
        <v>99.395222336848036</v>
      </c>
      <c r="U528">
        <f t="shared" ca="1" si="45"/>
        <v>0.74895833333333328</v>
      </c>
      <c r="V528">
        <f ca="1">Prams!C$5/(U528-Prams!C$6)</f>
        <v>102.12628883719012</v>
      </c>
      <c r="W528">
        <f t="shared" ca="1" si="46"/>
        <v>0.83029503119666759</v>
      </c>
    </row>
    <row r="529" spans="1:23" hidden="1" x14ac:dyDescent="0.55000000000000004">
      <c r="A529" s="1" t="s">
        <v>1193</v>
      </c>
      <c r="B529" s="1">
        <v>140</v>
      </c>
      <c r="C529">
        <v>640.5</v>
      </c>
      <c r="D529">
        <v>610.5</v>
      </c>
      <c r="E529">
        <v>10.512</v>
      </c>
      <c r="F529" t="s">
        <v>47</v>
      </c>
      <c r="G529" s="10" t="s">
        <v>1544</v>
      </c>
      <c r="H529">
        <v>98</v>
      </c>
      <c r="I529" t="s">
        <v>1162</v>
      </c>
      <c r="J529">
        <f ca="1">VLOOKUP(G529,INDIRECT("球速変換!A$1:B$" &amp; Prams!$B$8),2,)</f>
        <v>122</v>
      </c>
      <c r="K529" t="str">
        <f ca="1">VLOOKUP(I529,INDIRECT("投手名変換!A$1:B$" &amp; Prams!$B$9),2,)</f>
        <v>DD016</v>
      </c>
      <c r="L529">
        <f t="shared" si="47"/>
        <v>42</v>
      </c>
      <c r="M529">
        <f ca="1">(B529-VLOOKUP(K529,INDIRECT("投手データ!B1:D"&amp;Prams!$B$1),3,FALSE)*2)</f>
        <v>46</v>
      </c>
      <c r="N529" t="str">
        <f ca="1">VLOOKUP(F529,INDIRECT("球種変換表!A$1:B$" &amp; Prams!$B$2),2,)</f>
        <v>サークルチェンジ</v>
      </c>
      <c r="O529">
        <f ca="1">VLOOKUP(N529,球種情報!A:B,2,FALSE)</f>
        <v>24</v>
      </c>
      <c r="P529">
        <f ca="1">VLOOKUP(K529,投手データ!B:AI,output!O529+6,FALSE)</f>
        <v>3</v>
      </c>
      <c r="R529">
        <f t="shared" ca="1" si="43"/>
        <v>8.1967213114754103E-3</v>
      </c>
      <c r="S529">
        <f t="shared" si="44"/>
        <v>0.69270833333333337</v>
      </c>
      <c r="T529">
        <f>Prams!B$5/(S529-Prams!B$6)</f>
        <v>97.758041349866247</v>
      </c>
      <c r="U529">
        <f t="shared" ca="1" si="45"/>
        <v>0.75937500000000002</v>
      </c>
      <c r="V529">
        <f ca="1">Prams!C$5/(U529-Prams!C$6)</f>
        <v>100.39868458446674</v>
      </c>
      <c r="W529">
        <f t="shared" ca="1" si="46"/>
        <v>0.82294003757759615</v>
      </c>
    </row>
    <row r="530" spans="1:23" hidden="1" x14ac:dyDescent="0.55000000000000004">
      <c r="A530" s="1" t="s">
        <v>1194</v>
      </c>
      <c r="B530" s="1">
        <v>140</v>
      </c>
      <c r="C530">
        <v>637.04998999999998</v>
      </c>
      <c r="D530">
        <v>606.5</v>
      </c>
      <c r="E530">
        <v>10.06254</v>
      </c>
      <c r="F530" t="s">
        <v>47</v>
      </c>
      <c r="G530" s="10" t="s">
        <v>629</v>
      </c>
      <c r="H530">
        <v>98</v>
      </c>
      <c r="I530" t="s">
        <v>1162</v>
      </c>
      <c r="J530">
        <f ca="1">VLOOKUP(G530,INDIRECT("球速変換!A$1:B$" &amp; Prams!$B$8),2,)</f>
        <v>121</v>
      </c>
      <c r="K530" t="str">
        <f ca="1">VLOOKUP(I530,INDIRECT("投手名変換!A$1:B$" &amp; Prams!$B$9),2,)</f>
        <v>DD016</v>
      </c>
      <c r="L530">
        <f t="shared" si="47"/>
        <v>42</v>
      </c>
      <c r="M530">
        <f ca="1">(B530-VLOOKUP(K530,INDIRECT("投手データ!B1:D"&amp;Prams!$B$1),3,FALSE)*2)</f>
        <v>46</v>
      </c>
      <c r="N530" t="str">
        <f ca="1">VLOOKUP(F530,INDIRECT("球種変換表!A$1:B$" &amp; Prams!$B$2),2,)</f>
        <v>サークルチェンジ</v>
      </c>
      <c r="O530">
        <f ca="1">VLOOKUP(N530,球種情報!A:B,2,FALSE)</f>
        <v>24</v>
      </c>
      <c r="P530">
        <f ca="1">VLOOKUP(K530,投手データ!B:AI,output!O530+6,FALSE)</f>
        <v>3</v>
      </c>
      <c r="R530">
        <f t="shared" ca="1" si="43"/>
        <v>8.2644628099173556E-3</v>
      </c>
      <c r="S530">
        <f t="shared" si="44"/>
        <v>0.69548611111111103</v>
      </c>
      <c r="T530">
        <f>Prams!B$5/(S530-Prams!B$6)</f>
        <v>97.330528672698748</v>
      </c>
      <c r="U530">
        <f t="shared" ca="1" si="45"/>
        <v>0.76215277777777779</v>
      </c>
      <c r="V530">
        <f ca="1">Prams!C$5/(U530-Prams!C$6)</f>
        <v>99.947817261618752</v>
      </c>
      <c r="W530">
        <f t="shared" ca="1" si="46"/>
        <v>0.82601501869106408</v>
      </c>
    </row>
    <row r="531" spans="1:23" hidden="1" x14ac:dyDescent="0.55000000000000004">
      <c r="A531" s="1" t="s">
        <v>1195</v>
      </c>
      <c r="B531" s="1">
        <v>140</v>
      </c>
      <c r="C531">
        <v>639.5</v>
      </c>
      <c r="D531">
        <v>609.5</v>
      </c>
      <c r="E531">
        <v>10.512</v>
      </c>
      <c r="F531" t="s">
        <v>47</v>
      </c>
      <c r="G531" s="10" t="s">
        <v>629</v>
      </c>
      <c r="H531">
        <v>98</v>
      </c>
      <c r="I531" t="s">
        <v>1162</v>
      </c>
      <c r="J531">
        <f ca="1">VLOOKUP(G531,INDIRECT("球速変換!A$1:B$" &amp; Prams!$B$8),2,)</f>
        <v>121</v>
      </c>
      <c r="K531" t="str">
        <f ca="1">VLOOKUP(I531,INDIRECT("投手名変換!A$1:B$" &amp; Prams!$B$9),2,)</f>
        <v>DD016</v>
      </c>
      <c r="L531">
        <f t="shared" si="47"/>
        <v>42</v>
      </c>
      <c r="M531">
        <f ca="1">(B531-VLOOKUP(K531,INDIRECT("投手データ!B1:D"&amp;Prams!$B$1),3,FALSE)*2)</f>
        <v>46</v>
      </c>
      <c r="N531" t="str">
        <f ca="1">VLOOKUP(F531,INDIRECT("球種変換表!A$1:B$" &amp; Prams!$B$2),2,)</f>
        <v>サークルチェンジ</v>
      </c>
      <c r="O531">
        <f ca="1">VLOOKUP(N531,球種情報!A:B,2,FALSE)</f>
        <v>24</v>
      </c>
      <c r="P531">
        <f ca="1">VLOOKUP(K531,投手データ!B:AI,output!O531+6,FALSE)</f>
        <v>3</v>
      </c>
      <c r="R531">
        <f t="shared" ca="1" si="43"/>
        <v>8.2644628099173556E-3</v>
      </c>
      <c r="S531">
        <f t="shared" si="44"/>
        <v>0.6934027777777777</v>
      </c>
      <c r="T531">
        <f>Prams!B$5/(S531-Prams!B$6)</f>
        <v>97.650811479617602</v>
      </c>
      <c r="U531">
        <f t="shared" ca="1" si="45"/>
        <v>0.76006944444444435</v>
      </c>
      <c r="V531">
        <f ca="1">Prams!C$5/(U531-Prams!C$6)</f>
        <v>100.28558683182462</v>
      </c>
      <c r="W531">
        <f t="shared" ca="1" si="46"/>
        <v>0.82880650274235224</v>
      </c>
    </row>
    <row r="532" spans="1:23" hidden="1" x14ac:dyDescent="0.55000000000000004">
      <c r="A532" s="1" t="s">
        <v>1197</v>
      </c>
      <c r="B532" s="1">
        <v>139</v>
      </c>
      <c r="C532">
        <v>634.5</v>
      </c>
      <c r="D532">
        <v>601.5</v>
      </c>
      <c r="E532">
        <v>10.512</v>
      </c>
      <c r="F532" t="s">
        <v>47</v>
      </c>
      <c r="G532" s="10" t="s">
        <v>591</v>
      </c>
      <c r="H532">
        <v>98</v>
      </c>
      <c r="I532" t="s">
        <v>1162</v>
      </c>
      <c r="J532">
        <f ca="1">VLOOKUP(G532,INDIRECT("球速変換!A$1:B$" &amp; Prams!$B$8),2,)</f>
        <v>128</v>
      </c>
      <c r="K532" t="str">
        <f ca="1">VLOOKUP(I532,INDIRECT("投手名変換!A$1:B$" &amp; Prams!$B$9),2,)</f>
        <v>DD016</v>
      </c>
      <c r="L532">
        <f t="shared" si="47"/>
        <v>41</v>
      </c>
      <c r="M532">
        <f ca="1">(B532-VLOOKUP(K532,INDIRECT("投手データ!B1:D"&amp;Prams!$B$1),3,FALSE)*2)</f>
        <v>45</v>
      </c>
      <c r="N532" t="str">
        <f ca="1">VLOOKUP(F532,INDIRECT("球種変換表!A$1:B$" &amp; Prams!$B$2),2,)</f>
        <v>サークルチェンジ</v>
      </c>
      <c r="O532">
        <f ca="1">VLOOKUP(N532,球種情報!A:B,2,FALSE)</f>
        <v>24</v>
      </c>
      <c r="P532">
        <f ca="1">VLOOKUP(K532,投手データ!B:AI,output!O532+6,FALSE)</f>
        <v>3</v>
      </c>
      <c r="R532">
        <f t="shared" ca="1" si="43"/>
        <v>7.8125E-3</v>
      </c>
      <c r="S532">
        <f t="shared" si="44"/>
        <v>0.68229166666666663</v>
      </c>
      <c r="T532">
        <f>Prams!B$5/(S532-Prams!B$6)</f>
        <v>99.395222336848036</v>
      </c>
      <c r="U532">
        <f t="shared" ca="1" si="45"/>
        <v>0.74895833333333328</v>
      </c>
      <c r="V532">
        <f ca="1">Prams!C$5/(U532-Prams!C$6)</f>
        <v>102.12628883719012</v>
      </c>
      <c r="W532">
        <f t="shared" ca="1" si="46"/>
        <v>0.79786163154054779</v>
      </c>
    </row>
    <row r="533" spans="1:23" hidden="1" x14ac:dyDescent="0.55000000000000004">
      <c r="A533" s="1" t="s">
        <v>1198</v>
      </c>
      <c r="B533" s="1">
        <v>140</v>
      </c>
      <c r="C533">
        <v>634.5</v>
      </c>
      <c r="D533">
        <v>608</v>
      </c>
      <c r="E533">
        <v>10.547610000000001</v>
      </c>
      <c r="F533" t="s">
        <v>47</v>
      </c>
      <c r="G533" s="10" t="s">
        <v>629</v>
      </c>
      <c r="H533">
        <v>98</v>
      </c>
      <c r="I533" t="s">
        <v>1162</v>
      </c>
      <c r="J533">
        <f ca="1">VLOOKUP(G533,INDIRECT("球速変換!A$1:B$" &amp; Prams!$B$8),2,)</f>
        <v>121</v>
      </c>
      <c r="K533" t="str">
        <f ca="1">VLOOKUP(I533,INDIRECT("投手名変換!A$1:B$" &amp; Prams!$B$9),2,)</f>
        <v>DD016</v>
      </c>
      <c r="L533">
        <f t="shared" si="47"/>
        <v>42</v>
      </c>
      <c r="M533">
        <f ca="1">(B533-VLOOKUP(K533,INDIRECT("投手データ!B1:D"&amp;Prams!$B$1),3,FALSE)*2)</f>
        <v>46</v>
      </c>
      <c r="N533" t="str">
        <f ca="1">VLOOKUP(F533,INDIRECT("球種変換表!A$1:B$" &amp; Prams!$B$2),2,)</f>
        <v>サークルチェンジ</v>
      </c>
      <c r="O533">
        <f ca="1">VLOOKUP(N533,球種情報!A:B,2,FALSE)</f>
        <v>24</v>
      </c>
      <c r="P533">
        <f ca="1">VLOOKUP(K533,投手データ!B:AI,output!O533+6,FALSE)</f>
        <v>3</v>
      </c>
      <c r="R533">
        <f t="shared" ca="1" si="43"/>
        <v>8.2644628099173556E-3</v>
      </c>
      <c r="S533">
        <f t="shared" si="44"/>
        <v>0.69444444444444442</v>
      </c>
      <c r="T533">
        <f>Prams!B$5/(S533-Prams!B$6)</f>
        <v>97.490407022585117</v>
      </c>
      <c r="U533">
        <f t="shared" ca="1" si="45"/>
        <v>0.76111111111111107</v>
      </c>
      <c r="V533">
        <f ca="1">Prams!C$5/(U533-Prams!C$6)</f>
        <v>100.11641715848567</v>
      </c>
      <c r="W533">
        <f t="shared" ca="1" si="46"/>
        <v>0.82740840626847667</v>
      </c>
    </row>
    <row r="534" spans="1:23" hidden="1" x14ac:dyDescent="0.55000000000000004">
      <c r="A534" s="1" t="s">
        <v>1199</v>
      </c>
      <c r="B534" s="1">
        <v>140</v>
      </c>
      <c r="C534">
        <v>626.5</v>
      </c>
      <c r="D534">
        <v>609.5</v>
      </c>
      <c r="E534">
        <v>10.6067</v>
      </c>
      <c r="F534" t="s">
        <v>47</v>
      </c>
      <c r="G534" s="10" t="s">
        <v>2426</v>
      </c>
      <c r="H534">
        <v>98</v>
      </c>
      <c r="I534" t="s">
        <v>1162</v>
      </c>
      <c r="J534">
        <f ca="1">VLOOKUP(G534,INDIRECT("球速変換!A$1:B$" &amp; Prams!$B$8),2,)</f>
        <v>121</v>
      </c>
      <c r="K534" t="str">
        <f ca="1">VLOOKUP(I534,INDIRECT("投手名変換!A$1:B$" &amp; Prams!$B$9),2,)</f>
        <v>DD016</v>
      </c>
      <c r="L534">
        <f t="shared" si="47"/>
        <v>42</v>
      </c>
      <c r="M534">
        <f ca="1">(B534-VLOOKUP(K534,INDIRECT("投手データ!B1:D"&amp;Prams!$B$1),3,FALSE)*2)</f>
        <v>46</v>
      </c>
      <c r="N534" t="str">
        <f ca="1">VLOOKUP(F534,INDIRECT("球種変換表!A$1:B$" &amp; Prams!$B$2),2,)</f>
        <v>サークルチェンジ</v>
      </c>
      <c r="O534">
        <f ca="1">VLOOKUP(N534,球種情報!A:B,2,FALSE)</f>
        <v>24</v>
      </c>
      <c r="P534">
        <f ca="1">VLOOKUP(K534,投手データ!B:AI,output!O534+6,FALSE)</f>
        <v>3</v>
      </c>
      <c r="R534">
        <f t="shared" ca="1" si="43"/>
        <v>8.2644628099173556E-3</v>
      </c>
      <c r="S534">
        <f t="shared" si="44"/>
        <v>0.6934027777777777</v>
      </c>
      <c r="T534">
        <f>Prams!B$5/(S534-Prams!B$6)</f>
        <v>97.650811479617602</v>
      </c>
      <c r="U534">
        <f t="shared" ca="1" si="45"/>
        <v>0.76006944444444435</v>
      </c>
      <c r="V534">
        <f ca="1">Prams!C$5/(U534-Prams!C$6)</f>
        <v>100.28558683182462</v>
      </c>
      <c r="W534">
        <f t="shared" ca="1" si="46"/>
        <v>0.82880650274235224</v>
      </c>
    </row>
    <row r="535" spans="1:23" hidden="1" x14ac:dyDescent="0.55000000000000004">
      <c r="A535" s="1" t="s">
        <v>1200</v>
      </c>
      <c r="B535" s="1">
        <v>140</v>
      </c>
      <c r="C535">
        <v>634.5</v>
      </c>
      <c r="D535">
        <v>606.5</v>
      </c>
      <c r="E535">
        <v>10.512</v>
      </c>
      <c r="F535" t="s">
        <v>47</v>
      </c>
      <c r="G535" s="10" t="s">
        <v>629</v>
      </c>
      <c r="H535">
        <v>98</v>
      </c>
      <c r="I535" t="s">
        <v>1162</v>
      </c>
      <c r="J535">
        <f ca="1">VLOOKUP(G535,INDIRECT("球速変換!A$1:B$" &amp; Prams!$B$8),2,)</f>
        <v>121</v>
      </c>
      <c r="K535" t="str">
        <f ca="1">VLOOKUP(I535,INDIRECT("投手名変換!A$1:B$" &amp; Prams!$B$9),2,)</f>
        <v>DD016</v>
      </c>
      <c r="L535">
        <f t="shared" si="47"/>
        <v>42</v>
      </c>
      <c r="M535">
        <f ca="1">(B535-VLOOKUP(K535,INDIRECT("投手データ!B1:D"&amp;Prams!$B$1),3,FALSE)*2)</f>
        <v>46</v>
      </c>
      <c r="N535" t="str">
        <f ca="1">VLOOKUP(F535,INDIRECT("球種変換表!A$1:B$" &amp; Prams!$B$2),2,)</f>
        <v>サークルチェンジ</v>
      </c>
      <c r="O535">
        <f ca="1">VLOOKUP(N535,球種情報!A:B,2,FALSE)</f>
        <v>24</v>
      </c>
      <c r="P535">
        <f ca="1">VLOOKUP(K535,投手データ!B:AI,output!O535+6,FALSE)</f>
        <v>3</v>
      </c>
      <c r="R535">
        <f t="shared" ca="1" si="43"/>
        <v>8.2644628099173556E-3</v>
      </c>
      <c r="S535">
        <f t="shared" si="44"/>
        <v>0.69548611111111103</v>
      </c>
      <c r="T535">
        <f>Prams!B$5/(S535-Prams!B$6)</f>
        <v>97.330528672698748</v>
      </c>
      <c r="U535">
        <f t="shared" ca="1" si="45"/>
        <v>0.76215277777777779</v>
      </c>
      <c r="V535">
        <f ca="1">Prams!C$5/(U535-Prams!C$6)</f>
        <v>99.947817261618752</v>
      </c>
      <c r="W535">
        <f t="shared" ca="1" si="46"/>
        <v>0.82601501869106408</v>
      </c>
    </row>
    <row r="536" spans="1:23" hidden="1" x14ac:dyDescent="0.55000000000000004">
      <c r="A536" s="1" t="s">
        <v>1201</v>
      </c>
      <c r="B536" s="1">
        <v>15</v>
      </c>
      <c r="C536">
        <v>632.5</v>
      </c>
      <c r="D536">
        <v>608.5</v>
      </c>
      <c r="E536">
        <v>10.512</v>
      </c>
      <c r="F536" t="s">
        <v>351</v>
      </c>
      <c r="G536" s="10" t="s">
        <v>1287</v>
      </c>
      <c r="H536">
        <v>1</v>
      </c>
      <c r="I536" t="s">
        <v>1162</v>
      </c>
      <c r="J536">
        <f ca="1">VLOOKUP(G536,INDIRECT("球速変換!A$1:B$" &amp; Prams!$B$8),2,)</f>
        <v>97</v>
      </c>
      <c r="K536" t="str">
        <f ca="1">VLOOKUP(I536,INDIRECT("投手名変換!A$1:B$" &amp; Prams!$B$9),2,)</f>
        <v>DD016</v>
      </c>
      <c r="L536">
        <f t="shared" si="47"/>
        <v>14</v>
      </c>
      <c r="M536">
        <f ca="1">(B536-VLOOKUP(K536,INDIRECT("投手データ!B1:D"&amp;Prams!$B$1),3,FALSE)*2)</f>
        <v>-79</v>
      </c>
      <c r="N536" t="str">
        <f ca="1">VLOOKUP(F536,INDIRECT("球種変換表!A$1:B$" &amp; Prams!$B$2),2,)</f>
        <v>シュート</v>
      </c>
      <c r="O536">
        <f ca="1">VLOOKUP(N536,球種情報!A:B,2,FALSE)</f>
        <v>26</v>
      </c>
      <c r="P536">
        <f ca="1">VLOOKUP(K536,投手データ!B:AI,output!O536+6,FALSE)</f>
        <v>1</v>
      </c>
      <c r="R536">
        <f t="shared" ca="1" si="43"/>
        <v>1.0309278350515464E-2</v>
      </c>
      <c r="S536">
        <f t="shared" si="44"/>
        <v>0.22743055555555555</v>
      </c>
      <c r="T536">
        <f>Prams!B$5/(S536-Prams!B$6)</f>
        <v>369.90842155999133</v>
      </c>
      <c r="U536">
        <f t="shared" ca="1" si="45"/>
        <v>-1.3225694444444445</v>
      </c>
      <c r="V536">
        <f ca="1">Prams!C$5/(U536-Prams!C$6)</f>
        <v>-42.166340482853087</v>
      </c>
      <c r="W536">
        <f t="shared" ca="1" si="46"/>
        <v>-0.43470454106034112</v>
      </c>
    </row>
    <row r="537" spans="1:23" hidden="1" x14ac:dyDescent="0.55000000000000004">
      <c r="A537" s="1" t="s">
        <v>1203</v>
      </c>
      <c r="B537" s="1">
        <v>133</v>
      </c>
      <c r="C537">
        <v>626.45239000000004</v>
      </c>
      <c r="D537">
        <v>607.5</v>
      </c>
      <c r="E537">
        <v>10.55955</v>
      </c>
      <c r="F537" t="s">
        <v>351</v>
      </c>
      <c r="G537" s="10" t="s">
        <v>1287</v>
      </c>
      <c r="H537">
        <v>101</v>
      </c>
      <c r="I537" t="s">
        <v>1162</v>
      </c>
      <c r="J537">
        <f ca="1">VLOOKUP(G537,INDIRECT("球速変換!A$1:B$" &amp; Prams!$B$8),2,)</f>
        <v>97</v>
      </c>
      <c r="K537" t="str">
        <f ca="1">VLOOKUP(I537,INDIRECT("投手名変換!A$1:B$" &amp; Prams!$B$9),2,)</f>
        <v>DD016</v>
      </c>
      <c r="L537">
        <f t="shared" si="47"/>
        <v>32</v>
      </c>
      <c r="M537">
        <f ca="1">(B537-VLOOKUP(K537,INDIRECT("投手データ!B1:D"&amp;Prams!$B$1),3,FALSE)*2)</f>
        <v>39</v>
      </c>
      <c r="N537" t="str">
        <f ca="1">VLOOKUP(F537,INDIRECT("球種変換表!A$1:B$" &amp; Prams!$B$2),2,)</f>
        <v>シュート</v>
      </c>
      <c r="O537">
        <f ca="1">VLOOKUP(N537,球種情報!A:B,2,FALSE)</f>
        <v>26</v>
      </c>
      <c r="P537">
        <f ca="1">VLOOKUP(K537,投手データ!B:AI,output!O537+6,FALSE)</f>
        <v>1</v>
      </c>
      <c r="R537">
        <f t="shared" ca="1" si="43"/>
        <v>1.0309278350515464E-2</v>
      </c>
      <c r="S537">
        <f t="shared" si="44"/>
        <v>0.52812499999999996</v>
      </c>
      <c r="T537">
        <f>Prams!B$5/(S537-Prams!B$6)</f>
        <v>132.14984235558171</v>
      </c>
      <c r="U537">
        <f t="shared" ca="1" si="45"/>
        <v>0.64479166666666665</v>
      </c>
      <c r="V537">
        <f ca="1">Prams!C$5/(U537-Prams!C$6)</f>
        <v>123.35201104035382</v>
      </c>
      <c r="W537">
        <f t="shared" ca="1" si="46"/>
        <v>1.271670216910864</v>
      </c>
    </row>
    <row r="538" spans="1:23" hidden="1" x14ac:dyDescent="0.55000000000000004">
      <c r="A538" s="1" t="s">
        <v>1204</v>
      </c>
      <c r="B538" s="1">
        <v>134</v>
      </c>
      <c r="C538">
        <v>631.5</v>
      </c>
      <c r="D538">
        <v>615</v>
      </c>
      <c r="E538">
        <v>10.5001</v>
      </c>
      <c r="F538" t="s">
        <v>351</v>
      </c>
      <c r="G538" s="10" t="s">
        <v>2463</v>
      </c>
      <c r="H538">
        <v>101</v>
      </c>
      <c r="I538" t="s">
        <v>1162</v>
      </c>
      <c r="J538">
        <f ca="1">VLOOKUP(G538,INDIRECT("球速変換!A$1:B$" &amp; Prams!$B$8),2,)</f>
        <v>133</v>
      </c>
      <c r="K538" t="str">
        <f ca="1">VLOOKUP(I538,INDIRECT("投手名変換!A$1:B$" &amp; Prams!$B$9),2,)</f>
        <v>DD016</v>
      </c>
      <c r="L538">
        <f t="shared" si="47"/>
        <v>33</v>
      </c>
      <c r="M538">
        <f ca="1">(B538-VLOOKUP(K538,INDIRECT("投手データ!B1:D"&amp;Prams!$B$1),3,FALSE)*2)</f>
        <v>40</v>
      </c>
      <c r="N538" t="str">
        <f ca="1">VLOOKUP(F538,INDIRECT("球種変換表!A$1:B$" &amp; Prams!$B$2),2,)</f>
        <v>シュート</v>
      </c>
      <c r="O538">
        <f ca="1">VLOOKUP(N538,球種情報!A:B,2,FALSE)</f>
        <v>26</v>
      </c>
      <c r="P538">
        <f ca="1">VLOOKUP(K538,投手データ!B:AI,output!O538+6,FALSE)</f>
        <v>1</v>
      </c>
      <c r="R538">
        <f t="shared" ca="1" si="43"/>
        <v>7.5187969924812026E-3</v>
      </c>
      <c r="S538">
        <f t="shared" si="44"/>
        <v>0.5395833333333333</v>
      </c>
      <c r="T538">
        <f>Prams!B$5/(S538-Prams!B$6)</f>
        <v>128.99050665924821</v>
      </c>
      <c r="U538">
        <f t="shared" ca="1" si="45"/>
        <v>0.65625</v>
      </c>
      <c r="V538">
        <f ca="1">Prams!C$5/(U538-Prams!C$6)</f>
        <v>120.59494782015018</v>
      </c>
      <c r="W538">
        <f t="shared" ca="1" si="46"/>
        <v>0.90672893097857277</v>
      </c>
    </row>
    <row r="539" spans="1:23" hidden="1" x14ac:dyDescent="0.55000000000000004">
      <c r="A539" s="1" t="s">
        <v>1205</v>
      </c>
      <c r="B539" s="1">
        <v>134</v>
      </c>
      <c r="C539">
        <v>629</v>
      </c>
      <c r="D539">
        <v>617</v>
      </c>
      <c r="E539">
        <v>10.04998</v>
      </c>
      <c r="F539" t="s">
        <v>351</v>
      </c>
      <c r="G539" s="10" t="s">
        <v>940</v>
      </c>
      <c r="H539">
        <v>101</v>
      </c>
      <c r="I539" t="s">
        <v>1162</v>
      </c>
      <c r="J539">
        <f ca="1">VLOOKUP(G539,INDIRECT("球速変換!A$1:B$" &amp; Prams!$B$8),2,)</f>
        <v>134</v>
      </c>
      <c r="K539" t="str">
        <f ca="1">VLOOKUP(I539,INDIRECT("投手名変換!A$1:B$" &amp; Prams!$B$9),2,)</f>
        <v>DD016</v>
      </c>
      <c r="L539">
        <f t="shared" si="47"/>
        <v>33</v>
      </c>
      <c r="M539">
        <f ca="1">(B539-VLOOKUP(K539,INDIRECT("投手データ!B1:D"&amp;Prams!$B$1),3,FALSE)*2)</f>
        <v>40</v>
      </c>
      <c r="N539" t="str">
        <f ca="1">VLOOKUP(F539,INDIRECT("球種変換表!A$1:B$" &amp; Prams!$B$2),2,)</f>
        <v>シュート</v>
      </c>
      <c r="O539">
        <f ca="1">VLOOKUP(N539,球種情報!A:B,2,FALSE)</f>
        <v>26</v>
      </c>
      <c r="P539">
        <f ca="1">VLOOKUP(K539,投手データ!B:AI,output!O539+6,FALSE)</f>
        <v>1</v>
      </c>
      <c r="R539">
        <f t="shared" ca="1" si="43"/>
        <v>7.462686567164179E-3</v>
      </c>
      <c r="S539">
        <f t="shared" si="44"/>
        <v>0.53819444444444442</v>
      </c>
      <c r="T539">
        <f>Prams!B$5/(S539-Prams!B$6)</f>
        <v>129.36538752165171</v>
      </c>
      <c r="U539">
        <f t="shared" ca="1" si="45"/>
        <v>0.65486111111111112</v>
      </c>
      <c r="V539">
        <f ca="1">Prams!C$5/(U539-Prams!C$6)</f>
        <v>120.92255533702064</v>
      </c>
      <c r="W539">
        <f t="shared" ca="1" si="46"/>
        <v>0.90240712938075107</v>
      </c>
    </row>
    <row r="540" spans="1:23" hidden="1" x14ac:dyDescent="0.55000000000000004">
      <c r="A540" s="1" t="s">
        <v>1206</v>
      </c>
      <c r="B540" s="1">
        <v>133</v>
      </c>
      <c r="C540">
        <v>634</v>
      </c>
      <c r="D540">
        <v>603</v>
      </c>
      <c r="E540">
        <v>10.04998</v>
      </c>
      <c r="F540" t="s">
        <v>351</v>
      </c>
      <c r="G540" s="10" t="s">
        <v>2459</v>
      </c>
      <c r="H540">
        <v>101</v>
      </c>
      <c r="I540" t="s">
        <v>1162</v>
      </c>
      <c r="J540">
        <f ca="1">VLOOKUP(G540,INDIRECT("球速変換!A$1:B$" &amp; Prams!$B$8),2,)</f>
        <v>136</v>
      </c>
      <c r="K540" t="str">
        <f ca="1">VLOOKUP(I540,INDIRECT("投手名変換!A$1:B$" &amp; Prams!$B$9),2,)</f>
        <v>DD016</v>
      </c>
      <c r="L540">
        <f t="shared" si="47"/>
        <v>32</v>
      </c>
      <c r="M540">
        <f ca="1">(B540-VLOOKUP(K540,INDIRECT("投手データ!B1:D"&amp;Prams!$B$1),3,FALSE)*2)</f>
        <v>39</v>
      </c>
      <c r="N540" t="str">
        <f ca="1">VLOOKUP(F540,INDIRECT("球種変換表!A$1:B$" &amp; Prams!$B$2),2,)</f>
        <v>シュート</v>
      </c>
      <c r="O540">
        <f ca="1">VLOOKUP(N540,球種情報!A:B,2,FALSE)</f>
        <v>26</v>
      </c>
      <c r="P540">
        <f ca="1">VLOOKUP(K540,投手データ!B:AI,output!O540+6,FALSE)</f>
        <v>1</v>
      </c>
      <c r="R540">
        <f t="shared" ca="1" si="43"/>
        <v>7.3529411764705881E-3</v>
      </c>
      <c r="S540">
        <f t="shared" si="44"/>
        <v>0.53125</v>
      </c>
      <c r="T540">
        <f>Prams!B$5/(S540-Prams!B$6)</f>
        <v>131.27295891283578</v>
      </c>
      <c r="U540">
        <f t="shared" ca="1" si="45"/>
        <v>0.6479166666666667</v>
      </c>
      <c r="V540">
        <f ca="1">Prams!C$5/(U540-Prams!C$6)</f>
        <v>122.58765986979078</v>
      </c>
      <c r="W540">
        <f t="shared" ca="1" si="46"/>
        <v>0.90137985198375581</v>
      </c>
    </row>
    <row r="541" spans="1:23" hidden="1" x14ac:dyDescent="0.55000000000000004">
      <c r="A541" s="1" t="s">
        <v>1207</v>
      </c>
      <c r="B541" s="1">
        <v>134</v>
      </c>
      <c r="C541">
        <v>635.5</v>
      </c>
      <c r="D541">
        <v>620.5</v>
      </c>
      <c r="E541">
        <v>11.510960000000001</v>
      </c>
      <c r="F541" t="s">
        <v>351</v>
      </c>
      <c r="G541" s="10" t="s">
        <v>940</v>
      </c>
      <c r="H541">
        <v>101</v>
      </c>
      <c r="I541" t="s">
        <v>1162</v>
      </c>
      <c r="J541">
        <f ca="1">VLOOKUP(G541,INDIRECT("球速変換!A$1:B$" &amp; Prams!$B$8),2,)</f>
        <v>134</v>
      </c>
      <c r="K541" t="str">
        <f ca="1">VLOOKUP(I541,INDIRECT("投手名変換!A$1:B$" &amp; Prams!$B$9),2,)</f>
        <v>DD016</v>
      </c>
      <c r="L541">
        <f t="shared" si="47"/>
        <v>33</v>
      </c>
      <c r="M541">
        <f ca="1">(B541-VLOOKUP(K541,INDIRECT("投手データ!B1:D"&amp;Prams!$B$1),3,FALSE)*2)</f>
        <v>40</v>
      </c>
      <c r="N541" t="str">
        <f ca="1">VLOOKUP(F541,INDIRECT("球種変換表!A$1:B$" &amp; Prams!$B$2),2,)</f>
        <v>シュート</v>
      </c>
      <c r="O541">
        <f ca="1">VLOOKUP(N541,球種情報!A:B,2,FALSE)</f>
        <v>26</v>
      </c>
      <c r="P541">
        <f ca="1">VLOOKUP(K541,投手データ!B:AI,output!O541+6,FALSE)</f>
        <v>1</v>
      </c>
      <c r="R541">
        <f t="shared" ca="1" si="43"/>
        <v>7.462686567164179E-3</v>
      </c>
      <c r="S541">
        <f t="shared" si="44"/>
        <v>0.53576388888888893</v>
      </c>
      <c r="T541">
        <f>Prams!B$5/(S541-Prams!B$6)</f>
        <v>130.02669907166685</v>
      </c>
      <c r="U541">
        <f t="shared" ca="1" si="45"/>
        <v>0.65243055555555562</v>
      </c>
      <c r="V541">
        <f ca="1">Prams!C$5/(U541-Prams!C$6)</f>
        <v>121.50017196294333</v>
      </c>
      <c r="W541">
        <f t="shared" ca="1" si="46"/>
        <v>0.90671770121599493</v>
      </c>
    </row>
    <row r="542" spans="1:23" hidden="1" x14ac:dyDescent="0.55000000000000004">
      <c r="A542" s="1" t="s">
        <v>1208</v>
      </c>
      <c r="B542" s="1">
        <v>133</v>
      </c>
      <c r="C542">
        <v>623</v>
      </c>
      <c r="D542">
        <v>601.5</v>
      </c>
      <c r="E542">
        <v>10.012589999999999</v>
      </c>
      <c r="F542" t="s">
        <v>351</v>
      </c>
      <c r="G542" s="10" t="s">
        <v>1699</v>
      </c>
      <c r="H542">
        <v>101</v>
      </c>
      <c r="I542" t="s">
        <v>1162</v>
      </c>
      <c r="J542">
        <f ca="1">VLOOKUP(G542,INDIRECT("球速変換!A$1:B$" &amp; Prams!$B$8),2,)</f>
        <v>96</v>
      </c>
      <c r="K542" t="str">
        <f ca="1">VLOOKUP(I542,INDIRECT("投手名変換!A$1:B$" &amp; Prams!$B$9),2,)</f>
        <v>DD016</v>
      </c>
      <c r="L542">
        <f t="shared" si="47"/>
        <v>32</v>
      </c>
      <c r="M542">
        <f ca="1">(B542-VLOOKUP(K542,INDIRECT("投手データ!B1:D"&amp;Prams!$B$1),3,FALSE)*2)</f>
        <v>39</v>
      </c>
      <c r="N542" t="str">
        <f ca="1">VLOOKUP(F542,INDIRECT("球種変換表!A$1:B$" &amp; Prams!$B$2),2,)</f>
        <v>シュート</v>
      </c>
      <c r="O542">
        <f ca="1">VLOOKUP(N542,球種情報!A:B,2,FALSE)</f>
        <v>26</v>
      </c>
      <c r="P542">
        <f ca="1">VLOOKUP(K542,投手データ!B:AI,output!O542+6,FALSE)</f>
        <v>1</v>
      </c>
      <c r="R542">
        <f t="shared" ca="1" si="43"/>
        <v>1.0416666666666666E-2</v>
      </c>
      <c r="S542">
        <f t="shared" si="44"/>
        <v>0.53229166666666672</v>
      </c>
      <c r="T542">
        <f>Prams!B$5/(S542-Prams!B$6)</f>
        <v>130.98324476067725</v>
      </c>
      <c r="U542">
        <f t="shared" ca="1" si="45"/>
        <v>0.6489583333333333</v>
      </c>
      <c r="V542">
        <f ca="1">Prams!C$5/(U542-Prams!C$6)</f>
        <v>122.33497683162112</v>
      </c>
      <c r="W542">
        <f t="shared" ca="1" si="46"/>
        <v>1.2743226753293866</v>
      </c>
    </row>
    <row r="543" spans="1:23" hidden="1" x14ac:dyDescent="0.55000000000000004">
      <c r="A543" s="1" t="s">
        <v>2159</v>
      </c>
      <c r="B543" s="1">
        <v>133</v>
      </c>
      <c r="C543">
        <v>627.5</v>
      </c>
      <c r="D543">
        <v>609.5</v>
      </c>
      <c r="E543">
        <v>11.510960000000001</v>
      </c>
      <c r="F543" t="s">
        <v>351</v>
      </c>
      <c r="G543" s="10" t="s">
        <v>931</v>
      </c>
      <c r="H543">
        <v>101</v>
      </c>
      <c r="I543" t="s">
        <v>1162</v>
      </c>
      <c r="J543">
        <f ca="1">VLOOKUP(G543,INDIRECT("球速変換!A$1:B$" &amp; Prams!$B$8),2,)</f>
        <v>147</v>
      </c>
      <c r="K543" t="str">
        <f ca="1">VLOOKUP(I543,INDIRECT("投手名変換!A$1:B$" &amp; Prams!$B$9),2,)</f>
        <v>DD016</v>
      </c>
      <c r="L543">
        <f t="shared" si="47"/>
        <v>32</v>
      </c>
      <c r="M543">
        <f ca="1">(B543-VLOOKUP(K543,INDIRECT("投手データ!B1:D"&amp;Prams!$B$1),3,FALSE)*2)</f>
        <v>39</v>
      </c>
      <c r="N543" t="str">
        <f ca="1">VLOOKUP(F543,INDIRECT("球種変換表!A$1:B$" &amp; Prams!$B$2),2,)</f>
        <v>シュート</v>
      </c>
      <c r="O543">
        <f ca="1">VLOOKUP(N543,球種情報!A:B,2,FALSE)</f>
        <v>26</v>
      </c>
      <c r="P543">
        <f ca="1">VLOOKUP(K543,投手データ!B:AI,output!O543+6,FALSE)</f>
        <v>1</v>
      </c>
      <c r="R543">
        <f t="shared" ca="1" si="43"/>
        <v>6.8027210884353739E-3</v>
      </c>
      <c r="S543">
        <f t="shared" si="44"/>
        <v>0.52673611111111118</v>
      </c>
      <c r="T543">
        <f>Prams!B$5/(S543-Prams!B$6)</f>
        <v>132.54333986433772</v>
      </c>
      <c r="U543">
        <f t="shared" ca="1" si="45"/>
        <v>0.64340277777777777</v>
      </c>
      <c r="V543">
        <f ca="1">Prams!C$5/(U543-Prams!C$6)</f>
        <v>123.69479072300742</v>
      </c>
      <c r="W543">
        <f t="shared" ca="1" si="46"/>
        <v>0.8414611613810028</v>
      </c>
    </row>
    <row r="544" spans="1:23" hidden="1" x14ac:dyDescent="0.55000000000000004">
      <c r="A544" s="1" t="s">
        <v>2160</v>
      </c>
      <c r="B544" s="1">
        <v>134</v>
      </c>
      <c r="C544">
        <v>629.04998999999998</v>
      </c>
      <c r="D544">
        <v>618.5</v>
      </c>
      <c r="E544">
        <v>10.06254</v>
      </c>
      <c r="F544">
        <v>2</v>
      </c>
      <c r="G544" s="10" t="s">
        <v>1653</v>
      </c>
      <c r="H544">
        <v>101</v>
      </c>
      <c r="I544" t="s">
        <v>1162</v>
      </c>
      <c r="J544">
        <f ca="1">VLOOKUP(G544,INDIRECT("球速変換!A$1:B$" &amp; Prams!$B$8),2,)</f>
        <v>114</v>
      </c>
      <c r="K544" t="str">
        <f ca="1">VLOOKUP(I544,INDIRECT("投手名変換!A$1:B$" &amp; Prams!$B$9),2,)</f>
        <v>DD016</v>
      </c>
      <c r="L544">
        <f t="shared" si="47"/>
        <v>33</v>
      </c>
      <c r="M544">
        <f ca="1">(B544-VLOOKUP(K544,INDIRECT("投手データ!B1:D"&amp;Prams!$B$1),3,FALSE)*2)</f>
        <v>40</v>
      </c>
      <c r="N544" t="str">
        <f ca="1">VLOOKUP(F544,INDIRECT("球種変換表!A$1:B$" &amp; Prams!$B$2),2,)</f>
        <v>シュート</v>
      </c>
      <c r="O544">
        <f ca="1">VLOOKUP(N544,球種情報!A:B,2,FALSE)</f>
        <v>26</v>
      </c>
      <c r="P544">
        <f ca="1">VLOOKUP(K544,投手データ!B:AI,output!O544+6,FALSE)</f>
        <v>1</v>
      </c>
      <c r="R544">
        <f t="shared" ca="1" si="43"/>
        <v>8.771929824561403E-3</v>
      </c>
      <c r="S544">
        <f t="shared" si="44"/>
        <v>0.5371527777777777</v>
      </c>
      <c r="T544">
        <f>Prams!B$5/(S544-Prams!B$6)</f>
        <v>129.64798126605581</v>
      </c>
      <c r="U544">
        <f t="shared" ca="1" si="45"/>
        <v>0.6538194444444444</v>
      </c>
      <c r="V544">
        <f ca="1">Prams!C$5/(U544-Prams!C$6)</f>
        <v>121.16943145378625</v>
      </c>
      <c r="W544">
        <f t="shared" ca="1" si="46"/>
        <v>1.0628897495946161</v>
      </c>
    </row>
    <row r="545" spans="1:23" hidden="1" x14ac:dyDescent="0.55000000000000004">
      <c r="A545" s="1" t="s">
        <v>2162</v>
      </c>
      <c r="B545" s="1">
        <v>134</v>
      </c>
      <c r="C545">
        <v>630</v>
      </c>
      <c r="D545">
        <v>617</v>
      </c>
      <c r="E545">
        <v>10.04998</v>
      </c>
      <c r="F545">
        <v>2</v>
      </c>
      <c r="G545" s="10" t="s">
        <v>2161</v>
      </c>
      <c r="H545">
        <v>101</v>
      </c>
      <c r="I545" t="s">
        <v>1162</v>
      </c>
      <c r="J545">
        <f ca="1">VLOOKUP(G545,INDIRECT("球速変換!A$1:B$" &amp; Prams!$B$8),2,)</f>
        <v>134</v>
      </c>
      <c r="K545" t="str">
        <f ca="1">VLOOKUP(I545,INDIRECT("投手名変換!A$1:B$" &amp; Prams!$B$9),2,)</f>
        <v>DD016</v>
      </c>
      <c r="L545">
        <f t="shared" si="47"/>
        <v>33</v>
      </c>
      <c r="M545">
        <f ca="1">(B545-VLOOKUP(K545,INDIRECT("投手データ!B1:D"&amp;Prams!$B$1),3,FALSE)*2)</f>
        <v>40</v>
      </c>
      <c r="N545" t="str">
        <f ca="1">VLOOKUP(F545,INDIRECT("球種変換表!A$1:B$" &amp; Prams!$B$2),2,)</f>
        <v>シュート</v>
      </c>
      <c r="O545">
        <f ca="1">VLOOKUP(N545,球種情報!A:B,2,FALSE)</f>
        <v>26</v>
      </c>
      <c r="P545">
        <f ca="1">VLOOKUP(K545,投手データ!B:AI,output!O545+6,FALSE)</f>
        <v>1</v>
      </c>
      <c r="R545">
        <f t="shared" ca="1" si="43"/>
        <v>7.462686567164179E-3</v>
      </c>
      <c r="S545">
        <f t="shared" si="44"/>
        <v>0.53819444444444442</v>
      </c>
      <c r="T545">
        <f>Prams!B$5/(S545-Prams!B$6)</f>
        <v>129.36538752165171</v>
      </c>
      <c r="U545">
        <f t="shared" ca="1" si="45"/>
        <v>0.65486111111111112</v>
      </c>
      <c r="V545">
        <f ca="1">Prams!C$5/(U545-Prams!C$6)</f>
        <v>120.92255533702064</v>
      </c>
      <c r="W545">
        <f t="shared" ca="1" si="46"/>
        <v>0.90240712938075107</v>
      </c>
    </row>
    <row r="546" spans="1:23" hidden="1" x14ac:dyDescent="0.55000000000000004">
      <c r="A546" s="1" t="s">
        <v>2163</v>
      </c>
      <c r="B546" s="1">
        <v>129</v>
      </c>
      <c r="C546">
        <v>638</v>
      </c>
      <c r="D546">
        <v>618.5</v>
      </c>
      <c r="E546">
        <v>11.01146</v>
      </c>
      <c r="F546" t="s">
        <v>0</v>
      </c>
      <c r="G546" s="10" t="s">
        <v>1264</v>
      </c>
      <c r="H546">
        <v>99</v>
      </c>
      <c r="I546" t="s">
        <v>1209</v>
      </c>
      <c r="J546">
        <f ca="1">VLOOKUP(G546,INDIRECT("球速変換!A$1:B$" &amp; Prams!$B$8),2,)</f>
        <v>144</v>
      </c>
      <c r="K546" t="str">
        <f ca="1">VLOOKUP(I546,INDIRECT("投手名変換!A$1:B$" &amp; Prams!$B$9),2,)</f>
        <v>DD018</v>
      </c>
      <c r="L546">
        <f t="shared" si="47"/>
        <v>30</v>
      </c>
      <c r="M546">
        <f ca="1">(B546-VLOOKUP(K546,INDIRECT("投手データ!B1:D"&amp;Prams!$B$1),3,FALSE)*2)</f>
        <v>35</v>
      </c>
      <c r="N546" t="str">
        <f ca="1">VLOOKUP(F546,INDIRECT("球種変換表!A$1:B$" &amp; Prams!$B$2),2,)</f>
        <v>ストレート</v>
      </c>
      <c r="O546">
        <f ca="1">VLOOKUP(N546,球種情報!A:B,2,FALSE)</f>
        <v>1</v>
      </c>
      <c r="P546">
        <f ca="1">VLOOKUP(K546,投手データ!B:AI,output!O546+6,FALSE)</f>
        <v>1</v>
      </c>
      <c r="R546">
        <f t="shared" ca="1" si="43"/>
        <v>6.9444444444444441E-3</v>
      </c>
      <c r="S546">
        <f t="shared" si="44"/>
        <v>0.48715277777777782</v>
      </c>
      <c r="T546">
        <f>Prams!B$5/(S546-Prams!B$6)</f>
        <v>144.83447975167081</v>
      </c>
      <c r="U546">
        <f t="shared" ca="1" si="45"/>
        <v>0.57048611111111103</v>
      </c>
      <c r="V546">
        <f ca="1">Prams!C$5/(U546-Prams!C$6)</f>
        <v>144.82317037461203</v>
      </c>
      <c r="W546">
        <f t="shared" ca="1" si="46"/>
        <v>1.0057164609348057</v>
      </c>
    </row>
    <row r="547" spans="1:23" hidden="1" x14ac:dyDescent="0.55000000000000004">
      <c r="A547" s="1" t="s">
        <v>2164</v>
      </c>
      <c r="B547" s="1">
        <v>128</v>
      </c>
      <c r="C547">
        <v>636.59520999999995</v>
      </c>
      <c r="D547">
        <v>606</v>
      </c>
      <c r="E547">
        <v>10.595359999999999</v>
      </c>
      <c r="F547" t="s">
        <v>0</v>
      </c>
      <c r="G547" s="10" t="s">
        <v>640</v>
      </c>
      <c r="H547">
        <v>99</v>
      </c>
      <c r="I547" t="s">
        <v>1209</v>
      </c>
      <c r="J547">
        <f ca="1">VLOOKUP(G547,INDIRECT("球速変換!A$1:B$" &amp; Prams!$B$8),2,)</f>
        <v>148</v>
      </c>
      <c r="K547" t="str">
        <f ca="1">VLOOKUP(I547,INDIRECT("投手名変換!A$1:B$" &amp; Prams!$B$9),2,)</f>
        <v>DD018</v>
      </c>
      <c r="L547">
        <f t="shared" si="47"/>
        <v>29</v>
      </c>
      <c r="M547">
        <f ca="1">(B547-VLOOKUP(K547,INDIRECT("投手データ!B1:D"&amp;Prams!$B$1),3,FALSE)*2)</f>
        <v>34</v>
      </c>
      <c r="N547" t="str">
        <f ca="1">VLOOKUP(F547,INDIRECT("球種変換表!A$1:B$" &amp; Prams!$B$2),2,)</f>
        <v>ストレート</v>
      </c>
      <c r="O547">
        <f ca="1">VLOOKUP(N547,球種情報!A:B,2,FALSE)</f>
        <v>1</v>
      </c>
      <c r="P547">
        <f ca="1">VLOOKUP(K547,投手データ!B:AI,output!O547+6,FALSE)</f>
        <v>1</v>
      </c>
      <c r="R547">
        <f t="shared" ca="1" si="43"/>
        <v>6.7567567567567571E-3</v>
      </c>
      <c r="S547">
        <f t="shared" si="44"/>
        <v>0.47916666666666669</v>
      </c>
      <c r="T547">
        <f>Prams!B$5/(S547-Prams!B$6)</f>
        <v>147.59589368136241</v>
      </c>
      <c r="U547">
        <f t="shared" ca="1" si="45"/>
        <v>0.5625</v>
      </c>
      <c r="V547">
        <f ca="1">Prams!C$5/(U547-Prams!C$6)</f>
        <v>147.584148961566</v>
      </c>
      <c r="W547">
        <f t="shared" ca="1" si="46"/>
        <v>0.99719019568625678</v>
      </c>
    </row>
    <row r="548" spans="1:23" hidden="1" x14ac:dyDescent="0.55000000000000004">
      <c r="A548" s="1" t="s">
        <v>2165</v>
      </c>
      <c r="B548" s="1">
        <v>128</v>
      </c>
      <c r="C548">
        <v>640</v>
      </c>
      <c r="D548">
        <v>606.5</v>
      </c>
      <c r="E548">
        <v>11.01146</v>
      </c>
      <c r="F548" t="s">
        <v>0</v>
      </c>
      <c r="G548" s="10" t="s">
        <v>635</v>
      </c>
      <c r="H548">
        <v>99</v>
      </c>
      <c r="I548" t="s">
        <v>1209</v>
      </c>
      <c r="J548">
        <f ca="1">VLOOKUP(G548,INDIRECT("球速変換!A$1:B$" &amp; Prams!$B$8),2,)</f>
        <v>148</v>
      </c>
      <c r="K548" t="str">
        <f ca="1">VLOOKUP(I548,INDIRECT("投手名変換!A$1:B$" &amp; Prams!$B$9),2,)</f>
        <v>DD018</v>
      </c>
      <c r="L548">
        <f t="shared" si="47"/>
        <v>29</v>
      </c>
      <c r="M548">
        <f ca="1">(B548-VLOOKUP(K548,INDIRECT("投手データ!B1:D"&amp;Prams!$B$1),3,FALSE)*2)</f>
        <v>34</v>
      </c>
      <c r="N548" t="str">
        <f ca="1">VLOOKUP(F548,INDIRECT("球種変換表!A$1:B$" &amp; Prams!$B$2),2,)</f>
        <v>ストレート</v>
      </c>
      <c r="O548">
        <f ca="1">VLOOKUP(N548,球種情報!A:B,2,FALSE)</f>
        <v>1</v>
      </c>
      <c r="P548">
        <f ca="1">VLOOKUP(K548,投手データ!B:AI,output!O548+6,FALSE)</f>
        <v>1</v>
      </c>
      <c r="R548">
        <f t="shared" ca="1" si="43"/>
        <v>6.7567567567567571E-3</v>
      </c>
      <c r="S548">
        <f t="shared" si="44"/>
        <v>0.47881944444444446</v>
      </c>
      <c r="T548">
        <f>Prams!B$5/(S548-Prams!B$6)</f>
        <v>147.71834575587224</v>
      </c>
      <c r="U548">
        <f t="shared" ca="1" si="45"/>
        <v>0.56215277777777772</v>
      </c>
      <c r="V548">
        <f ca="1">Prams!C$5/(U548-Prams!C$6)</f>
        <v>147.70658154089159</v>
      </c>
      <c r="W548">
        <f t="shared" ca="1" si="46"/>
        <v>0.99801744284386207</v>
      </c>
    </row>
    <row r="549" spans="1:23" hidden="1" x14ac:dyDescent="0.55000000000000004">
      <c r="A549" s="1" t="s">
        <v>2166</v>
      </c>
      <c r="B549" s="1">
        <v>129</v>
      </c>
      <c r="C549">
        <v>641.95001000000002</v>
      </c>
      <c r="D549">
        <v>620.5</v>
      </c>
      <c r="E549">
        <v>10.062519999999999</v>
      </c>
      <c r="F549" t="s">
        <v>0</v>
      </c>
      <c r="G549" s="10" t="s">
        <v>2433</v>
      </c>
      <c r="H549">
        <v>99</v>
      </c>
      <c r="I549" t="s">
        <v>1209</v>
      </c>
      <c r="J549">
        <f ca="1">VLOOKUP(G549,INDIRECT("球速変換!A$1:B$" &amp; Prams!$B$8),2,)</f>
        <v>146</v>
      </c>
      <c r="K549" t="str">
        <f ca="1">VLOOKUP(I549,INDIRECT("投手名変換!A$1:B$" &amp; Prams!$B$9),2,)</f>
        <v>DD018</v>
      </c>
      <c r="L549">
        <f t="shared" si="47"/>
        <v>30</v>
      </c>
      <c r="M549">
        <f ca="1">(B549-VLOOKUP(K549,INDIRECT("投手データ!B1:D"&amp;Prams!$B$1),3,FALSE)*2)</f>
        <v>35</v>
      </c>
      <c r="N549" t="str">
        <f ca="1">VLOOKUP(F549,INDIRECT("球種変換表!A$1:B$" &amp; Prams!$B$2),2,)</f>
        <v>ストレート</v>
      </c>
      <c r="O549">
        <f ca="1">VLOOKUP(N549,球種情報!A:B,2,FALSE)</f>
        <v>1</v>
      </c>
      <c r="P549">
        <f ca="1">VLOOKUP(K549,投手データ!B:AI,output!O549+6,FALSE)</f>
        <v>1</v>
      </c>
      <c r="R549">
        <f t="shared" ca="1" si="43"/>
        <v>6.8493150684931503E-3</v>
      </c>
      <c r="S549">
        <f t="shared" si="44"/>
        <v>0.48576388888888888</v>
      </c>
      <c r="T549">
        <f>Prams!B$5/(S549-Prams!B$6)</f>
        <v>145.30727898307077</v>
      </c>
      <c r="U549">
        <f t="shared" ca="1" si="45"/>
        <v>0.56909722222222225</v>
      </c>
      <c r="V549">
        <f ca="1">Prams!C$5/(U549-Prams!C$6)</f>
        <v>145.29589565149269</v>
      </c>
      <c r="W549">
        <f t="shared" ca="1" si="46"/>
        <v>0.99517736747597729</v>
      </c>
    </row>
    <row r="550" spans="1:23" hidden="1" x14ac:dyDescent="0.55000000000000004">
      <c r="A550" s="1" t="s">
        <v>2167</v>
      </c>
      <c r="B550" s="1">
        <v>129</v>
      </c>
      <c r="C550">
        <v>635.52173000000005</v>
      </c>
      <c r="D550">
        <v>616</v>
      </c>
      <c r="E550">
        <v>11.521850000000001</v>
      </c>
      <c r="F550" t="s">
        <v>0</v>
      </c>
      <c r="G550" s="10" t="s">
        <v>1170</v>
      </c>
      <c r="H550">
        <v>99</v>
      </c>
      <c r="I550" t="s">
        <v>1210</v>
      </c>
      <c r="J550">
        <f ca="1">VLOOKUP(G550,INDIRECT("球速変換!A$1:B$" &amp; Prams!$B$8),2,)</f>
        <v>145</v>
      </c>
      <c r="K550" t="str">
        <f ca="1">VLOOKUP(I550,INDIRECT("投手名変換!A$1:B$" &amp; Prams!$B$9),2,)</f>
        <v>DD018</v>
      </c>
      <c r="L550">
        <f t="shared" si="47"/>
        <v>30</v>
      </c>
      <c r="M550">
        <f ca="1">(B550-VLOOKUP(K550,INDIRECT("投手データ!B1:D"&amp;Prams!$B$1),3,FALSE)*2)</f>
        <v>35</v>
      </c>
      <c r="N550" t="str">
        <f ca="1">VLOOKUP(F550,INDIRECT("球種変換表!A$1:B$" &amp; Prams!$B$2),2,)</f>
        <v>ストレート</v>
      </c>
      <c r="O550">
        <f ca="1">VLOOKUP(N550,球種情報!A:B,2,FALSE)</f>
        <v>1</v>
      </c>
      <c r="P550">
        <f ca="1">VLOOKUP(K550,投手データ!B:AI,output!O550+6,FALSE)</f>
        <v>1</v>
      </c>
      <c r="R550">
        <f t="shared" ca="1" si="43"/>
        <v>6.8965517241379309E-3</v>
      </c>
      <c r="S550">
        <f t="shared" si="44"/>
        <v>0.48888888888888887</v>
      </c>
      <c r="T550">
        <f>Prams!B$5/(S550-Prams!B$6)</f>
        <v>144.24778990485575</v>
      </c>
      <c r="U550">
        <f t="shared" ca="1" si="45"/>
        <v>0.5722222222222223</v>
      </c>
      <c r="V550">
        <f ca="1">Prams!C$5/(U550-Prams!C$6)</f>
        <v>144.23657196184155</v>
      </c>
      <c r="W550">
        <f t="shared" ca="1" si="46"/>
        <v>0.99473497904718311</v>
      </c>
    </row>
    <row r="551" spans="1:23" hidden="1" x14ac:dyDescent="0.55000000000000004">
      <c r="A551" s="1" t="s">
        <v>2168</v>
      </c>
      <c r="B551" s="1">
        <v>129</v>
      </c>
      <c r="C551">
        <v>639.5</v>
      </c>
      <c r="D551">
        <v>614</v>
      </c>
      <c r="E551">
        <v>10.547610000000001</v>
      </c>
      <c r="F551" t="s">
        <v>0</v>
      </c>
      <c r="G551" s="10" t="s">
        <v>961</v>
      </c>
      <c r="H551">
        <v>99</v>
      </c>
      <c r="I551" t="s">
        <v>1209</v>
      </c>
      <c r="J551">
        <f ca="1">VLOOKUP(G551,INDIRECT("球速変換!A$1:B$" &amp; Prams!$B$8),2,)</f>
        <v>144</v>
      </c>
      <c r="K551" t="str">
        <f ca="1">VLOOKUP(I551,INDIRECT("投手名変換!A$1:B$" &amp; Prams!$B$9),2,)</f>
        <v>DD018</v>
      </c>
      <c r="L551">
        <f t="shared" si="47"/>
        <v>30</v>
      </c>
      <c r="M551">
        <f ca="1">(B551-VLOOKUP(K551,INDIRECT("投手データ!B1:D"&amp;Prams!$B$1),3,FALSE)*2)</f>
        <v>35</v>
      </c>
      <c r="N551" t="str">
        <f ca="1">VLOOKUP(F551,INDIRECT("球種変換表!A$1:B$" &amp; Prams!$B$2),2,)</f>
        <v>ストレート</v>
      </c>
      <c r="O551">
        <f ca="1">VLOOKUP(N551,球種情報!A:B,2,FALSE)</f>
        <v>1</v>
      </c>
      <c r="P551">
        <f ca="1">VLOOKUP(K551,投手データ!B:AI,output!O551+6,FALSE)</f>
        <v>1</v>
      </c>
      <c r="R551">
        <f t="shared" ca="1" si="43"/>
        <v>6.9444444444444441E-3</v>
      </c>
      <c r="S551">
        <f t="shared" si="44"/>
        <v>0.49027777777777781</v>
      </c>
      <c r="T551">
        <f>Prams!B$5/(S551-Prams!B$6)</f>
        <v>143.78184919117265</v>
      </c>
      <c r="U551">
        <f t="shared" ca="1" si="45"/>
        <v>0.57361111111111107</v>
      </c>
      <c r="V551">
        <f ca="1">Prams!C$5/(U551-Prams!C$6)</f>
        <v>143.7707035993902</v>
      </c>
      <c r="W551">
        <f t="shared" ca="1" si="46"/>
        <v>0.99840766388465418</v>
      </c>
    </row>
    <row r="552" spans="1:23" hidden="1" x14ac:dyDescent="0.55000000000000004">
      <c r="A552" s="1" t="s">
        <v>2169</v>
      </c>
      <c r="B552" s="1">
        <v>128</v>
      </c>
      <c r="C552">
        <v>639</v>
      </c>
      <c r="D552">
        <v>606</v>
      </c>
      <c r="E552">
        <v>10.04998</v>
      </c>
      <c r="F552" t="s">
        <v>0</v>
      </c>
      <c r="G552" s="10" t="s">
        <v>635</v>
      </c>
      <c r="H552">
        <v>99</v>
      </c>
      <c r="I552" t="s">
        <v>1209</v>
      </c>
      <c r="J552">
        <f ca="1">VLOOKUP(G552,INDIRECT("球速変換!A$1:B$" &amp; Prams!$B$8),2,)</f>
        <v>148</v>
      </c>
      <c r="K552" t="str">
        <f ca="1">VLOOKUP(I552,INDIRECT("投手名変換!A$1:B$" &amp; Prams!$B$9),2,)</f>
        <v>DD018</v>
      </c>
      <c r="L552">
        <f t="shared" si="47"/>
        <v>29</v>
      </c>
      <c r="M552">
        <f ca="1">(B552-VLOOKUP(K552,INDIRECT("投手データ!B1:D"&amp;Prams!$B$1),3,FALSE)*2)</f>
        <v>34</v>
      </c>
      <c r="N552" t="str">
        <f ca="1">VLOOKUP(F552,INDIRECT("球種変換表!A$1:B$" &amp; Prams!$B$2),2,)</f>
        <v>ストレート</v>
      </c>
      <c r="O552">
        <f ca="1">VLOOKUP(N552,球種情報!A:B,2,FALSE)</f>
        <v>1</v>
      </c>
      <c r="P552">
        <f ca="1">VLOOKUP(K552,投手データ!B:AI,output!O552+6,FALSE)</f>
        <v>1</v>
      </c>
      <c r="R552">
        <f t="shared" ca="1" si="43"/>
        <v>6.7567567567567571E-3</v>
      </c>
      <c r="S552">
        <f t="shared" si="44"/>
        <v>0.47916666666666669</v>
      </c>
      <c r="T552">
        <f>Prams!B$5/(S552-Prams!B$6)</f>
        <v>147.59589368136241</v>
      </c>
      <c r="U552">
        <f t="shared" ca="1" si="45"/>
        <v>0.5625</v>
      </c>
      <c r="V552">
        <f ca="1">Prams!C$5/(U552-Prams!C$6)</f>
        <v>147.584148961566</v>
      </c>
      <c r="W552">
        <f t="shared" ca="1" si="46"/>
        <v>0.99719019568625678</v>
      </c>
    </row>
    <row r="553" spans="1:23" hidden="1" x14ac:dyDescent="0.55000000000000004">
      <c r="A553" s="1" t="s">
        <v>1214</v>
      </c>
      <c r="B553" s="1">
        <v>129</v>
      </c>
      <c r="C553">
        <v>640.5</v>
      </c>
      <c r="D553">
        <v>617</v>
      </c>
      <c r="E553">
        <v>10.547610000000001</v>
      </c>
      <c r="F553" t="s">
        <v>0</v>
      </c>
      <c r="G553" s="10" t="s">
        <v>2462</v>
      </c>
      <c r="H553">
        <v>99</v>
      </c>
      <c r="I553" t="s">
        <v>1209</v>
      </c>
      <c r="J553">
        <f ca="1">VLOOKUP(G553,INDIRECT("球速変換!A$1:B$" &amp; Prams!$B$8),2,)</f>
        <v>145</v>
      </c>
      <c r="K553" t="str">
        <f ca="1">VLOOKUP(I553,INDIRECT("投手名変換!A$1:B$" &amp; Prams!$B$9),2,)</f>
        <v>DD018</v>
      </c>
      <c r="L553">
        <f t="shared" si="47"/>
        <v>30</v>
      </c>
      <c r="M553">
        <f ca="1">(B553-VLOOKUP(K553,INDIRECT("投手データ!B1:D"&amp;Prams!$B$1),3,FALSE)*2)</f>
        <v>35</v>
      </c>
      <c r="N553" t="str">
        <f ca="1">VLOOKUP(F553,INDIRECT("球種変換表!A$1:B$" &amp; Prams!$B$2),2,)</f>
        <v>ストレート</v>
      </c>
      <c r="O553">
        <f ca="1">VLOOKUP(N553,球種情報!A:B,2,FALSE)</f>
        <v>1</v>
      </c>
      <c r="P553">
        <f ca="1">VLOOKUP(K553,投手データ!B:AI,output!O553+6,FALSE)</f>
        <v>1</v>
      </c>
      <c r="R553">
        <f t="shared" ca="1" si="43"/>
        <v>6.8965517241379309E-3</v>
      </c>
      <c r="S553">
        <f t="shared" si="44"/>
        <v>0.48819444444444449</v>
      </c>
      <c r="T553">
        <f>Prams!B$5/(S553-Prams!B$6)</f>
        <v>144.48189454824009</v>
      </c>
      <c r="U553">
        <f t="shared" ca="1" si="45"/>
        <v>0.57152777777777775</v>
      </c>
      <c r="V553">
        <f ca="1">Prams!C$5/(U553-Prams!C$6)</f>
        <v>144.47064016513693</v>
      </c>
      <c r="W553">
        <f t="shared" ca="1" si="46"/>
        <v>0.99634924251818568</v>
      </c>
    </row>
    <row r="554" spans="1:23" hidden="1" x14ac:dyDescent="0.55000000000000004">
      <c r="A554" s="1" t="s">
        <v>1215</v>
      </c>
      <c r="B554" s="1">
        <v>129</v>
      </c>
      <c r="C554">
        <v>639.5</v>
      </c>
      <c r="D554">
        <v>620.5</v>
      </c>
      <c r="E554">
        <v>10.512</v>
      </c>
      <c r="F554" t="s">
        <v>0</v>
      </c>
      <c r="G554" s="10" t="s">
        <v>620</v>
      </c>
      <c r="H554">
        <v>99</v>
      </c>
      <c r="I554" t="s">
        <v>1209</v>
      </c>
      <c r="J554">
        <f ca="1">VLOOKUP(G554,INDIRECT("球速変換!A$1:B$" &amp; Prams!$B$8),2,)</f>
        <v>146</v>
      </c>
      <c r="K554" t="str">
        <f ca="1">VLOOKUP(I554,INDIRECT("投手名変換!A$1:B$" &amp; Prams!$B$9),2,)</f>
        <v>DD018</v>
      </c>
      <c r="L554">
        <f t="shared" si="47"/>
        <v>30</v>
      </c>
      <c r="M554">
        <f ca="1">(B554-VLOOKUP(K554,INDIRECT("投手データ!B1:D"&amp;Prams!$B$1),3,FALSE)*2)</f>
        <v>35</v>
      </c>
      <c r="N554" t="str">
        <f ca="1">VLOOKUP(F554,INDIRECT("球種変換表!A$1:B$" &amp; Prams!$B$2),2,)</f>
        <v>ストレート</v>
      </c>
      <c r="O554">
        <f ca="1">VLOOKUP(N554,球種情報!A:B,2,FALSE)</f>
        <v>1</v>
      </c>
      <c r="P554">
        <f ca="1">VLOOKUP(K554,投手データ!B:AI,output!O554+6,FALSE)</f>
        <v>1</v>
      </c>
      <c r="R554">
        <f t="shared" ca="1" si="43"/>
        <v>6.8493150684931503E-3</v>
      </c>
      <c r="S554">
        <f t="shared" si="44"/>
        <v>0.48576388888888888</v>
      </c>
      <c r="T554">
        <f>Prams!B$5/(S554-Prams!B$6)</f>
        <v>145.30727898307077</v>
      </c>
      <c r="U554">
        <f t="shared" ca="1" si="45"/>
        <v>0.56909722222222225</v>
      </c>
      <c r="V554">
        <f ca="1">Prams!C$5/(U554-Prams!C$6)</f>
        <v>145.29589565149269</v>
      </c>
      <c r="W554">
        <f t="shared" ca="1" si="46"/>
        <v>0.99517736747597729</v>
      </c>
    </row>
    <row r="555" spans="1:23" hidden="1" x14ac:dyDescent="0.55000000000000004">
      <c r="A555" s="1" t="s">
        <v>1216</v>
      </c>
      <c r="B555" s="1">
        <v>128</v>
      </c>
      <c r="C555">
        <v>639</v>
      </c>
      <c r="D555">
        <v>606</v>
      </c>
      <c r="E555">
        <v>10.04998</v>
      </c>
      <c r="F555" t="s">
        <v>0</v>
      </c>
      <c r="G555" s="10" t="s">
        <v>638</v>
      </c>
      <c r="H555">
        <v>99</v>
      </c>
      <c r="I555" t="s">
        <v>1209</v>
      </c>
      <c r="J555">
        <f ca="1">VLOOKUP(G555,INDIRECT("球速変換!A$1:B$" &amp; Prams!$B$8),2,)</f>
        <v>147</v>
      </c>
      <c r="K555" t="str">
        <f ca="1">VLOOKUP(I555,INDIRECT("投手名変換!A$1:B$" &amp; Prams!$B$9),2,)</f>
        <v>DD018</v>
      </c>
      <c r="L555">
        <f t="shared" si="47"/>
        <v>29</v>
      </c>
      <c r="M555">
        <f ca="1">(B555-VLOOKUP(K555,INDIRECT("投手データ!B1:D"&amp;Prams!$B$1),3,FALSE)*2)</f>
        <v>34</v>
      </c>
      <c r="N555" t="str">
        <f ca="1">VLOOKUP(F555,INDIRECT("球種変換表!A$1:B$" &amp; Prams!$B$2),2,)</f>
        <v>ストレート</v>
      </c>
      <c r="O555">
        <f ca="1">VLOOKUP(N555,球種情報!A:B,2,FALSE)</f>
        <v>1</v>
      </c>
      <c r="P555">
        <f ca="1">VLOOKUP(K555,投手データ!B:AI,output!O555+6,FALSE)</f>
        <v>1</v>
      </c>
      <c r="R555">
        <f t="shared" ca="1" si="43"/>
        <v>6.8027210884353739E-3</v>
      </c>
      <c r="S555">
        <f t="shared" si="44"/>
        <v>0.47916666666666669</v>
      </c>
      <c r="T555">
        <f>Prams!B$5/(S555-Prams!B$6)</f>
        <v>147.59589368136241</v>
      </c>
      <c r="U555">
        <f t="shared" ca="1" si="45"/>
        <v>0.5625</v>
      </c>
      <c r="V555">
        <f ca="1">Prams!C$5/(U555-Prams!C$6)</f>
        <v>147.584148961566</v>
      </c>
      <c r="W555">
        <f t="shared" ca="1" si="46"/>
        <v>1.0039738024596327</v>
      </c>
    </row>
    <row r="556" spans="1:23" hidden="1" x14ac:dyDescent="0.55000000000000004">
      <c r="A556" s="1" t="s">
        <v>1217</v>
      </c>
      <c r="B556" s="1">
        <v>125</v>
      </c>
      <c r="C556">
        <v>641.5</v>
      </c>
      <c r="D556">
        <v>619.5</v>
      </c>
      <c r="E556">
        <v>10.512</v>
      </c>
      <c r="F556" t="s">
        <v>343</v>
      </c>
      <c r="G556" s="10" t="s">
        <v>638</v>
      </c>
      <c r="H556">
        <v>98</v>
      </c>
      <c r="I556" t="s">
        <v>1209</v>
      </c>
      <c r="J556">
        <f ca="1">VLOOKUP(G556,INDIRECT("球速変換!A$1:B$" &amp; Prams!$B$8),2,)</f>
        <v>147</v>
      </c>
      <c r="K556" t="str">
        <f ca="1">VLOOKUP(I556,INDIRECT("投手名変換!A$1:B$" &amp; Prams!$B$9),2,)</f>
        <v>DD018</v>
      </c>
      <c r="L556">
        <f t="shared" si="47"/>
        <v>27</v>
      </c>
      <c r="M556">
        <f ca="1">(B556-VLOOKUP(K556,INDIRECT("投手データ!B1:D"&amp;Prams!$B$1),3,FALSE)*2)</f>
        <v>31</v>
      </c>
      <c r="N556" t="str">
        <f ca="1">VLOOKUP(F556,INDIRECT("球種変換表!A$1:B$" &amp; Prams!$B$2),2,)</f>
        <v>全力ストレート</v>
      </c>
      <c r="O556">
        <f ca="1">VLOOKUP(N556,球種情報!A:B,2,FALSE)</f>
        <v>2</v>
      </c>
      <c r="P556">
        <f ca="1">VLOOKUP(K556,投手データ!B:AI,output!O556+6,FALSE)</f>
        <v>1</v>
      </c>
      <c r="R556">
        <f t="shared" ca="1" si="43"/>
        <v>6.8027210884353739E-3</v>
      </c>
      <c r="S556">
        <f t="shared" si="44"/>
        <v>0.43645833333333334</v>
      </c>
      <c r="T556">
        <f>Prams!B$5/(S556-Prams!B$6)</f>
        <v>164.35366312944461</v>
      </c>
      <c r="U556">
        <f t="shared" ca="1" si="45"/>
        <v>0.50312500000000004</v>
      </c>
      <c r="V556">
        <f ca="1">Prams!C$5/(U556-Prams!C$6)</f>
        <v>171.95744384952366</v>
      </c>
      <c r="W556">
        <f t="shared" ca="1" si="46"/>
        <v>1.1697785295885963</v>
      </c>
    </row>
    <row r="557" spans="1:23" hidden="1" x14ac:dyDescent="0.55000000000000004">
      <c r="A557" s="1" t="s">
        <v>1218</v>
      </c>
      <c r="B557" s="1">
        <v>125</v>
      </c>
      <c r="C557">
        <v>640.5</v>
      </c>
      <c r="D557">
        <v>614.5</v>
      </c>
      <c r="E557">
        <v>10.512</v>
      </c>
      <c r="F557" t="s">
        <v>343</v>
      </c>
      <c r="G557" s="10" t="s">
        <v>1264</v>
      </c>
      <c r="H557">
        <v>98</v>
      </c>
      <c r="I557" t="s">
        <v>1212</v>
      </c>
      <c r="J557">
        <f ca="1">VLOOKUP(G557,INDIRECT("球速変換!A$1:B$" &amp; Prams!$B$8),2,)</f>
        <v>144</v>
      </c>
      <c r="K557" t="str">
        <f ca="1">VLOOKUP(I557,INDIRECT("投手名変換!A$1:B$" &amp; Prams!$B$9),2,)</f>
        <v>DD018</v>
      </c>
      <c r="L557">
        <f t="shared" si="47"/>
        <v>27</v>
      </c>
      <c r="M557">
        <f ca="1">(B557-VLOOKUP(K557,INDIRECT("投手データ!B1:D"&amp;Prams!$B$1),3,FALSE)*2)</f>
        <v>31</v>
      </c>
      <c r="N557" t="str">
        <f ca="1">VLOOKUP(F557,INDIRECT("球種変換表!A$1:B$" &amp; Prams!$B$2),2,)</f>
        <v>全力ストレート</v>
      </c>
      <c r="O557">
        <f ca="1">VLOOKUP(N557,球種情報!A:B,2,FALSE)</f>
        <v>2</v>
      </c>
      <c r="P557">
        <f ca="1">VLOOKUP(K557,投手データ!B:AI,output!O557+6,FALSE)</f>
        <v>1</v>
      </c>
      <c r="R557">
        <f t="shared" ca="1" si="43"/>
        <v>6.9444444444444441E-3</v>
      </c>
      <c r="S557">
        <f t="shared" si="44"/>
        <v>0.43993055555555555</v>
      </c>
      <c r="T557">
        <f>Prams!B$5/(S557-Prams!B$6)</f>
        <v>162.85043207211692</v>
      </c>
      <c r="U557">
        <f t="shared" ca="1" si="45"/>
        <v>0.50659722222222225</v>
      </c>
      <c r="V557">
        <f ca="1">Prams!C$5/(U557-Prams!C$6)</f>
        <v>170.31259804559264</v>
      </c>
      <c r="W557">
        <f t="shared" ca="1" si="46"/>
        <v>1.1827263753166155</v>
      </c>
    </row>
    <row r="558" spans="1:23" hidden="1" x14ac:dyDescent="0.55000000000000004">
      <c r="A558" s="1" t="s">
        <v>1219</v>
      </c>
      <c r="B558" s="1">
        <v>125</v>
      </c>
      <c r="C558">
        <v>641.95001000000002</v>
      </c>
      <c r="D558">
        <v>622.5</v>
      </c>
      <c r="E558">
        <v>10.062519999999999</v>
      </c>
      <c r="F558" t="s">
        <v>343</v>
      </c>
      <c r="G558" s="10" t="s">
        <v>640</v>
      </c>
      <c r="H558">
        <v>98</v>
      </c>
      <c r="I558" t="s">
        <v>1209</v>
      </c>
      <c r="J558">
        <f ca="1">VLOOKUP(G558,INDIRECT("球速変換!A$1:B$" &amp; Prams!$B$8),2,)</f>
        <v>148</v>
      </c>
      <c r="K558" t="str">
        <f ca="1">VLOOKUP(I558,INDIRECT("投手名変換!A$1:B$" &amp; Prams!$B$9),2,)</f>
        <v>DD018</v>
      </c>
      <c r="L558">
        <f t="shared" si="47"/>
        <v>27</v>
      </c>
      <c r="M558">
        <f ca="1">(B558-VLOOKUP(K558,INDIRECT("投手データ!B1:D"&amp;Prams!$B$1),3,FALSE)*2)</f>
        <v>31</v>
      </c>
      <c r="N558" t="str">
        <f ca="1">VLOOKUP(F558,INDIRECT("球種変換表!A$1:B$" &amp; Prams!$B$2),2,)</f>
        <v>全力ストレート</v>
      </c>
      <c r="O558">
        <f ca="1">VLOOKUP(N558,球種情報!A:B,2,FALSE)</f>
        <v>2</v>
      </c>
      <c r="P558">
        <f ca="1">VLOOKUP(K558,投手データ!B:AI,output!O558+6,FALSE)</f>
        <v>1</v>
      </c>
      <c r="R558">
        <f t="shared" ca="1" si="43"/>
        <v>6.7567567567567571E-3</v>
      </c>
      <c r="S558">
        <f t="shared" si="44"/>
        <v>0.43437500000000001</v>
      </c>
      <c r="T558">
        <f>Prams!B$5/(S558-Prams!B$6)</f>
        <v>165.26899685891868</v>
      </c>
      <c r="U558">
        <f t="shared" ca="1" si="45"/>
        <v>0.50104166666666672</v>
      </c>
      <c r="V558">
        <f ca="1">Prams!C$5/(U558-Prams!C$6)</f>
        <v>172.9596903923717</v>
      </c>
      <c r="W558">
        <f t="shared" ca="1" si="46"/>
        <v>1.1686465567052142</v>
      </c>
    </row>
    <row r="559" spans="1:23" hidden="1" x14ac:dyDescent="0.55000000000000004">
      <c r="A559" s="1" t="s">
        <v>1220</v>
      </c>
      <c r="B559" s="1">
        <v>125</v>
      </c>
      <c r="C559">
        <v>640.5</v>
      </c>
      <c r="D559">
        <v>612</v>
      </c>
      <c r="E559">
        <v>10.547610000000001</v>
      </c>
      <c r="F559" t="s">
        <v>343</v>
      </c>
      <c r="G559" s="10" t="s">
        <v>972</v>
      </c>
      <c r="H559">
        <v>98</v>
      </c>
      <c r="I559" t="s">
        <v>1209</v>
      </c>
      <c r="J559">
        <f ca="1">VLOOKUP(G559,INDIRECT("球速変換!A$1:B$" &amp; Prams!$B$8),2,)</f>
        <v>144</v>
      </c>
      <c r="K559" t="str">
        <f ca="1">VLOOKUP(I559,INDIRECT("投手名変換!A$1:B$" &amp; Prams!$B$9),2,)</f>
        <v>DD018</v>
      </c>
      <c r="L559">
        <f t="shared" si="47"/>
        <v>27</v>
      </c>
      <c r="M559">
        <f ca="1">(B559-VLOOKUP(K559,INDIRECT("投手データ!B1:D"&amp;Prams!$B$1),3,FALSE)*2)</f>
        <v>31</v>
      </c>
      <c r="N559" t="str">
        <f ca="1">VLOOKUP(F559,INDIRECT("球種変換表!A$1:B$" &amp; Prams!$B$2),2,)</f>
        <v>全力ストレート</v>
      </c>
      <c r="O559">
        <f ca="1">VLOOKUP(N559,球種情報!A:B,2,FALSE)</f>
        <v>2</v>
      </c>
      <c r="P559">
        <f ca="1">VLOOKUP(K559,投手データ!B:AI,output!O559+6,FALSE)</f>
        <v>1</v>
      </c>
      <c r="R559">
        <f t="shared" ca="1" si="43"/>
        <v>6.9444444444444441E-3</v>
      </c>
      <c r="S559">
        <f t="shared" si="44"/>
        <v>0.44166666666666665</v>
      </c>
      <c r="T559">
        <f>Prams!B$5/(S559-Prams!B$6)</f>
        <v>162.1090813740058</v>
      </c>
      <c r="U559">
        <f t="shared" ca="1" si="45"/>
        <v>0.5083333333333333</v>
      </c>
      <c r="V559">
        <f ca="1">Prams!C$5/(U559-Prams!C$6)</f>
        <v>169.50191921038203</v>
      </c>
      <c r="W559">
        <f t="shared" ca="1" si="46"/>
        <v>1.1770966611832085</v>
      </c>
    </row>
    <row r="560" spans="1:23" hidden="1" x14ac:dyDescent="0.55000000000000004">
      <c r="A560" s="1" t="s">
        <v>1221</v>
      </c>
      <c r="B560" s="1">
        <v>125</v>
      </c>
      <c r="C560">
        <v>640.5</v>
      </c>
      <c r="D560">
        <v>615.5</v>
      </c>
      <c r="E560">
        <v>10.512</v>
      </c>
      <c r="F560" t="s">
        <v>343</v>
      </c>
      <c r="G560" s="10" t="s">
        <v>584</v>
      </c>
      <c r="H560">
        <v>98</v>
      </c>
      <c r="I560" t="s">
        <v>1209</v>
      </c>
      <c r="J560">
        <v>145</v>
      </c>
      <c r="K560" t="str">
        <f ca="1">VLOOKUP(I560,INDIRECT("投手名変換!A$1:B$" &amp; Prams!$B$9),2,)</f>
        <v>DD018</v>
      </c>
      <c r="L560">
        <f t="shared" si="47"/>
        <v>27</v>
      </c>
      <c r="M560">
        <f ca="1">(B560-VLOOKUP(K560,INDIRECT("投手データ!B1:D"&amp;Prams!$B$1),3,FALSE)*2)</f>
        <v>31</v>
      </c>
      <c r="N560" t="str">
        <f ca="1">VLOOKUP(F560,INDIRECT("球種変換表!A$1:B$" &amp; Prams!$B$2),2,)</f>
        <v>全力ストレート</v>
      </c>
      <c r="O560">
        <f ca="1">VLOOKUP(N560,球種情報!A:B,2,FALSE)</f>
        <v>2</v>
      </c>
      <c r="P560">
        <f ca="1">VLOOKUP(K560,投手データ!B:AI,output!O560+6,FALSE)</f>
        <v>1</v>
      </c>
      <c r="R560">
        <f t="shared" si="43"/>
        <v>6.8965517241379309E-3</v>
      </c>
      <c r="S560">
        <f t="shared" si="44"/>
        <v>0.4392361111111111</v>
      </c>
      <c r="T560">
        <f>Prams!B$5/(S560-Prams!B$6)</f>
        <v>163.14887440714867</v>
      </c>
      <c r="U560">
        <f t="shared" ca="1" si="45"/>
        <v>0.50590277777777781</v>
      </c>
      <c r="V560">
        <f ca="1">Prams!C$5/(U560-Prams!C$6)</f>
        <v>170.63904499766156</v>
      </c>
      <c r="W560">
        <f t="shared" ca="1" si="46"/>
        <v>1.1768209999838728</v>
      </c>
    </row>
    <row r="561" spans="1:23" hidden="1" x14ac:dyDescent="0.55000000000000004">
      <c r="A561" s="1" t="s">
        <v>1222</v>
      </c>
      <c r="B561" s="1">
        <v>125</v>
      </c>
      <c r="C561">
        <v>641</v>
      </c>
      <c r="D561">
        <v>617.5</v>
      </c>
      <c r="E561">
        <v>11.01146</v>
      </c>
      <c r="F561" t="s">
        <v>343</v>
      </c>
      <c r="G561" s="10" t="s">
        <v>2433</v>
      </c>
      <c r="H561">
        <v>98</v>
      </c>
      <c r="I561" t="s">
        <v>1210</v>
      </c>
      <c r="J561">
        <f ca="1">VLOOKUP(G561,INDIRECT("球速変換!A$1:B$" &amp; Prams!$B$8),2,)</f>
        <v>146</v>
      </c>
      <c r="K561" t="str">
        <f ca="1">VLOOKUP(I561,INDIRECT("投手名変換!A$1:B$" &amp; Prams!$B$9),2,)</f>
        <v>DD018</v>
      </c>
      <c r="L561">
        <f t="shared" si="47"/>
        <v>27</v>
      </c>
      <c r="M561">
        <f ca="1">(B561-VLOOKUP(K561,INDIRECT("投手データ!B1:D"&amp;Prams!$B$1),3,FALSE)*2)</f>
        <v>31</v>
      </c>
      <c r="N561" t="str">
        <f ca="1">VLOOKUP(F561,INDIRECT("球種変換表!A$1:B$" &amp; Prams!$B$2),2,)</f>
        <v>全力ストレート</v>
      </c>
      <c r="O561">
        <f ca="1">VLOOKUP(N561,球種情報!A:B,2,FALSE)</f>
        <v>2</v>
      </c>
      <c r="P561">
        <f ca="1">VLOOKUP(K561,投手データ!B:AI,output!O561+6,FALSE)</f>
        <v>1</v>
      </c>
      <c r="R561">
        <f t="shared" ca="1" si="43"/>
        <v>6.8493150684931503E-3</v>
      </c>
      <c r="S561">
        <f t="shared" si="44"/>
        <v>0.43784722222222222</v>
      </c>
      <c r="T561">
        <f>Prams!B$5/(S561-Prams!B$6)</f>
        <v>163.74905273071067</v>
      </c>
      <c r="U561">
        <f t="shared" ca="1" si="45"/>
        <v>0.50451388888888882</v>
      </c>
      <c r="V561">
        <f ca="1">Prams!C$5/(U561-Prams!C$6)</f>
        <v>171.2957076557197</v>
      </c>
      <c r="W561">
        <f t="shared" ca="1" si="46"/>
        <v>1.1732582716145186</v>
      </c>
    </row>
    <row r="562" spans="1:23" hidden="1" x14ac:dyDescent="0.55000000000000004">
      <c r="A562" s="1" t="s">
        <v>1223</v>
      </c>
      <c r="B562" s="1">
        <v>125</v>
      </c>
      <c r="C562">
        <v>641.95001000000002</v>
      </c>
      <c r="D562">
        <v>622.5</v>
      </c>
      <c r="E562">
        <v>10.062519999999999</v>
      </c>
      <c r="F562" t="s">
        <v>343</v>
      </c>
      <c r="G562" s="10" t="s">
        <v>2435</v>
      </c>
      <c r="H562">
        <v>98</v>
      </c>
      <c r="I562" t="s">
        <v>1209</v>
      </c>
      <c r="J562">
        <f ca="1">VLOOKUP(G562,INDIRECT("球速変換!A$1:B$" &amp; Prams!$B$8),2,)</f>
        <v>148</v>
      </c>
      <c r="K562" t="str">
        <f ca="1">VLOOKUP(I562,INDIRECT("投手名変換!A$1:B$" &amp; Prams!$B$9),2,)</f>
        <v>DD018</v>
      </c>
      <c r="L562">
        <f t="shared" si="47"/>
        <v>27</v>
      </c>
      <c r="M562">
        <f ca="1">(B562-VLOOKUP(K562,INDIRECT("投手データ!B1:D"&amp;Prams!$B$1),3,FALSE)*2)</f>
        <v>31</v>
      </c>
      <c r="N562" t="str">
        <f ca="1">VLOOKUP(F562,INDIRECT("球種変換表!A$1:B$" &amp; Prams!$B$2),2,)</f>
        <v>全力ストレート</v>
      </c>
      <c r="O562">
        <f ca="1">VLOOKUP(N562,球種情報!A:B,2,FALSE)</f>
        <v>2</v>
      </c>
      <c r="P562">
        <f ca="1">VLOOKUP(K562,投手データ!B:AI,output!O562+6,FALSE)</f>
        <v>1</v>
      </c>
      <c r="R562">
        <f t="shared" ca="1" si="43"/>
        <v>6.7567567567567571E-3</v>
      </c>
      <c r="S562">
        <f t="shared" si="44"/>
        <v>0.43437500000000001</v>
      </c>
      <c r="T562">
        <f>Prams!B$5/(S562-Prams!B$6)</f>
        <v>165.26899685891868</v>
      </c>
      <c r="U562">
        <f t="shared" ca="1" si="45"/>
        <v>0.50104166666666672</v>
      </c>
      <c r="V562">
        <f ca="1">Prams!C$5/(U562-Prams!C$6)</f>
        <v>172.9596903923717</v>
      </c>
      <c r="W562">
        <f t="shared" ca="1" si="46"/>
        <v>1.1686465567052142</v>
      </c>
    </row>
    <row r="563" spans="1:23" hidden="1" x14ac:dyDescent="0.55000000000000004">
      <c r="A563" s="1" t="s">
        <v>1224</v>
      </c>
      <c r="B563" s="1">
        <v>125</v>
      </c>
      <c r="C563">
        <v>641</v>
      </c>
      <c r="D563">
        <v>617.5</v>
      </c>
      <c r="E563">
        <v>11.01146</v>
      </c>
      <c r="F563" t="s">
        <v>343</v>
      </c>
      <c r="G563" s="10" t="s">
        <v>620</v>
      </c>
      <c r="H563">
        <v>98</v>
      </c>
      <c r="I563" t="s">
        <v>1209</v>
      </c>
      <c r="J563">
        <f ca="1">VLOOKUP(G563,INDIRECT("球速変換!A$1:B$" &amp; Prams!$B$8),2,)</f>
        <v>146</v>
      </c>
      <c r="K563" t="str">
        <f ca="1">VLOOKUP(I563,INDIRECT("投手名変換!A$1:B$" &amp; Prams!$B$9),2,)</f>
        <v>DD018</v>
      </c>
      <c r="L563">
        <f t="shared" si="47"/>
        <v>27</v>
      </c>
      <c r="M563">
        <f ca="1">(B563-VLOOKUP(K563,INDIRECT("投手データ!B1:D"&amp;Prams!$B$1),3,FALSE)*2)</f>
        <v>31</v>
      </c>
      <c r="N563" t="str">
        <f ca="1">VLOOKUP(F563,INDIRECT("球種変換表!A$1:B$" &amp; Prams!$B$2),2,)</f>
        <v>全力ストレート</v>
      </c>
      <c r="O563">
        <f ca="1">VLOOKUP(N563,球種情報!A:B,2,FALSE)</f>
        <v>2</v>
      </c>
      <c r="P563">
        <f ca="1">VLOOKUP(K563,投手データ!B:AI,output!O563+6,FALSE)</f>
        <v>1</v>
      </c>
      <c r="R563">
        <f t="shared" ca="1" si="43"/>
        <v>6.8493150684931503E-3</v>
      </c>
      <c r="S563">
        <f t="shared" si="44"/>
        <v>0.43784722222222222</v>
      </c>
      <c r="T563">
        <f>Prams!B$5/(S563-Prams!B$6)</f>
        <v>163.74905273071067</v>
      </c>
      <c r="U563">
        <f t="shared" ca="1" si="45"/>
        <v>0.50451388888888882</v>
      </c>
      <c r="V563">
        <f ca="1">Prams!C$5/(U563-Prams!C$6)</f>
        <v>171.2957076557197</v>
      </c>
      <c r="W563">
        <f t="shared" ca="1" si="46"/>
        <v>1.1732582716145186</v>
      </c>
    </row>
    <row r="564" spans="1:23" hidden="1" x14ac:dyDescent="0.55000000000000004">
      <c r="A564" s="1" t="s">
        <v>1225</v>
      </c>
      <c r="B564" s="1">
        <v>125</v>
      </c>
      <c r="C564">
        <v>640.02270999999996</v>
      </c>
      <c r="D564">
        <v>611</v>
      </c>
      <c r="E564">
        <v>11.02285</v>
      </c>
      <c r="F564" t="s">
        <v>343</v>
      </c>
      <c r="G564" s="10" t="s">
        <v>615</v>
      </c>
      <c r="H564">
        <v>98</v>
      </c>
      <c r="I564" t="s">
        <v>1209</v>
      </c>
      <c r="J564">
        <f ca="1">VLOOKUP(G564,INDIRECT("球速変換!A$1:B$" &amp; Prams!$B$8),2,)</f>
        <v>144</v>
      </c>
      <c r="K564" t="str">
        <f ca="1">VLOOKUP(I564,INDIRECT("投手名変換!A$1:B$" &amp; Prams!$B$9),2,)</f>
        <v>DD018</v>
      </c>
      <c r="L564">
        <f t="shared" si="47"/>
        <v>27</v>
      </c>
      <c r="M564">
        <f ca="1">(B564-VLOOKUP(K564,INDIRECT("投手データ!B1:D"&amp;Prams!$B$1),3,FALSE)*2)</f>
        <v>31</v>
      </c>
      <c r="N564" t="str">
        <f ca="1">VLOOKUP(F564,INDIRECT("球種変換表!A$1:B$" &amp; Prams!$B$2),2,)</f>
        <v>全力ストレート</v>
      </c>
      <c r="O564">
        <f ca="1">VLOOKUP(N564,球種情報!A:B,2,FALSE)</f>
        <v>2</v>
      </c>
      <c r="P564">
        <f ca="1">VLOOKUP(K564,投手データ!B:AI,output!O564+6,FALSE)</f>
        <v>1</v>
      </c>
      <c r="R564">
        <f t="shared" ca="1" si="43"/>
        <v>6.9444444444444441E-3</v>
      </c>
      <c r="S564">
        <f t="shared" si="44"/>
        <v>0.44236111111111115</v>
      </c>
      <c r="T564">
        <f>Prams!B$5/(S564-Prams!B$6)</f>
        <v>161.81442759302612</v>
      </c>
      <c r="U564">
        <f t="shared" ca="1" si="45"/>
        <v>0.50902777777777775</v>
      </c>
      <c r="V564">
        <f ca="1">Prams!C$5/(U564-Prams!C$6)</f>
        <v>169.1798044909315</v>
      </c>
      <c r="W564">
        <f t="shared" ca="1" si="46"/>
        <v>1.1748597534092466</v>
      </c>
    </row>
    <row r="565" spans="1:23" hidden="1" x14ac:dyDescent="0.55000000000000004">
      <c r="A565" s="1" t="s">
        <v>1226</v>
      </c>
      <c r="B565" s="1">
        <v>125</v>
      </c>
      <c r="C565">
        <v>641.95001000000002</v>
      </c>
      <c r="D565">
        <v>622.5</v>
      </c>
      <c r="E565">
        <v>10.062519999999999</v>
      </c>
      <c r="F565" t="s">
        <v>343</v>
      </c>
      <c r="G565" s="10" t="s">
        <v>635</v>
      </c>
      <c r="H565">
        <v>98</v>
      </c>
      <c r="I565" t="s">
        <v>1209</v>
      </c>
      <c r="J565">
        <f ca="1">VLOOKUP(G565,INDIRECT("球速変換!A$1:B$" &amp; Prams!$B$8),2,)</f>
        <v>148</v>
      </c>
      <c r="K565" t="str">
        <f ca="1">VLOOKUP(I565,INDIRECT("投手名変換!A$1:B$" &amp; Prams!$B$9),2,)</f>
        <v>DD018</v>
      </c>
      <c r="L565">
        <f t="shared" si="47"/>
        <v>27</v>
      </c>
      <c r="M565">
        <f ca="1">(B565-VLOOKUP(K565,INDIRECT("投手データ!B1:D"&amp;Prams!$B$1),3,FALSE)*2)</f>
        <v>31</v>
      </c>
      <c r="N565" t="str">
        <f ca="1">VLOOKUP(F565,INDIRECT("球種変換表!A$1:B$" &amp; Prams!$B$2),2,)</f>
        <v>全力ストレート</v>
      </c>
      <c r="O565">
        <f ca="1">VLOOKUP(N565,球種情報!A:B,2,FALSE)</f>
        <v>2</v>
      </c>
      <c r="P565">
        <f ca="1">VLOOKUP(K565,投手データ!B:AI,output!O565+6,FALSE)</f>
        <v>1</v>
      </c>
      <c r="R565">
        <f t="shared" ca="1" si="43"/>
        <v>6.7567567567567571E-3</v>
      </c>
      <c r="S565">
        <f t="shared" si="44"/>
        <v>0.43437500000000001</v>
      </c>
      <c r="T565">
        <f>Prams!B$5/(S565-Prams!B$6)</f>
        <v>165.26899685891868</v>
      </c>
      <c r="U565">
        <f t="shared" ca="1" si="45"/>
        <v>0.50104166666666672</v>
      </c>
      <c r="V565">
        <f ca="1">Prams!C$5/(U565-Prams!C$6)</f>
        <v>172.9596903923717</v>
      </c>
      <c r="W565">
        <f t="shared" ca="1" si="46"/>
        <v>1.1686465567052142</v>
      </c>
    </row>
    <row r="566" spans="1:23" hidden="1" x14ac:dyDescent="0.55000000000000004">
      <c r="A566" s="1" t="s">
        <v>1700</v>
      </c>
      <c r="B566" s="1">
        <v>40</v>
      </c>
      <c r="C566">
        <v>645</v>
      </c>
      <c r="D566">
        <v>602</v>
      </c>
      <c r="E566">
        <v>10.04998</v>
      </c>
      <c r="F566" t="s">
        <v>16</v>
      </c>
      <c r="G566" s="10" t="s">
        <v>1097</v>
      </c>
      <c r="H566">
        <v>1</v>
      </c>
      <c r="I566" t="s">
        <v>1210</v>
      </c>
      <c r="J566">
        <f ca="1">VLOOKUP(G566,INDIRECT("球速変換!A$1:B$" &amp; Prams!$B$8),2,)</f>
        <v>123</v>
      </c>
      <c r="K566" t="str">
        <f ca="1">VLOOKUP(I566,INDIRECT("投手名変換!A$1:B$" &amp; Prams!$B$9),2,)</f>
        <v>DD018</v>
      </c>
      <c r="L566">
        <f t="shared" si="47"/>
        <v>39</v>
      </c>
      <c r="M566">
        <f ca="1">(B566-VLOOKUP(K566,INDIRECT("投手データ!B1:D"&amp;Prams!$B$1),3,FALSE)*2)</f>
        <v>-54</v>
      </c>
      <c r="N566" t="str">
        <f ca="1">VLOOKUP(F566,INDIRECT("球種変換表!A$1:B$" &amp; Prams!$B$2),2,)</f>
        <v>ナックルカーブ</v>
      </c>
      <c r="O566">
        <f ca="1">VLOOKUP(N566,球種情報!A:B,2,FALSE)</f>
        <v>14</v>
      </c>
      <c r="P566">
        <f ca="1">VLOOKUP(K566,投手データ!B:AI,output!O566+6,FALSE)</f>
        <v>4</v>
      </c>
      <c r="R566">
        <f t="shared" ca="1" si="43"/>
        <v>8.130081300813009E-3</v>
      </c>
      <c r="S566">
        <f t="shared" si="44"/>
        <v>0.64861111111111103</v>
      </c>
      <c r="T566">
        <f>Prams!B$5/(S566-Prams!B$6)</f>
        <v>105.08555563949537</v>
      </c>
      <c r="U566">
        <f t="shared" ca="1" si="45"/>
        <v>-0.90138888888888891</v>
      </c>
      <c r="V566">
        <f ca="1">Prams!C$5/(U566-Prams!C$6)</f>
        <v>-59.16139459218067</v>
      </c>
      <c r="W566">
        <f t="shared" ca="1" si="46"/>
        <v>-0.48098694790390789</v>
      </c>
    </row>
    <row r="567" spans="1:23" hidden="1" x14ac:dyDescent="0.55000000000000004">
      <c r="A567" s="1" t="s">
        <v>1229</v>
      </c>
      <c r="B567" s="1">
        <v>141</v>
      </c>
      <c r="C567">
        <v>655.5</v>
      </c>
      <c r="D567">
        <v>602.5</v>
      </c>
      <c r="E567">
        <v>10.512</v>
      </c>
      <c r="F567" t="s">
        <v>16</v>
      </c>
      <c r="G567" s="10" t="s">
        <v>2419</v>
      </c>
      <c r="H567">
        <v>101</v>
      </c>
      <c r="I567" t="s">
        <v>1209</v>
      </c>
      <c r="J567">
        <f ca="1">VLOOKUP(G567,INDIRECT("球速変換!A$1:B$" &amp; Prams!$B$8),2,)</f>
        <v>126</v>
      </c>
      <c r="K567" t="str">
        <f ca="1">VLOOKUP(I567,INDIRECT("投手名変換!A$1:B$" &amp; Prams!$B$9),2,)</f>
        <v>DD018</v>
      </c>
      <c r="L567">
        <f t="shared" si="47"/>
        <v>40</v>
      </c>
      <c r="M567">
        <f ca="1">(B567-VLOOKUP(K567,INDIRECT("投手データ!B1:D"&amp;Prams!$B$1),3,FALSE)*2)</f>
        <v>47</v>
      </c>
      <c r="N567" t="str">
        <f ca="1">VLOOKUP(F567,INDIRECT("球種変換表!A$1:B$" &amp; Prams!$B$2),2,)</f>
        <v>ナックルカーブ</v>
      </c>
      <c r="O567">
        <f ca="1">VLOOKUP(N567,球種情報!A:B,2,FALSE)</f>
        <v>14</v>
      </c>
      <c r="P567">
        <f ca="1">VLOOKUP(K567,投手データ!B:AI,output!O567+6,FALSE)</f>
        <v>4</v>
      </c>
      <c r="R567">
        <f t="shared" ca="1" si="43"/>
        <v>7.9365079365079361E-3</v>
      </c>
      <c r="S567">
        <f t="shared" si="44"/>
        <v>0.66493055555555558</v>
      </c>
      <c r="T567">
        <f>Prams!B$5/(S567-Prams!B$6)</f>
        <v>102.24921554484602</v>
      </c>
      <c r="U567">
        <f t="shared" ca="1" si="45"/>
        <v>0.78159722222222228</v>
      </c>
      <c r="V567">
        <f ca="1">Prams!C$5/(U567-Prams!C$6)</f>
        <v>96.901675817118658</v>
      </c>
      <c r="W567">
        <f t="shared" ca="1" si="46"/>
        <v>0.76906091918348141</v>
      </c>
    </row>
    <row r="568" spans="1:23" hidden="1" x14ac:dyDescent="0.55000000000000004">
      <c r="A568" s="1" t="s">
        <v>1231</v>
      </c>
      <c r="B568" s="1">
        <v>141</v>
      </c>
      <c r="C568">
        <v>652</v>
      </c>
      <c r="D568">
        <v>602.5</v>
      </c>
      <c r="E568">
        <v>11.01146</v>
      </c>
      <c r="F568" t="s">
        <v>16</v>
      </c>
      <c r="G568" s="10" t="s">
        <v>2170</v>
      </c>
      <c r="H568">
        <v>101</v>
      </c>
      <c r="I568" t="s">
        <v>1209</v>
      </c>
      <c r="J568">
        <f ca="1">VLOOKUP(G568,INDIRECT("球速変換!A$1:B$" &amp; Prams!$B$8),2,)</f>
        <v>126</v>
      </c>
      <c r="K568" t="str">
        <f ca="1">VLOOKUP(I568,INDIRECT("投手名変換!A$1:B$" &amp; Prams!$B$9),2,)</f>
        <v>DD018</v>
      </c>
      <c r="L568">
        <f t="shared" si="47"/>
        <v>40</v>
      </c>
      <c r="M568">
        <f ca="1">(B568-VLOOKUP(K568,INDIRECT("投手データ!B1:D"&amp;Prams!$B$1),3,FALSE)*2)</f>
        <v>47</v>
      </c>
      <c r="N568" t="str">
        <f ca="1">VLOOKUP(F568,INDIRECT("球種変換表!A$1:B$" &amp; Prams!$B$2),2,)</f>
        <v>ナックルカーブ</v>
      </c>
      <c r="O568">
        <f ca="1">VLOOKUP(N568,球種情報!A:B,2,FALSE)</f>
        <v>14</v>
      </c>
      <c r="P568">
        <f ca="1">VLOOKUP(K568,投手データ!B:AI,output!O568+6,FALSE)</f>
        <v>4</v>
      </c>
      <c r="R568">
        <f t="shared" ca="1" si="43"/>
        <v>7.9365079365079361E-3</v>
      </c>
      <c r="S568">
        <f t="shared" si="44"/>
        <v>0.66493055555555558</v>
      </c>
      <c r="T568">
        <f>Prams!B$5/(S568-Prams!B$6)</f>
        <v>102.24921554484602</v>
      </c>
      <c r="U568">
        <f t="shared" ca="1" si="45"/>
        <v>0.78159722222222228</v>
      </c>
      <c r="V568">
        <f ca="1">Prams!C$5/(U568-Prams!C$6)</f>
        <v>96.901675817118658</v>
      </c>
      <c r="W568">
        <f t="shared" ca="1" si="46"/>
        <v>0.76906091918348141</v>
      </c>
    </row>
    <row r="569" spans="1:23" hidden="1" x14ac:dyDescent="0.55000000000000004">
      <c r="A569" s="1" t="s">
        <v>1232</v>
      </c>
      <c r="B569" s="1">
        <v>141</v>
      </c>
      <c r="C569">
        <v>647.5</v>
      </c>
      <c r="D569">
        <v>600.5</v>
      </c>
      <c r="E569">
        <v>10.512</v>
      </c>
      <c r="F569" t="s">
        <v>16</v>
      </c>
      <c r="G569" s="10" t="s">
        <v>2419</v>
      </c>
      <c r="H569">
        <v>101</v>
      </c>
      <c r="I569" t="s">
        <v>1209</v>
      </c>
      <c r="J569">
        <f ca="1">VLOOKUP(G569,INDIRECT("球速変換!A$1:B$" &amp; Prams!$B$8),2,)</f>
        <v>126</v>
      </c>
      <c r="K569" t="str">
        <f ca="1">VLOOKUP(I569,INDIRECT("投手名変換!A$1:B$" &amp; Prams!$B$9),2,)</f>
        <v>DD018</v>
      </c>
      <c r="L569">
        <f t="shared" si="47"/>
        <v>40</v>
      </c>
      <c r="M569">
        <f ca="1">(B569-VLOOKUP(K569,INDIRECT("投手データ!B1:D"&amp;Prams!$B$1),3,FALSE)*2)</f>
        <v>47</v>
      </c>
      <c r="N569" t="str">
        <f ca="1">VLOOKUP(F569,INDIRECT("球種変換表!A$1:B$" &amp; Prams!$B$2),2,)</f>
        <v>ナックルカーブ</v>
      </c>
      <c r="O569">
        <f ca="1">VLOOKUP(N569,球種情報!A:B,2,FALSE)</f>
        <v>14</v>
      </c>
      <c r="P569">
        <f ca="1">VLOOKUP(K569,投手データ!B:AI,output!O569+6,FALSE)</f>
        <v>4</v>
      </c>
      <c r="R569">
        <f t="shared" ca="1" si="43"/>
        <v>7.9365079365079361E-3</v>
      </c>
      <c r="S569">
        <f t="shared" si="44"/>
        <v>0.66631944444444435</v>
      </c>
      <c r="T569">
        <f>Prams!B$5/(S569-Prams!B$6)</f>
        <v>102.01487851049886</v>
      </c>
      <c r="U569">
        <f t="shared" ca="1" si="45"/>
        <v>0.78298611111111105</v>
      </c>
      <c r="V569">
        <f ca="1">Prams!C$5/(U569-Prams!C$6)</f>
        <v>96.691183817811378</v>
      </c>
      <c r="W569">
        <f t="shared" ca="1" si="46"/>
        <v>0.76739034776040771</v>
      </c>
    </row>
    <row r="570" spans="1:23" hidden="1" x14ac:dyDescent="0.55000000000000004">
      <c r="A570" s="1" t="s">
        <v>1702</v>
      </c>
      <c r="B570" s="1">
        <v>142</v>
      </c>
      <c r="C570">
        <v>643.47826999999995</v>
      </c>
      <c r="D570">
        <v>607</v>
      </c>
      <c r="E570">
        <v>11.52183</v>
      </c>
      <c r="F570" t="s">
        <v>16</v>
      </c>
      <c r="G570" s="10" t="s">
        <v>649</v>
      </c>
      <c r="H570">
        <v>101</v>
      </c>
      <c r="I570" t="s">
        <v>1209</v>
      </c>
      <c r="J570">
        <f ca="1">VLOOKUP(G570,INDIRECT("球速変換!A$1:B$" &amp; Prams!$B$8),2,)</f>
        <v>124</v>
      </c>
      <c r="K570" t="str">
        <f ca="1">VLOOKUP(I570,INDIRECT("投手名変換!A$1:B$" &amp; Prams!$B$9),2,)</f>
        <v>DD018</v>
      </c>
      <c r="L570">
        <f t="shared" si="47"/>
        <v>41</v>
      </c>
      <c r="M570">
        <f ca="1">(B570-VLOOKUP(K570,INDIRECT("投手データ!B1:D"&amp;Prams!$B$1),3,FALSE)*2)</f>
        <v>48</v>
      </c>
      <c r="N570" t="str">
        <f ca="1">VLOOKUP(F570,INDIRECT("球種変換表!A$1:B$" &amp; Prams!$B$2),2,)</f>
        <v>ナックルカーブ</v>
      </c>
      <c r="O570">
        <f ca="1">VLOOKUP(N570,球種情報!A:B,2,FALSE)</f>
        <v>14</v>
      </c>
      <c r="P570">
        <f ca="1">VLOOKUP(K570,投手データ!B:AI,output!O570+6,FALSE)</f>
        <v>4</v>
      </c>
      <c r="R570">
        <f t="shared" ca="1" si="43"/>
        <v>8.0645161290322578E-3</v>
      </c>
      <c r="S570">
        <f t="shared" si="44"/>
        <v>0.67847222222222225</v>
      </c>
      <c r="T570">
        <f>Prams!B$5/(S570-Prams!B$6)</f>
        <v>100.00934655031409</v>
      </c>
      <c r="U570">
        <f t="shared" ca="1" si="45"/>
        <v>0.79513888888888895</v>
      </c>
      <c r="V570">
        <f ca="1">Prams!C$5/(U570-Prams!C$6)</f>
        <v>94.887659131799069</v>
      </c>
      <c r="W570">
        <f t="shared" ca="1" si="46"/>
        <v>0.76522305751450859</v>
      </c>
    </row>
    <row r="571" spans="1:23" hidden="1" x14ac:dyDescent="0.55000000000000004">
      <c r="A571" s="1" t="s">
        <v>1233</v>
      </c>
      <c r="B571" s="1">
        <v>142</v>
      </c>
      <c r="C571">
        <v>646</v>
      </c>
      <c r="D571">
        <v>613.5</v>
      </c>
      <c r="E571">
        <v>11.01146</v>
      </c>
      <c r="F571" t="s">
        <v>1703</v>
      </c>
      <c r="G571" s="10" t="s">
        <v>625</v>
      </c>
      <c r="H571">
        <v>101</v>
      </c>
      <c r="I571" t="s">
        <v>1209</v>
      </c>
      <c r="J571">
        <f ca="1">VLOOKUP(G571,INDIRECT("球速変換!A$1:B$" &amp; Prams!$B$8),2,)</f>
        <v>123</v>
      </c>
      <c r="K571" t="str">
        <f ca="1">VLOOKUP(I571,INDIRECT("投手名変換!A$1:B$" &amp; Prams!$B$9),2,)</f>
        <v>DD018</v>
      </c>
      <c r="L571">
        <f t="shared" si="47"/>
        <v>41</v>
      </c>
      <c r="M571">
        <f ca="1">(B571-VLOOKUP(K571,INDIRECT("投手データ!B1:D"&amp;Prams!$B$1),3,FALSE)*2)</f>
        <v>48</v>
      </c>
      <c r="N571" t="str">
        <f ca="1">VLOOKUP(F571,INDIRECT("球種変換表!A$1:B$" &amp; Prams!$B$2),2,)</f>
        <v>ナックルカーブ</v>
      </c>
      <c r="O571">
        <f ca="1">VLOOKUP(N571,球種情報!A:B,2,FALSE)</f>
        <v>14</v>
      </c>
      <c r="P571">
        <f ca="1">VLOOKUP(K571,投手データ!B:AI,output!O571+6,FALSE)</f>
        <v>4</v>
      </c>
      <c r="R571">
        <f t="shared" ca="1" si="43"/>
        <v>8.130081300813009E-3</v>
      </c>
      <c r="S571">
        <f t="shared" si="44"/>
        <v>0.67395833333333333</v>
      </c>
      <c r="T571">
        <f>Prams!B$5/(S571-Prams!B$6)</f>
        <v>100.74498567335245</v>
      </c>
      <c r="U571">
        <f t="shared" ca="1" si="45"/>
        <v>0.79062500000000002</v>
      </c>
      <c r="V571">
        <f ca="1">Prams!C$5/(U571-Prams!C$6)</f>
        <v>95.549631003438819</v>
      </c>
      <c r="W571">
        <f t="shared" ca="1" si="46"/>
        <v>0.77682626832064083</v>
      </c>
    </row>
    <row r="572" spans="1:23" hidden="1" x14ac:dyDescent="0.55000000000000004">
      <c r="A572" s="1" t="s">
        <v>1704</v>
      </c>
      <c r="B572" s="1">
        <v>142</v>
      </c>
      <c r="C572">
        <v>659.5</v>
      </c>
      <c r="D572">
        <v>613.5</v>
      </c>
      <c r="E572">
        <v>11.510960000000001</v>
      </c>
      <c r="F572" t="s">
        <v>16</v>
      </c>
      <c r="G572" s="10" t="s">
        <v>2434</v>
      </c>
      <c r="H572">
        <v>101</v>
      </c>
      <c r="I572" t="s">
        <v>1209</v>
      </c>
      <c r="J572">
        <f ca="1">VLOOKUP(G572,INDIRECT("球速変換!A$1:B$" &amp; Prams!$B$8),2,)</f>
        <v>125</v>
      </c>
      <c r="K572" t="str">
        <f ca="1">VLOOKUP(I572,INDIRECT("投手名変換!A$1:B$" &amp; Prams!$B$9),2,)</f>
        <v>DD018</v>
      </c>
      <c r="L572">
        <f t="shared" si="47"/>
        <v>41</v>
      </c>
      <c r="M572">
        <f ca="1">(B572-VLOOKUP(K572,INDIRECT("投手データ!B1:D"&amp;Prams!$B$1),3,FALSE)*2)</f>
        <v>48</v>
      </c>
      <c r="N572" t="str">
        <f ca="1">VLOOKUP(F572,INDIRECT("球種変換表!A$1:B$" &amp; Prams!$B$2),2,)</f>
        <v>ナックルカーブ</v>
      </c>
      <c r="O572">
        <f ca="1">VLOOKUP(N572,球種情報!A:B,2,FALSE)</f>
        <v>14</v>
      </c>
      <c r="P572">
        <f ca="1">VLOOKUP(K572,投手データ!B:AI,output!O572+6,FALSE)</f>
        <v>4</v>
      </c>
      <c r="R572">
        <f t="shared" ca="1" si="43"/>
        <v>8.0000000000000002E-3</v>
      </c>
      <c r="S572">
        <f t="shared" si="44"/>
        <v>0.67395833333333333</v>
      </c>
      <c r="T572">
        <f>Prams!B$5/(S572-Prams!B$6)</f>
        <v>100.74498567335245</v>
      </c>
      <c r="U572">
        <f t="shared" ca="1" si="45"/>
        <v>0.79062500000000002</v>
      </c>
      <c r="V572">
        <f ca="1">Prams!C$5/(U572-Prams!C$6)</f>
        <v>95.549631003438819</v>
      </c>
      <c r="W572">
        <f t="shared" ca="1" si="46"/>
        <v>0.76439704802751052</v>
      </c>
    </row>
    <row r="573" spans="1:23" hidden="1" x14ac:dyDescent="0.55000000000000004">
      <c r="A573" s="1" t="s">
        <v>1706</v>
      </c>
      <c r="B573" s="1">
        <v>141</v>
      </c>
      <c r="C573">
        <v>649.95001000000002</v>
      </c>
      <c r="D573">
        <v>602.5</v>
      </c>
      <c r="E573">
        <v>10.062519999999999</v>
      </c>
      <c r="F573" t="s">
        <v>1705</v>
      </c>
      <c r="G573" s="10" t="s">
        <v>2419</v>
      </c>
      <c r="H573">
        <v>101</v>
      </c>
      <c r="I573" t="s">
        <v>1210</v>
      </c>
      <c r="J573">
        <f ca="1">VLOOKUP(G573,INDIRECT("球速変換!A$1:B$" &amp; Prams!$B$8),2,)</f>
        <v>126</v>
      </c>
      <c r="K573" t="str">
        <f ca="1">VLOOKUP(I573,INDIRECT("投手名変換!A$1:B$" &amp; Prams!$B$9),2,)</f>
        <v>DD018</v>
      </c>
      <c r="L573">
        <f t="shared" si="47"/>
        <v>40</v>
      </c>
      <c r="M573">
        <f ca="1">(B573-VLOOKUP(K573,INDIRECT("投手データ!B1:D"&amp;Prams!$B$1),3,FALSE)*2)</f>
        <v>47</v>
      </c>
      <c r="N573" t="str">
        <f ca="1">VLOOKUP(F573,INDIRECT("球種変換表!A$1:B$" &amp; Prams!$B$2),2,)</f>
        <v>ナックルカーブ</v>
      </c>
      <c r="O573">
        <f ca="1">VLOOKUP(N573,球種情報!A:B,2,FALSE)</f>
        <v>14</v>
      </c>
      <c r="P573">
        <f ca="1">VLOOKUP(K573,投手データ!B:AI,output!O573+6,FALSE)</f>
        <v>4</v>
      </c>
      <c r="R573">
        <f t="shared" ca="1" si="43"/>
        <v>7.9365079365079361E-3</v>
      </c>
      <c r="S573">
        <f t="shared" si="44"/>
        <v>0.66493055555555558</v>
      </c>
      <c r="T573">
        <f>Prams!B$5/(S573-Prams!B$6)</f>
        <v>102.24921554484602</v>
      </c>
      <c r="U573">
        <f t="shared" ca="1" si="45"/>
        <v>0.78159722222222228</v>
      </c>
      <c r="V573">
        <f ca="1">Prams!C$5/(U573-Prams!C$6)</f>
        <v>96.901675817118658</v>
      </c>
      <c r="W573">
        <f t="shared" ca="1" si="46"/>
        <v>0.76906091918348141</v>
      </c>
    </row>
    <row r="574" spans="1:23" hidden="1" x14ac:dyDescent="0.55000000000000004">
      <c r="A574" s="1" t="s">
        <v>1234</v>
      </c>
      <c r="B574" s="1">
        <v>142</v>
      </c>
      <c r="C574">
        <v>654</v>
      </c>
      <c r="D574">
        <v>601.5</v>
      </c>
      <c r="E574">
        <v>11.01146</v>
      </c>
      <c r="F574" t="s">
        <v>16</v>
      </c>
      <c r="G574" s="10" t="s">
        <v>1097</v>
      </c>
      <c r="H574">
        <v>101</v>
      </c>
      <c r="I574" t="s">
        <v>1209</v>
      </c>
      <c r="J574">
        <f ca="1">VLOOKUP(G574,INDIRECT("球速変換!A$1:B$" &amp; Prams!$B$8),2,)</f>
        <v>123</v>
      </c>
      <c r="K574" t="str">
        <f ca="1">VLOOKUP(I574,INDIRECT("投手名変換!A$1:B$" &amp; Prams!$B$9),2,)</f>
        <v>DD018</v>
      </c>
      <c r="L574">
        <f t="shared" si="47"/>
        <v>41</v>
      </c>
      <c r="M574">
        <f ca="1">(B574-VLOOKUP(K574,INDIRECT("投手データ!B1:D"&amp;Prams!$B$1),3,FALSE)*2)</f>
        <v>48</v>
      </c>
      <c r="N574" t="str">
        <f ca="1">VLOOKUP(F574,INDIRECT("球種変換表!A$1:B$" &amp; Prams!$B$2),2,)</f>
        <v>ナックルカーブ</v>
      </c>
      <c r="O574">
        <f ca="1">VLOOKUP(N574,球種情報!A:B,2,FALSE)</f>
        <v>14</v>
      </c>
      <c r="P574">
        <f ca="1">VLOOKUP(K574,投手データ!B:AI,output!O574+6,FALSE)</f>
        <v>4</v>
      </c>
      <c r="R574">
        <f t="shared" ca="1" si="43"/>
        <v>8.130081300813009E-3</v>
      </c>
      <c r="S574">
        <f t="shared" si="44"/>
        <v>0.68229166666666663</v>
      </c>
      <c r="T574">
        <f>Prams!B$5/(S574-Prams!B$6)</f>
        <v>99.395222336848036</v>
      </c>
      <c r="U574">
        <f t="shared" ca="1" si="45"/>
        <v>0.79895833333333333</v>
      </c>
      <c r="V574">
        <f ca="1">Prams!C$5/(U574-Prams!C$6)</f>
        <v>94.334651526518584</v>
      </c>
      <c r="W574">
        <f t="shared" ca="1" si="46"/>
        <v>0.76694838639446006</v>
      </c>
    </row>
    <row r="575" spans="1:23" hidden="1" x14ac:dyDescent="0.55000000000000004">
      <c r="A575" s="1" t="s">
        <v>1235</v>
      </c>
      <c r="B575" s="1">
        <v>142</v>
      </c>
      <c r="C575">
        <v>636.5</v>
      </c>
      <c r="D575">
        <v>601</v>
      </c>
      <c r="E575">
        <v>10.547610000000001</v>
      </c>
      <c r="F575" t="s">
        <v>16</v>
      </c>
      <c r="G575" s="10" t="s">
        <v>591</v>
      </c>
      <c r="H575">
        <v>101</v>
      </c>
      <c r="I575" t="s">
        <v>1209</v>
      </c>
      <c r="J575">
        <f ca="1">VLOOKUP(G575,INDIRECT("球速変換!A$1:B$" &amp; Prams!$B$8),2,)</f>
        <v>128</v>
      </c>
      <c r="K575" t="str">
        <f ca="1">VLOOKUP(I575,INDIRECT("投手名変換!A$1:B$" &amp; Prams!$B$9),2,)</f>
        <v>DD018</v>
      </c>
      <c r="L575">
        <f t="shared" si="47"/>
        <v>41</v>
      </c>
      <c r="M575">
        <f ca="1">(B575-VLOOKUP(K575,INDIRECT("投手データ!B1:D"&amp;Prams!$B$1),3,FALSE)*2)</f>
        <v>48</v>
      </c>
      <c r="N575" t="str">
        <f ca="1">VLOOKUP(F575,INDIRECT("球種変換表!A$1:B$" &amp; Prams!$B$2),2,)</f>
        <v>ナックルカーブ</v>
      </c>
      <c r="O575">
        <f ca="1">VLOOKUP(N575,球種情報!A:B,2,FALSE)</f>
        <v>14</v>
      </c>
      <c r="P575">
        <f ca="1">VLOOKUP(K575,投手データ!B:AI,output!O575+6,FALSE)</f>
        <v>4</v>
      </c>
      <c r="R575">
        <f t="shared" ca="1" si="43"/>
        <v>7.8125E-3</v>
      </c>
      <c r="S575">
        <f t="shared" si="44"/>
        <v>0.68263888888888891</v>
      </c>
      <c r="T575">
        <f>Prams!B$5/(S575-Prams!B$6)</f>
        <v>99.339766650895811</v>
      </c>
      <c r="U575">
        <f t="shared" ca="1" si="45"/>
        <v>0.7993055555555556</v>
      </c>
      <c r="V575">
        <f ca="1">Prams!C$5/(U575-Prams!C$6)</f>
        <v>94.284697569200276</v>
      </c>
      <c r="W575">
        <f t="shared" ca="1" si="46"/>
        <v>0.73659919975937715</v>
      </c>
    </row>
    <row r="576" spans="1:23" hidden="1" x14ac:dyDescent="0.55000000000000004">
      <c r="A576" s="1" t="s">
        <v>1236</v>
      </c>
      <c r="B576" s="1">
        <v>141</v>
      </c>
      <c r="C576">
        <v>649.95001000000002</v>
      </c>
      <c r="D576">
        <v>602.5</v>
      </c>
      <c r="E576">
        <v>10.062519999999999</v>
      </c>
      <c r="F576" t="s">
        <v>16</v>
      </c>
      <c r="G576" s="10" t="s">
        <v>588</v>
      </c>
      <c r="H576">
        <v>101</v>
      </c>
      <c r="I576" t="s">
        <v>1209</v>
      </c>
      <c r="J576">
        <f ca="1">VLOOKUP(G576,INDIRECT("球速変換!A$1:B$" &amp; Prams!$B$8),2,)</f>
        <v>126</v>
      </c>
      <c r="K576" t="str">
        <f ca="1">VLOOKUP(I576,INDIRECT("投手名変換!A$1:B$" &amp; Prams!$B$9),2,)</f>
        <v>DD018</v>
      </c>
      <c r="L576">
        <f t="shared" si="47"/>
        <v>40</v>
      </c>
      <c r="M576">
        <f ca="1">(B576-VLOOKUP(K576,INDIRECT("投手データ!B1:D"&amp;Prams!$B$1),3,FALSE)*2)</f>
        <v>47</v>
      </c>
      <c r="N576" t="str">
        <f ca="1">VLOOKUP(F576,INDIRECT("球種変換表!A$1:B$" &amp; Prams!$B$2),2,)</f>
        <v>ナックルカーブ</v>
      </c>
      <c r="O576">
        <f ca="1">VLOOKUP(N576,球種情報!A:B,2,FALSE)</f>
        <v>14</v>
      </c>
      <c r="P576">
        <f ca="1">VLOOKUP(K576,投手データ!B:AI,output!O576+6,FALSE)</f>
        <v>4</v>
      </c>
      <c r="R576">
        <f t="shared" ca="1" si="43"/>
        <v>7.9365079365079361E-3</v>
      </c>
      <c r="S576">
        <f t="shared" si="44"/>
        <v>0.66493055555555558</v>
      </c>
      <c r="T576">
        <f>Prams!B$5/(S576-Prams!B$6)</f>
        <v>102.24921554484602</v>
      </c>
      <c r="U576">
        <f t="shared" ca="1" si="45"/>
        <v>0.78159722222222228</v>
      </c>
      <c r="V576">
        <f ca="1">Prams!C$5/(U576-Prams!C$6)</f>
        <v>96.901675817118658</v>
      </c>
      <c r="W576">
        <f t="shared" ca="1" si="46"/>
        <v>0.76906091918348141</v>
      </c>
    </row>
    <row r="577" spans="1:23" hidden="1" x14ac:dyDescent="0.55000000000000004">
      <c r="A577" s="1" t="s">
        <v>1237</v>
      </c>
      <c r="B577" s="1">
        <v>142</v>
      </c>
      <c r="C577">
        <v>653.55260999999996</v>
      </c>
      <c r="D577">
        <v>601.5</v>
      </c>
      <c r="E577">
        <v>9.5658300000000001</v>
      </c>
      <c r="F577" t="s">
        <v>16</v>
      </c>
      <c r="G577" s="10" t="s">
        <v>2424</v>
      </c>
      <c r="H577">
        <v>101</v>
      </c>
      <c r="I577" t="s">
        <v>1212</v>
      </c>
      <c r="J577">
        <f ca="1">VLOOKUP(G577,INDIRECT("球速変換!A$1:B$" &amp; Prams!$B$8),2,)</f>
        <v>123</v>
      </c>
      <c r="K577" t="str">
        <f ca="1">VLOOKUP(I577,INDIRECT("投手名変換!A$1:B$" &amp; Prams!$B$9),2,)</f>
        <v>DD018</v>
      </c>
      <c r="L577">
        <f t="shared" si="47"/>
        <v>41</v>
      </c>
      <c r="M577">
        <f ca="1">(B577-VLOOKUP(K577,INDIRECT("投手データ!B1:D"&amp;Prams!$B$1),3,FALSE)*2)</f>
        <v>48</v>
      </c>
      <c r="N577" t="str">
        <f ca="1">VLOOKUP(F577,INDIRECT("球種変換表!A$1:B$" &amp; Prams!$B$2),2,)</f>
        <v>ナックルカーブ</v>
      </c>
      <c r="O577">
        <f ca="1">VLOOKUP(N577,球種情報!A:B,2,FALSE)</f>
        <v>14</v>
      </c>
      <c r="P577">
        <f ca="1">VLOOKUP(K577,投手データ!B:AI,output!O577+6,FALSE)</f>
        <v>4</v>
      </c>
      <c r="R577">
        <f t="shared" ca="1" si="43"/>
        <v>8.130081300813009E-3</v>
      </c>
      <c r="S577">
        <f t="shared" si="44"/>
        <v>0.68229166666666663</v>
      </c>
      <c r="T577">
        <f>Prams!B$5/(S577-Prams!B$6)</f>
        <v>99.395222336848036</v>
      </c>
      <c r="U577">
        <f t="shared" ca="1" si="45"/>
        <v>0.79895833333333333</v>
      </c>
      <c r="V577">
        <f ca="1">Prams!C$5/(U577-Prams!C$6)</f>
        <v>94.334651526518584</v>
      </c>
      <c r="W577">
        <f t="shared" ca="1" si="46"/>
        <v>0.76694838639446006</v>
      </c>
    </row>
    <row r="578" spans="1:23" hidden="1" x14ac:dyDescent="0.55000000000000004">
      <c r="A578" s="1" t="s">
        <v>1238</v>
      </c>
      <c r="B578" s="1">
        <v>141</v>
      </c>
      <c r="C578">
        <v>637.07501000000002</v>
      </c>
      <c r="D578">
        <v>609</v>
      </c>
      <c r="E578">
        <v>10.12459</v>
      </c>
      <c r="F578" t="s">
        <v>506</v>
      </c>
      <c r="G578" s="10" t="s">
        <v>629</v>
      </c>
      <c r="H578">
        <v>101</v>
      </c>
      <c r="I578" t="s">
        <v>1209</v>
      </c>
      <c r="J578">
        <f ca="1">VLOOKUP(G578,INDIRECT("球速変換!A$1:B$" &amp; Prams!$B$8),2,)</f>
        <v>121</v>
      </c>
      <c r="K578" t="str">
        <f ca="1">VLOOKUP(I578,INDIRECT("投手名変換!A$1:B$" &amp; Prams!$B$9),2,)</f>
        <v>DD018</v>
      </c>
      <c r="L578">
        <f t="shared" si="47"/>
        <v>40</v>
      </c>
      <c r="M578">
        <f ca="1">(B578-VLOOKUP(K578,INDIRECT("投手データ!B1:D"&amp;Prams!$B$1),3,FALSE)*2)</f>
        <v>47</v>
      </c>
      <c r="N578" t="str">
        <f ca="1">VLOOKUP(F578,INDIRECT("球種変換表!A$1:B$" &amp; Prams!$B$2),2,)</f>
        <v>パーム</v>
      </c>
      <c r="O578">
        <f ca="1">VLOOKUP(N578,球種情報!A:B,2,FALSE)</f>
        <v>17</v>
      </c>
      <c r="P578">
        <f ca="1">VLOOKUP(K578,投手データ!B:AI,output!O578+6,FALSE)</f>
        <v>3</v>
      </c>
      <c r="R578">
        <f t="shared" ca="1" si="43"/>
        <v>8.2644628099173556E-3</v>
      </c>
      <c r="S578">
        <f t="shared" si="44"/>
        <v>0.66041666666666665</v>
      </c>
      <c r="T578">
        <f>Prams!B$5/(S578-Prams!B$6)</f>
        <v>103.01830199683396</v>
      </c>
      <c r="U578">
        <f t="shared" ca="1" si="45"/>
        <v>0.77708333333333335</v>
      </c>
      <c r="V578">
        <f ca="1">Prams!C$5/(U578-Prams!C$6)</f>
        <v>97.59214922781446</v>
      </c>
      <c r="W578">
        <f t="shared" ca="1" si="46"/>
        <v>0.8065466878331774</v>
      </c>
    </row>
    <row r="579" spans="1:23" hidden="1" x14ac:dyDescent="0.55000000000000004">
      <c r="A579" s="1" t="s">
        <v>1239</v>
      </c>
      <c r="B579" s="1">
        <v>141</v>
      </c>
      <c r="C579">
        <v>639</v>
      </c>
      <c r="D579">
        <v>608.5</v>
      </c>
      <c r="E579">
        <v>11.01146</v>
      </c>
      <c r="F579" t="s">
        <v>506</v>
      </c>
      <c r="G579" s="10" t="s">
        <v>629</v>
      </c>
      <c r="H579">
        <v>101</v>
      </c>
      <c r="I579" t="s">
        <v>1209</v>
      </c>
      <c r="J579">
        <f ca="1">VLOOKUP(G579,INDIRECT("球速変換!A$1:B$" &amp; Prams!$B$8),2,)</f>
        <v>121</v>
      </c>
      <c r="K579" t="str">
        <f ca="1">VLOOKUP(I579,INDIRECT("投手名変換!A$1:B$" &amp; Prams!$B$9),2,)</f>
        <v>DD018</v>
      </c>
      <c r="L579">
        <f t="shared" si="47"/>
        <v>40</v>
      </c>
      <c r="M579">
        <f ca="1">(B579-VLOOKUP(K579,INDIRECT("投手データ!B1:D"&amp;Prams!$B$1),3,FALSE)*2)</f>
        <v>47</v>
      </c>
      <c r="N579" t="str">
        <f ca="1">VLOOKUP(F579,INDIRECT("球種変換表!A$1:B$" &amp; Prams!$B$2),2,)</f>
        <v>パーム</v>
      </c>
      <c r="O579">
        <f ca="1">VLOOKUP(N579,球種情報!A:B,2,FALSE)</f>
        <v>17</v>
      </c>
      <c r="P579">
        <f ca="1">VLOOKUP(K579,投手データ!B:AI,output!O579+6,FALSE)</f>
        <v>3</v>
      </c>
      <c r="R579">
        <f t="shared" ca="1" si="43"/>
        <v>8.2644628099173556E-3</v>
      </c>
      <c r="S579">
        <f t="shared" si="44"/>
        <v>0.66076388888888893</v>
      </c>
      <c r="T579">
        <f>Prams!B$5/(S579-Prams!B$6)</f>
        <v>102.95873098113958</v>
      </c>
      <c r="U579">
        <f t="shared" ca="1" si="45"/>
        <v>0.77743055555555562</v>
      </c>
      <c r="V579">
        <f ca="1">Prams!C$5/(U579-Prams!C$6)</f>
        <v>97.538686732784328</v>
      </c>
      <c r="W579">
        <f t="shared" ca="1" si="46"/>
        <v>0.80610484903127544</v>
      </c>
    </row>
    <row r="580" spans="1:23" hidden="1" x14ac:dyDescent="0.55000000000000004">
      <c r="A580" s="1" t="s">
        <v>1240</v>
      </c>
      <c r="B580" s="1">
        <v>140</v>
      </c>
      <c r="C580">
        <v>642</v>
      </c>
      <c r="D580">
        <v>602</v>
      </c>
      <c r="E580">
        <v>10.04998</v>
      </c>
      <c r="F580" t="s">
        <v>42</v>
      </c>
      <c r="G580" s="10" t="s">
        <v>1097</v>
      </c>
      <c r="H580">
        <v>101</v>
      </c>
      <c r="I580" t="s">
        <v>1210</v>
      </c>
      <c r="J580">
        <f ca="1">VLOOKUP(G580,INDIRECT("球速変換!A$1:B$" &amp; Prams!$B$8),2,)</f>
        <v>123</v>
      </c>
      <c r="K580" t="str">
        <f ca="1">VLOOKUP(I580,INDIRECT("投手名変換!A$1:B$" &amp; Prams!$B$9),2,)</f>
        <v>DD018</v>
      </c>
      <c r="L580">
        <f t="shared" si="47"/>
        <v>39</v>
      </c>
      <c r="M580">
        <f ca="1">(B580-VLOOKUP(K580,INDIRECT("投手データ!B1:D"&amp;Prams!$B$1),3,FALSE)*2)</f>
        <v>46</v>
      </c>
      <c r="N580" t="str">
        <f ca="1">VLOOKUP(F580,INDIRECT("球種変換表!A$1:B$" &amp; Prams!$B$2),2,)</f>
        <v>パーム</v>
      </c>
      <c r="O580">
        <f ca="1">VLOOKUP(N580,球種情報!A:B,2,FALSE)</f>
        <v>17</v>
      </c>
      <c r="P580">
        <f ca="1">VLOOKUP(K580,投手データ!B:AI,output!O580+6,FALSE)</f>
        <v>3</v>
      </c>
      <c r="R580">
        <f t="shared" ca="1" si="43"/>
        <v>8.130081300813009E-3</v>
      </c>
      <c r="S580">
        <f t="shared" si="44"/>
        <v>0.64861111111111103</v>
      </c>
      <c r="T580">
        <f>Prams!B$5/(S580-Prams!B$6)</f>
        <v>105.08555563949537</v>
      </c>
      <c r="U580">
        <f t="shared" ca="1" si="45"/>
        <v>0.76527777777777772</v>
      </c>
      <c r="V580">
        <f ca="1">Prams!C$5/(U580-Prams!C$6)</f>
        <v>99.445407588783041</v>
      </c>
      <c r="W580">
        <f t="shared" ca="1" si="46"/>
        <v>0.80849924868929302</v>
      </c>
    </row>
    <row r="581" spans="1:23" hidden="1" x14ac:dyDescent="0.55000000000000004">
      <c r="A581" s="1" t="s">
        <v>1241</v>
      </c>
      <c r="B581" s="1">
        <v>140</v>
      </c>
      <c r="C581">
        <v>642.5</v>
      </c>
      <c r="D581">
        <v>602.5</v>
      </c>
      <c r="E581">
        <v>10.512</v>
      </c>
      <c r="F581" t="s">
        <v>506</v>
      </c>
      <c r="G581" s="10" t="s">
        <v>1097</v>
      </c>
      <c r="H581">
        <v>101</v>
      </c>
      <c r="I581" t="s">
        <v>1210</v>
      </c>
      <c r="J581">
        <f ca="1">VLOOKUP(G581,INDIRECT("球速変換!A$1:B$" &amp; Prams!$B$8),2,)</f>
        <v>123</v>
      </c>
      <c r="K581" t="str">
        <f ca="1">VLOOKUP(I581,INDIRECT("投手名変換!A$1:B$" &amp; Prams!$B$9),2,)</f>
        <v>DD018</v>
      </c>
      <c r="L581">
        <f t="shared" si="47"/>
        <v>39</v>
      </c>
      <c r="M581">
        <f ca="1">(B581-VLOOKUP(K581,INDIRECT("投手データ!B1:D"&amp;Prams!$B$1),3,FALSE)*2)</f>
        <v>46</v>
      </c>
      <c r="N581" t="str">
        <f ca="1">VLOOKUP(F581,INDIRECT("球種変換表!A$1:B$" &amp; Prams!$B$2),2,)</f>
        <v>パーム</v>
      </c>
      <c r="O581">
        <f ca="1">VLOOKUP(N581,球種情報!A:B,2,FALSE)</f>
        <v>17</v>
      </c>
      <c r="P581">
        <f ca="1">VLOOKUP(K581,投手データ!B:AI,output!O581+6,FALSE)</f>
        <v>3</v>
      </c>
      <c r="R581">
        <f t="shared" ref="R581:R644" ca="1" si="48">1/J581</f>
        <v>8.130081300813009E-3</v>
      </c>
      <c r="S581">
        <f t="shared" ref="S581:S644" si="49">(L581-(D581-600)/24)*2/120</f>
        <v>0.64826388888888897</v>
      </c>
      <c r="T581">
        <f>Prams!B$5/(S581-Prams!B$6)</f>
        <v>105.14761394076544</v>
      </c>
      <c r="U581">
        <f t="shared" ref="U581:U644" ca="1" si="50">(M581-(D581-600)/24)*2/120</f>
        <v>0.76493055555555556</v>
      </c>
      <c r="V581">
        <f ca="1">Prams!C$5/(U581-Prams!C$6)</f>
        <v>99.500981316976564</v>
      </c>
      <c r="W581">
        <f t="shared" ref="W581:W644" ca="1" si="51">V581/J581</f>
        <v>0.80895106761769564</v>
      </c>
    </row>
    <row r="582" spans="1:23" hidden="1" x14ac:dyDescent="0.55000000000000004">
      <c r="A582" s="1" t="s">
        <v>1242</v>
      </c>
      <c r="B582" s="1">
        <v>140</v>
      </c>
      <c r="C582">
        <v>635.5</v>
      </c>
      <c r="D582">
        <v>601</v>
      </c>
      <c r="E582">
        <v>10.5001</v>
      </c>
      <c r="F582" t="s">
        <v>506</v>
      </c>
      <c r="G582" s="10" t="s">
        <v>591</v>
      </c>
      <c r="H582">
        <v>101</v>
      </c>
      <c r="I582" t="s">
        <v>1210</v>
      </c>
      <c r="J582">
        <f ca="1">VLOOKUP(G582,INDIRECT("球速変換!A$1:B$" &amp; Prams!$B$8),2,)</f>
        <v>128</v>
      </c>
      <c r="K582" t="str">
        <f ca="1">VLOOKUP(I582,INDIRECT("投手名変換!A$1:B$" &amp; Prams!$B$9),2,)</f>
        <v>DD018</v>
      </c>
      <c r="L582">
        <f t="shared" si="47"/>
        <v>39</v>
      </c>
      <c r="M582">
        <f ca="1">(B582-VLOOKUP(K582,INDIRECT("投手データ!B1:D"&amp;Prams!$B$1),3,FALSE)*2)</f>
        <v>46</v>
      </c>
      <c r="N582" t="str">
        <f ca="1">VLOOKUP(F582,INDIRECT("球種変換表!A$1:B$" &amp; Prams!$B$2),2,)</f>
        <v>パーム</v>
      </c>
      <c r="O582">
        <f ca="1">VLOOKUP(N582,球種情報!A:B,2,FALSE)</f>
        <v>17</v>
      </c>
      <c r="P582">
        <f ca="1">VLOOKUP(K582,投手データ!B:AI,output!O582+6,FALSE)</f>
        <v>3</v>
      </c>
      <c r="R582">
        <f t="shared" ca="1" si="48"/>
        <v>7.8125E-3</v>
      </c>
      <c r="S582">
        <f t="shared" si="49"/>
        <v>0.64930555555555558</v>
      </c>
      <c r="T582">
        <f>Prams!B$5/(S582-Prams!B$6)</f>
        <v>104.96165853934598</v>
      </c>
      <c r="U582">
        <f t="shared" ca="1" si="50"/>
        <v>0.76597222222222228</v>
      </c>
      <c r="V582">
        <f ca="1">Prams!C$5/(U582-Prams!C$6)</f>
        <v>99.334446160300629</v>
      </c>
      <c r="W582">
        <f t="shared" ca="1" si="51"/>
        <v>0.77605036062734867</v>
      </c>
    </row>
    <row r="583" spans="1:23" hidden="1" x14ac:dyDescent="0.55000000000000004">
      <c r="A583" s="1" t="s">
        <v>1243</v>
      </c>
      <c r="B583" s="1">
        <v>141</v>
      </c>
      <c r="C583">
        <v>635</v>
      </c>
      <c r="D583">
        <v>609.5</v>
      </c>
      <c r="E583">
        <v>11.01146</v>
      </c>
      <c r="F583" t="s">
        <v>42</v>
      </c>
      <c r="G583" s="10" t="s">
        <v>2426</v>
      </c>
      <c r="H583">
        <v>101</v>
      </c>
      <c r="I583" t="s">
        <v>1209</v>
      </c>
      <c r="J583">
        <f ca="1">VLOOKUP(G583,INDIRECT("球速変換!A$1:B$" &amp; Prams!$B$8),2,)</f>
        <v>121</v>
      </c>
      <c r="K583" t="str">
        <f ca="1">VLOOKUP(I583,INDIRECT("投手名変換!A$1:B$" &amp; Prams!$B$9),2,)</f>
        <v>DD018</v>
      </c>
      <c r="L583">
        <f t="shared" si="47"/>
        <v>40</v>
      </c>
      <c r="M583">
        <f ca="1">(B583-VLOOKUP(K583,INDIRECT("投手データ!B1:D"&amp;Prams!$B$1),3,FALSE)*2)</f>
        <v>47</v>
      </c>
      <c r="N583" t="str">
        <f ca="1">VLOOKUP(F583,INDIRECT("球種変換表!A$1:B$" &amp; Prams!$B$2),2,)</f>
        <v>パーム</v>
      </c>
      <c r="O583">
        <f ca="1">VLOOKUP(N583,球種情報!A:B,2,FALSE)</f>
        <v>17</v>
      </c>
      <c r="P583">
        <f ca="1">VLOOKUP(K583,投手データ!B:AI,output!O583+6,FALSE)</f>
        <v>3</v>
      </c>
      <c r="R583">
        <f t="shared" ca="1" si="48"/>
        <v>8.2644628099173556E-3</v>
      </c>
      <c r="S583">
        <f t="shared" si="49"/>
        <v>0.66006944444444438</v>
      </c>
      <c r="T583">
        <f>Prams!B$5/(S583-Prams!B$6)</f>
        <v>103.07794198696723</v>
      </c>
      <c r="U583">
        <f t="shared" ca="1" si="50"/>
        <v>0.77673611111111107</v>
      </c>
      <c r="V583">
        <f ca="1">Prams!C$5/(U583-Prams!C$6)</f>
        <v>97.645670362261924</v>
      </c>
      <c r="W583">
        <f t="shared" ca="1" si="51"/>
        <v>0.80698901125836298</v>
      </c>
    </row>
    <row r="584" spans="1:23" hidden="1" x14ac:dyDescent="0.55000000000000004">
      <c r="A584" s="1" t="s">
        <v>1244</v>
      </c>
      <c r="B584" s="1">
        <v>141</v>
      </c>
      <c r="C584">
        <v>642.54760999999996</v>
      </c>
      <c r="D584">
        <v>611.5</v>
      </c>
      <c r="E584">
        <v>10.55958</v>
      </c>
      <c r="F584" t="s">
        <v>506</v>
      </c>
      <c r="G584" s="10" t="s">
        <v>589</v>
      </c>
      <c r="H584">
        <v>101</v>
      </c>
      <c r="I584" t="s">
        <v>1209</v>
      </c>
      <c r="J584">
        <f ca="1">VLOOKUP(G584,INDIRECT("球速変換!A$1:B$" &amp; Prams!$B$8),2,)</f>
        <v>127</v>
      </c>
      <c r="K584" t="str">
        <f ca="1">VLOOKUP(I584,INDIRECT("投手名変換!A$1:B$" &amp; Prams!$B$9),2,)</f>
        <v>DD018</v>
      </c>
      <c r="L584">
        <f t="shared" si="47"/>
        <v>40</v>
      </c>
      <c r="M584">
        <f ca="1">(B584-VLOOKUP(K584,INDIRECT("投手データ!B1:D"&amp;Prams!$B$1),3,FALSE)*2)</f>
        <v>47</v>
      </c>
      <c r="N584" t="str">
        <f ca="1">VLOOKUP(F584,INDIRECT("球種変換表!A$1:B$" &amp; Prams!$B$2),2,)</f>
        <v>パーム</v>
      </c>
      <c r="O584">
        <f ca="1">VLOOKUP(N584,球種情報!A:B,2,FALSE)</f>
        <v>17</v>
      </c>
      <c r="P584">
        <f ca="1">VLOOKUP(K584,投手データ!B:AI,output!O584+6,FALSE)</f>
        <v>3</v>
      </c>
      <c r="R584">
        <f t="shared" ca="1" si="48"/>
        <v>7.874015748031496E-3</v>
      </c>
      <c r="S584">
        <f t="shared" si="49"/>
        <v>0.6586805555555556</v>
      </c>
      <c r="T584">
        <f>Prams!B$5/(S584-Prams!B$6)</f>
        <v>103.31719409331669</v>
      </c>
      <c r="U584">
        <f t="shared" ca="1" si="50"/>
        <v>0.7753472222222223</v>
      </c>
      <c r="V584">
        <f ca="1">Prams!C$5/(U584-Prams!C$6)</f>
        <v>97.860343227996424</v>
      </c>
      <c r="W584">
        <f t="shared" ca="1" si="51"/>
        <v>0.77055388368501121</v>
      </c>
    </row>
    <row r="585" spans="1:23" hidden="1" x14ac:dyDescent="0.55000000000000004">
      <c r="A585" s="1" t="s">
        <v>1246</v>
      </c>
      <c r="B585" s="1">
        <v>141</v>
      </c>
      <c r="C585">
        <v>642.45239000000004</v>
      </c>
      <c r="D585">
        <v>612.5</v>
      </c>
      <c r="E585">
        <v>10.55955</v>
      </c>
      <c r="F585" t="s">
        <v>42</v>
      </c>
      <c r="G585" s="10" t="s">
        <v>1056</v>
      </c>
      <c r="H585">
        <v>101</v>
      </c>
      <c r="I585" t="s">
        <v>1209</v>
      </c>
      <c r="J585">
        <f ca="1">VLOOKUP(G585,INDIRECT("球速変換!A$1:B$" &amp; Prams!$B$8),2,)</f>
        <v>122</v>
      </c>
      <c r="K585" t="str">
        <f ca="1">VLOOKUP(I585,INDIRECT("投手名変換!A$1:B$" &amp; Prams!$B$9),2,)</f>
        <v>DD018</v>
      </c>
      <c r="L585">
        <f t="shared" ref="L585:L648" si="52">B585-H585</f>
        <v>40</v>
      </c>
      <c r="M585">
        <f ca="1">(B585-VLOOKUP(K585,INDIRECT("投手データ!B1:D"&amp;Prams!$B$1),3,FALSE)*2)</f>
        <v>47</v>
      </c>
      <c r="N585" t="str">
        <f ca="1">VLOOKUP(F585,INDIRECT("球種変換表!A$1:B$" &amp; Prams!$B$2),2,)</f>
        <v>パーム</v>
      </c>
      <c r="O585">
        <f ca="1">VLOOKUP(N585,球種情報!A:B,2,FALSE)</f>
        <v>17</v>
      </c>
      <c r="P585">
        <f ca="1">VLOOKUP(K585,投手データ!B:AI,output!O585+6,FALSE)</f>
        <v>3</v>
      </c>
      <c r="R585">
        <f t="shared" ca="1" si="48"/>
        <v>8.1967213114754103E-3</v>
      </c>
      <c r="S585">
        <f t="shared" si="49"/>
        <v>0.65798611111111105</v>
      </c>
      <c r="T585">
        <f>Prams!B$5/(S585-Prams!B$6)</f>
        <v>103.43723712279301</v>
      </c>
      <c r="U585">
        <f t="shared" ca="1" si="50"/>
        <v>0.77465277777777775</v>
      </c>
      <c r="V585">
        <f ca="1">Prams!C$5/(U585-Prams!C$6)</f>
        <v>97.968034017228717</v>
      </c>
      <c r="W585">
        <f t="shared" ca="1" si="51"/>
        <v>0.80301667227236651</v>
      </c>
    </row>
    <row r="586" spans="1:23" hidden="1" x14ac:dyDescent="0.55000000000000004">
      <c r="A586" s="1" t="s">
        <v>1247</v>
      </c>
      <c r="B586" s="1">
        <v>141</v>
      </c>
      <c r="C586">
        <v>636</v>
      </c>
      <c r="D586">
        <v>605.5</v>
      </c>
      <c r="E586">
        <v>11.01146</v>
      </c>
      <c r="F586" t="s">
        <v>42</v>
      </c>
      <c r="G586" s="10" t="s">
        <v>2428</v>
      </c>
      <c r="H586">
        <v>101</v>
      </c>
      <c r="I586" t="s">
        <v>1210</v>
      </c>
      <c r="J586">
        <f ca="1">VLOOKUP(G586,INDIRECT("球速変換!A$1:B$" &amp; Prams!$B$8),2,)</f>
        <v>120</v>
      </c>
      <c r="K586" t="str">
        <f ca="1">VLOOKUP(I586,INDIRECT("投手名変換!A$1:B$" &amp; Prams!$B$9),2,)</f>
        <v>DD018</v>
      </c>
      <c r="L586">
        <f t="shared" si="52"/>
        <v>40</v>
      </c>
      <c r="M586">
        <f ca="1">(B586-VLOOKUP(K586,INDIRECT("投手データ!B1:D"&amp;Prams!$B$1),3,FALSE)*2)</f>
        <v>47</v>
      </c>
      <c r="N586" t="str">
        <f ca="1">VLOOKUP(F586,INDIRECT("球種変換表!A$1:B$" &amp; Prams!$B$2),2,)</f>
        <v>パーム</v>
      </c>
      <c r="O586">
        <f ca="1">VLOOKUP(N586,球種情報!A:B,2,FALSE)</f>
        <v>17</v>
      </c>
      <c r="P586">
        <f ca="1">VLOOKUP(K586,投手データ!B:AI,output!O586+6,FALSE)</f>
        <v>3</v>
      </c>
      <c r="R586">
        <f t="shared" ca="1" si="48"/>
        <v>8.3333333333333332E-3</v>
      </c>
      <c r="S586">
        <f t="shared" si="49"/>
        <v>0.66284722222222225</v>
      </c>
      <c r="T586">
        <f>Prams!B$5/(S586-Prams!B$6)</f>
        <v>102.60274667269047</v>
      </c>
      <c r="U586">
        <f t="shared" ca="1" si="50"/>
        <v>0.77951388888888895</v>
      </c>
      <c r="V586">
        <f ca="1">Prams!C$5/(U586-Prams!C$6)</f>
        <v>97.219137811286473</v>
      </c>
      <c r="W586">
        <f t="shared" ca="1" si="51"/>
        <v>0.81015948176072061</v>
      </c>
    </row>
    <row r="587" spans="1:23" hidden="1" x14ac:dyDescent="0.55000000000000004">
      <c r="A587" s="1" t="s">
        <v>1249</v>
      </c>
      <c r="B587" s="1">
        <v>141</v>
      </c>
      <c r="C587">
        <v>634.45239000000004</v>
      </c>
      <c r="D587">
        <v>613.5</v>
      </c>
      <c r="E587">
        <v>10.55955</v>
      </c>
      <c r="F587" t="s">
        <v>42</v>
      </c>
      <c r="G587" s="10" t="s">
        <v>1056</v>
      </c>
      <c r="H587">
        <v>101</v>
      </c>
      <c r="I587" t="s">
        <v>1209</v>
      </c>
      <c r="J587">
        <f ca="1">VLOOKUP(G587,INDIRECT("球速変換!A$1:B$" &amp; Prams!$B$8),2,)</f>
        <v>122</v>
      </c>
      <c r="K587" t="str">
        <f ca="1">VLOOKUP(I587,INDIRECT("投手名変換!A$1:B$" &amp; Prams!$B$9),2,)</f>
        <v>DD018</v>
      </c>
      <c r="L587">
        <f t="shared" si="52"/>
        <v>40</v>
      </c>
      <c r="M587">
        <f ca="1">(B587-VLOOKUP(K587,INDIRECT("投手データ!B1:D"&amp;Prams!$B$1),3,FALSE)*2)</f>
        <v>47</v>
      </c>
      <c r="N587" t="str">
        <f ca="1">VLOOKUP(F587,INDIRECT("球種変換表!A$1:B$" &amp; Prams!$B$2),2,)</f>
        <v>パーム</v>
      </c>
      <c r="O587">
        <f ca="1">VLOOKUP(N587,球種情報!A:B,2,FALSE)</f>
        <v>17</v>
      </c>
      <c r="P587">
        <f ca="1">VLOOKUP(K587,投手データ!B:AI,output!O587+6,FALSE)</f>
        <v>3</v>
      </c>
      <c r="R587">
        <f t="shared" ca="1" si="48"/>
        <v>8.1967213114754103E-3</v>
      </c>
      <c r="S587">
        <f t="shared" si="49"/>
        <v>0.65729166666666672</v>
      </c>
      <c r="T587">
        <f>Prams!B$5/(S587-Prams!B$6)</f>
        <v>103.55755942991945</v>
      </c>
      <c r="U587">
        <f t="shared" ca="1" si="50"/>
        <v>0.7739583333333333</v>
      </c>
      <c r="V587">
        <f ca="1">Prams!C$5/(U587-Prams!C$6)</f>
        <v>98.075962085057441</v>
      </c>
      <c r="W587">
        <f t="shared" ca="1" si="51"/>
        <v>0.80390132856604457</v>
      </c>
    </row>
    <row r="588" spans="1:23" hidden="1" x14ac:dyDescent="0.55000000000000004">
      <c r="A588" s="1" t="s">
        <v>1250</v>
      </c>
      <c r="B588" s="1">
        <v>139</v>
      </c>
      <c r="C588">
        <v>642</v>
      </c>
      <c r="D588">
        <v>602</v>
      </c>
      <c r="E588">
        <v>10.04998</v>
      </c>
      <c r="F588" t="s">
        <v>47</v>
      </c>
      <c r="G588" s="10" t="s">
        <v>2424</v>
      </c>
      <c r="H588">
        <v>98</v>
      </c>
      <c r="I588" t="s">
        <v>1209</v>
      </c>
      <c r="J588">
        <f ca="1">VLOOKUP(G588,INDIRECT("球速変換!A$1:B$" &amp; Prams!$B$8),2,)</f>
        <v>123</v>
      </c>
      <c r="K588" t="str">
        <f ca="1">VLOOKUP(I588,INDIRECT("投手名変換!A$1:B$" &amp; Prams!$B$9),2,)</f>
        <v>DD018</v>
      </c>
      <c r="L588">
        <f t="shared" si="52"/>
        <v>41</v>
      </c>
      <c r="M588">
        <f ca="1">(B588-VLOOKUP(K588,INDIRECT("投手データ!B1:D"&amp;Prams!$B$1),3,FALSE)*2)</f>
        <v>45</v>
      </c>
      <c r="N588" t="str">
        <f ca="1">VLOOKUP(F588,INDIRECT("球種変換表!A$1:B$" &amp; Prams!$B$2),2,)</f>
        <v>サークルチェンジ</v>
      </c>
      <c r="O588">
        <f ca="1">VLOOKUP(N588,球種情報!A:B,2,FALSE)</f>
        <v>24</v>
      </c>
      <c r="P588">
        <f ca="1">VLOOKUP(K588,投手データ!B:AI,output!O588+6,FALSE)</f>
        <v>2</v>
      </c>
      <c r="R588">
        <f t="shared" ca="1" si="48"/>
        <v>8.130081300813009E-3</v>
      </c>
      <c r="S588">
        <f t="shared" si="49"/>
        <v>0.68194444444444435</v>
      </c>
      <c r="T588">
        <f>Prams!B$5/(S588-Prams!B$6)</f>
        <v>99.45073997283194</v>
      </c>
      <c r="U588">
        <f t="shared" ca="1" si="50"/>
        <v>0.74861111111111112</v>
      </c>
      <c r="V588">
        <f ca="1">Prams!C$5/(U588-Prams!C$6)</f>
        <v>102.18490018548786</v>
      </c>
      <c r="W588">
        <f t="shared" ca="1" si="51"/>
        <v>0.8307715462234786</v>
      </c>
    </row>
    <row r="589" spans="1:23" hidden="1" x14ac:dyDescent="0.55000000000000004">
      <c r="A589" s="1" t="s">
        <v>1251</v>
      </c>
      <c r="B589" s="1">
        <v>139</v>
      </c>
      <c r="C589">
        <v>631.5</v>
      </c>
      <c r="D589">
        <v>606</v>
      </c>
      <c r="E589">
        <v>10.547610000000001</v>
      </c>
      <c r="F589" t="s">
        <v>47</v>
      </c>
      <c r="G589" s="10" t="s">
        <v>2424</v>
      </c>
      <c r="H589">
        <v>98</v>
      </c>
      <c r="I589" t="s">
        <v>1209</v>
      </c>
      <c r="J589">
        <f ca="1">VLOOKUP(G589,INDIRECT("球速変換!A$1:B$" &amp; Prams!$B$8),2,)</f>
        <v>123</v>
      </c>
      <c r="K589" t="str">
        <f ca="1">VLOOKUP(I589,INDIRECT("投手名変換!A$1:B$" &amp; Prams!$B$9),2,)</f>
        <v>DD018</v>
      </c>
      <c r="L589">
        <f t="shared" si="52"/>
        <v>41</v>
      </c>
      <c r="M589">
        <f ca="1">(B589-VLOOKUP(K589,INDIRECT("投手データ!B1:D"&amp;Prams!$B$1),3,FALSE)*2)</f>
        <v>45</v>
      </c>
      <c r="N589" t="str">
        <f ca="1">VLOOKUP(F589,INDIRECT("球種変換表!A$1:B$" &amp; Prams!$B$2),2,)</f>
        <v>サークルチェンジ</v>
      </c>
      <c r="O589">
        <f ca="1">VLOOKUP(N589,球種情報!A:B,2,FALSE)</f>
        <v>24</v>
      </c>
      <c r="P589">
        <f ca="1">VLOOKUP(K589,投手データ!B:AI,output!O589+6,FALSE)</f>
        <v>2</v>
      </c>
      <c r="R589">
        <f t="shared" ca="1" si="48"/>
        <v>8.130081300813009E-3</v>
      </c>
      <c r="S589">
        <f t="shared" si="49"/>
        <v>0.6791666666666667</v>
      </c>
      <c r="T589">
        <f>Prams!B$5/(S589-Prams!B$6)</f>
        <v>99.897123774641813</v>
      </c>
      <c r="U589">
        <f t="shared" ca="1" si="50"/>
        <v>0.74583333333333335</v>
      </c>
      <c r="V589">
        <f ca="1">Prams!C$5/(U589-Prams!C$6)</f>
        <v>102.65622405490673</v>
      </c>
      <c r="W589">
        <f t="shared" ca="1" si="51"/>
        <v>0.83460344760086769</v>
      </c>
    </row>
    <row r="590" spans="1:23" hidden="1" x14ac:dyDescent="0.55000000000000004">
      <c r="A590" s="1" t="s">
        <v>2171</v>
      </c>
      <c r="B590" s="1">
        <v>140</v>
      </c>
      <c r="C590">
        <v>635</v>
      </c>
      <c r="D590">
        <v>604.5</v>
      </c>
      <c r="E590">
        <v>11.01146</v>
      </c>
      <c r="F590" t="s">
        <v>47</v>
      </c>
      <c r="G590" s="10" t="s">
        <v>2428</v>
      </c>
      <c r="H590">
        <v>98</v>
      </c>
      <c r="I590" t="s">
        <v>1209</v>
      </c>
      <c r="J590">
        <f ca="1">VLOOKUP(G590,INDIRECT("球速変換!A$1:B$" &amp; Prams!$B$8),2,)</f>
        <v>120</v>
      </c>
      <c r="K590" t="str">
        <f ca="1">VLOOKUP(I590,INDIRECT("投手名変換!A$1:B$" &amp; Prams!$B$9),2,)</f>
        <v>DD018</v>
      </c>
      <c r="L590">
        <f t="shared" si="52"/>
        <v>42</v>
      </c>
      <c r="M590">
        <f ca="1">(B590-VLOOKUP(K590,INDIRECT("投手データ!B1:D"&amp;Prams!$B$1),3,FALSE)*2)</f>
        <v>46</v>
      </c>
      <c r="N590" t="str">
        <f ca="1">VLOOKUP(F590,INDIRECT("球種変換表!A$1:B$" &amp; Prams!$B$2),2,)</f>
        <v>サークルチェンジ</v>
      </c>
      <c r="O590">
        <f ca="1">VLOOKUP(N590,球種情報!A:B,2,FALSE)</f>
        <v>24</v>
      </c>
      <c r="P590">
        <f ca="1">VLOOKUP(K590,投手データ!B:AI,output!O590+6,FALSE)</f>
        <v>2</v>
      </c>
      <c r="R590">
        <f t="shared" ca="1" si="48"/>
        <v>8.3333333333333332E-3</v>
      </c>
      <c r="S590">
        <f t="shared" si="49"/>
        <v>0.69687500000000002</v>
      </c>
      <c r="T590">
        <f>Prams!B$5/(S590-Prams!B$6)</f>
        <v>97.118171464477868</v>
      </c>
      <c r="U590">
        <f t="shared" ca="1" si="50"/>
        <v>0.76354166666666667</v>
      </c>
      <c r="V590">
        <f ca="1">Prams!C$5/(U590-Prams!C$6)</f>
        <v>99.723898753915023</v>
      </c>
      <c r="W590">
        <f t="shared" ca="1" si="51"/>
        <v>0.83103248961595855</v>
      </c>
    </row>
    <row r="591" spans="1:23" hidden="1" x14ac:dyDescent="0.55000000000000004">
      <c r="A591" s="1" t="s">
        <v>2172</v>
      </c>
      <c r="B591" s="1">
        <v>140</v>
      </c>
      <c r="C591">
        <v>642.5</v>
      </c>
      <c r="D591">
        <v>608.5</v>
      </c>
      <c r="E591">
        <v>10.6067</v>
      </c>
      <c r="F591" t="s">
        <v>47</v>
      </c>
      <c r="G591" s="10" t="s">
        <v>629</v>
      </c>
      <c r="H591">
        <v>98</v>
      </c>
      <c r="I591" t="s">
        <v>1209</v>
      </c>
      <c r="J591">
        <f ca="1">VLOOKUP(G591,INDIRECT("球速変換!A$1:B$" &amp; Prams!$B$8),2,)</f>
        <v>121</v>
      </c>
      <c r="K591" t="str">
        <f ca="1">VLOOKUP(I591,INDIRECT("投手名変換!A$1:B$" &amp; Prams!$B$9),2,)</f>
        <v>DD018</v>
      </c>
      <c r="L591">
        <f t="shared" si="52"/>
        <v>42</v>
      </c>
      <c r="M591">
        <f ca="1">(B591-VLOOKUP(K591,INDIRECT("投手データ!B1:D"&amp;Prams!$B$1),3,FALSE)*2)</f>
        <v>46</v>
      </c>
      <c r="N591" t="str">
        <f ca="1">VLOOKUP(F591,INDIRECT("球種変換表!A$1:B$" &amp; Prams!$B$2),2,)</f>
        <v>サークルチェンジ</v>
      </c>
      <c r="O591">
        <f ca="1">VLOOKUP(N591,球種情報!A:B,2,FALSE)</f>
        <v>24</v>
      </c>
      <c r="P591">
        <f ca="1">VLOOKUP(K591,投手データ!B:AI,output!O591+6,FALSE)</f>
        <v>2</v>
      </c>
      <c r="R591">
        <f t="shared" ca="1" si="48"/>
        <v>8.2644628099173556E-3</v>
      </c>
      <c r="S591">
        <f t="shared" si="49"/>
        <v>0.69409722222222225</v>
      </c>
      <c r="T591">
        <f>Prams!B$5/(S591-Prams!B$6)</f>
        <v>97.543816590479778</v>
      </c>
      <c r="U591">
        <f t="shared" ca="1" si="50"/>
        <v>0.76076388888888891</v>
      </c>
      <c r="V591">
        <f ca="1">Prams!C$5/(U591-Prams!C$6)</f>
        <v>100.17274359862994</v>
      </c>
      <c r="W591">
        <f t="shared" ca="1" si="51"/>
        <v>0.82787391403826394</v>
      </c>
    </row>
    <row r="592" spans="1:23" hidden="1" x14ac:dyDescent="0.55000000000000004">
      <c r="A592" s="1" t="s">
        <v>2173</v>
      </c>
      <c r="B592" s="1">
        <v>139</v>
      </c>
      <c r="C592">
        <v>633.95001000000002</v>
      </c>
      <c r="D592">
        <v>604.5</v>
      </c>
      <c r="E592">
        <v>10.062519999999999</v>
      </c>
      <c r="F592" t="s">
        <v>47</v>
      </c>
      <c r="G592" s="10" t="s">
        <v>2424</v>
      </c>
      <c r="H592">
        <v>98</v>
      </c>
      <c r="I592" t="s">
        <v>1209</v>
      </c>
      <c r="J592">
        <f ca="1">VLOOKUP(G592,INDIRECT("球速変換!A$1:B$" &amp; Prams!$B$8),2,)</f>
        <v>123</v>
      </c>
      <c r="K592" t="str">
        <f ca="1">VLOOKUP(I592,INDIRECT("投手名変換!A$1:B$" &amp; Prams!$B$9),2,)</f>
        <v>DD018</v>
      </c>
      <c r="L592">
        <f t="shared" si="52"/>
        <v>41</v>
      </c>
      <c r="M592">
        <f ca="1">(B592-VLOOKUP(K592,INDIRECT("投手データ!B1:D"&amp;Prams!$B$1),3,FALSE)*2)</f>
        <v>45</v>
      </c>
      <c r="N592" t="str">
        <f ca="1">VLOOKUP(F592,INDIRECT("球種変換表!A$1:B$" &amp; Prams!$B$2),2,)</f>
        <v>サークルチェンジ</v>
      </c>
      <c r="O592">
        <f ca="1">VLOOKUP(N592,球種情報!A:B,2,FALSE)</f>
        <v>24</v>
      </c>
      <c r="P592">
        <f ca="1">VLOOKUP(K592,投手データ!B:AI,output!O592+6,FALSE)</f>
        <v>2</v>
      </c>
      <c r="R592">
        <f t="shared" ca="1" si="48"/>
        <v>8.130081300813009E-3</v>
      </c>
      <c r="S592">
        <f t="shared" si="49"/>
        <v>0.6802083333333333</v>
      </c>
      <c r="T592">
        <f>Prams!B$5/(S592-Prams!B$6)</f>
        <v>99.729261046660127</v>
      </c>
      <c r="U592">
        <f t="shared" ca="1" si="50"/>
        <v>0.74687499999999996</v>
      </c>
      <c r="V592">
        <f ca="1">Prams!C$5/(U592-Prams!C$6)</f>
        <v>102.4789689610874</v>
      </c>
      <c r="W592">
        <f t="shared" ca="1" si="51"/>
        <v>0.8331623492771334</v>
      </c>
    </row>
    <row r="593" spans="1:23" hidden="1" x14ac:dyDescent="0.55000000000000004">
      <c r="A593" s="1" t="s">
        <v>2174</v>
      </c>
      <c r="B593" s="1">
        <v>139</v>
      </c>
      <c r="C593">
        <v>637.5</v>
      </c>
      <c r="D593">
        <v>605</v>
      </c>
      <c r="E593">
        <v>9.5525900000000004</v>
      </c>
      <c r="F593" t="s">
        <v>47</v>
      </c>
      <c r="G593" s="10" t="s">
        <v>2424</v>
      </c>
      <c r="H593">
        <v>98</v>
      </c>
      <c r="I593" t="s">
        <v>1209</v>
      </c>
      <c r="J593">
        <f ca="1">VLOOKUP(G593,INDIRECT("球速変換!A$1:B$" &amp; Prams!$B$8),2,)</f>
        <v>123</v>
      </c>
      <c r="K593" t="str">
        <f ca="1">VLOOKUP(I593,INDIRECT("投手名変換!A$1:B$" &amp; Prams!$B$9),2,)</f>
        <v>DD018</v>
      </c>
      <c r="L593">
        <f t="shared" si="52"/>
        <v>41</v>
      </c>
      <c r="M593">
        <f ca="1">(B593-VLOOKUP(K593,INDIRECT("投手データ!B1:D"&amp;Prams!$B$1),3,FALSE)*2)</f>
        <v>45</v>
      </c>
      <c r="N593" t="str">
        <f ca="1">VLOOKUP(F593,INDIRECT("球種変換表!A$1:B$" &amp; Prams!$B$2),2,)</f>
        <v>サークルチェンジ</v>
      </c>
      <c r="O593">
        <f ca="1">VLOOKUP(N593,球種情報!A:B,2,FALSE)</f>
        <v>24</v>
      </c>
      <c r="P593">
        <f ca="1">VLOOKUP(K593,投手データ!B:AI,output!O593+6,FALSE)</f>
        <v>2</v>
      </c>
      <c r="R593">
        <f t="shared" ca="1" si="48"/>
        <v>8.130081300813009E-3</v>
      </c>
      <c r="S593">
        <f t="shared" si="49"/>
        <v>0.67986111111111103</v>
      </c>
      <c r="T593">
        <f>Prams!B$5/(S593-Prams!B$6)</f>
        <v>99.785152572161309</v>
      </c>
      <c r="U593">
        <f t="shared" ca="1" si="50"/>
        <v>0.74652777777777779</v>
      </c>
      <c r="V593">
        <f ca="1">Prams!C$5/(U593-Prams!C$6)</f>
        <v>102.53798593898293</v>
      </c>
      <c r="W593">
        <f t="shared" ca="1" si="51"/>
        <v>0.83364216210555231</v>
      </c>
    </row>
    <row r="594" spans="1:23" hidden="1" x14ac:dyDescent="0.55000000000000004">
      <c r="A594" s="1" t="s">
        <v>2175</v>
      </c>
      <c r="B594" s="1">
        <v>139</v>
      </c>
      <c r="C594">
        <v>633.95001000000002</v>
      </c>
      <c r="D594">
        <v>600.5</v>
      </c>
      <c r="E594">
        <v>10.062519999999999</v>
      </c>
      <c r="F594" t="s">
        <v>47</v>
      </c>
      <c r="G594" s="10" t="s">
        <v>589</v>
      </c>
      <c r="H594">
        <v>98</v>
      </c>
      <c r="I594" t="s">
        <v>1209</v>
      </c>
      <c r="J594">
        <f ca="1">VLOOKUP(G594,INDIRECT("球速変換!A$1:B$" &amp; Prams!$B$8),2,)</f>
        <v>127</v>
      </c>
      <c r="K594" t="str">
        <f ca="1">VLOOKUP(I594,INDIRECT("投手名変換!A$1:B$" &amp; Prams!$B$9),2,)</f>
        <v>DD018</v>
      </c>
      <c r="L594">
        <f t="shared" si="52"/>
        <v>41</v>
      </c>
      <c r="M594">
        <f ca="1">(B594-VLOOKUP(K594,INDIRECT("投手データ!B1:D"&amp;Prams!$B$1),3,FALSE)*2)</f>
        <v>45</v>
      </c>
      <c r="N594" t="str">
        <f ca="1">VLOOKUP(F594,INDIRECT("球種変換表!A$1:B$" &amp; Prams!$B$2),2,)</f>
        <v>サークルチェンジ</v>
      </c>
      <c r="O594">
        <f ca="1">VLOOKUP(N594,球種情報!A:B,2,FALSE)</f>
        <v>24</v>
      </c>
      <c r="P594">
        <f ca="1">VLOOKUP(K594,投手データ!B:AI,output!O594+6,FALSE)</f>
        <v>2</v>
      </c>
      <c r="R594">
        <f t="shared" ca="1" si="48"/>
        <v>7.874015748031496E-3</v>
      </c>
      <c r="S594">
        <f t="shared" si="49"/>
        <v>0.68298611111111107</v>
      </c>
      <c r="T594">
        <f>Prams!B$5/(S594-Prams!B$6)</f>
        <v>99.284372811341555</v>
      </c>
      <c r="U594">
        <f t="shared" ca="1" si="50"/>
        <v>0.74965277777777772</v>
      </c>
      <c r="V594">
        <f ca="1">Prams!C$5/(U594-Prams!C$6)</f>
        <v>102.00926761970676</v>
      </c>
      <c r="W594">
        <f t="shared" ca="1" si="51"/>
        <v>0.80322257968273036</v>
      </c>
    </row>
    <row r="595" spans="1:23" hidden="1" x14ac:dyDescent="0.55000000000000004">
      <c r="A595" s="1" t="s">
        <v>2176</v>
      </c>
      <c r="B595" s="1">
        <v>139</v>
      </c>
      <c r="C595">
        <v>640.5</v>
      </c>
      <c r="D595">
        <v>600.5</v>
      </c>
      <c r="E595">
        <v>10.512</v>
      </c>
      <c r="F595" t="s">
        <v>47</v>
      </c>
      <c r="G595" s="10" t="s">
        <v>1056</v>
      </c>
      <c r="H595">
        <v>98</v>
      </c>
      <c r="I595" t="s">
        <v>1209</v>
      </c>
      <c r="J595">
        <f ca="1">VLOOKUP(G595,INDIRECT("球速変換!A$1:B$" &amp; Prams!$B$8),2,)</f>
        <v>122</v>
      </c>
      <c r="K595" t="str">
        <f ca="1">VLOOKUP(I595,INDIRECT("投手名変換!A$1:B$" &amp; Prams!$B$9),2,)</f>
        <v>DD018</v>
      </c>
      <c r="L595">
        <f t="shared" si="52"/>
        <v>41</v>
      </c>
      <c r="M595">
        <f ca="1">(B595-VLOOKUP(K595,INDIRECT("投手データ!B1:D"&amp;Prams!$B$1),3,FALSE)*2)</f>
        <v>45</v>
      </c>
      <c r="N595" t="str">
        <f ca="1">VLOOKUP(F595,INDIRECT("球種変換表!A$1:B$" &amp; Prams!$B$2),2,)</f>
        <v>サークルチェンジ</v>
      </c>
      <c r="O595">
        <f ca="1">VLOOKUP(N595,球種情報!A:B,2,FALSE)</f>
        <v>24</v>
      </c>
      <c r="P595">
        <f ca="1">VLOOKUP(K595,投手データ!B:AI,output!O595+6,FALSE)</f>
        <v>2</v>
      </c>
      <c r="R595">
        <f t="shared" ca="1" si="48"/>
        <v>8.1967213114754103E-3</v>
      </c>
      <c r="S595">
        <f t="shared" si="49"/>
        <v>0.68298611111111107</v>
      </c>
      <c r="T595">
        <f>Prams!B$5/(S595-Prams!B$6)</f>
        <v>99.284372811341555</v>
      </c>
      <c r="U595">
        <f t="shared" ca="1" si="50"/>
        <v>0.74965277777777772</v>
      </c>
      <c r="V595">
        <f ca="1">Prams!C$5/(U595-Prams!C$6)</f>
        <v>102.00926761970676</v>
      </c>
      <c r="W595">
        <f t="shared" ca="1" si="51"/>
        <v>0.83614153786644885</v>
      </c>
    </row>
    <row r="596" spans="1:23" hidden="1" x14ac:dyDescent="0.55000000000000004">
      <c r="A596" s="1" t="s">
        <v>2177</v>
      </c>
      <c r="B596" s="1">
        <v>140</v>
      </c>
      <c r="C596">
        <v>636.5</v>
      </c>
      <c r="D596">
        <v>610</v>
      </c>
      <c r="E596">
        <v>10.547610000000001</v>
      </c>
      <c r="F596" t="s">
        <v>47</v>
      </c>
      <c r="G596" s="10" t="s">
        <v>629</v>
      </c>
      <c r="H596">
        <v>98</v>
      </c>
      <c r="I596" t="s">
        <v>1209</v>
      </c>
      <c r="J596">
        <f ca="1">VLOOKUP(G596,INDIRECT("球速変換!A$1:B$" &amp; Prams!$B$8),2,)</f>
        <v>121</v>
      </c>
      <c r="K596" t="str">
        <f ca="1">VLOOKUP(I596,INDIRECT("投手名変換!A$1:B$" &amp; Prams!$B$9),2,)</f>
        <v>DD018</v>
      </c>
      <c r="L596">
        <f t="shared" si="52"/>
        <v>42</v>
      </c>
      <c r="M596">
        <f ca="1">(B596-VLOOKUP(K596,INDIRECT("投手データ!B1:D"&amp;Prams!$B$1),3,FALSE)*2)</f>
        <v>46</v>
      </c>
      <c r="N596" t="str">
        <f ca="1">VLOOKUP(F596,INDIRECT("球種変換表!A$1:B$" &amp; Prams!$B$2),2,)</f>
        <v>サークルチェンジ</v>
      </c>
      <c r="O596">
        <f ca="1">VLOOKUP(N596,球種情報!A:B,2,FALSE)</f>
        <v>24</v>
      </c>
      <c r="P596">
        <f ca="1">VLOOKUP(K596,投手データ!B:AI,output!O596+6,FALSE)</f>
        <v>2</v>
      </c>
      <c r="R596">
        <f t="shared" ca="1" si="48"/>
        <v>8.2644628099173556E-3</v>
      </c>
      <c r="S596">
        <f t="shared" si="49"/>
        <v>0.69305555555555565</v>
      </c>
      <c r="T596">
        <f>Prams!B$5/(S596-Prams!B$6)</f>
        <v>97.704396993748674</v>
      </c>
      <c r="U596">
        <f t="shared" ca="1" si="50"/>
        <v>0.7597222222222223</v>
      </c>
      <c r="V596">
        <f ca="1">Prams!C$5/(U596-Prams!C$6)</f>
        <v>100.3421038394258</v>
      </c>
      <c r="W596">
        <f t="shared" ca="1" si="51"/>
        <v>0.82927358544980001</v>
      </c>
    </row>
    <row r="597" spans="1:23" hidden="1" x14ac:dyDescent="0.55000000000000004">
      <c r="A597" s="1" t="s">
        <v>2178</v>
      </c>
      <c r="B597" s="1">
        <v>139</v>
      </c>
      <c r="C597">
        <v>635</v>
      </c>
      <c r="D597">
        <v>601.5</v>
      </c>
      <c r="E597">
        <v>11.01146</v>
      </c>
      <c r="F597" t="s">
        <v>47</v>
      </c>
      <c r="G597" s="10" t="s">
        <v>589</v>
      </c>
      <c r="H597">
        <v>98</v>
      </c>
      <c r="I597" t="s">
        <v>1209</v>
      </c>
      <c r="J597">
        <f ca="1">VLOOKUP(G597,INDIRECT("球速変換!A$1:B$" &amp; Prams!$B$8),2,)</f>
        <v>127</v>
      </c>
      <c r="K597" t="str">
        <f ca="1">VLOOKUP(I597,INDIRECT("投手名変換!A$1:B$" &amp; Prams!$B$9),2,)</f>
        <v>DD018</v>
      </c>
      <c r="L597">
        <f t="shared" si="52"/>
        <v>41</v>
      </c>
      <c r="M597">
        <f ca="1">(B597-VLOOKUP(K597,INDIRECT("投手データ!B1:D"&amp;Prams!$B$1),3,FALSE)*2)</f>
        <v>45</v>
      </c>
      <c r="N597" t="str">
        <f ca="1">VLOOKUP(F597,INDIRECT("球種変換表!A$1:B$" &amp; Prams!$B$2),2,)</f>
        <v>サークルチェンジ</v>
      </c>
      <c r="O597">
        <f ca="1">VLOOKUP(N597,球種情報!A:B,2,FALSE)</f>
        <v>24</v>
      </c>
      <c r="P597">
        <f ca="1">VLOOKUP(K597,投手データ!B:AI,output!O597+6,FALSE)</f>
        <v>2</v>
      </c>
      <c r="R597">
        <f t="shared" ca="1" si="48"/>
        <v>7.874015748031496E-3</v>
      </c>
      <c r="S597">
        <f t="shared" si="49"/>
        <v>0.68229166666666663</v>
      </c>
      <c r="T597">
        <f>Prams!B$5/(S597-Prams!B$6)</f>
        <v>99.395222336848036</v>
      </c>
      <c r="U597">
        <f t="shared" ca="1" si="50"/>
        <v>0.74895833333333328</v>
      </c>
      <c r="V597">
        <f ca="1">Prams!C$5/(U597-Prams!C$6)</f>
        <v>102.12628883719012</v>
      </c>
      <c r="W597">
        <f t="shared" ca="1" si="51"/>
        <v>0.80414400659204821</v>
      </c>
    </row>
    <row r="598" spans="1:23" hidden="1" x14ac:dyDescent="0.55000000000000004">
      <c r="A598" s="1" t="s">
        <v>2179</v>
      </c>
      <c r="B598" s="1">
        <v>139</v>
      </c>
      <c r="C598">
        <v>633.95001000000002</v>
      </c>
      <c r="D598">
        <v>600.5</v>
      </c>
      <c r="E598">
        <v>10.062519999999999</v>
      </c>
      <c r="F598" t="s">
        <v>47</v>
      </c>
      <c r="G598" s="10" t="s">
        <v>1056</v>
      </c>
      <c r="H598">
        <v>98</v>
      </c>
      <c r="I598" t="s">
        <v>1209</v>
      </c>
      <c r="J598">
        <f ca="1">VLOOKUP(G598,INDIRECT("球速変換!A$1:B$" &amp; Prams!$B$8),2,)</f>
        <v>122</v>
      </c>
      <c r="K598" t="str">
        <f ca="1">VLOOKUP(I598,INDIRECT("投手名変換!A$1:B$" &amp; Prams!$B$9),2,)</f>
        <v>DD018</v>
      </c>
      <c r="L598">
        <f t="shared" si="52"/>
        <v>41</v>
      </c>
      <c r="M598">
        <f ca="1">(B598-VLOOKUP(K598,INDIRECT("投手データ!B1:D"&amp;Prams!$B$1),3,FALSE)*2)</f>
        <v>45</v>
      </c>
      <c r="N598" t="str">
        <f ca="1">VLOOKUP(F598,INDIRECT("球種変換表!A$1:B$" &amp; Prams!$B$2),2,)</f>
        <v>サークルチェンジ</v>
      </c>
      <c r="O598">
        <f ca="1">VLOOKUP(N598,球種情報!A:B,2,FALSE)</f>
        <v>24</v>
      </c>
      <c r="P598">
        <f ca="1">VLOOKUP(K598,投手データ!B:AI,output!O598+6,FALSE)</f>
        <v>2</v>
      </c>
      <c r="R598">
        <f t="shared" ca="1" si="48"/>
        <v>8.1967213114754103E-3</v>
      </c>
      <c r="S598">
        <f t="shared" si="49"/>
        <v>0.68298611111111107</v>
      </c>
      <c r="T598">
        <f>Prams!B$5/(S598-Prams!B$6)</f>
        <v>99.284372811341555</v>
      </c>
      <c r="U598">
        <f t="shared" ca="1" si="50"/>
        <v>0.74965277777777772</v>
      </c>
      <c r="V598">
        <f ca="1">Prams!C$5/(U598-Prams!C$6)</f>
        <v>102.00926761970676</v>
      </c>
      <c r="W598">
        <f t="shared" ca="1" si="51"/>
        <v>0.83614153786644885</v>
      </c>
    </row>
    <row r="599" spans="1:23" hidden="1" x14ac:dyDescent="0.55000000000000004">
      <c r="A599" s="1" t="s">
        <v>1252</v>
      </c>
      <c r="B599" s="1">
        <v>139</v>
      </c>
      <c r="C599">
        <v>640.5</v>
      </c>
      <c r="D599">
        <v>600.5</v>
      </c>
      <c r="E599">
        <v>10.512</v>
      </c>
      <c r="F599" t="s">
        <v>47</v>
      </c>
      <c r="G599" s="10" t="s">
        <v>1056</v>
      </c>
      <c r="H599">
        <v>98</v>
      </c>
      <c r="I599" t="s">
        <v>1209</v>
      </c>
      <c r="J599">
        <f ca="1">VLOOKUP(G599,INDIRECT("球速変換!A$1:B$" &amp; Prams!$B$8),2,)</f>
        <v>122</v>
      </c>
      <c r="K599" t="str">
        <f ca="1">VLOOKUP(I599,INDIRECT("投手名変換!A$1:B$" &amp; Prams!$B$9),2,)</f>
        <v>DD018</v>
      </c>
      <c r="L599">
        <f t="shared" si="52"/>
        <v>41</v>
      </c>
      <c r="M599">
        <f ca="1">(B599-VLOOKUP(K599,INDIRECT("投手データ!B1:D"&amp;Prams!$B$1),3,FALSE)*2)</f>
        <v>45</v>
      </c>
      <c r="N599" t="str">
        <f ca="1">VLOOKUP(F599,INDIRECT("球種変換表!A$1:B$" &amp; Prams!$B$2),2,)</f>
        <v>サークルチェンジ</v>
      </c>
      <c r="O599">
        <f ca="1">VLOOKUP(N599,球種情報!A:B,2,FALSE)</f>
        <v>24</v>
      </c>
      <c r="P599">
        <f ca="1">VLOOKUP(K599,投手データ!B:AI,output!O599+6,FALSE)</f>
        <v>2</v>
      </c>
      <c r="R599">
        <f t="shared" ca="1" si="48"/>
        <v>8.1967213114754103E-3</v>
      </c>
      <c r="S599">
        <f t="shared" si="49"/>
        <v>0.68298611111111107</v>
      </c>
      <c r="T599">
        <f>Prams!B$5/(S599-Prams!B$6)</f>
        <v>99.284372811341555</v>
      </c>
      <c r="U599">
        <f t="shared" ca="1" si="50"/>
        <v>0.74965277777777772</v>
      </c>
      <c r="V599">
        <f ca="1">Prams!C$5/(U599-Prams!C$6)</f>
        <v>102.00926761970676</v>
      </c>
      <c r="W599">
        <f t="shared" ca="1" si="51"/>
        <v>0.83614153786644885</v>
      </c>
    </row>
    <row r="600" spans="1:23" hidden="1" x14ac:dyDescent="0.55000000000000004">
      <c r="A600" s="1" t="s">
        <v>1253</v>
      </c>
      <c r="B600" s="1">
        <v>140</v>
      </c>
      <c r="C600">
        <v>636.57141000000001</v>
      </c>
      <c r="D600">
        <v>610</v>
      </c>
      <c r="E600">
        <v>10.618740000000001</v>
      </c>
      <c r="F600" t="s">
        <v>47</v>
      </c>
      <c r="G600" s="10" t="s">
        <v>629</v>
      </c>
      <c r="H600">
        <v>98</v>
      </c>
      <c r="I600" t="s">
        <v>1209</v>
      </c>
      <c r="J600">
        <f ca="1">VLOOKUP(G600,INDIRECT("球速変換!A$1:B$" &amp; Prams!$B$8),2,)</f>
        <v>121</v>
      </c>
      <c r="K600" t="str">
        <f ca="1">VLOOKUP(I600,INDIRECT("投手名変換!A$1:B$" &amp; Prams!$B$9),2,)</f>
        <v>DD018</v>
      </c>
      <c r="L600">
        <f t="shared" si="52"/>
        <v>42</v>
      </c>
      <c r="M600">
        <f ca="1">(B600-VLOOKUP(K600,INDIRECT("投手データ!B1:D"&amp;Prams!$B$1),3,FALSE)*2)</f>
        <v>46</v>
      </c>
      <c r="N600" t="str">
        <f ca="1">VLOOKUP(F600,INDIRECT("球種変換表!A$1:B$" &amp; Prams!$B$2),2,)</f>
        <v>サークルチェンジ</v>
      </c>
      <c r="O600">
        <f ca="1">VLOOKUP(N600,球種情報!A:B,2,FALSE)</f>
        <v>24</v>
      </c>
      <c r="P600">
        <f ca="1">VLOOKUP(K600,投手データ!B:AI,output!O600+6,FALSE)</f>
        <v>2</v>
      </c>
      <c r="R600">
        <f t="shared" ca="1" si="48"/>
        <v>8.2644628099173556E-3</v>
      </c>
      <c r="S600">
        <f t="shared" si="49"/>
        <v>0.69305555555555565</v>
      </c>
      <c r="T600">
        <f>Prams!B$5/(S600-Prams!B$6)</f>
        <v>97.704396993748674</v>
      </c>
      <c r="U600">
        <f t="shared" ca="1" si="50"/>
        <v>0.7597222222222223</v>
      </c>
      <c r="V600">
        <f ca="1">Prams!C$5/(U600-Prams!C$6)</f>
        <v>100.3421038394258</v>
      </c>
      <c r="W600">
        <f t="shared" ca="1" si="51"/>
        <v>0.82927358544980001</v>
      </c>
    </row>
    <row r="601" spans="1:23" hidden="1" x14ac:dyDescent="0.55000000000000004">
      <c r="A601" s="1" t="s">
        <v>1255</v>
      </c>
      <c r="B601" s="1">
        <v>128</v>
      </c>
      <c r="C601">
        <v>634.5</v>
      </c>
      <c r="D601">
        <v>606</v>
      </c>
      <c r="E601">
        <v>10.547610000000001</v>
      </c>
      <c r="F601" t="s">
        <v>0</v>
      </c>
      <c r="G601" s="10" t="s">
        <v>635</v>
      </c>
      <c r="H601">
        <v>99</v>
      </c>
      <c r="I601" t="s">
        <v>1707</v>
      </c>
      <c r="J601">
        <f ca="1">VLOOKUP(G601,INDIRECT("球速変換!A$1:B$" &amp; Prams!$B$8),2,)</f>
        <v>148</v>
      </c>
      <c r="K601" t="s">
        <v>1896</v>
      </c>
      <c r="L601">
        <f t="shared" si="52"/>
        <v>29</v>
      </c>
      <c r="M601">
        <f ca="1">(B601-VLOOKUP(K601,INDIRECT("投手データ!B1:D"&amp;Prams!$B$1),3,FALSE)*2)</f>
        <v>34</v>
      </c>
      <c r="N601" t="str">
        <f ca="1">VLOOKUP(F601,INDIRECT("球種変換表!A$1:B$" &amp; Prams!$B$2),2,)</f>
        <v>ストレート</v>
      </c>
      <c r="O601">
        <f ca="1">VLOOKUP(N601,球種情報!A:B,2,FALSE)</f>
        <v>1</v>
      </c>
      <c r="P601">
        <f ca="1">VLOOKUP(K601,投手データ!B:AI,output!O601+6,FALSE)</f>
        <v>1</v>
      </c>
      <c r="R601">
        <f t="shared" ca="1" si="48"/>
        <v>6.7567567567567571E-3</v>
      </c>
      <c r="S601">
        <f t="shared" si="49"/>
        <v>0.47916666666666669</v>
      </c>
      <c r="T601">
        <f>Prams!B$5/(S601-Prams!B$6)</f>
        <v>147.59589368136241</v>
      </c>
      <c r="U601">
        <f t="shared" ca="1" si="50"/>
        <v>0.5625</v>
      </c>
      <c r="V601">
        <f ca="1">Prams!C$5/(U601-Prams!C$6)</f>
        <v>147.584148961566</v>
      </c>
      <c r="W601">
        <f t="shared" ca="1" si="51"/>
        <v>0.99719019568625678</v>
      </c>
    </row>
    <row r="602" spans="1:23" hidden="1" x14ac:dyDescent="0.55000000000000004">
      <c r="A602" s="1" t="s">
        <v>1257</v>
      </c>
      <c r="B602" s="1">
        <v>129</v>
      </c>
      <c r="C602">
        <v>644.02270999999996</v>
      </c>
      <c r="D602">
        <v>617</v>
      </c>
      <c r="E602">
        <v>11.02285</v>
      </c>
      <c r="F602" t="s">
        <v>0</v>
      </c>
      <c r="G602" s="10" t="s">
        <v>1260</v>
      </c>
      <c r="H602">
        <v>99</v>
      </c>
      <c r="I602" t="s">
        <v>1256</v>
      </c>
      <c r="J602">
        <f ca="1">VLOOKUP(G602,INDIRECT("球速変換!A$1:B$" &amp; Prams!$B$8),2,)</f>
        <v>144</v>
      </c>
      <c r="K602" t="str">
        <f ca="1">VLOOKUP(I602,INDIRECT("投手名変換!A$1:B$" &amp; Prams!$B$9),2,)</f>
        <v>DD020</v>
      </c>
      <c r="L602">
        <f t="shared" si="52"/>
        <v>30</v>
      </c>
      <c r="M602">
        <f ca="1">(B602-VLOOKUP(K602,INDIRECT("投手データ!B1:D"&amp;Prams!$B$1),3,FALSE)*2)</f>
        <v>35</v>
      </c>
      <c r="N602" t="str">
        <f ca="1">VLOOKUP(F602,INDIRECT("球種変換表!A$1:B$" &amp; Prams!$B$2),2,)</f>
        <v>ストレート</v>
      </c>
      <c r="O602">
        <f ca="1">VLOOKUP(N602,球種情報!A:B,2,FALSE)</f>
        <v>1</v>
      </c>
      <c r="P602">
        <f ca="1">VLOOKUP(K602,投手データ!B:AI,output!O602+6,FALSE)</f>
        <v>1</v>
      </c>
      <c r="R602">
        <f t="shared" ca="1" si="48"/>
        <v>6.9444444444444441E-3</v>
      </c>
      <c r="S602">
        <f t="shared" si="49"/>
        <v>0.48819444444444449</v>
      </c>
      <c r="T602">
        <f>Prams!B$5/(S602-Prams!B$6)</f>
        <v>144.48189454824009</v>
      </c>
      <c r="U602">
        <f t="shared" ca="1" si="50"/>
        <v>0.57152777777777775</v>
      </c>
      <c r="V602">
        <f ca="1">Prams!C$5/(U602-Prams!C$6)</f>
        <v>144.47064016513693</v>
      </c>
      <c r="W602">
        <f t="shared" ca="1" si="51"/>
        <v>1.0032683344801177</v>
      </c>
    </row>
    <row r="603" spans="1:23" hidden="1" x14ac:dyDescent="0.55000000000000004">
      <c r="A603" s="1" t="s">
        <v>1258</v>
      </c>
      <c r="B603" s="1">
        <v>129</v>
      </c>
      <c r="C603">
        <v>641.5</v>
      </c>
      <c r="D603">
        <v>618.5</v>
      </c>
      <c r="E603">
        <v>11.510960000000001</v>
      </c>
      <c r="F603" t="s">
        <v>0</v>
      </c>
      <c r="G603" s="10" t="s">
        <v>2462</v>
      </c>
      <c r="H603">
        <v>99</v>
      </c>
      <c r="I603" t="s">
        <v>1256</v>
      </c>
      <c r="J603">
        <f ca="1">VLOOKUP(G603,INDIRECT("球速変換!A$1:B$" &amp; Prams!$B$8),2,)</f>
        <v>145</v>
      </c>
      <c r="K603" t="str">
        <f ca="1">VLOOKUP(I603,INDIRECT("投手名変換!A$1:B$" &amp; Prams!$B$9),2,)</f>
        <v>DD020</v>
      </c>
      <c r="L603">
        <f t="shared" si="52"/>
        <v>30</v>
      </c>
      <c r="M603">
        <f ca="1">(B603-VLOOKUP(K603,INDIRECT("投手データ!B1:D"&amp;Prams!$B$1),3,FALSE)*2)</f>
        <v>35</v>
      </c>
      <c r="N603" t="str">
        <f ca="1">VLOOKUP(F603,INDIRECT("球種変換表!A$1:B$" &amp; Prams!$B$2),2,)</f>
        <v>ストレート</v>
      </c>
      <c r="O603">
        <f ca="1">VLOOKUP(N603,球種情報!A:B,2,FALSE)</f>
        <v>1</v>
      </c>
      <c r="P603">
        <f ca="1">VLOOKUP(K603,投手データ!B:AI,output!O603+6,FALSE)</f>
        <v>1</v>
      </c>
      <c r="R603">
        <f t="shared" ca="1" si="48"/>
        <v>6.8965517241379309E-3</v>
      </c>
      <c r="S603">
        <f t="shared" si="49"/>
        <v>0.48715277777777782</v>
      </c>
      <c r="T603">
        <f>Prams!B$5/(S603-Prams!B$6)</f>
        <v>144.83447975167081</v>
      </c>
      <c r="U603">
        <f t="shared" ca="1" si="50"/>
        <v>0.57048611111111103</v>
      </c>
      <c r="V603">
        <f ca="1">Prams!C$5/(U603-Prams!C$6)</f>
        <v>144.82317037461203</v>
      </c>
      <c r="W603">
        <f t="shared" ca="1" si="51"/>
        <v>0.99878048534215191</v>
      </c>
    </row>
    <row r="604" spans="1:23" hidden="1" x14ac:dyDescent="0.55000000000000004">
      <c r="A604" s="1" t="s">
        <v>1259</v>
      </c>
      <c r="B604" s="1">
        <v>129</v>
      </c>
      <c r="C604">
        <v>644.5</v>
      </c>
      <c r="D604">
        <v>622</v>
      </c>
      <c r="E604">
        <v>10.547610000000001</v>
      </c>
      <c r="F604" t="s">
        <v>0</v>
      </c>
      <c r="G604" s="10" t="s">
        <v>639</v>
      </c>
      <c r="H604">
        <v>99</v>
      </c>
      <c r="I604" t="s">
        <v>1708</v>
      </c>
      <c r="J604">
        <f ca="1">VLOOKUP(G604,INDIRECT("球速変換!A$1:B$" &amp; Prams!$B$8),2,)</f>
        <v>146</v>
      </c>
      <c r="K604" t="s">
        <v>1896</v>
      </c>
      <c r="L604">
        <f t="shared" si="52"/>
        <v>30</v>
      </c>
      <c r="M604">
        <f ca="1">(B604-VLOOKUP(K604,INDIRECT("投手データ!B1:D"&amp;Prams!$B$1),3,FALSE)*2)</f>
        <v>35</v>
      </c>
      <c r="N604" t="str">
        <f ca="1">VLOOKUP(F604,INDIRECT("球種変換表!A$1:B$" &amp; Prams!$B$2),2,)</f>
        <v>ストレート</v>
      </c>
      <c r="O604">
        <f ca="1">VLOOKUP(N604,球種情報!A:B,2,FALSE)</f>
        <v>1</v>
      </c>
      <c r="P604">
        <f ca="1">VLOOKUP(K604,投手データ!B:AI,output!O604+6,FALSE)</f>
        <v>1</v>
      </c>
      <c r="R604">
        <f t="shared" ca="1" si="48"/>
        <v>6.8493150684931503E-3</v>
      </c>
      <c r="S604">
        <f t="shared" si="49"/>
        <v>0.48472222222222222</v>
      </c>
      <c r="T604">
        <f>Prams!B$5/(S604-Prams!B$6)</f>
        <v>145.66390910518876</v>
      </c>
      <c r="U604">
        <f t="shared" ca="1" si="50"/>
        <v>0.56805555555555565</v>
      </c>
      <c r="V604">
        <f ca="1">Prams!C$5/(U604-Prams!C$6)</f>
        <v>145.65246983063267</v>
      </c>
      <c r="W604">
        <f t="shared" ca="1" si="51"/>
        <v>0.99761965637419636</v>
      </c>
    </row>
    <row r="605" spans="1:23" hidden="1" x14ac:dyDescent="0.55000000000000004">
      <c r="A605" s="1" t="s">
        <v>1262</v>
      </c>
      <c r="B605" s="1">
        <v>129</v>
      </c>
      <c r="C605">
        <v>641.95001000000002</v>
      </c>
      <c r="D605">
        <v>615.5</v>
      </c>
      <c r="E605">
        <v>10.062519999999999</v>
      </c>
      <c r="F605" t="s">
        <v>0</v>
      </c>
      <c r="G605" s="10" t="s">
        <v>972</v>
      </c>
      <c r="H605">
        <v>99</v>
      </c>
      <c r="I605" t="s">
        <v>1254</v>
      </c>
      <c r="J605">
        <f ca="1">VLOOKUP(G605,INDIRECT("球速変換!A$1:B$" &amp; Prams!$B$8),2,)</f>
        <v>144</v>
      </c>
      <c r="K605" t="str">
        <f ca="1">VLOOKUP(I605,INDIRECT("投手名変換!A$1:B$" &amp; Prams!$B$9),2,)</f>
        <v>DD020</v>
      </c>
      <c r="L605">
        <f t="shared" si="52"/>
        <v>30</v>
      </c>
      <c r="M605">
        <f ca="1">(B605-VLOOKUP(K605,INDIRECT("投手データ!B1:D"&amp;Prams!$B$1),3,FALSE)*2)</f>
        <v>35</v>
      </c>
      <c r="N605" t="str">
        <f ca="1">VLOOKUP(F605,INDIRECT("球種変換表!A$1:B$" &amp; Prams!$B$2),2,)</f>
        <v>ストレート</v>
      </c>
      <c r="O605">
        <f ca="1">VLOOKUP(N605,球種情報!A:B,2,FALSE)</f>
        <v>1</v>
      </c>
      <c r="P605">
        <f ca="1">VLOOKUP(K605,投手データ!B:AI,output!O605+6,FALSE)</f>
        <v>1</v>
      </c>
      <c r="R605">
        <f t="shared" ca="1" si="48"/>
        <v>6.9444444444444441E-3</v>
      </c>
      <c r="S605">
        <f t="shared" si="49"/>
        <v>0.48923611111111115</v>
      </c>
      <c r="T605">
        <f>Prams!B$5/(S605-Prams!B$6)</f>
        <v>144.13102184344987</v>
      </c>
      <c r="U605">
        <f t="shared" ca="1" si="50"/>
        <v>0.57256944444444435</v>
      </c>
      <c r="V605">
        <f ca="1">Prams!C$5/(U605-Prams!C$6)</f>
        <v>144.1198220541479</v>
      </c>
      <c r="W605">
        <f t="shared" ca="1" si="51"/>
        <v>1.0008320975982494</v>
      </c>
    </row>
    <row r="606" spans="1:23" hidden="1" x14ac:dyDescent="0.55000000000000004">
      <c r="A606" s="1" t="s">
        <v>1263</v>
      </c>
      <c r="B606" s="1">
        <v>128</v>
      </c>
      <c r="C606">
        <v>640.5</v>
      </c>
      <c r="D606">
        <v>603.5</v>
      </c>
      <c r="E606">
        <v>10.512</v>
      </c>
      <c r="F606" t="s">
        <v>0</v>
      </c>
      <c r="G606" s="10" t="s">
        <v>931</v>
      </c>
      <c r="H606">
        <v>99</v>
      </c>
      <c r="I606" t="s">
        <v>1254</v>
      </c>
      <c r="J606">
        <f ca="1">VLOOKUP(G606,INDIRECT("球速変換!A$1:B$" &amp; Prams!$B$8),2,)</f>
        <v>147</v>
      </c>
      <c r="K606" t="str">
        <f ca="1">VLOOKUP(I606,INDIRECT("投手名変換!A$1:B$" &amp; Prams!$B$9),2,)</f>
        <v>DD020</v>
      </c>
      <c r="L606">
        <f t="shared" si="52"/>
        <v>29</v>
      </c>
      <c r="M606">
        <f ca="1">(B606-VLOOKUP(K606,INDIRECT("投手データ!B1:D"&amp;Prams!$B$1),3,FALSE)*2)</f>
        <v>34</v>
      </c>
      <c r="N606" t="str">
        <f ca="1">VLOOKUP(F606,INDIRECT("球種変換表!A$1:B$" &amp; Prams!$B$2),2,)</f>
        <v>ストレート</v>
      </c>
      <c r="O606">
        <f ca="1">VLOOKUP(N606,球種情報!A:B,2,FALSE)</f>
        <v>1</v>
      </c>
      <c r="P606">
        <f ca="1">VLOOKUP(K606,投手データ!B:AI,output!O606+6,FALSE)</f>
        <v>1</v>
      </c>
      <c r="R606">
        <f t="shared" ca="1" si="48"/>
        <v>6.8027210884353739E-3</v>
      </c>
      <c r="S606">
        <f t="shared" si="49"/>
        <v>0.48090277777777779</v>
      </c>
      <c r="T606">
        <f>Prams!B$5/(S606-Prams!B$6)</f>
        <v>146.98666596221031</v>
      </c>
      <c r="U606">
        <f t="shared" ca="1" si="50"/>
        <v>0.56423611111111105</v>
      </c>
      <c r="V606">
        <f ca="1">Prams!C$5/(U606-Prams!C$6)</f>
        <v>146.97501799523212</v>
      </c>
      <c r="W606">
        <f t="shared" ca="1" si="51"/>
        <v>0.99983005438933414</v>
      </c>
    </row>
    <row r="607" spans="1:23" hidden="1" x14ac:dyDescent="0.55000000000000004">
      <c r="A607" s="1" t="s">
        <v>1265</v>
      </c>
      <c r="B607" s="1">
        <v>129</v>
      </c>
      <c r="C607">
        <v>643.5</v>
      </c>
      <c r="D607">
        <v>614.5</v>
      </c>
      <c r="E607">
        <v>11.510960000000001</v>
      </c>
      <c r="F607" t="s">
        <v>0</v>
      </c>
      <c r="G607" s="10" t="s">
        <v>972</v>
      </c>
      <c r="H607">
        <v>99</v>
      </c>
      <c r="I607" t="s">
        <v>1254</v>
      </c>
      <c r="J607">
        <f ca="1">VLOOKUP(G607,INDIRECT("球速変換!A$1:B$" &amp; Prams!$B$8),2,)</f>
        <v>144</v>
      </c>
      <c r="K607" t="str">
        <f ca="1">VLOOKUP(I607,INDIRECT("投手名変換!A$1:B$" &amp; Prams!$B$9),2,)</f>
        <v>DD020</v>
      </c>
      <c r="L607">
        <f t="shared" si="52"/>
        <v>30</v>
      </c>
      <c r="M607">
        <f ca="1">(B607-VLOOKUP(K607,INDIRECT("投手データ!B1:D"&amp;Prams!$B$1),3,FALSE)*2)</f>
        <v>35</v>
      </c>
      <c r="N607" t="str">
        <f ca="1">VLOOKUP(F607,INDIRECT("球種変換表!A$1:B$" &amp; Prams!$B$2),2,)</f>
        <v>ストレート</v>
      </c>
      <c r="O607">
        <f ca="1">VLOOKUP(N607,球種情報!A:B,2,FALSE)</f>
        <v>1</v>
      </c>
      <c r="P607">
        <f ca="1">VLOOKUP(K607,投手データ!B:AI,output!O607+6,FALSE)</f>
        <v>1</v>
      </c>
      <c r="R607">
        <f t="shared" ca="1" si="48"/>
        <v>6.9444444444444441E-3</v>
      </c>
      <c r="S607">
        <f t="shared" si="49"/>
        <v>0.48993055555555554</v>
      </c>
      <c r="T607">
        <f>Prams!B$5/(S607-Prams!B$6)</f>
        <v>143.89805194385357</v>
      </c>
      <c r="U607">
        <f t="shared" ca="1" si="50"/>
        <v>0.57326388888888891</v>
      </c>
      <c r="V607">
        <f ca="1">Prams!C$5/(U607-Prams!C$6)</f>
        <v>143.88688833002541</v>
      </c>
      <c r="W607">
        <f t="shared" ca="1" si="51"/>
        <v>0.99921450229184317</v>
      </c>
    </row>
    <row r="608" spans="1:23" hidden="1" x14ac:dyDescent="0.55000000000000004">
      <c r="A608" s="1" t="s">
        <v>1266</v>
      </c>
      <c r="B608" s="1">
        <v>129</v>
      </c>
      <c r="C608">
        <v>639</v>
      </c>
      <c r="D608">
        <v>620.5</v>
      </c>
      <c r="E608">
        <v>11.01146</v>
      </c>
      <c r="F608" t="s">
        <v>0</v>
      </c>
      <c r="G608" s="10" t="s">
        <v>620</v>
      </c>
      <c r="H608">
        <v>99</v>
      </c>
      <c r="I608" t="s">
        <v>1256</v>
      </c>
      <c r="J608">
        <f ca="1">VLOOKUP(G608,INDIRECT("球速変換!A$1:B$" &amp; Prams!$B$8),2,)</f>
        <v>146</v>
      </c>
      <c r="K608" t="str">
        <f ca="1">VLOOKUP(I608,INDIRECT("投手名変換!A$1:B$" &amp; Prams!$B$9),2,)</f>
        <v>DD020</v>
      </c>
      <c r="L608">
        <f t="shared" si="52"/>
        <v>30</v>
      </c>
      <c r="M608">
        <f ca="1">(B608-VLOOKUP(K608,INDIRECT("投手データ!B1:D"&amp;Prams!$B$1),3,FALSE)*2)</f>
        <v>35</v>
      </c>
      <c r="N608" t="str">
        <f ca="1">VLOOKUP(F608,INDIRECT("球種変換表!A$1:B$" &amp; Prams!$B$2),2,)</f>
        <v>ストレート</v>
      </c>
      <c r="O608">
        <f ca="1">VLOOKUP(N608,球種情報!A:B,2,FALSE)</f>
        <v>1</v>
      </c>
      <c r="P608">
        <f ca="1">VLOOKUP(K608,投手データ!B:AI,output!O608+6,FALSE)</f>
        <v>1</v>
      </c>
      <c r="R608">
        <f t="shared" ca="1" si="48"/>
        <v>6.8493150684931503E-3</v>
      </c>
      <c r="S608">
        <f t="shared" si="49"/>
        <v>0.48576388888888888</v>
      </c>
      <c r="T608">
        <f>Prams!B$5/(S608-Prams!B$6)</f>
        <v>145.30727898307077</v>
      </c>
      <c r="U608">
        <f t="shared" ca="1" si="50"/>
        <v>0.56909722222222225</v>
      </c>
      <c r="V608">
        <f ca="1">Prams!C$5/(U608-Prams!C$6)</f>
        <v>145.29589565149269</v>
      </c>
      <c r="W608">
        <f t="shared" ca="1" si="51"/>
        <v>0.99517736747597729</v>
      </c>
    </row>
    <row r="609" spans="1:23" hidden="1" x14ac:dyDescent="0.55000000000000004">
      <c r="A609" s="1" t="s">
        <v>1267</v>
      </c>
      <c r="B609" s="1">
        <v>129</v>
      </c>
      <c r="C609">
        <v>641</v>
      </c>
      <c r="D609">
        <v>619</v>
      </c>
      <c r="E609">
        <v>11.0001</v>
      </c>
      <c r="F609" t="s">
        <v>0</v>
      </c>
      <c r="G609" s="10" t="s">
        <v>2462</v>
      </c>
      <c r="H609">
        <v>99</v>
      </c>
      <c r="I609" t="s">
        <v>1254</v>
      </c>
      <c r="J609">
        <f ca="1">VLOOKUP(G609,INDIRECT("球速変換!A$1:B$" &amp; Prams!$B$8),2,)</f>
        <v>145</v>
      </c>
      <c r="K609" t="str">
        <f ca="1">VLOOKUP(I609,INDIRECT("投手名変換!A$1:B$" &amp; Prams!$B$9),2,)</f>
        <v>DD020</v>
      </c>
      <c r="L609">
        <f t="shared" si="52"/>
        <v>30</v>
      </c>
      <c r="M609">
        <f ca="1">(B609-VLOOKUP(K609,INDIRECT("投手データ!B1:D"&amp;Prams!$B$1),3,FALSE)*2)</f>
        <v>35</v>
      </c>
      <c r="N609" t="str">
        <f ca="1">VLOOKUP(F609,INDIRECT("球種変換表!A$1:B$" &amp; Prams!$B$2),2,)</f>
        <v>ストレート</v>
      </c>
      <c r="O609">
        <f ca="1">VLOOKUP(N609,球種情報!A:B,2,FALSE)</f>
        <v>1</v>
      </c>
      <c r="P609">
        <f ca="1">VLOOKUP(K609,投手データ!B:AI,output!O609+6,FALSE)</f>
        <v>1</v>
      </c>
      <c r="R609">
        <f t="shared" ca="1" si="48"/>
        <v>6.8965517241379309E-3</v>
      </c>
      <c r="S609">
        <f t="shared" si="49"/>
        <v>0.48680555555555555</v>
      </c>
      <c r="T609">
        <f>Prams!B$5/(S609-Prams!B$6)</f>
        <v>144.95239087676336</v>
      </c>
      <c r="U609">
        <f t="shared" ca="1" si="50"/>
        <v>0.57013888888888897</v>
      </c>
      <c r="V609">
        <f ca="1">Prams!C$5/(U609-Prams!C$6)</f>
        <v>144.94106307878658</v>
      </c>
      <c r="W609">
        <f t="shared" ca="1" si="51"/>
        <v>0.99959353847439025</v>
      </c>
    </row>
    <row r="610" spans="1:23" hidden="1" x14ac:dyDescent="0.55000000000000004">
      <c r="A610" s="1" t="s">
        <v>1709</v>
      </c>
      <c r="B610" s="1">
        <v>129</v>
      </c>
      <c r="C610">
        <v>641</v>
      </c>
      <c r="D610">
        <v>616.5</v>
      </c>
      <c r="E610">
        <v>11.01146</v>
      </c>
      <c r="F610" t="s">
        <v>0</v>
      </c>
      <c r="G610" s="10" t="s">
        <v>2462</v>
      </c>
      <c r="H610">
        <v>99</v>
      </c>
      <c r="I610" t="s">
        <v>1254</v>
      </c>
      <c r="J610">
        <f ca="1">VLOOKUP(G610,INDIRECT("球速変換!A$1:B$" &amp; Prams!$B$8),2,)</f>
        <v>145</v>
      </c>
      <c r="K610" t="str">
        <f ca="1">VLOOKUP(I610,INDIRECT("投手名変換!A$1:B$" &amp; Prams!$B$9),2,)</f>
        <v>DD020</v>
      </c>
      <c r="L610">
        <f t="shared" si="52"/>
        <v>30</v>
      </c>
      <c r="M610">
        <f ca="1">(B610-VLOOKUP(K610,INDIRECT("投手データ!B1:D"&amp;Prams!$B$1),3,FALSE)*2)</f>
        <v>35</v>
      </c>
      <c r="N610" t="str">
        <f ca="1">VLOOKUP(F610,INDIRECT("球種変換表!A$1:B$" &amp; Prams!$B$2),2,)</f>
        <v>ストレート</v>
      </c>
      <c r="O610">
        <f ca="1">VLOOKUP(N610,球種情報!A:B,2,FALSE)</f>
        <v>1</v>
      </c>
      <c r="P610">
        <f ca="1">VLOOKUP(K610,投手データ!B:AI,output!O610+6,FALSE)</f>
        <v>1</v>
      </c>
      <c r="R610">
        <f t="shared" ca="1" si="48"/>
        <v>6.8965517241379309E-3</v>
      </c>
      <c r="S610">
        <f t="shared" si="49"/>
        <v>0.48854166666666665</v>
      </c>
      <c r="T610">
        <f>Prams!B$5/(S610-Prams!B$6)</f>
        <v>144.36474731946527</v>
      </c>
      <c r="U610">
        <f t="shared" ca="1" si="50"/>
        <v>0.57187500000000002</v>
      </c>
      <c r="V610">
        <f ca="1">Prams!C$5/(U610-Prams!C$6)</f>
        <v>144.35351117856516</v>
      </c>
      <c r="W610">
        <f t="shared" ca="1" si="51"/>
        <v>0.99554145640389768</v>
      </c>
    </row>
    <row r="611" spans="1:23" hidden="1" x14ac:dyDescent="0.55000000000000004">
      <c r="A611" s="1" t="s">
        <v>1268</v>
      </c>
      <c r="B611" s="1">
        <v>125</v>
      </c>
      <c r="C611">
        <v>640.02270999999996</v>
      </c>
      <c r="D611">
        <v>613</v>
      </c>
      <c r="E611">
        <v>11.02285</v>
      </c>
      <c r="F611" t="s">
        <v>343</v>
      </c>
      <c r="G611" s="10" t="s">
        <v>2466</v>
      </c>
      <c r="H611">
        <v>98</v>
      </c>
      <c r="I611" t="s">
        <v>1256</v>
      </c>
      <c r="J611">
        <f ca="1">VLOOKUP(G611,INDIRECT("球速変換!A$1:B$" &amp; Prams!$B$8),2,)</f>
        <v>144</v>
      </c>
      <c r="K611" t="str">
        <f ca="1">VLOOKUP(I611,INDIRECT("投手名変換!A$1:B$" &amp; Prams!$B$9),2,)</f>
        <v>DD020</v>
      </c>
      <c r="L611">
        <f t="shared" si="52"/>
        <v>27</v>
      </c>
      <c r="M611">
        <f ca="1">(B611-VLOOKUP(K611,INDIRECT("投手データ!B1:D"&amp;Prams!$B$1),3,FALSE)*2)</f>
        <v>31</v>
      </c>
      <c r="N611" t="str">
        <f ca="1">VLOOKUP(F611,INDIRECT("球種変換表!A$1:B$" &amp; Prams!$B$2),2,)</f>
        <v>全力ストレート</v>
      </c>
      <c r="O611">
        <f ca="1">VLOOKUP(N611,球種情報!A:B,2,FALSE)</f>
        <v>2</v>
      </c>
      <c r="P611">
        <f ca="1">VLOOKUP(K611,投手データ!B:AI,output!O611+6,FALSE)</f>
        <v>1</v>
      </c>
      <c r="R611">
        <f t="shared" ca="1" si="48"/>
        <v>6.9444444444444441E-3</v>
      </c>
      <c r="S611">
        <f t="shared" si="49"/>
        <v>0.44097222222222221</v>
      </c>
      <c r="T611">
        <f>Prams!B$5/(S611-Prams!B$6)</f>
        <v>162.40481020417099</v>
      </c>
      <c r="U611">
        <f t="shared" ca="1" si="50"/>
        <v>0.50763888888888886</v>
      </c>
      <c r="V611">
        <f ca="1">Prams!C$5/(U611-Prams!C$6)</f>
        <v>169.82526286874113</v>
      </c>
      <c r="W611">
        <f t="shared" ca="1" si="51"/>
        <v>1.1793421032551468</v>
      </c>
    </row>
    <row r="612" spans="1:23" hidden="1" x14ac:dyDescent="0.55000000000000004">
      <c r="A612" s="1" t="s">
        <v>1269</v>
      </c>
      <c r="B612" s="1">
        <v>125</v>
      </c>
      <c r="C612">
        <v>640.5</v>
      </c>
      <c r="D612">
        <v>613</v>
      </c>
      <c r="E612">
        <v>10.547610000000001</v>
      </c>
      <c r="F612" t="s">
        <v>343</v>
      </c>
      <c r="G612" s="10" t="s">
        <v>1710</v>
      </c>
      <c r="H612">
        <v>98</v>
      </c>
      <c r="I612" t="s">
        <v>1711</v>
      </c>
      <c r="J612">
        <f ca="1">VLOOKUP(G612,INDIRECT("球速変換!A$1:B$" &amp; Prams!$B$8),2,)</f>
        <v>144</v>
      </c>
      <c r="K612" t="s">
        <v>1896</v>
      </c>
      <c r="L612">
        <f t="shared" si="52"/>
        <v>27</v>
      </c>
      <c r="M612">
        <f ca="1">(B612-VLOOKUP(K612,INDIRECT("投手データ!B1:D"&amp;Prams!$B$1),3,FALSE)*2)</f>
        <v>31</v>
      </c>
      <c r="N612" t="str">
        <f ca="1">VLOOKUP(F612,INDIRECT("球種変換表!A$1:B$" &amp; Prams!$B$2),2,)</f>
        <v>全力ストレート</v>
      </c>
      <c r="O612">
        <f ca="1">VLOOKUP(N612,球種情報!A:B,2,FALSE)</f>
        <v>2</v>
      </c>
      <c r="P612">
        <f ca="1">VLOOKUP(K612,投手データ!B:AI,output!O612+6,FALSE)</f>
        <v>1</v>
      </c>
      <c r="R612">
        <f t="shared" ca="1" si="48"/>
        <v>6.9444444444444441E-3</v>
      </c>
      <c r="S612">
        <f t="shared" si="49"/>
        <v>0.44097222222222221</v>
      </c>
      <c r="T612">
        <f>Prams!B$5/(S612-Prams!B$6)</f>
        <v>162.40481020417099</v>
      </c>
      <c r="U612">
        <f t="shared" ca="1" si="50"/>
        <v>0.50763888888888886</v>
      </c>
      <c r="V612">
        <f ca="1">Prams!C$5/(U612-Prams!C$6)</f>
        <v>169.82526286874113</v>
      </c>
      <c r="W612">
        <f t="shared" ca="1" si="51"/>
        <v>1.1793421032551468</v>
      </c>
    </row>
    <row r="613" spans="1:23" hidden="1" x14ac:dyDescent="0.55000000000000004">
      <c r="A613" s="1" t="s">
        <v>1270</v>
      </c>
      <c r="B613" s="1">
        <v>125</v>
      </c>
      <c r="C613">
        <v>640</v>
      </c>
      <c r="D613">
        <v>611</v>
      </c>
      <c r="E613">
        <v>11.0001</v>
      </c>
      <c r="F613" t="s">
        <v>343</v>
      </c>
      <c r="G613" s="10" t="s">
        <v>615</v>
      </c>
      <c r="H613">
        <v>98</v>
      </c>
      <c r="I613" t="s">
        <v>1254</v>
      </c>
      <c r="J613">
        <f ca="1">VLOOKUP(G613,INDIRECT("球速変換!A$1:B$" &amp; Prams!$B$8),2,)</f>
        <v>144</v>
      </c>
      <c r="K613" t="str">
        <f ca="1">VLOOKUP(I613,INDIRECT("投手名変換!A$1:B$" &amp; Prams!$B$9),2,)</f>
        <v>DD020</v>
      </c>
      <c r="L613">
        <f t="shared" si="52"/>
        <v>27</v>
      </c>
      <c r="M613">
        <f ca="1">(B613-VLOOKUP(K613,INDIRECT("投手データ!B1:D"&amp;Prams!$B$1),3,FALSE)*2)</f>
        <v>31</v>
      </c>
      <c r="N613" t="str">
        <f ca="1">VLOOKUP(F613,INDIRECT("球種変換表!A$1:B$" &amp; Prams!$B$2),2,)</f>
        <v>全力ストレート</v>
      </c>
      <c r="O613">
        <f ca="1">VLOOKUP(N613,球種情報!A:B,2,FALSE)</f>
        <v>2</v>
      </c>
      <c r="P613">
        <f ca="1">VLOOKUP(K613,投手データ!B:AI,output!O613+6,FALSE)</f>
        <v>1</v>
      </c>
      <c r="R613">
        <f t="shared" ca="1" si="48"/>
        <v>6.9444444444444441E-3</v>
      </c>
      <c r="S613">
        <f t="shared" si="49"/>
        <v>0.44236111111111115</v>
      </c>
      <c r="T613">
        <f>Prams!B$5/(S613-Prams!B$6)</f>
        <v>161.81442759302612</v>
      </c>
      <c r="U613">
        <f t="shared" ca="1" si="50"/>
        <v>0.50902777777777775</v>
      </c>
      <c r="V613">
        <f ca="1">Prams!C$5/(U613-Prams!C$6)</f>
        <v>169.1798044909315</v>
      </c>
      <c r="W613">
        <f t="shared" ca="1" si="51"/>
        <v>1.1748597534092466</v>
      </c>
    </row>
    <row r="614" spans="1:23" hidden="1" x14ac:dyDescent="0.55000000000000004">
      <c r="A614" s="1" t="s">
        <v>1271</v>
      </c>
      <c r="B614" s="1">
        <v>125</v>
      </c>
      <c r="C614">
        <v>641</v>
      </c>
      <c r="D614">
        <v>618.5</v>
      </c>
      <c r="E614">
        <v>11.01146</v>
      </c>
      <c r="F614" t="s">
        <v>343</v>
      </c>
      <c r="G614" s="10" t="s">
        <v>611</v>
      </c>
      <c r="H614">
        <v>98</v>
      </c>
      <c r="I614" t="s">
        <v>1254</v>
      </c>
      <c r="J614">
        <f ca="1">VLOOKUP(G614,INDIRECT("球速変換!A$1:B$" &amp; Prams!$B$8),2,)</f>
        <v>146</v>
      </c>
      <c r="K614" t="str">
        <f ca="1">VLOOKUP(I614,INDIRECT("投手名変換!A$1:B$" &amp; Prams!$B$9),2,)</f>
        <v>DD020</v>
      </c>
      <c r="L614">
        <f t="shared" si="52"/>
        <v>27</v>
      </c>
      <c r="M614">
        <f ca="1">(B614-VLOOKUP(K614,INDIRECT("投手データ!B1:D"&amp;Prams!$B$1),3,FALSE)*2)</f>
        <v>31</v>
      </c>
      <c r="N614" t="str">
        <f ca="1">VLOOKUP(F614,INDIRECT("球種変換表!A$1:B$" &amp; Prams!$B$2),2,)</f>
        <v>全力ストレート</v>
      </c>
      <c r="O614">
        <f ca="1">VLOOKUP(N614,球種情報!A:B,2,FALSE)</f>
        <v>2</v>
      </c>
      <c r="P614">
        <f ca="1">VLOOKUP(K614,投手データ!B:AI,output!O614+6,FALSE)</f>
        <v>1</v>
      </c>
      <c r="R614">
        <f t="shared" ca="1" si="48"/>
        <v>6.8493150684931503E-3</v>
      </c>
      <c r="S614">
        <f t="shared" si="49"/>
        <v>0.43715277777777778</v>
      </c>
      <c r="T614">
        <f>Prams!B$5/(S614-Prams!B$6)</f>
        <v>164.05080085798315</v>
      </c>
      <c r="U614">
        <f t="shared" ca="1" si="50"/>
        <v>0.50381944444444449</v>
      </c>
      <c r="V614">
        <f ca="1">Prams!C$5/(U614-Prams!C$6)</f>
        <v>171.6259378927968</v>
      </c>
      <c r="W614">
        <f t="shared" ca="1" si="51"/>
        <v>1.1755201225534027</v>
      </c>
    </row>
    <row r="615" spans="1:23" hidden="1" x14ac:dyDescent="0.55000000000000004">
      <c r="A615" s="1" t="s">
        <v>1272</v>
      </c>
      <c r="B615" s="1">
        <v>125</v>
      </c>
      <c r="C615">
        <v>641</v>
      </c>
      <c r="D615">
        <v>617.5</v>
      </c>
      <c r="E615">
        <v>11.01146</v>
      </c>
      <c r="F615" t="s">
        <v>343</v>
      </c>
      <c r="G615" s="10" t="s">
        <v>619</v>
      </c>
      <c r="H615">
        <v>98</v>
      </c>
      <c r="I615" t="s">
        <v>1254</v>
      </c>
      <c r="J615">
        <f ca="1">VLOOKUP(G615,INDIRECT("球速変換!A$1:B$" &amp; Prams!$B$8),2,)</f>
        <v>146</v>
      </c>
      <c r="K615" t="str">
        <f ca="1">VLOOKUP(I615,INDIRECT("投手名変換!A$1:B$" &amp; Prams!$B$9),2,)</f>
        <v>DD020</v>
      </c>
      <c r="L615">
        <f t="shared" si="52"/>
        <v>27</v>
      </c>
      <c r="M615">
        <f ca="1">(B615-VLOOKUP(K615,INDIRECT("投手データ!B1:D"&amp;Prams!$B$1),3,FALSE)*2)</f>
        <v>31</v>
      </c>
      <c r="N615" t="str">
        <f ca="1">VLOOKUP(F615,INDIRECT("球種変換表!A$1:B$" &amp; Prams!$B$2),2,)</f>
        <v>全力ストレート</v>
      </c>
      <c r="O615">
        <f ca="1">VLOOKUP(N615,球種情報!A:B,2,FALSE)</f>
        <v>2</v>
      </c>
      <c r="P615">
        <f ca="1">VLOOKUP(K615,投手データ!B:AI,output!O615+6,FALSE)</f>
        <v>1</v>
      </c>
      <c r="R615">
        <f t="shared" ca="1" si="48"/>
        <v>6.8493150684931503E-3</v>
      </c>
      <c r="S615">
        <f t="shared" si="49"/>
        <v>0.43784722222222222</v>
      </c>
      <c r="T615">
        <f>Prams!B$5/(S615-Prams!B$6)</f>
        <v>163.74905273071067</v>
      </c>
      <c r="U615">
        <f t="shared" ca="1" si="50"/>
        <v>0.50451388888888882</v>
      </c>
      <c r="V615">
        <f ca="1">Prams!C$5/(U615-Prams!C$6)</f>
        <v>171.2957076557197</v>
      </c>
      <c r="W615">
        <f t="shared" ca="1" si="51"/>
        <v>1.1732582716145186</v>
      </c>
    </row>
    <row r="616" spans="1:23" hidden="1" x14ac:dyDescent="0.55000000000000004">
      <c r="A616" s="1" t="s">
        <v>1273</v>
      </c>
      <c r="B616" s="1">
        <v>125</v>
      </c>
      <c r="C616">
        <v>641.5</v>
      </c>
      <c r="D616">
        <v>622.5</v>
      </c>
      <c r="E616">
        <v>10.512</v>
      </c>
      <c r="F616" t="s">
        <v>343</v>
      </c>
      <c r="G616" s="10" t="s">
        <v>635</v>
      </c>
      <c r="H616">
        <v>98</v>
      </c>
      <c r="I616" t="s">
        <v>1256</v>
      </c>
      <c r="J616">
        <f ca="1">VLOOKUP(G616,INDIRECT("球速変換!A$1:B$" &amp; Prams!$B$8),2,)</f>
        <v>148</v>
      </c>
      <c r="K616" t="str">
        <f ca="1">VLOOKUP(I616,INDIRECT("投手名変換!A$1:B$" &amp; Prams!$B$9),2,)</f>
        <v>DD020</v>
      </c>
      <c r="L616">
        <f t="shared" si="52"/>
        <v>27</v>
      </c>
      <c r="M616">
        <f ca="1">(B616-VLOOKUP(K616,INDIRECT("投手データ!B1:D"&amp;Prams!$B$1),3,FALSE)*2)</f>
        <v>31</v>
      </c>
      <c r="N616" t="str">
        <f ca="1">VLOOKUP(F616,INDIRECT("球種変換表!A$1:B$" &amp; Prams!$B$2),2,)</f>
        <v>全力ストレート</v>
      </c>
      <c r="O616">
        <f ca="1">VLOOKUP(N616,球種情報!A:B,2,FALSE)</f>
        <v>2</v>
      </c>
      <c r="P616">
        <f ca="1">VLOOKUP(K616,投手データ!B:AI,output!O616+6,FALSE)</f>
        <v>1</v>
      </c>
      <c r="R616">
        <f t="shared" ca="1" si="48"/>
        <v>6.7567567567567571E-3</v>
      </c>
      <c r="S616">
        <f t="shared" si="49"/>
        <v>0.43437500000000001</v>
      </c>
      <c r="T616">
        <f>Prams!B$5/(S616-Prams!B$6)</f>
        <v>165.26899685891868</v>
      </c>
      <c r="U616">
        <f t="shared" ca="1" si="50"/>
        <v>0.50104166666666672</v>
      </c>
      <c r="V616">
        <f ca="1">Prams!C$5/(U616-Prams!C$6)</f>
        <v>172.9596903923717</v>
      </c>
      <c r="W616">
        <f t="shared" ca="1" si="51"/>
        <v>1.1686465567052142</v>
      </c>
    </row>
    <row r="617" spans="1:23" hidden="1" x14ac:dyDescent="0.55000000000000004">
      <c r="A617" s="1" t="s">
        <v>1274</v>
      </c>
      <c r="B617" s="1">
        <v>125</v>
      </c>
      <c r="C617">
        <v>641.5</v>
      </c>
      <c r="D617">
        <v>619.5</v>
      </c>
      <c r="E617">
        <v>10.512</v>
      </c>
      <c r="F617" t="s">
        <v>343</v>
      </c>
      <c r="G617" s="10" t="s">
        <v>638</v>
      </c>
      <c r="H617">
        <v>98</v>
      </c>
      <c r="I617" t="s">
        <v>1256</v>
      </c>
      <c r="J617">
        <f ca="1">VLOOKUP(G617,INDIRECT("球速変換!A$1:B$" &amp; Prams!$B$8),2,)</f>
        <v>147</v>
      </c>
      <c r="K617" t="str">
        <f ca="1">VLOOKUP(I617,INDIRECT("投手名変換!A$1:B$" &amp; Prams!$B$9),2,)</f>
        <v>DD020</v>
      </c>
      <c r="L617">
        <f t="shared" si="52"/>
        <v>27</v>
      </c>
      <c r="M617">
        <f ca="1">(B617-VLOOKUP(K617,INDIRECT("投手データ!B1:D"&amp;Prams!$B$1),3,FALSE)*2)</f>
        <v>31</v>
      </c>
      <c r="N617" t="str">
        <f ca="1">VLOOKUP(F617,INDIRECT("球種変換表!A$1:B$" &amp; Prams!$B$2),2,)</f>
        <v>全力ストレート</v>
      </c>
      <c r="O617">
        <f ca="1">VLOOKUP(N617,球種情報!A:B,2,FALSE)</f>
        <v>2</v>
      </c>
      <c r="P617">
        <f ca="1">VLOOKUP(K617,投手データ!B:AI,output!O617+6,FALSE)</f>
        <v>1</v>
      </c>
      <c r="R617">
        <f t="shared" ca="1" si="48"/>
        <v>6.8027210884353739E-3</v>
      </c>
      <c r="S617">
        <f t="shared" si="49"/>
        <v>0.43645833333333334</v>
      </c>
      <c r="T617">
        <f>Prams!B$5/(S617-Prams!B$6)</f>
        <v>164.35366312944461</v>
      </c>
      <c r="U617">
        <f t="shared" ca="1" si="50"/>
        <v>0.50312500000000004</v>
      </c>
      <c r="V617">
        <f ca="1">Prams!C$5/(U617-Prams!C$6)</f>
        <v>171.95744384952366</v>
      </c>
      <c r="W617">
        <f t="shared" ca="1" si="51"/>
        <v>1.1697785295885963</v>
      </c>
    </row>
    <row r="618" spans="1:23" hidden="1" x14ac:dyDescent="0.55000000000000004">
      <c r="A618" s="1" t="s">
        <v>1275</v>
      </c>
      <c r="B618" s="1">
        <v>125</v>
      </c>
      <c r="C618">
        <v>640.5</v>
      </c>
      <c r="D618">
        <v>612</v>
      </c>
      <c r="E618">
        <v>11.5001</v>
      </c>
      <c r="F618" t="s">
        <v>343</v>
      </c>
      <c r="G618" s="10" t="s">
        <v>615</v>
      </c>
      <c r="H618">
        <v>98</v>
      </c>
      <c r="I618" t="s">
        <v>1712</v>
      </c>
      <c r="J618">
        <f ca="1">VLOOKUP(G618,INDIRECT("球速変換!A$1:B$" &amp; Prams!$B$8),2,)</f>
        <v>144</v>
      </c>
      <c r="K618" t="s">
        <v>1896</v>
      </c>
      <c r="L618">
        <f t="shared" si="52"/>
        <v>27</v>
      </c>
      <c r="M618">
        <f ca="1">(B618-VLOOKUP(K618,INDIRECT("投手データ!B1:D"&amp;Prams!$B$1),3,FALSE)*2)</f>
        <v>31</v>
      </c>
      <c r="N618" t="str">
        <f ca="1">VLOOKUP(F618,INDIRECT("球種変換表!A$1:B$" &amp; Prams!$B$2),2,)</f>
        <v>全力ストレート</v>
      </c>
      <c r="O618">
        <f ca="1">VLOOKUP(N618,球種情報!A:B,2,FALSE)</f>
        <v>2</v>
      </c>
      <c r="P618">
        <f ca="1">VLOOKUP(K618,投手データ!B:AI,output!O618+6,FALSE)</f>
        <v>1</v>
      </c>
      <c r="R618">
        <f t="shared" ca="1" si="48"/>
        <v>6.9444444444444441E-3</v>
      </c>
      <c r="S618">
        <f t="shared" si="49"/>
        <v>0.44166666666666665</v>
      </c>
      <c r="T618">
        <f>Prams!B$5/(S618-Prams!B$6)</f>
        <v>162.1090813740058</v>
      </c>
      <c r="U618">
        <f t="shared" ca="1" si="50"/>
        <v>0.5083333333333333</v>
      </c>
      <c r="V618">
        <f ca="1">Prams!C$5/(U618-Prams!C$6)</f>
        <v>169.50191921038203</v>
      </c>
      <c r="W618">
        <f t="shared" ca="1" si="51"/>
        <v>1.1770966611832085</v>
      </c>
    </row>
    <row r="619" spans="1:23" hidden="1" x14ac:dyDescent="0.55000000000000004">
      <c r="A619" s="1" t="s">
        <v>1277</v>
      </c>
      <c r="B619" s="1">
        <v>125</v>
      </c>
      <c r="C619">
        <v>640.97729000000004</v>
      </c>
      <c r="D619">
        <v>613</v>
      </c>
      <c r="E619">
        <v>11.02281</v>
      </c>
      <c r="F619" t="s">
        <v>343</v>
      </c>
      <c r="G619" s="10" t="s">
        <v>1713</v>
      </c>
      <c r="H619">
        <v>98</v>
      </c>
      <c r="I619" t="s">
        <v>1254</v>
      </c>
      <c r="J619">
        <f ca="1">VLOOKUP(G619,INDIRECT("球速変換!A$1:B$" &amp; Prams!$B$8),2,)</f>
        <v>144</v>
      </c>
      <c r="K619" t="str">
        <f ca="1">VLOOKUP(I619,INDIRECT("投手名変換!A$1:B$" &amp; Prams!$B$9),2,)</f>
        <v>DD020</v>
      </c>
      <c r="L619">
        <f t="shared" si="52"/>
        <v>27</v>
      </c>
      <c r="M619">
        <f ca="1">(B619-VLOOKUP(K619,INDIRECT("投手データ!B1:D"&amp;Prams!$B$1),3,FALSE)*2)</f>
        <v>31</v>
      </c>
      <c r="N619" t="str">
        <f ca="1">VLOOKUP(F619,INDIRECT("球種変換表!A$1:B$" &amp; Prams!$B$2),2,)</f>
        <v>全力ストレート</v>
      </c>
      <c r="O619">
        <f ca="1">VLOOKUP(N619,球種情報!A:B,2,FALSE)</f>
        <v>2</v>
      </c>
      <c r="P619">
        <f ca="1">VLOOKUP(K619,投手データ!B:AI,output!O619+6,FALSE)</f>
        <v>1</v>
      </c>
      <c r="R619">
        <f t="shared" ca="1" si="48"/>
        <v>6.9444444444444441E-3</v>
      </c>
      <c r="S619">
        <f t="shared" si="49"/>
        <v>0.44097222222222221</v>
      </c>
      <c r="T619">
        <f>Prams!B$5/(S619-Prams!B$6)</f>
        <v>162.40481020417099</v>
      </c>
      <c r="U619">
        <f t="shared" ca="1" si="50"/>
        <v>0.50763888888888886</v>
      </c>
      <c r="V619">
        <f ca="1">Prams!C$5/(U619-Prams!C$6)</f>
        <v>169.82526286874113</v>
      </c>
      <c r="W619">
        <f t="shared" ca="1" si="51"/>
        <v>1.1793421032551468</v>
      </c>
    </row>
    <row r="620" spans="1:23" hidden="1" x14ac:dyDescent="0.55000000000000004">
      <c r="A620" s="1" t="s">
        <v>1714</v>
      </c>
      <c r="B620" s="1">
        <v>125</v>
      </c>
      <c r="C620">
        <v>641</v>
      </c>
      <c r="D620">
        <v>615.5</v>
      </c>
      <c r="E620">
        <v>10.012589999999999</v>
      </c>
      <c r="F620" t="s">
        <v>343</v>
      </c>
      <c r="G620" s="10" t="s">
        <v>2462</v>
      </c>
      <c r="H620">
        <v>98</v>
      </c>
      <c r="I620" t="s">
        <v>1254</v>
      </c>
      <c r="J620">
        <f ca="1">VLOOKUP(G620,INDIRECT("球速変換!A$1:B$" &amp; Prams!$B$8),2,)</f>
        <v>145</v>
      </c>
      <c r="K620" t="str">
        <f ca="1">VLOOKUP(I620,INDIRECT("投手名変換!A$1:B$" &amp; Prams!$B$9),2,)</f>
        <v>DD020</v>
      </c>
      <c r="L620">
        <f t="shared" si="52"/>
        <v>27</v>
      </c>
      <c r="M620">
        <f ca="1">(B620-VLOOKUP(K620,INDIRECT("投手データ!B1:D"&amp;Prams!$B$1),3,FALSE)*2)</f>
        <v>31</v>
      </c>
      <c r="N620" t="str">
        <f ca="1">VLOOKUP(F620,INDIRECT("球種変換表!A$1:B$" &amp; Prams!$B$2),2,)</f>
        <v>全力ストレート</v>
      </c>
      <c r="O620">
        <f ca="1">VLOOKUP(N620,球種情報!A:B,2,FALSE)</f>
        <v>2</v>
      </c>
      <c r="P620">
        <f ca="1">VLOOKUP(K620,投手データ!B:AI,output!O620+6,FALSE)</f>
        <v>1</v>
      </c>
      <c r="R620">
        <f t="shared" ca="1" si="48"/>
        <v>6.8965517241379309E-3</v>
      </c>
      <c r="S620">
        <f t="shared" si="49"/>
        <v>0.4392361111111111</v>
      </c>
      <c r="T620">
        <f>Prams!B$5/(S620-Prams!B$6)</f>
        <v>163.14887440714867</v>
      </c>
      <c r="U620">
        <f t="shared" ca="1" si="50"/>
        <v>0.50590277777777781</v>
      </c>
      <c r="V620">
        <f ca="1">Prams!C$5/(U620-Prams!C$6)</f>
        <v>170.63904499766156</v>
      </c>
      <c r="W620">
        <f t="shared" ca="1" si="51"/>
        <v>1.1768209999838728</v>
      </c>
    </row>
    <row r="621" spans="1:23" hidden="1" x14ac:dyDescent="0.55000000000000004">
      <c r="A621" s="1" t="s">
        <v>1278</v>
      </c>
      <c r="B621" s="1">
        <v>141</v>
      </c>
      <c r="C621">
        <v>638.5</v>
      </c>
      <c r="D621">
        <v>611</v>
      </c>
      <c r="E621">
        <v>10.547610000000001</v>
      </c>
      <c r="F621" t="s">
        <v>506</v>
      </c>
      <c r="G621" s="10" t="s">
        <v>629</v>
      </c>
      <c r="H621">
        <v>101</v>
      </c>
      <c r="I621" t="s">
        <v>1254</v>
      </c>
      <c r="J621">
        <f ca="1">VLOOKUP(G621,INDIRECT("球速変換!A$1:B$" &amp; Prams!$B$8),2,)</f>
        <v>121</v>
      </c>
      <c r="K621" t="str">
        <f ca="1">VLOOKUP(I621,INDIRECT("投手名変換!A$1:B$" &amp; Prams!$B$9),2,)</f>
        <v>DD020</v>
      </c>
      <c r="L621">
        <f t="shared" si="52"/>
        <v>40</v>
      </c>
      <c r="M621">
        <f ca="1">(B621-VLOOKUP(K621,INDIRECT("投手データ!B1:D"&amp;Prams!$B$1),3,FALSE)*2)</f>
        <v>47</v>
      </c>
      <c r="N621" t="str">
        <f ca="1">VLOOKUP(F621,INDIRECT("球種変換表!A$1:B$" &amp; Prams!$B$2),2,)</f>
        <v>パーム</v>
      </c>
      <c r="O621">
        <f ca="1">VLOOKUP(N621,球種情報!A:B,2,FALSE)</f>
        <v>17</v>
      </c>
      <c r="P621">
        <f ca="1">VLOOKUP(K621,投手データ!B:AI,output!O621+6,FALSE)</f>
        <v>6</v>
      </c>
      <c r="R621">
        <f t="shared" ca="1" si="48"/>
        <v>8.2644628099173556E-3</v>
      </c>
      <c r="S621">
        <f t="shared" si="49"/>
        <v>0.65902777777777777</v>
      </c>
      <c r="T621">
        <f>Prams!B$5/(S621-Prams!B$6)</f>
        <v>103.25727700401778</v>
      </c>
      <c r="U621">
        <f t="shared" ca="1" si="50"/>
        <v>0.77569444444444435</v>
      </c>
      <c r="V621">
        <f ca="1">Prams!C$5/(U621-Prams!C$6)</f>
        <v>97.80658656846289</v>
      </c>
      <c r="W621">
        <f t="shared" ca="1" si="51"/>
        <v>0.80831889726002393</v>
      </c>
    </row>
    <row r="622" spans="1:23" hidden="1" x14ac:dyDescent="0.55000000000000004">
      <c r="A622" s="1" t="s">
        <v>1280</v>
      </c>
      <c r="B622" s="1">
        <v>141</v>
      </c>
      <c r="C622">
        <v>641</v>
      </c>
      <c r="D622">
        <v>604.5</v>
      </c>
      <c r="E622">
        <v>11.01146</v>
      </c>
      <c r="F622" t="s">
        <v>42</v>
      </c>
      <c r="G622" s="10" t="s">
        <v>2428</v>
      </c>
      <c r="H622">
        <v>101</v>
      </c>
      <c r="I622" t="s">
        <v>1254</v>
      </c>
      <c r="J622">
        <f ca="1">VLOOKUP(G622,INDIRECT("球速変換!A$1:B$" &amp; Prams!$B$8),2,)</f>
        <v>120</v>
      </c>
      <c r="K622" t="str">
        <f ca="1">VLOOKUP(I622,INDIRECT("投手名変換!A$1:B$" &amp; Prams!$B$9),2,)</f>
        <v>DD020</v>
      </c>
      <c r="L622">
        <f t="shared" si="52"/>
        <v>40</v>
      </c>
      <c r="M622">
        <f ca="1">(B622-VLOOKUP(K622,INDIRECT("投手データ!B1:D"&amp;Prams!$B$1),3,FALSE)*2)</f>
        <v>47</v>
      </c>
      <c r="N622" t="str">
        <f ca="1">VLOOKUP(F622,INDIRECT("球種変換表!A$1:B$" &amp; Prams!$B$2),2,)</f>
        <v>パーム</v>
      </c>
      <c r="O622">
        <f ca="1">VLOOKUP(N622,球種情報!A:B,2,FALSE)</f>
        <v>17</v>
      </c>
      <c r="P622">
        <f ca="1">VLOOKUP(K622,投手データ!B:AI,output!O622+6,FALSE)</f>
        <v>6</v>
      </c>
      <c r="R622">
        <f t="shared" ca="1" si="48"/>
        <v>8.3333333333333332E-3</v>
      </c>
      <c r="S622">
        <f t="shared" si="49"/>
        <v>0.6635416666666667</v>
      </c>
      <c r="T622">
        <f>Prams!B$5/(S622-Prams!B$6)</f>
        <v>102.48463164292917</v>
      </c>
      <c r="U622">
        <f t="shared" ca="1" si="50"/>
        <v>0.78020833333333328</v>
      </c>
      <c r="V622">
        <f ca="1">Prams!C$5/(U622-Prams!C$6)</f>
        <v>97.113086277538542</v>
      </c>
      <c r="W622">
        <f t="shared" ca="1" si="51"/>
        <v>0.8092757189794878</v>
      </c>
    </row>
    <row r="623" spans="1:23" hidden="1" x14ac:dyDescent="0.55000000000000004">
      <c r="A623" s="1" t="s">
        <v>1282</v>
      </c>
      <c r="B623" s="1">
        <v>141</v>
      </c>
      <c r="C623">
        <v>638.5</v>
      </c>
      <c r="D623">
        <v>615</v>
      </c>
      <c r="E623">
        <v>10.5001</v>
      </c>
      <c r="F623" t="s">
        <v>42</v>
      </c>
      <c r="G623" s="10" t="s">
        <v>1715</v>
      </c>
      <c r="H623">
        <v>101</v>
      </c>
      <c r="I623" t="s">
        <v>1256</v>
      </c>
      <c r="J623">
        <f ca="1">VLOOKUP(G623,INDIRECT("球速変換!A$1:B$" &amp; Prams!$B$8),2,)</f>
        <v>122</v>
      </c>
      <c r="K623" t="str">
        <f ca="1">VLOOKUP(I623,INDIRECT("投手名変換!A$1:B$" &amp; Prams!$B$9),2,)</f>
        <v>DD020</v>
      </c>
      <c r="L623">
        <f t="shared" si="52"/>
        <v>40</v>
      </c>
      <c r="M623">
        <f ca="1">(B623-VLOOKUP(K623,INDIRECT("投手データ!B1:D"&amp;Prams!$B$1),3,FALSE)*2)</f>
        <v>47</v>
      </c>
      <c r="N623" t="str">
        <f ca="1">VLOOKUP(F623,INDIRECT("球種変換表!A$1:B$" &amp; Prams!$B$2),2,)</f>
        <v>パーム</v>
      </c>
      <c r="O623">
        <f ca="1">VLOOKUP(N623,球種情報!A:B,2,FALSE)</f>
        <v>17</v>
      </c>
      <c r="P623">
        <f ca="1">VLOOKUP(K623,投手データ!B:AI,output!O623+6,FALSE)</f>
        <v>6</v>
      </c>
      <c r="R623">
        <f t="shared" ca="1" si="48"/>
        <v>8.1967213114754103E-3</v>
      </c>
      <c r="S623">
        <f t="shared" si="49"/>
        <v>0.65625</v>
      </c>
      <c r="T623">
        <f>Prams!B$5/(S623-Prams!B$6)</f>
        <v>103.73856867186845</v>
      </c>
      <c r="U623">
        <f t="shared" ca="1" si="50"/>
        <v>0.7729166666666667</v>
      </c>
      <c r="V623">
        <f ca="1">Prams!C$5/(U623-Prams!C$6)</f>
        <v>98.238300802457687</v>
      </c>
      <c r="W623">
        <f t="shared" ca="1" si="51"/>
        <v>0.80523197379063682</v>
      </c>
    </row>
    <row r="624" spans="1:23" hidden="1" x14ac:dyDescent="0.55000000000000004">
      <c r="A624" s="1" t="s">
        <v>1283</v>
      </c>
      <c r="B624" s="1">
        <v>141</v>
      </c>
      <c r="C624">
        <v>645.04998999999998</v>
      </c>
      <c r="D624">
        <v>609.5</v>
      </c>
      <c r="E624">
        <v>10.06254</v>
      </c>
      <c r="F624" t="s">
        <v>506</v>
      </c>
      <c r="G624" s="10" t="s">
        <v>629</v>
      </c>
      <c r="H624">
        <v>101</v>
      </c>
      <c r="I624" t="s">
        <v>1256</v>
      </c>
      <c r="J624">
        <f ca="1">VLOOKUP(G624,INDIRECT("球速変換!A$1:B$" &amp; Prams!$B$8),2,)</f>
        <v>121</v>
      </c>
      <c r="K624" t="str">
        <f ca="1">VLOOKUP(I624,INDIRECT("投手名変換!A$1:B$" &amp; Prams!$B$9),2,)</f>
        <v>DD020</v>
      </c>
      <c r="L624">
        <f t="shared" si="52"/>
        <v>40</v>
      </c>
      <c r="M624">
        <f ca="1">(B624-VLOOKUP(K624,INDIRECT("投手データ!B1:D"&amp;Prams!$B$1),3,FALSE)*2)</f>
        <v>47</v>
      </c>
      <c r="N624" t="str">
        <f ca="1">VLOOKUP(F624,INDIRECT("球種変換表!A$1:B$" &amp; Prams!$B$2),2,)</f>
        <v>パーム</v>
      </c>
      <c r="O624">
        <f ca="1">VLOOKUP(N624,球種情報!A:B,2,FALSE)</f>
        <v>17</v>
      </c>
      <c r="P624">
        <f ca="1">VLOOKUP(K624,投手データ!B:AI,output!O624+6,FALSE)</f>
        <v>6</v>
      </c>
      <c r="R624">
        <f t="shared" ca="1" si="48"/>
        <v>8.2644628099173556E-3</v>
      </c>
      <c r="S624">
        <f t="shared" si="49"/>
        <v>0.66006944444444438</v>
      </c>
      <c r="T624">
        <f>Prams!B$5/(S624-Prams!B$6)</f>
        <v>103.07794198696723</v>
      </c>
      <c r="U624">
        <f t="shared" ca="1" si="50"/>
        <v>0.77673611111111107</v>
      </c>
      <c r="V624">
        <f ca="1">Prams!C$5/(U624-Prams!C$6)</f>
        <v>97.645670362261924</v>
      </c>
      <c r="W624">
        <f t="shared" ca="1" si="51"/>
        <v>0.80698901125836298</v>
      </c>
    </row>
    <row r="625" spans="1:23" hidden="1" x14ac:dyDescent="0.55000000000000004">
      <c r="A625" s="1" t="s">
        <v>1284</v>
      </c>
      <c r="B625" s="1">
        <v>141</v>
      </c>
      <c r="C625">
        <v>645.04998999999998</v>
      </c>
      <c r="D625">
        <v>609.5</v>
      </c>
      <c r="E625">
        <v>10.06254</v>
      </c>
      <c r="F625" t="s">
        <v>42</v>
      </c>
      <c r="G625" s="10" t="s">
        <v>629</v>
      </c>
      <c r="H625">
        <v>101</v>
      </c>
      <c r="I625" t="s">
        <v>1256</v>
      </c>
      <c r="J625">
        <f ca="1">VLOOKUP(G625,INDIRECT("球速変換!A$1:B$" &amp; Prams!$B$8),2,)</f>
        <v>121</v>
      </c>
      <c r="K625" t="str">
        <f ca="1">VLOOKUP(I625,INDIRECT("投手名変換!A$1:B$" &amp; Prams!$B$9),2,)</f>
        <v>DD020</v>
      </c>
      <c r="L625">
        <f t="shared" si="52"/>
        <v>40</v>
      </c>
      <c r="M625">
        <f ca="1">(B625-VLOOKUP(K625,INDIRECT("投手データ!B1:D"&amp;Prams!$B$1),3,FALSE)*2)</f>
        <v>47</v>
      </c>
      <c r="N625" t="str">
        <f ca="1">VLOOKUP(F625,INDIRECT("球種変換表!A$1:B$" &amp; Prams!$B$2),2,)</f>
        <v>パーム</v>
      </c>
      <c r="O625">
        <f ca="1">VLOOKUP(N625,球種情報!A:B,2,FALSE)</f>
        <v>17</v>
      </c>
      <c r="P625">
        <f ca="1">VLOOKUP(K625,投手データ!B:AI,output!O625+6,FALSE)</f>
        <v>6</v>
      </c>
      <c r="R625">
        <f t="shared" ca="1" si="48"/>
        <v>8.2644628099173556E-3</v>
      </c>
      <c r="S625">
        <f t="shared" si="49"/>
        <v>0.66006944444444438</v>
      </c>
      <c r="T625">
        <f>Prams!B$5/(S625-Prams!B$6)</f>
        <v>103.07794198696723</v>
      </c>
      <c r="U625">
        <f t="shared" ca="1" si="50"/>
        <v>0.77673611111111107</v>
      </c>
      <c r="V625">
        <f ca="1">Prams!C$5/(U625-Prams!C$6)</f>
        <v>97.645670362261924</v>
      </c>
      <c r="W625">
        <f t="shared" ca="1" si="51"/>
        <v>0.80698901125836298</v>
      </c>
    </row>
    <row r="626" spans="1:23" hidden="1" x14ac:dyDescent="0.55000000000000004">
      <c r="A626" s="1" t="s">
        <v>2181</v>
      </c>
      <c r="B626" s="1">
        <v>141</v>
      </c>
      <c r="C626">
        <v>644.5</v>
      </c>
      <c r="D626">
        <v>611</v>
      </c>
      <c r="E626">
        <v>10.547610000000001</v>
      </c>
      <c r="F626" t="s">
        <v>42</v>
      </c>
      <c r="G626" s="10" t="s">
        <v>2426</v>
      </c>
      <c r="H626">
        <v>101</v>
      </c>
      <c r="I626" t="s">
        <v>1256</v>
      </c>
      <c r="J626">
        <f ca="1">VLOOKUP(G626,INDIRECT("球速変換!A$1:B$" &amp; Prams!$B$8),2,)</f>
        <v>121</v>
      </c>
      <c r="K626" t="str">
        <f ca="1">VLOOKUP(I626,INDIRECT("投手名変換!A$1:B$" &amp; Prams!$B$9),2,)</f>
        <v>DD020</v>
      </c>
      <c r="L626">
        <f t="shared" si="52"/>
        <v>40</v>
      </c>
      <c r="M626">
        <f ca="1">(B626-VLOOKUP(K626,INDIRECT("投手データ!B1:D"&amp;Prams!$B$1),3,FALSE)*2)</f>
        <v>47</v>
      </c>
      <c r="N626" t="str">
        <f ca="1">VLOOKUP(F626,INDIRECT("球種変換表!A$1:B$" &amp; Prams!$B$2),2,)</f>
        <v>パーム</v>
      </c>
      <c r="O626">
        <f ca="1">VLOOKUP(N626,球種情報!A:B,2,FALSE)</f>
        <v>17</v>
      </c>
      <c r="P626">
        <f ca="1">VLOOKUP(K626,投手データ!B:AI,output!O626+6,FALSE)</f>
        <v>6</v>
      </c>
      <c r="R626">
        <f t="shared" ca="1" si="48"/>
        <v>8.2644628099173556E-3</v>
      </c>
      <c r="S626">
        <f t="shared" si="49"/>
        <v>0.65902777777777777</v>
      </c>
      <c r="T626">
        <f>Prams!B$5/(S626-Prams!B$6)</f>
        <v>103.25727700401778</v>
      </c>
      <c r="U626">
        <f t="shared" ca="1" si="50"/>
        <v>0.77569444444444435</v>
      </c>
      <c r="V626">
        <f ca="1">Prams!C$5/(U626-Prams!C$6)</f>
        <v>97.80658656846289</v>
      </c>
      <c r="W626">
        <f t="shared" ca="1" si="51"/>
        <v>0.80831889726002393</v>
      </c>
    </row>
    <row r="627" spans="1:23" hidden="1" x14ac:dyDescent="0.55000000000000004">
      <c r="A627" s="1" t="s">
        <v>2182</v>
      </c>
      <c r="B627" s="1">
        <v>141</v>
      </c>
      <c r="C627">
        <v>637.5</v>
      </c>
      <c r="D627">
        <v>614</v>
      </c>
      <c r="E627">
        <v>10.547610000000001</v>
      </c>
      <c r="F627" t="s">
        <v>502</v>
      </c>
      <c r="G627" s="10" t="s">
        <v>1056</v>
      </c>
      <c r="H627">
        <v>101</v>
      </c>
      <c r="I627" t="s">
        <v>1256</v>
      </c>
      <c r="J627">
        <f ca="1">VLOOKUP(G627,INDIRECT("球速変換!A$1:B$" &amp; Prams!$B$8),2,)</f>
        <v>122</v>
      </c>
      <c r="K627" t="str">
        <f ca="1">VLOOKUP(I627,INDIRECT("投手名変換!A$1:B$" &amp; Prams!$B$9),2,)</f>
        <v>DD020</v>
      </c>
      <c r="L627">
        <f t="shared" si="52"/>
        <v>40</v>
      </c>
      <c r="M627">
        <f ca="1">(B627-VLOOKUP(K627,INDIRECT("投手データ!B1:D"&amp;Prams!$B$1),3,FALSE)*2)</f>
        <v>47</v>
      </c>
      <c r="N627" t="str">
        <f ca="1">VLOOKUP(F627,INDIRECT("球種変換表!A$1:B$" &amp; Prams!$B$2),2,)</f>
        <v>パーム</v>
      </c>
      <c r="O627">
        <f ca="1">VLOOKUP(N627,球種情報!A:B,2,FALSE)</f>
        <v>17</v>
      </c>
      <c r="P627">
        <f ca="1">VLOOKUP(K627,投手データ!B:AI,output!O627+6,FALSE)</f>
        <v>6</v>
      </c>
      <c r="R627">
        <f t="shared" ca="1" si="48"/>
        <v>8.1967213114754103E-3</v>
      </c>
      <c r="S627">
        <f t="shared" si="49"/>
        <v>0.65694444444444444</v>
      </c>
      <c r="T627">
        <f>Prams!B$5/(S627-Prams!B$6)</f>
        <v>103.61782561734144</v>
      </c>
      <c r="U627">
        <f t="shared" ca="1" si="50"/>
        <v>0.77361111111111103</v>
      </c>
      <c r="V627">
        <f ca="1">Prams!C$5/(U627-Prams!C$6)</f>
        <v>98.130015343644743</v>
      </c>
      <c r="W627">
        <f t="shared" ca="1" si="51"/>
        <v>0.80434438806266184</v>
      </c>
    </row>
    <row r="628" spans="1:23" hidden="1" x14ac:dyDescent="0.55000000000000004">
      <c r="A628" s="1" t="s">
        <v>2183</v>
      </c>
      <c r="B628" s="1">
        <v>140</v>
      </c>
      <c r="C628">
        <v>637.04998999999998</v>
      </c>
      <c r="D628">
        <v>600.5</v>
      </c>
      <c r="E628">
        <v>10.06254</v>
      </c>
      <c r="F628" t="s">
        <v>506</v>
      </c>
      <c r="G628" s="10" t="s">
        <v>1097</v>
      </c>
      <c r="H628">
        <v>101</v>
      </c>
      <c r="I628" t="s">
        <v>1254</v>
      </c>
      <c r="J628">
        <f ca="1">VLOOKUP(G628,INDIRECT("球速変換!A$1:B$" &amp; Prams!$B$8),2,)</f>
        <v>123</v>
      </c>
      <c r="K628" t="str">
        <f ca="1">VLOOKUP(I628,INDIRECT("投手名変換!A$1:B$" &amp; Prams!$B$9),2,)</f>
        <v>DD020</v>
      </c>
      <c r="L628">
        <f t="shared" si="52"/>
        <v>39</v>
      </c>
      <c r="M628">
        <f ca="1">(B628-VLOOKUP(K628,INDIRECT("投手データ!B1:D"&amp;Prams!$B$1),3,FALSE)*2)</f>
        <v>46</v>
      </c>
      <c r="N628" t="str">
        <f ca="1">VLOOKUP(F628,INDIRECT("球種変換表!A$1:B$" &amp; Prams!$B$2),2,)</f>
        <v>パーム</v>
      </c>
      <c r="O628">
        <f ca="1">VLOOKUP(N628,球種情報!A:B,2,FALSE)</f>
        <v>17</v>
      </c>
      <c r="P628">
        <f ca="1">VLOOKUP(K628,投手データ!B:AI,output!O628+6,FALSE)</f>
        <v>6</v>
      </c>
      <c r="R628">
        <f t="shared" ca="1" si="48"/>
        <v>8.130081300813009E-3</v>
      </c>
      <c r="S628">
        <f t="shared" si="49"/>
        <v>0.64965277777777775</v>
      </c>
      <c r="T628">
        <f>Prams!B$5/(S628-Prams!B$6)</f>
        <v>104.89981948182329</v>
      </c>
      <c r="U628">
        <f t="shared" ca="1" si="50"/>
        <v>0.76631944444444444</v>
      </c>
      <c r="V628">
        <f ca="1">Prams!C$5/(U628-Prams!C$6)</f>
        <v>99.279058252557121</v>
      </c>
      <c r="W628">
        <f t="shared" ca="1" si="51"/>
        <v>0.80714681506144004</v>
      </c>
    </row>
    <row r="629" spans="1:23" hidden="1" x14ac:dyDescent="0.55000000000000004">
      <c r="A629" s="1" t="s">
        <v>2185</v>
      </c>
      <c r="B629" s="1">
        <v>140</v>
      </c>
      <c r="C629">
        <v>634.97729000000004</v>
      </c>
      <c r="D629">
        <v>604</v>
      </c>
      <c r="E629">
        <v>11.02281</v>
      </c>
      <c r="F629" t="s">
        <v>42</v>
      </c>
      <c r="G629" s="10" t="s">
        <v>1186</v>
      </c>
      <c r="H629">
        <v>101</v>
      </c>
      <c r="I629" t="s">
        <v>2184</v>
      </c>
      <c r="J629">
        <f ca="1">VLOOKUP(G629,INDIRECT("球速変換!A$1:B$" &amp; Prams!$B$8),2,)</f>
        <v>123</v>
      </c>
      <c r="K629" t="s">
        <v>1896</v>
      </c>
      <c r="L629">
        <f t="shared" si="52"/>
        <v>39</v>
      </c>
      <c r="M629">
        <f ca="1">(B629-VLOOKUP(K629,INDIRECT("投手データ!B1:D"&amp;Prams!$B$1),3,FALSE)*2)</f>
        <v>46</v>
      </c>
      <c r="N629" t="str">
        <f ca="1">VLOOKUP(F629,INDIRECT("球種変換表!A$1:B$" &amp; Prams!$B$2),2,)</f>
        <v>パーム</v>
      </c>
      <c r="O629">
        <f ca="1">VLOOKUP(N629,球種情報!A:B,2,FALSE)</f>
        <v>17</v>
      </c>
      <c r="P629">
        <f ca="1">VLOOKUP(K629,投手データ!B:AI,output!O629+6,FALSE)</f>
        <v>6</v>
      </c>
      <c r="R629">
        <f t="shared" ca="1" si="48"/>
        <v>8.130081300813009E-3</v>
      </c>
      <c r="S629">
        <f t="shared" si="49"/>
        <v>0.64722222222222225</v>
      </c>
      <c r="T629">
        <f>Prams!B$5/(S629-Prams!B$6)</f>
        <v>105.3342294076444</v>
      </c>
      <c r="U629">
        <f t="shared" ca="1" si="50"/>
        <v>0.76388888888888895</v>
      </c>
      <c r="V629">
        <f ca="1">Prams!C$5/(U629-Prams!C$6)</f>
        <v>99.668075806971657</v>
      </c>
      <c r="W629">
        <f t="shared" ca="1" si="51"/>
        <v>0.81030955940627358</v>
      </c>
    </row>
    <row r="630" spans="1:23" hidden="1" x14ac:dyDescent="0.55000000000000004">
      <c r="A630" s="1" t="s">
        <v>2186</v>
      </c>
      <c r="B630" s="1">
        <v>141</v>
      </c>
      <c r="C630">
        <v>638</v>
      </c>
      <c r="D630">
        <v>606.5</v>
      </c>
      <c r="E630">
        <v>11.01146</v>
      </c>
      <c r="F630" t="s">
        <v>506</v>
      </c>
      <c r="G630" s="10" t="s">
        <v>629</v>
      </c>
      <c r="H630">
        <v>101</v>
      </c>
      <c r="I630" t="s">
        <v>1256</v>
      </c>
      <c r="J630">
        <f ca="1">VLOOKUP(G630,INDIRECT("球速変換!A$1:B$" &amp; Prams!$B$8),2,)</f>
        <v>121</v>
      </c>
      <c r="K630" t="str">
        <f ca="1">VLOOKUP(I630,INDIRECT("投手名変換!A$1:B$" &amp; Prams!$B$9),2,)</f>
        <v>DD020</v>
      </c>
      <c r="L630">
        <f t="shared" si="52"/>
        <v>40</v>
      </c>
      <c r="M630">
        <f ca="1">(B630-VLOOKUP(K630,INDIRECT("投手データ!B1:D"&amp;Prams!$B$1),3,FALSE)*2)</f>
        <v>47</v>
      </c>
      <c r="N630" t="str">
        <f ca="1">VLOOKUP(F630,INDIRECT("球種変換表!A$1:B$" &amp; Prams!$B$2),2,)</f>
        <v>パーム</v>
      </c>
      <c r="O630">
        <f ca="1">VLOOKUP(N630,球種情報!A:B,2,FALSE)</f>
        <v>17</v>
      </c>
      <c r="P630">
        <f ca="1">VLOOKUP(K630,投手データ!B:AI,output!O630+6,FALSE)</f>
        <v>6</v>
      </c>
      <c r="R630">
        <f t="shared" ca="1" si="48"/>
        <v>8.2644628099173556E-3</v>
      </c>
      <c r="S630">
        <f t="shared" si="49"/>
        <v>0.6621527777777777</v>
      </c>
      <c r="T630">
        <f>Prams!B$5/(S630-Prams!B$6)</f>
        <v>102.72113427517806</v>
      </c>
      <c r="U630">
        <f t="shared" ca="1" si="50"/>
        <v>0.7788194444444444</v>
      </c>
      <c r="V630">
        <f ca="1">Prams!C$5/(U630-Prams!C$6)</f>
        <v>97.325421223636639</v>
      </c>
      <c r="W630">
        <f t="shared" ca="1" si="51"/>
        <v>0.80434232416228624</v>
      </c>
    </row>
    <row r="631" spans="1:23" hidden="1" x14ac:dyDescent="0.55000000000000004">
      <c r="A631" s="1" t="s">
        <v>2187</v>
      </c>
      <c r="B631" s="1">
        <v>133</v>
      </c>
      <c r="C631">
        <v>620.5</v>
      </c>
      <c r="D631">
        <v>606</v>
      </c>
      <c r="E631">
        <v>10.547610000000001</v>
      </c>
      <c r="F631" t="s">
        <v>350</v>
      </c>
      <c r="G631" s="10" t="s">
        <v>2459</v>
      </c>
      <c r="H631">
        <v>101</v>
      </c>
      <c r="I631">
        <v>0</v>
      </c>
      <c r="J631">
        <f ca="1">VLOOKUP(G631,INDIRECT("球速変換!A$1:B$" &amp; Prams!$B$8),2,)</f>
        <v>136</v>
      </c>
      <c r="K631" t="s">
        <v>1896</v>
      </c>
      <c r="L631">
        <f t="shared" si="52"/>
        <v>32</v>
      </c>
      <c r="M631">
        <f ca="1">(B631-VLOOKUP(K631,INDIRECT("投手データ!B1:D"&amp;Prams!$B$1),3,FALSE)*2)</f>
        <v>39</v>
      </c>
      <c r="N631" t="str">
        <f ca="1">VLOOKUP(F631,INDIRECT("球種変換表!A$1:B$" &amp; Prams!$B$2),2,)</f>
        <v>シュート</v>
      </c>
      <c r="O631">
        <f ca="1">VLOOKUP(N631,球種情報!A:B,2,FALSE)</f>
        <v>26</v>
      </c>
      <c r="P631">
        <f ca="1">VLOOKUP(K631,投手データ!B:AI,output!O631+6,FALSE)</f>
        <v>3</v>
      </c>
      <c r="R631">
        <f t="shared" ca="1" si="48"/>
        <v>7.3529411764705881E-3</v>
      </c>
      <c r="S631">
        <f t="shared" si="49"/>
        <v>0.52916666666666667</v>
      </c>
      <c r="T631">
        <f>Prams!B$5/(S631-Prams!B$6)</f>
        <v>131.85624911133229</v>
      </c>
      <c r="U631">
        <f t="shared" ca="1" si="50"/>
        <v>0.64583333333333337</v>
      </c>
      <c r="V631">
        <f ca="1">Prams!C$5/(U631-Prams!C$6)</f>
        <v>123.09617043870712</v>
      </c>
      <c r="W631">
        <f t="shared" ca="1" si="51"/>
        <v>0.90511890028461117</v>
      </c>
    </row>
    <row r="632" spans="1:23" hidden="1" x14ac:dyDescent="0.55000000000000004">
      <c r="A632" s="1" t="s">
        <v>2188</v>
      </c>
      <c r="B632" s="1">
        <v>134</v>
      </c>
      <c r="C632">
        <v>617</v>
      </c>
      <c r="D632">
        <v>617</v>
      </c>
      <c r="E632">
        <v>11.04546</v>
      </c>
      <c r="F632" t="s">
        <v>350</v>
      </c>
      <c r="G632" s="10" t="s">
        <v>1653</v>
      </c>
      <c r="H632">
        <v>101</v>
      </c>
      <c r="I632" t="s">
        <v>1256</v>
      </c>
      <c r="J632">
        <f ca="1">VLOOKUP(G632,INDIRECT("球速変換!A$1:B$" &amp; Prams!$B$8),2,)</f>
        <v>114</v>
      </c>
      <c r="K632" t="str">
        <f ca="1">VLOOKUP(I632,INDIRECT("投手名変換!A$1:B$" &amp; Prams!$B$9),2,)</f>
        <v>DD020</v>
      </c>
      <c r="L632">
        <f t="shared" si="52"/>
        <v>33</v>
      </c>
      <c r="M632">
        <f ca="1">(B632-VLOOKUP(K632,INDIRECT("投手データ!B1:D"&amp;Prams!$B$1),3,FALSE)*2)</f>
        <v>40</v>
      </c>
      <c r="N632" t="str">
        <f ca="1">VLOOKUP(F632,INDIRECT("球種変換表!A$1:B$" &amp; Prams!$B$2),2,)</f>
        <v>シュート</v>
      </c>
      <c r="O632">
        <f ca="1">VLOOKUP(N632,球種情報!A:B,2,FALSE)</f>
        <v>26</v>
      </c>
      <c r="P632">
        <f ca="1">VLOOKUP(K632,投手データ!B:AI,output!O632+6,FALSE)</f>
        <v>3</v>
      </c>
      <c r="R632">
        <f t="shared" ca="1" si="48"/>
        <v>8.771929824561403E-3</v>
      </c>
      <c r="S632">
        <f t="shared" si="49"/>
        <v>0.53819444444444442</v>
      </c>
      <c r="T632">
        <f>Prams!B$5/(S632-Prams!B$6)</f>
        <v>129.36538752165171</v>
      </c>
      <c r="U632">
        <f t="shared" ca="1" si="50"/>
        <v>0.65486111111111112</v>
      </c>
      <c r="V632">
        <f ca="1">Prams!C$5/(U632-Prams!C$6)</f>
        <v>120.92255533702064</v>
      </c>
      <c r="W632">
        <f t="shared" ca="1" si="51"/>
        <v>1.0607241696229881</v>
      </c>
    </row>
    <row r="633" spans="1:23" hidden="1" x14ac:dyDescent="0.55000000000000004">
      <c r="A633" s="1" t="s">
        <v>2189</v>
      </c>
      <c r="B633" s="1">
        <v>133</v>
      </c>
      <c r="C633">
        <v>617.92498999999998</v>
      </c>
      <c r="D633">
        <v>608</v>
      </c>
      <c r="E633">
        <v>10.12462</v>
      </c>
      <c r="F633" t="s">
        <v>351</v>
      </c>
      <c r="G633" s="10" t="s">
        <v>775</v>
      </c>
      <c r="H633">
        <v>101</v>
      </c>
      <c r="I633" t="s">
        <v>1256</v>
      </c>
      <c r="J633">
        <f ca="1">VLOOKUP(G633,INDIRECT("球速変換!A$1:B$" &amp; Prams!$B$8),2,)</f>
        <v>97</v>
      </c>
      <c r="K633" t="str">
        <f ca="1">VLOOKUP(I633,INDIRECT("投手名変換!A$1:B$" &amp; Prams!$B$9),2,)</f>
        <v>DD020</v>
      </c>
      <c r="L633">
        <f t="shared" si="52"/>
        <v>32</v>
      </c>
      <c r="M633">
        <f ca="1">(B633-VLOOKUP(K633,INDIRECT("投手データ!B1:D"&amp;Prams!$B$1),3,FALSE)*2)</f>
        <v>39</v>
      </c>
      <c r="N633" t="str">
        <f ca="1">VLOOKUP(F633,INDIRECT("球種変換表!A$1:B$" &amp; Prams!$B$2),2,)</f>
        <v>シュート</v>
      </c>
      <c r="O633">
        <f ca="1">VLOOKUP(N633,球種情報!A:B,2,FALSE)</f>
        <v>26</v>
      </c>
      <c r="P633">
        <f ca="1">VLOOKUP(K633,投手データ!B:AI,output!O633+6,FALSE)</f>
        <v>3</v>
      </c>
      <c r="R633">
        <f t="shared" ca="1" si="48"/>
        <v>1.0309278350515464E-2</v>
      </c>
      <c r="S633">
        <f t="shared" si="49"/>
        <v>0.52777777777777779</v>
      </c>
      <c r="T633">
        <f>Prams!B$5/(S633-Prams!B$6)</f>
        <v>132.24799752810591</v>
      </c>
      <c r="U633">
        <f t="shared" ca="1" si="50"/>
        <v>0.64444444444444438</v>
      </c>
      <c r="V633">
        <f ca="1">Prams!C$5/(U633-Prams!C$6)</f>
        <v>123.4375277309433</v>
      </c>
      <c r="W633">
        <f t="shared" ca="1" si="51"/>
        <v>1.272551832277766</v>
      </c>
    </row>
    <row r="634" spans="1:23" hidden="1" x14ac:dyDescent="0.55000000000000004">
      <c r="A634" s="1" t="s">
        <v>2190</v>
      </c>
      <c r="B634" s="1">
        <v>133</v>
      </c>
      <c r="C634">
        <v>617.97497999999996</v>
      </c>
      <c r="D634">
        <v>603</v>
      </c>
      <c r="E634">
        <v>10.025119999999999</v>
      </c>
      <c r="F634" t="s">
        <v>351</v>
      </c>
      <c r="G634" s="10" t="s">
        <v>1108</v>
      </c>
      <c r="H634">
        <v>101</v>
      </c>
      <c r="I634" t="s">
        <v>1256</v>
      </c>
      <c r="J634">
        <f ca="1">VLOOKUP(G634,INDIRECT("球速変換!A$1:B$" &amp; Prams!$B$8),2,)</f>
        <v>135</v>
      </c>
      <c r="K634" t="str">
        <f ca="1">VLOOKUP(I634,INDIRECT("投手名変換!A$1:B$" &amp; Prams!$B$9),2,)</f>
        <v>DD020</v>
      </c>
      <c r="L634">
        <f t="shared" si="52"/>
        <v>32</v>
      </c>
      <c r="M634">
        <f ca="1">(B634-VLOOKUP(K634,INDIRECT("投手データ!B1:D"&amp;Prams!$B$1),3,FALSE)*2)</f>
        <v>39</v>
      </c>
      <c r="N634" t="str">
        <f ca="1">VLOOKUP(F634,INDIRECT("球種変換表!A$1:B$" &amp; Prams!$B$2),2,)</f>
        <v>シュート</v>
      </c>
      <c r="O634">
        <f ca="1">VLOOKUP(N634,球種情報!A:B,2,FALSE)</f>
        <v>26</v>
      </c>
      <c r="P634">
        <f ca="1">VLOOKUP(K634,投手データ!B:AI,output!O634+6,FALSE)</f>
        <v>3</v>
      </c>
      <c r="R634">
        <f t="shared" ca="1" si="48"/>
        <v>7.4074074074074077E-3</v>
      </c>
      <c r="S634">
        <f t="shared" si="49"/>
        <v>0.53125</v>
      </c>
      <c r="T634">
        <f>Prams!B$5/(S634-Prams!B$6)</f>
        <v>131.27295891283578</v>
      </c>
      <c r="U634">
        <f t="shared" ca="1" si="50"/>
        <v>0.6479166666666667</v>
      </c>
      <c r="V634">
        <f ca="1">Prams!C$5/(U634-Prams!C$6)</f>
        <v>122.58765986979078</v>
      </c>
      <c r="W634">
        <f t="shared" ca="1" si="51"/>
        <v>0.90805673977622803</v>
      </c>
    </row>
    <row r="635" spans="1:23" hidden="1" x14ac:dyDescent="0.55000000000000004">
      <c r="A635" s="1" t="s">
        <v>1288</v>
      </c>
      <c r="B635" s="1">
        <v>133</v>
      </c>
      <c r="C635">
        <v>623.45239000000004</v>
      </c>
      <c r="D635">
        <v>609.5</v>
      </c>
      <c r="E635">
        <v>10.55955</v>
      </c>
      <c r="F635" t="s">
        <v>351</v>
      </c>
      <c r="G635" s="10" t="s">
        <v>1287</v>
      </c>
      <c r="H635">
        <v>101</v>
      </c>
      <c r="I635" t="s">
        <v>1254</v>
      </c>
      <c r="J635">
        <f ca="1">VLOOKUP(G635,INDIRECT("球速変換!A$1:B$" &amp; Prams!$B$8),2,)</f>
        <v>97</v>
      </c>
      <c r="K635" t="str">
        <f ca="1">VLOOKUP(I635,INDIRECT("投手名変換!A$1:B$" &amp; Prams!$B$9),2,)</f>
        <v>DD020</v>
      </c>
      <c r="L635">
        <f t="shared" si="52"/>
        <v>32</v>
      </c>
      <c r="M635">
        <f ca="1">(B635-VLOOKUP(K635,INDIRECT("投手データ!B1:D"&amp;Prams!$B$1),3,FALSE)*2)</f>
        <v>39</v>
      </c>
      <c r="N635" t="str">
        <f ca="1">VLOOKUP(F635,INDIRECT("球種変換表!A$1:B$" &amp; Prams!$B$2),2,)</f>
        <v>シュート</v>
      </c>
      <c r="O635">
        <f ca="1">VLOOKUP(N635,球種情報!A:B,2,FALSE)</f>
        <v>26</v>
      </c>
      <c r="P635">
        <f ca="1">VLOOKUP(K635,投手データ!B:AI,output!O635+6,FALSE)</f>
        <v>3</v>
      </c>
      <c r="R635">
        <f t="shared" ca="1" si="48"/>
        <v>1.0309278350515464E-2</v>
      </c>
      <c r="S635">
        <f t="shared" si="49"/>
        <v>0.52673611111111118</v>
      </c>
      <c r="T635">
        <f>Prams!B$5/(S635-Prams!B$6)</f>
        <v>132.54333986433772</v>
      </c>
      <c r="U635">
        <f t="shared" ca="1" si="50"/>
        <v>0.64340277777777777</v>
      </c>
      <c r="V635">
        <f ca="1">Prams!C$5/(U635-Prams!C$6)</f>
        <v>123.69479072300742</v>
      </c>
      <c r="W635">
        <f t="shared" ca="1" si="51"/>
        <v>1.2752040280722414</v>
      </c>
    </row>
    <row r="636" spans="1:23" hidden="1" x14ac:dyDescent="0.55000000000000004">
      <c r="A636" s="1" t="s">
        <v>1289</v>
      </c>
      <c r="B636" s="1">
        <v>133</v>
      </c>
      <c r="C636">
        <v>614</v>
      </c>
      <c r="D636">
        <v>607</v>
      </c>
      <c r="E636">
        <v>11.04546</v>
      </c>
      <c r="F636" t="s">
        <v>350</v>
      </c>
      <c r="G636" s="10" t="s">
        <v>1287</v>
      </c>
      <c r="H636">
        <v>101</v>
      </c>
      <c r="I636" t="s">
        <v>1256</v>
      </c>
      <c r="J636">
        <f ca="1">VLOOKUP(G636,INDIRECT("球速変換!A$1:B$" &amp; Prams!$B$8),2,)</f>
        <v>97</v>
      </c>
      <c r="K636" t="str">
        <f ca="1">VLOOKUP(I636,INDIRECT("投手名変換!A$1:B$" &amp; Prams!$B$9),2,)</f>
        <v>DD020</v>
      </c>
      <c r="L636">
        <f t="shared" si="52"/>
        <v>32</v>
      </c>
      <c r="M636">
        <f ca="1">(B636-VLOOKUP(K636,INDIRECT("投手データ!B1:D"&amp;Prams!$B$1),3,FALSE)*2)</f>
        <v>39</v>
      </c>
      <c r="N636" t="str">
        <f ca="1">VLOOKUP(F636,INDIRECT("球種変換表!A$1:B$" &amp; Prams!$B$2),2,)</f>
        <v>シュート</v>
      </c>
      <c r="O636">
        <f ca="1">VLOOKUP(N636,球種情報!A:B,2,FALSE)</f>
        <v>26</v>
      </c>
      <c r="P636">
        <f ca="1">VLOOKUP(K636,投手データ!B:AI,output!O636+6,FALSE)</f>
        <v>3</v>
      </c>
      <c r="R636">
        <f t="shared" ca="1" si="48"/>
        <v>1.0309278350515464E-2</v>
      </c>
      <c r="S636">
        <f t="shared" si="49"/>
        <v>0.52847222222222223</v>
      </c>
      <c r="T636">
        <f>Prams!B$5/(S636-Prams!B$6)</f>
        <v>132.05183277758661</v>
      </c>
      <c r="U636">
        <f t="shared" ca="1" si="50"/>
        <v>0.64513888888888893</v>
      </c>
      <c r="V636">
        <f ca="1">Prams!C$5/(U636-Prams!C$6)</f>
        <v>123.26661275850989</v>
      </c>
      <c r="W636">
        <f t="shared" ca="1" si="51"/>
        <v>1.2707898222526792</v>
      </c>
    </row>
    <row r="637" spans="1:23" hidden="1" x14ac:dyDescent="0.55000000000000004">
      <c r="A637" s="1" t="s">
        <v>1292</v>
      </c>
      <c r="B637" s="1">
        <v>134</v>
      </c>
      <c r="C637">
        <v>617</v>
      </c>
      <c r="D637">
        <v>617</v>
      </c>
      <c r="E637">
        <v>11.04546</v>
      </c>
      <c r="F637" t="s">
        <v>350</v>
      </c>
      <c r="G637" s="10" t="s">
        <v>2191</v>
      </c>
      <c r="H637">
        <v>101</v>
      </c>
      <c r="I637" t="s">
        <v>1256</v>
      </c>
      <c r="J637">
        <f ca="1">VLOOKUP(G637,INDIRECT("球速変換!A$1:B$" &amp; Prams!$B$8),2,)</f>
        <v>134</v>
      </c>
      <c r="K637" t="str">
        <f ca="1">VLOOKUP(I637,INDIRECT("投手名変換!A$1:B$" &amp; Prams!$B$9),2,)</f>
        <v>DD020</v>
      </c>
      <c r="L637">
        <f t="shared" si="52"/>
        <v>33</v>
      </c>
      <c r="M637">
        <f ca="1">(B637-VLOOKUP(K637,INDIRECT("投手データ!B1:D"&amp;Prams!$B$1),3,FALSE)*2)</f>
        <v>40</v>
      </c>
      <c r="N637" t="str">
        <f ca="1">VLOOKUP(F637,INDIRECT("球種変換表!A$1:B$" &amp; Prams!$B$2),2,)</f>
        <v>シュート</v>
      </c>
      <c r="O637">
        <f ca="1">VLOOKUP(N637,球種情報!A:B,2,FALSE)</f>
        <v>26</v>
      </c>
      <c r="P637">
        <f ca="1">VLOOKUP(K637,投手データ!B:AI,output!O637+6,FALSE)</f>
        <v>3</v>
      </c>
      <c r="R637">
        <f t="shared" ca="1" si="48"/>
        <v>7.462686567164179E-3</v>
      </c>
      <c r="S637">
        <f t="shared" si="49"/>
        <v>0.53819444444444442</v>
      </c>
      <c r="T637">
        <f>Prams!B$5/(S637-Prams!B$6)</f>
        <v>129.36538752165171</v>
      </c>
      <c r="U637">
        <f t="shared" ca="1" si="50"/>
        <v>0.65486111111111112</v>
      </c>
      <c r="V637">
        <f ca="1">Prams!C$5/(U637-Prams!C$6)</f>
        <v>120.92255533702064</v>
      </c>
      <c r="W637">
        <f t="shared" ca="1" si="51"/>
        <v>0.90240712938075107</v>
      </c>
    </row>
    <row r="638" spans="1:23" hidden="1" x14ac:dyDescent="0.55000000000000004">
      <c r="A638" s="1" t="s">
        <v>1293</v>
      </c>
      <c r="B638" s="1">
        <v>133</v>
      </c>
      <c r="C638">
        <v>617.95001000000002</v>
      </c>
      <c r="D638">
        <v>600.5</v>
      </c>
      <c r="E638">
        <v>10.062519999999999</v>
      </c>
      <c r="F638">
        <v>2</v>
      </c>
      <c r="G638" s="10" t="s">
        <v>2192</v>
      </c>
      <c r="H638">
        <v>101</v>
      </c>
      <c r="I638" t="s">
        <v>1254</v>
      </c>
      <c r="J638">
        <f ca="1">VLOOKUP(G638,INDIRECT("球速変換!A$1:B$" &amp; Prams!$B$8),2,)</f>
        <v>139</v>
      </c>
      <c r="K638" t="str">
        <f ca="1">VLOOKUP(I638,INDIRECT("投手名変換!A$1:B$" &amp; Prams!$B$9),2,)</f>
        <v>DD020</v>
      </c>
      <c r="L638">
        <f t="shared" si="52"/>
        <v>32</v>
      </c>
      <c r="M638">
        <f ca="1">(B638-VLOOKUP(K638,INDIRECT("投手データ!B1:D"&amp;Prams!$B$1),3,FALSE)*2)</f>
        <v>39</v>
      </c>
      <c r="N638" t="str">
        <f ca="1">VLOOKUP(F638,INDIRECT("球種変換表!A$1:B$" &amp; Prams!$B$2),2,)</f>
        <v>シュート</v>
      </c>
      <c r="O638">
        <f ca="1">VLOOKUP(N638,球種情報!A:B,2,FALSE)</f>
        <v>26</v>
      </c>
      <c r="P638">
        <f ca="1">VLOOKUP(K638,投手データ!B:AI,output!O638+6,FALSE)</f>
        <v>3</v>
      </c>
      <c r="R638">
        <f t="shared" ca="1" si="48"/>
        <v>7.1942446043165471E-3</v>
      </c>
      <c r="S638">
        <f t="shared" si="49"/>
        <v>0.53298611111111116</v>
      </c>
      <c r="T638">
        <f>Prams!B$5/(S638-Prams!B$6)</f>
        <v>130.79081137940963</v>
      </c>
      <c r="U638">
        <f t="shared" ca="1" si="50"/>
        <v>0.64965277777777775</v>
      </c>
      <c r="V638">
        <f ca="1">Prams!C$5/(U638-Prams!C$6)</f>
        <v>122.16709939125808</v>
      </c>
      <c r="W638">
        <f t="shared" ca="1" si="51"/>
        <v>0.87889999562056176</v>
      </c>
    </row>
    <row r="639" spans="1:23" hidden="1" x14ac:dyDescent="0.55000000000000004">
      <c r="A639" s="1" t="s">
        <v>1294</v>
      </c>
      <c r="B639" s="1">
        <v>134</v>
      </c>
      <c r="C639">
        <v>615</v>
      </c>
      <c r="D639">
        <v>614.5</v>
      </c>
      <c r="E639">
        <v>11.01146</v>
      </c>
      <c r="F639" t="s">
        <v>351</v>
      </c>
      <c r="G639" s="10" t="s">
        <v>2463</v>
      </c>
      <c r="H639">
        <v>101</v>
      </c>
      <c r="I639" t="s">
        <v>1712</v>
      </c>
      <c r="J639">
        <f ca="1">VLOOKUP(G639,INDIRECT("球速変換!A$1:B$" &amp; Prams!$B$8),2,)</f>
        <v>133</v>
      </c>
      <c r="K639" t="s">
        <v>1896</v>
      </c>
      <c r="L639">
        <f t="shared" si="52"/>
        <v>33</v>
      </c>
      <c r="M639">
        <f ca="1">(B639-VLOOKUP(K639,INDIRECT("投手データ!B1:D"&amp;Prams!$B$1),3,FALSE)*2)</f>
        <v>40</v>
      </c>
      <c r="N639" t="str">
        <f ca="1">VLOOKUP(F639,INDIRECT("球種変換表!A$1:B$" &amp; Prams!$B$2),2,)</f>
        <v>シュート</v>
      </c>
      <c r="O639">
        <f ca="1">VLOOKUP(N639,球種情報!A:B,2,FALSE)</f>
        <v>26</v>
      </c>
      <c r="P639">
        <f ca="1">VLOOKUP(K639,投手データ!B:AI,output!O639+6,FALSE)</f>
        <v>3</v>
      </c>
      <c r="R639">
        <f t="shared" ca="1" si="48"/>
        <v>7.5187969924812026E-3</v>
      </c>
      <c r="S639">
        <f t="shared" si="49"/>
        <v>0.53993055555555558</v>
      </c>
      <c r="T639">
        <f>Prams!B$5/(S639-Prams!B$6)</f>
        <v>128.89712568122457</v>
      </c>
      <c r="U639">
        <f t="shared" ca="1" si="50"/>
        <v>0.65659722222222228</v>
      </c>
      <c r="V639">
        <f ca="1">Prams!C$5/(U639-Prams!C$6)</f>
        <v>120.5133231174091</v>
      </c>
      <c r="W639">
        <f t="shared" ca="1" si="51"/>
        <v>0.90611521140909101</v>
      </c>
    </row>
    <row r="640" spans="1:23" hidden="1" x14ac:dyDescent="0.55000000000000004">
      <c r="A640" s="1" t="s">
        <v>1716</v>
      </c>
      <c r="B640" s="1">
        <v>133</v>
      </c>
      <c r="C640">
        <v>619.5</v>
      </c>
      <c r="D640">
        <v>601</v>
      </c>
      <c r="E640">
        <v>11.5001</v>
      </c>
      <c r="F640" t="s">
        <v>351</v>
      </c>
      <c r="G640" s="10" t="s">
        <v>2193</v>
      </c>
      <c r="H640">
        <v>101</v>
      </c>
      <c r="I640" t="s">
        <v>1256</v>
      </c>
      <c r="J640">
        <f ca="1">VLOOKUP(G640,INDIRECT("球速変換!A$1:B$" &amp; Prams!$B$8),2,)</f>
        <v>139</v>
      </c>
      <c r="K640" t="str">
        <f ca="1">VLOOKUP(I640,INDIRECT("投手名変換!A$1:B$" &amp; Prams!$B$9),2,)</f>
        <v>DD020</v>
      </c>
      <c r="L640">
        <f t="shared" si="52"/>
        <v>32</v>
      </c>
      <c r="M640">
        <f ca="1">(B640-VLOOKUP(K640,INDIRECT("投手データ!B1:D"&amp;Prams!$B$1),3,FALSE)*2)</f>
        <v>39</v>
      </c>
      <c r="N640" t="str">
        <f ca="1">VLOOKUP(F640,INDIRECT("球種変換表!A$1:B$" &amp; Prams!$B$2),2,)</f>
        <v>シュート</v>
      </c>
      <c r="O640">
        <f ca="1">VLOOKUP(N640,球種情報!A:B,2,FALSE)</f>
        <v>26</v>
      </c>
      <c r="P640">
        <f ca="1">VLOOKUP(K640,投手データ!B:AI,output!O640+6,FALSE)</f>
        <v>3</v>
      </c>
      <c r="R640">
        <f t="shared" ca="1" si="48"/>
        <v>7.1942446043165471E-3</v>
      </c>
      <c r="S640">
        <f t="shared" si="49"/>
        <v>0.53263888888888888</v>
      </c>
      <c r="T640">
        <f>Prams!B$5/(S640-Prams!B$6)</f>
        <v>130.88695733995132</v>
      </c>
      <c r="U640">
        <f t="shared" ca="1" si="50"/>
        <v>0.64930555555555558</v>
      </c>
      <c r="V640">
        <f ca="1">Prams!C$5/(U640-Prams!C$6)</f>
        <v>122.2509804783196</v>
      </c>
      <c r="W640">
        <f t="shared" ca="1" si="51"/>
        <v>0.87950345667855834</v>
      </c>
    </row>
    <row r="641" spans="1:24" hidden="1" x14ac:dyDescent="0.55000000000000004">
      <c r="A641" s="1" t="s">
        <v>1296</v>
      </c>
      <c r="B641" s="1">
        <v>128</v>
      </c>
      <c r="C641">
        <v>636.5</v>
      </c>
      <c r="D641">
        <v>610</v>
      </c>
      <c r="E641">
        <v>10.547610000000001</v>
      </c>
      <c r="F641" t="s">
        <v>0</v>
      </c>
      <c r="G641" s="10" t="s">
        <v>2436</v>
      </c>
      <c r="H641">
        <v>99</v>
      </c>
      <c r="I641" t="s">
        <v>1307</v>
      </c>
      <c r="J641">
        <f ca="1">VLOOKUP(G641,INDIRECT("球速変換!A$1:B$" &amp; Prams!$B$8),2,)</f>
        <v>149</v>
      </c>
      <c r="K641" t="str">
        <f ca="1">VLOOKUP(I641,INDIRECT("投手名変換!A$1:B$" &amp; Prams!$B$9),2,)</f>
        <v>DD005</v>
      </c>
      <c r="L641">
        <f t="shared" si="52"/>
        <v>29</v>
      </c>
      <c r="M641">
        <f ca="1">(B641-VLOOKUP(K641,INDIRECT("投手データ!B1:D"&amp;Prams!$B$1),3,FALSE)*2)</f>
        <v>34</v>
      </c>
      <c r="N641" t="str">
        <f ca="1">VLOOKUP(F641,INDIRECT("球種変換表!A$1:B$" &amp; Prams!$B$2),2,)</f>
        <v>ストレート</v>
      </c>
      <c r="O641">
        <f ca="1">VLOOKUP(N641,球種情報!A:B,2,FALSE)</f>
        <v>1</v>
      </c>
      <c r="P641">
        <f ca="1">VLOOKUP(K641,投手データ!B:AI,output!O641+6,FALSE)</f>
        <v>1</v>
      </c>
      <c r="R641">
        <f t="shared" ca="1" si="48"/>
        <v>6.7114093959731542E-3</v>
      </c>
      <c r="S641">
        <f t="shared" si="49"/>
        <v>0.47638888888888886</v>
      </c>
      <c r="T641">
        <f>Prams!B$5/(S641-Prams!B$6)</f>
        <v>148.58123264259774</v>
      </c>
      <c r="U641">
        <f t="shared" ca="1" si="50"/>
        <v>0.55972222222222223</v>
      </c>
      <c r="V641">
        <f ca="1">Prams!C$5/(U641-Prams!C$6)</f>
        <v>148.56933059197351</v>
      </c>
      <c r="W641">
        <f t="shared" ca="1" si="51"/>
        <v>0.99710960128841286</v>
      </c>
    </row>
    <row r="642" spans="1:24" hidden="1" x14ac:dyDescent="0.55000000000000004">
      <c r="A642" s="1" t="s">
        <v>1298</v>
      </c>
      <c r="B642" s="1">
        <v>128</v>
      </c>
      <c r="C642">
        <v>636.54760999999996</v>
      </c>
      <c r="D642">
        <v>621.5</v>
      </c>
      <c r="E642">
        <v>10.55958</v>
      </c>
      <c r="F642" t="s">
        <v>0</v>
      </c>
      <c r="G642" s="10" t="s">
        <v>2456</v>
      </c>
      <c r="H642">
        <v>99</v>
      </c>
      <c r="I642" t="s">
        <v>1302</v>
      </c>
      <c r="J642">
        <f ca="1">VLOOKUP(G642,INDIRECT("球速変換!A$1:B$" &amp; Prams!$B$8),2,)</f>
        <v>152</v>
      </c>
      <c r="K642" t="str">
        <f ca="1">VLOOKUP(I642,INDIRECT("投手名変換!A$1:B$" &amp; Prams!$B$9),2,)</f>
        <v>DD005</v>
      </c>
      <c r="L642">
        <f t="shared" si="52"/>
        <v>29</v>
      </c>
      <c r="M642">
        <f ca="1">(B642-VLOOKUP(K642,INDIRECT("投手データ!B1:D"&amp;Prams!$B$1),3,FALSE)*2)</f>
        <v>34</v>
      </c>
      <c r="N642" t="str">
        <f ca="1">VLOOKUP(F642,INDIRECT("球種変換表!A$1:B$" &amp; Prams!$B$2),2,)</f>
        <v>ストレート</v>
      </c>
      <c r="O642">
        <f ca="1">VLOOKUP(N642,球種情報!A:B,2,FALSE)</f>
        <v>1</v>
      </c>
      <c r="P642">
        <f ca="1">VLOOKUP(K642,投手データ!B:AI,output!O642+6,FALSE)</f>
        <v>1</v>
      </c>
      <c r="R642">
        <f t="shared" ca="1" si="48"/>
        <v>6.5789473684210523E-3</v>
      </c>
      <c r="S642">
        <f t="shared" si="49"/>
        <v>0.46840277777777778</v>
      </c>
      <c r="T642">
        <f>Prams!B$5/(S642-Prams!B$6)</f>
        <v>151.48879979852572</v>
      </c>
      <c r="U642">
        <f t="shared" ca="1" si="50"/>
        <v>0.55173611111111109</v>
      </c>
      <c r="V642">
        <f ca="1">Prams!C$5/(U642-Prams!C$6)</f>
        <v>151.47642739009999</v>
      </c>
      <c r="W642">
        <f t="shared" ca="1" si="51"/>
        <v>0.99655544335592094</v>
      </c>
    </row>
    <row r="643" spans="1:24" hidden="1" x14ac:dyDescent="0.55000000000000004">
      <c r="A643" s="1" t="s">
        <v>1301</v>
      </c>
      <c r="B643" s="1">
        <v>128</v>
      </c>
      <c r="C643">
        <v>636</v>
      </c>
      <c r="D643">
        <v>611</v>
      </c>
      <c r="E643">
        <v>11.0001</v>
      </c>
      <c r="F643" t="s">
        <v>0</v>
      </c>
      <c r="G643" s="10" t="s">
        <v>2436</v>
      </c>
      <c r="H643">
        <v>99</v>
      </c>
      <c r="I643" t="s">
        <v>1304</v>
      </c>
      <c r="J643">
        <f ca="1">VLOOKUP(G643,INDIRECT("球速変換!A$1:B$" &amp; Prams!$B$8),2,)</f>
        <v>149</v>
      </c>
      <c r="K643" t="str">
        <f ca="1">VLOOKUP(I643,INDIRECT("投手名変換!A$1:B$" &amp; Prams!$B$9),2,)</f>
        <v>DD005</v>
      </c>
      <c r="L643">
        <f t="shared" si="52"/>
        <v>29</v>
      </c>
      <c r="M643">
        <f ca="1">(B643-VLOOKUP(K643,INDIRECT("投手データ!B1:D"&amp;Prams!$B$1),3,FALSE)*2)</f>
        <v>34</v>
      </c>
      <c r="N643" t="str">
        <f ca="1">VLOOKUP(F643,INDIRECT("球種変換表!A$1:B$" &amp; Prams!$B$2),2,)</f>
        <v>ストレート</v>
      </c>
      <c r="O643">
        <f ca="1">VLOOKUP(N643,球種情報!A:B,2,FALSE)</f>
        <v>1</v>
      </c>
      <c r="P643">
        <f ca="1">VLOOKUP(K643,投手データ!B:AI,output!O643+6,FALSE)</f>
        <v>1</v>
      </c>
      <c r="R643">
        <f t="shared" ca="1" si="48"/>
        <v>6.7114093959731542E-3</v>
      </c>
      <c r="S643">
        <f t="shared" si="49"/>
        <v>0.47569444444444448</v>
      </c>
      <c r="T643">
        <f>Prams!B$5/(S643-Prams!B$6)</f>
        <v>148.82962645945619</v>
      </c>
      <c r="U643">
        <f t="shared" ca="1" si="50"/>
        <v>0.55902777777777779</v>
      </c>
      <c r="V643">
        <f ca="1">Prams!C$5/(U643-Prams!C$6)</f>
        <v>148.81768458215763</v>
      </c>
      <c r="W643">
        <f t="shared" ca="1" si="51"/>
        <v>0.99877640659166189</v>
      </c>
    </row>
    <row r="644" spans="1:24" hidden="1" x14ac:dyDescent="0.55000000000000004">
      <c r="A644" s="1" t="s">
        <v>1303</v>
      </c>
      <c r="B644" s="1">
        <v>128</v>
      </c>
      <c r="C644">
        <v>641.5</v>
      </c>
      <c r="D644">
        <v>620.5</v>
      </c>
      <c r="E644">
        <v>10.512</v>
      </c>
      <c r="F644" t="s">
        <v>656</v>
      </c>
      <c r="G644" s="10" t="s">
        <v>2456</v>
      </c>
      <c r="H644">
        <v>99</v>
      </c>
      <c r="I644" t="s">
        <v>1307</v>
      </c>
      <c r="J644">
        <f ca="1">VLOOKUP(G644,INDIRECT("球速変換!A$1:B$" &amp; Prams!$B$8),2,)</f>
        <v>152</v>
      </c>
      <c r="K644" t="str">
        <f ca="1">VLOOKUP(I644,INDIRECT("投手名変換!A$1:B$" &amp; Prams!$B$9),2,)</f>
        <v>DD005</v>
      </c>
      <c r="L644">
        <f t="shared" si="52"/>
        <v>29</v>
      </c>
      <c r="M644">
        <f ca="1">(B644-VLOOKUP(K644,INDIRECT("投手データ!B1:D"&amp;Prams!$B$1),3,FALSE)*2)</f>
        <v>34</v>
      </c>
      <c r="N644" t="str">
        <f ca="1">VLOOKUP(F644,INDIRECT("球種変換表!A$1:B$" &amp; Prams!$B$2),2,)</f>
        <v>ストレート</v>
      </c>
      <c r="O644">
        <f ca="1">VLOOKUP(N644,球種情報!A:B,2,FALSE)</f>
        <v>1</v>
      </c>
      <c r="P644">
        <f ca="1">VLOOKUP(K644,投手データ!B:AI,output!O644+6,FALSE)</f>
        <v>1</v>
      </c>
      <c r="R644">
        <f t="shared" ca="1" si="48"/>
        <v>6.5789473684210523E-3</v>
      </c>
      <c r="S644">
        <f t="shared" si="49"/>
        <v>0.46909722222222222</v>
      </c>
      <c r="T644">
        <f>Prams!B$5/(S644-Prams!B$6)</f>
        <v>151.23145813939269</v>
      </c>
      <c r="U644">
        <f t="shared" ca="1" si="50"/>
        <v>0.55243055555555565</v>
      </c>
      <c r="V644">
        <f ca="1">Prams!C$5/(U644-Prams!C$6)</f>
        <v>151.21912772881998</v>
      </c>
      <c r="W644">
        <f t="shared" ca="1" si="51"/>
        <v>0.99486268242644726</v>
      </c>
    </row>
    <row r="645" spans="1:24" hidden="1" x14ac:dyDescent="0.55000000000000004">
      <c r="A645" s="1" t="s">
        <v>1305</v>
      </c>
      <c r="B645" s="1">
        <v>128</v>
      </c>
      <c r="C645">
        <v>642.97729000000004</v>
      </c>
      <c r="D645">
        <v>608</v>
      </c>
      <c r="E645">
        <v>11.02281</v>
      </c>
      <c r="F645" t="s">
        <v>0</v>
      </c>
      <c r="G645" s="10" t="s">
        <v>635</v>
      </c>
      <c r="H645">
        <v>99</v>
      </c>
      <c r="I645" t="s">
        <v>1304</v>
      </c>
      <c r="J645">
        <f ca="1">VLOOKUP(G645,INDIRECT("球速変換!A$1:B$" &amp; Prams!$B$8),2,)</f>
        <v>148</v>
      </c>
      <c r="K645" t="str">
        <f ca="1">VLOOKUP(I645,INDIRECT("投手名変換!A$1:B$" &amp; Prams!$B$9),2,)</f>
        <v>DD005</v>
      </c>
      <c r="L645">
        <f t="shared" si="52"/>
        <v>29</v>
      </c>
      <c r="M645">
        <f ca="1">(B645-VLOOKUP(K645,INDIRECT("投手データ!B1:D"&amp;Prams!$B$1),3,FALSE)*2)</f>
        <v>34</v>
      </c>
      <c r="N645" t="str">
        <f ca="1">VLOOKUP(F645,INDIRECT("球種変換表!A$1:B$" &amp; Prams!$B$2),2,)</f>
        <v>ストレート</v>
      </c>
      <c r="O645">
        <f ca="1">VLOOKUP(N645,球種情報!A:B,2,FALSE)</f>
        <v>1</v>
      </c>
      <c r="P645">
        <f ca="1">VLOOKUP(K645,投手データ!B:AI,output!O645+6,FALSE)</f>
        <v>1</v>
      </c>
      <c r="R645">
        <f t="shared" ref="R645:R708" ca="1" si="53">1/J645</f>
        <v>6.7567567567567571E-3</v>
      </c>
      <c r="S645">
        <f t="shared" ref="S645:S708" si="54">(L645-(D645-600)/24)*2/120</f>
        <v>0.4777777777777778</v>
      </c>
      <c r="T645">
        <f>Prams!B$5/(S645-Prams!B$6)</f>
        <v>148.08692412104438</v>
      </c>
      <c r="U645">
        <f t="shared" ref="U645:U708" ca="1" si="55">(M645-(D645-600)/24)*2/120</f>
        <v>0.56111111111111112</v>
      </c>
      <c r="V645">
        <f ca="1">Prams!C$5/(U645-Prams!C$6)</f>
        <v>148.07510112837983</v>
      </c>
      <c r="W645">
        <f t="shared" ref="W645:W708" ca="1" si="56">V645/J645</f>
        <v>1.0005074400566205</v>
      </c>
    </row>
    <row r="646" spans="1:24" hidden="1" x14ac:dyDescent="0.55000000000000004">
      <c r="A646" s="1" t="s">
        <v>1308</v>
      </c>
      <c r="B646" s="1">
        <v>128</v>
      </c>
      <c r="C646">
        <v>640</v>
      </c>
      <c r="D646">
        <v>612.5</v>
      </c>
      <c r="E646">
        <v>11.01146</v>
      </c>
      <c r="F646" t="s">
        <v>0</v>
      </c>
      <c r="G646" s="10" t="s">
        <v>1211</v>
      </c>
      <c r="H646">
        <v>99</v>
      </c>
      <c r="I646" t="s">
        <v>1307</v>
      </c>
      <c r="J646">
        <f ca="1">VLOOKUP(G646,INDIRECT("球速変換!A$1:B$" &amp; Prams!$B$8),2,)</f>
        <v>148</v>
      </c>
      <c r="K646" t="str">
        <f ca="1">VLOOKUP(I646,INDIRECT("投手名変換!A$1:B$" &amp; Prams!$B$9),2,)</f>
        <v>DD005</v>
      </c>
      <c r="L646">
        <f t="shared" si="52"/>
        <v>29</v>
      </c>
      <c r="M646">
        <f ca="1">(B646-VLOOKUP(K646,INDIRECT("投手データ!B1:D"&amp;Prams!$B$1),3,FALSE)*2)</f>
        <v>34</v>
      </c>
      <c r="N646" t="str">
        <f ca="1">VLOOKUP(F646,INDIRECT("球種変換表!A$1:B$" &amp; Prams!$B$2),2,)</f>
        <v>ストレート</v>
      </c>
      <c r="O646">
        <f ca="1">VLOOKUP(N646,球種情報!A:B,2,FALSE)</f>
        <v>1</v>
      </c>
      <c r="P646">
        <f ca="1">VLOOKUP(K646,投手データ!B:AI,output!O646+6,FALSE)</f>
        <v>1</v>
      </c>
      <c r="R646">
        <f t="shared" ca="1" si="53"/>
        <v>6.7567567567567571E-3</v>
      </c>
      <c r="S646">
        <f t="shared" si="54"/>
        <v>0.47465277777777781</v>
      </c>
      <c r="T646">
        <f>Prams!B$5/(S646-Prams!B$6)</f>
        <v>149.20377831557917</v>
      </c>
      <c r="U646">
        <f t="shared" ca="1" si="55"/>
        <v>0.55798611111111107</v>
      </c>
      <c r="V646">
        <f ca="1">Prams!C$5/(U646-Prams!C$6)</f>
        <v>149.19177632240465</v>
      </c>
      <c r="W646">
        <f t="shared" ca="1" si="56"/>
        <v>1.0080525427189504</v>
      </c>
    </row>
    <row r="647" spans="1:24" hidden="1" x14ac:dyDescent="0.55000000000000004">
      <c r="A647" s="1" t="s">
        <v>1310</v>
      </c>
      <c r="B647" s="1">
        <v>128</v>
      </c>
      <c r="C647">
        <v>644.5</v>
      </c>
      <c r="D647">
        <v>618</v>
      </c>
      <c r="E647">
        <v>10.547610000000001</v>
      </c>
      <c r="F647" t="s">
        <v>0</v>
      </c>
      <c r="G647" s="10" t="s">
        <v>906</v>
      </c>
      <c r="H647">
        <v>99</v>
      </c>
      <c r="I647" t="s">
        <v>1302</v>
      </c>
      <c r="J647">
        <f ca="1">VLOOKUP(G647,INDIRECT("球速変換!A$1:B$" &amp; Prams!$B$8),2,)</f>
        <v>151</v>
      </c>
      <c r="K647" t="str">
        <f ca="1">VLOOKUP(I647,INDIRECT("投手名変換!A$1:B$" &amp; Prams!$B$9),2,)</f>
        <v>DD005</v>
      </c>
      <c r="L647">
        <f t="shared" si="52"/>
        <v>29</v>
      </c>
      <c r="M647">
        <f ca="1">(B647-VLOOKUP(K647,INDIRECT("投手データ!B1:D"&amp;Prams!$B$1),3,FALSE)*2)</f>
        <v>34</v>
      </c>
      <c r="N647" t="str">
        <f ca="1">VLOOKUP(F647,INDIRECT("球種変換表!A$1:B$" &amp; Prams!$B$2),2,)</f>
        <v>ストレート</v>
      </c>
      <c r="O647">
        <f ca="1">VLOOKUP(N647,球種情報!A:B,2,FALSE)</f>
        <v>1</v>
      </c>
      <c r="P647">
        <f ca="1">VLOOKUP(K647,投手データ!B:AI,output!O647+6,FALSE)</f>
        <v>1</v>
      </c>
      <c r="R647">
        <f t="shared" ca="1" si="53"/>
        <v>6.6225165562913907E-3</v>
      </c>
      <c r="S647">
        <f t="shared" si="54"/>
        <v>0.47083333333333333</v>
      </c>
      <c r="T647">
        <f>Prams!B$5/(S647-Prams!B$6)</f>
        <v>150.59191295875286</v>
      </c>
      <c r="U647">
        <f t="shared" ca="1" si="55"/>
        <v>0.5541666666666667</v>
      </c>
      <c r="V647">
        <f ca="1">Prams!C$5/(U647-Prams!C$6)</f>
        <v>150.57968661199968</v>
      </c>
      <c r="W647">
        <f t="shared" ca="1" si="56"/>
        <v>0.99721646762913696</v>
      </c>
    </row>
    <row r="648" spans="1:24" hidden="1" x14ac:dyDescent="0.55000000000000004">
      <c r="A648" s="1" t="s">
        <v>1311</v>
      </c>
      <c r="B648" s="1">
        <v>128</v>
      </c>
      <c r="C648">
        <v>638.5</v>
      </c>
      <c r="D648">
        <v>622</v>
      </c>
      <c r="E648">
        <v>10.547610000000001</v>
      </c>
      <c r="F648" t="s">
        <v>0</v>
      </c>
      <c r="G648" s="10" t="s">
        <v>2456</v>
      </c>
      <c r="H648">
        <v>99</v>
      </c>
      <c r="I648" t="s">
        <v>1307</v>
      </c>
      <c r="J648">
        <f ca="1">VLOOKUP(G648,INDIRECT("球速変換!A$1:B$" &amp; Prams!$B$8),2,)</f>
        <v>152</v>
      </c>
      <c r="K648" t="str">
        <f ca="1">VLOOKUP(I648,INDIRECT("投手名変換!A$1:B$" &amp; Prams!$B$9),2,)</f>
        <v>DD005</v>
      </c>
      <c r="L648">
        <f t="shared" si="52"/>
        <v>29</v>
      </c>
      <c r="M648">
        <f ca="1">(B648-VLOOKUP(K648,INDIRECT("投手データ!B1:D"&amp;Prams!$B$1),3,FALSE)*2)</f>
        <v>34</v>
      </c>
      <c r="N648" t="str">
        <f ca="1">VLOOKUP(F648,INDIRECT("球種変換表!A$1:B$" &amp; Prams!$B$2),2,)</f>
        <v>ストレート</v>
      </c>
      <c r="O648">
        <f ca="1">VLOOKUP(N648,球種情報!A:B,2,FALSE)</f>
        <v>1</v>
      </c>
      <c r="P648">
        <f ca="1">VLOOKUP(K648,投手データ!B:AI,output!O648+6,FALSE)</f>
        <v>1</v>
      </c>
      <c r="R648">
        <f t="shared" ca="1" si="53"/>
        <v>6.5789473684210523E-3</v>
      </c>
      <c r="S648">
        <f t="shared" si="54"/>
        <v>0.46805555555555556</v>
      </c>
      <c r="T648">
        <f>Prams!B$5/(S648-Prams!B$6)</f>
        <v>151.61779933511363</v>
      </c>
      <c r="U648">
        <f t="shared" ca="1" si="55"/>
        <v>0.55138888888888893</v>
      </c>
      <c r="V648">
        <f ca="1">Prams!C$5/(U648-Prams!C$6)</f>
        <v>151.60540584725211</v>
      </c>
      <c r="W648">
        <f t="shared" ca="1" si="56"/>
        <v>0.99740398583718493</v>
      </c>
    </row>
    <row r="649" spans="1:24" hidden="1" x14ac:dyDescent="0.55000000000000004">
      <c r="A649" s="1" t="s">
        <v>1313</v>
      </c>
      <c r="B649" s="1">
        <v>127</v>
      </c>
      <c r="C649">
        <v>643</v>
      </c>
      <c r="D649">
        <v>600.5</v>
      </c>
      <c r="E649">
        <v>11.01146</v>
      </c>
      <c r="F649" t="s">
        <v>0</v>
      </c>
      <c r="G649" s="10" t="s">
        <v>2456</v>
      </c>
      <c r="H649">
        <v>99</v>
      </c>
      <c r="I649" t="s">
        <v>1307</v>
      </c>
      <c r="J649">
        <f ca="1">VLOOKUP(G649,INDIRECT("球速変換!A$1:B$" &amp; Prams!$B$8),2,)</f>
        <v>152</v>
      </c>
      <c r="K649" t="str">
        <f ca="1">VLOOKUP(I649,INDIRECT("投手名変換!A$1:B$" &amp; Prams!$B$9),2,)</f>
        <v>DD005</v>
      </c>
      <c r="L649">
        <f t="shared" ref="L649:L712" si="57">B649-H649</f>
        <v>28</v>
      </c>
      <c r="M649">
        <f ca="1">(B649-VLOOKUP(K649,INDIRECT("投手データ!B1:D"&amp;Prams!$B$1),3,FALSE)*2)</f>
        <v>33</v>
      </c>
      <c r="N649" t="str">
        <f ca="1">VLOOKUP(F649,INDIRECT("球種変換表!A$1:B$" &amp; Prams!$B$2),2,)</f>
        <v>ストレート</v>
      </c>
      <c r="O649">
        <f ca="1">VLOOKUP(N649,球種情報!A:B,2,FALSE)</f>
        <v>1</v>
      </c>
      <c r="P649">
        <f ca="1">VLOOKUP(K649,投手データ!B:AI,output!O649+6,FALSE)</f>
        <v>1</v>
      </c>
      <c r="R649">
        <f t="shared" ca="1" si="53"/>
        <v>6.5789473684210523E-3</v>
      </c>
      <c r="S649">
        <f t="shared" si="54"/>
        <v>0.46631944444444445</v>
      </c>
      <c r="T649">
        <f>Prams!B$5/(S649-Prams!B$6)</f>
        <v>152.2661065767239</v>
      </c>
      <c r="U649">
        <f t="shared" ca="1" si="55"/>
        <v>0.54965277777777777</v>
      </c>
      <c r="V649">
        <f ca="1">Prams!C$5/(U649-Prams!C$6)</f>
        <v>152.25360687923711</v>
      </c>
      <c r="W649">
        <f t="shared" ca="1" si="56"/>
        <v>1.0016684663107704</v>
      </c>
    </row>
    <row r="650" spans="1:24" hidden="1" x14ac:dyDescent="0.55000000000000004">
      <c r="A650" s="1" t="s">
        <v>1717</v>
      </c>
      <c r="B650" s="1">
        <v>128</v>
      </c>
      <c r="C650">
        <v>642.95452999999998</v>
      </c>
      <c r="D650">
        <v>621.5</v>
      </c>
      <c r="E650">
        <v>11.05688</v>
      </c>
      <c r="F650" t="s">
        <v>1281</v>
      </c>
      <c r="G650" s="10" t="s">
        <v>1281</v>
      </c>
      <c r="H650">
        <v>99</v>
      </c>
      <c r="I650" t="s">
        <v>1281</v>
      </c>
      <c r="J650" t="e">
        <f ca="1">VLOOKUP(G650,INDIRECT("球速変換!A$1:B$" &amp; Prams!$B$8),2,)</f>
        <v>#N/A</v>
      </c>
      <c r="K650" t="s">
        <v>1897</v>
      </c>
      <c r="L650">
        <f t="shared" si="57"/>
        <v>29</v>
      </c>
      <c r="M650">
        <f ca="1">(B650-VLOOKUP(K650,INDIRECT("投手データ!B1:D"&amp;Prams!$B$1),3,FALSE)*2)</f>
        <v>34</v>
      </c>
      <c r="N650" t="e">
        <f ca="1">VLOOKUP(F650,INDIRECT("球種変換表!A$1:B$" &amp; Prams!$B$2),2,)</f>
        <v>#N/A</v>
      </c>
      <c r="O650" t="e">
        <f ca="1">VLOOKUP(N650,球種情報!A:B,2,FALSE)</f>
        <v>#N/A</v>
      </c>
      <c r="P650" t="e">
        <f ca="1">VLOOKUP(K650,投手データ!B:AI,output!O650+6,FALSE)</f>
        <v>#N/A</v>
      </c>
      <c r="R650" t="e">
        <f t="shared" ca="1" si="53"/>
        <v>#N/A</v>
      </c>
      <c r="S650">
        <f t="shared" si="54"/>
        <v>0.46840277777777778</v>
      </c>
      <c r="T650">
        <f>Prams!B$5/(S650-Prams!B$6)</f>
        <v>151.48879979852572</v>
      </c>
      <c r="U650">
        <f t="shared" ca="1" si="55"/>
        <v>0.55173611111111109</v>
      </c>
      <c r="V650">
        <f ca="1">Prams!C$5/(U650-Prams!C$6)</f>
        <v>151.47642739009999</v>
      </c>
      <c r="W650" t="e">
        <f t="shared" ca="1" si="56"/>
        <v>#N/A</v>
      </c>
    </row>
    <row r="651" spans="1:24" hidden="1" x14ac:dyDescent="0.55000000000000004">
      <c r="A651" s="1" t="s">
        <v>1314</v>
      </c>
      <c r="B651" s="1">
        <v>94</v>
      </c>
      <c r="C651">
        <v>642</v>
      </c>
      <c r="D651">
        <v>625.5</v>
      </c>
      <c r="E651">
        <v>11.101900000000001</v>
      </c>
      <c r="F651" t="s">
        <v>343</v>
      </c>
      <c r="G651" s="10" t="s">
        <v>640</v>
      </c>
      <c r="H651">
        <v>67</v>
      </c>
      <c r="I651" t="s">
        <v>1297</v>
      </c>
      <c r="J651">
        <f ca="1">VLOOKUP(G651,INDIRECT("球速変換!A$1:B$" &amp; Prams!$B$8),2,)</f>
        <v>148</v>
      </c>
      <c r="K651" t="str">
        <f ca="1">VLOOKUP(I651,INDIRECT("投手名変換!A$1:B$" &amp; Prams!$B$9),2,)</f>
        <v>DD005</v>
      </c>
      <c r="L651">
        <f t="shared" si="57"/>
        <v>27</v>
      </c>
      <c r="M651">
        <f ca="1">(B651-VLOOKUP(K651,INDIRECT("投手データ!B1:D"&amp;Prams!$B$1),3,FALSE)*2)</f>
        <v>0</v>
      </c>
      <c r="N651" t="str">
        <f ca="1">VLOOKUP(F651,INDIRECT("球種変換表!A$1:B$" &amp; Prams!$B$2),2,)</f>
        <v>全力ストレート</v>
      </c>
      <c r="O651">
        <f ca="1">VLOOKUP(N651,球種情報!A:B,2,FALSE)</f>
        <v>2</v>
      </c>
      <c r="P651">
        <f ca="1">VLOOKUP(K651,投手データ!B:AI,output!O651+6,FALSE)</f>
        <v>1</v>
      </c>
      <c r="R651">
        <f t="shared" ca="1" si="53"/>
        <v>6.7567567567567571E-3</v>
      </c>
      <c r="S651">
        <f t="shared" si="54"/>
        <v>0.43229166666666669</v>
      </c>
      <c r="T651">
        <f>Prams!B$5/(S651-Prams!B$6)</f>
        <v>166.19458321198951</v>
      </c>
      <c r="U651">
        <f t="shared" ca="1" si="55"/>
        <v>-1.7708333333333333E-2</v>
      </c>
      <c r="V651">
        <f ca="1">Prams!C$5/(U651-Prams!C$6)</f>
        <v>-383.25980265537015</v>
      </c>
      <c r="W651">
        <f t="shared" ca="1" si="56"/>
        <v>-2.5895932611849335</v>
      </c>
      <c r="X651" t="s">
        <v>1888</v>
      </c>
    </row>
    <row r="652" spans="1:24" hidden="1" x14ac:dyDescent="0.55000000000000004">
      <c r="A652" s="1" t="s">
        <v>1315</v>
      </c>
      <c r="B652" s="1">
        <v>124</v>
      </c>
      <c r="C652">
        <v>640.5</v>
      </c>
      <c r="D652">
        <v>610.5</v>
      </c>
      <c r="E652">
        <v>10.512</v>
      </c>
      <c r="F652" t="s">
        <v>343</v>
      </c>
      <c r="G652" s="10" t="s">
        <v>762</v>
      </c>
      <c r="H652">
        <v>98</v>
      </c>
      <c r="I652" t="s">
        <v>1307</v>
      </c>
      <c r="J652">
        <v>153</v>
      </c>
      <c r="K652" t="str">
        <f ca="1">VLOOKUP(I652,INDIRECT("投手名変換!A$1:B$" &amp; Prams!$B$9),2,)</f>
        <v>DD005</v>
      </c>
      <c r="L652">
        <f t="shared" si="57"/>
        <v>26</v>
      </c>
      <c r="M652">
        <f ca="1">(B652-VLOOKUP(K652,INDIRECT("投手データ!B1:D"&amp;Prams!$B$1),3,FALSE)*2)</f>
        <v>30</v>
      </c>
      <c r="N652" t="str">
        <f ca="1">VLOOKUP(F652,INDIRECT("球種変換表!A$1:B$" &amp; Prams!$B$2),2,)</f>
        <v>全力ストレート</v>
      </c>
      <c r="O652">
        <f ca="1">VLOOKUP(N652,球種情報!A:B,2,FALSE)</f>
        <v>2</v>
      </c>
      <c r="P652">
        <f ca="1">VLOOKUP(K652,投手データ!B:AI,output!O652+6,FALSE)</f>
        <v>1</v>
      </c>
      <c r="R652">
        <f t="shared" si="53"/>
        <v>6.5359477124183009E-3</v>
      </c>
      <c r="S652">
        <f t="shared" si="54"/>
        <v>0.42604166666666665</v>
      </c>
      <c r="T652">
        <f>Prams!B$5/(S652-Prams!B$6)</f>
        <v>169.03461003896194</v>
      </c>
      <c r="U652">
        <f t="shared" ca="1" si="55"/>
        <v>0.49270833333333336</v>
      </c>
      <c r="V652">
        <f ca="1">Prams!C$5/(U652-Prams!C$6)</f>
        <v>177.0882963740959</v>
      </c>
      <c r="W652">
        <f t="shared" ca="1" si="56"/>
        <v>1.1574398455823263</v>
      </c>
    </row>
    <row r="653" spans="1:24" hidden="1" x14ac:dyDescent="0.55000000000000004">
      <c r="A653" s="1" t="s">
        <v>1317</v>
      </c>
      <c r="B653" s="1">
        <v>124</v>
      </c>
      <c r="C653">
        <v>639.5</v>
      </c>
      <c r="D653">
        <v>608</v>
      </c>
      <c r="E653">
        <v>10.5001</v>
      </c>
      <c r="F653" t="s">
        <v>343</v>
      </c>
      <c r="G653" s="10" t="s">
        <v>2456</v>
      </c>
      <c r="H653">
        <v>98</v>
      </c>
      <c r="I653" t="s">
        <v>1295</v>
      </c>
      <c r="J653">
        <f ca="1">VLOOKUP(G653,INDIRECT("球速変換!A$1:B$" &amp; Prams!$B$8),2,)</f>
        <v>152</v>
      </c>
      <c r="K653" t="str">
        <f ca="1">VLOOKUP(I653,INDIRECT("投手名変換!A$1:B$" &amp; Prams!$B$9),2,)</f>
        <v>DD005</v>
      </c>
      <c r="L653">
        <f t="shared" si="57"/>
        <v>26</v>
      </c>
      <c r="M653">
        <f ca="1">(B653-VLOOKUP(K653,INDIRECT("投手データ!B1:D"&amp;Prams!$B$1),3,FALSE)*2)</f>
        <v>30</v>
      </c>
      <c r="N653" t="str">
        <f ca="1">VLOOKUP(F653,INDIRECT("球種変換表!A$1:B$" &amp; Prams!$B$2),2,)</f>
        <v>全力ストレート</v>
      </c>
      <c r="O653">
        <f ca="1">VLOOKUP(N653,球種情報!A:B,2,FALSE)</f>
        <v>2</v>
      </c>
      <c r="P653">
        <f ca="1">VLOOKUP(K653,投手データ!B:AI,output!O653+6,FALSE)</f>
        <v>1</v>
      </c>
      <c r="R653">
        <f t="shared" ca="1" si="53"/>
        <v>6.5789473684210523E-3</v>
      </c>
      <c r="S653">
        <f t="shared" si="54"/>
        <v>0.42777777777777781</v>
      </c>
      <c r="T653">
        <f>Prams!B$5/(S653-Prams!B$6)</f>
        <v>168.23602334230338</v>
      </c>
      <c r="U653">
        <f t="shared" ca="1" si="55"/>
        <v>0.49444444444444446</v>
      </c>
      <c r="V653">
        <f ca="1">Prams!C$5/(U653-Prams!C$6)</f>
        <v>176.21199645300229</v>
      </c>
      <c r="W653">
        <f t="shared" ca="1" si="56"/>
        <v>1.1592894503486992</v>
      </c>
    </row>
    <row r="654" spans="1:24" hidden="1" x14ac:dyDescent="0.55000000000000004">
      <c r="A654" s="1" t="s">
        <v>1319</v>
      </c>
      <c r="B654" s="1">
        <v>125</v>
      </c>
      <c r="C654">
        <v>642.5</v>
      </c>
      <c r="D654">
        <v>627</v>
      </c>
      <c r="E654">
        <v>11.5001</v>
      </c>
      <c r="F654" t="s">
        <v>1718</v>
      </c>
      <c r="G654" s="10" t="s">
        <v>2436</v>
      </c>
      <c r="H654">
        <v>98</v>
      </c>
      <c r="I654" t="s">
        <v>1312</v>
      </c>
      <c r="J654">
        <f ca="1">VLOOKUP(G654,INDIRECT("球速変換!A$1:B$" &amp; Prams!$B$8),2,)</f>
        <v>149</v>
      </c>
      <c r="K654" t="str">
        <f ca="1">VLOOKUP(I654,INDIRECT("投手名変換!A$1:B$" &amp; Prams!$B$9),2,)</f>
        <v>DD005</v>
      </c>
      <c r="L654">
        <f t="shared" si="57"/>
        <v>27</v>
      </c>
      <c r="M654">
        <f ca="1">(B654-VLOOKUP(K654,INDIRECT("投手データ!B1:D"&amp;Prams!$B$1),3,FALSE)*2)</f>
        <v>31</v>
      </c>
      <c r="N654" t="str">
        <f ca="1">VLOOKUP(F654,INDIRECT("球種変換表!A$1:B$" &amp; Prams!$B$2),2,)</f>
        <v>全力ストレート</v>
      </c>
      <c r="O654">
        <f ca="1">VLOOKUP(N654,球種情報!A:B,2,FALSE)</f>
        <v>2</v>
      </c>
      <c r="P654">
        <f ca="1">VLOOKUP(K654,投手データ!B:AI,output!O654+6,FALSE)</f>
        <v>1</v>
      </c>
      <c r="R654">
        <f t="shared" ca="1" si="53"/>
        <v>6.7114093959731542E-3</v>
      </c>
      <c r="S654">
        <f t="shared" si="54"/>
        <v>0.43125000000000002</v>
      </c>
      <c r="T654">
        <f>Prams!B$5/(S654-Prams!B$6)</f>
        <v>166.66127510446151</v>
      </c>
      <c r="U654">
        <f t="shared" ca="1" si="55"/>
        <v>0.49791666666666667</v>
      </c>
      <c r="V654">
        <f ca="1">Prams!C$5/(U654-Prams!C$6)</f>
        <v>174.48515922668045</v>
      </c>
      <c r="W654">
        <f t="shared" ca="1" si="56"/>
        <v>1.1710413370918151</v>
      </c>
    </row>
    <row r="655" spans="1:24" hidden="1" x14ac:dyDescent="0.55000000000000004">
      <c r="A655" s="1" t="s">
        <v>1320</v>
      </c>
      <c r="B655" s="1">
        <v>124</v>
      </c>
      <c r="C655">
        <v>639.5</v>
      </c>
      <c r="D655">
        <v>606.5</v>
      </c>
      <c r="E655">
        <v>10.512</v>
      </c>
      <c r="F655" t="s">
        <v>343</v>
      </c>
      <c r="G655" s="10" t="s">
        <v>906</v>
      </c>
      <c r="H655">
        <v>98</v>
      </c>
      <c r="I655" t="s">
        <v>1297</v>
      </c>
      <c r="J655">
        <f ca="1">VLOOKUP(G655,INDIRECT("球速変換!A$1:B$" &amp; Prams!$B$8),2,)</f>
        <v>151</v>
      </c>
      <c r="K655" t="str">
        <f ca="1">VLOOKUP(I655,INDIRECT("投手名変換!A$1:B$" &amp; Prams!$B$9),2,)</f>
        <v>DD005</v>
      </c>
      <c r="L655">
        <f t="shared" si="57"/>
        <v>26</v>
      </c>
      <c r="M655">
        <f ca="1">(B655-VLOOKUP(K655,INDIRECT("投手データ!B1:D"&amp;Prams!$B$1),3,FALSE)*2)</f>
        <v>30</v>
      </c>
      <c r="N655" t="str">
        <f ca="1">VLOOKUP(F655,INDIRECT("球種変換表!A$1:B$" &amp; Prams!$B$2),2,)</f>
        <v>全力ストレート</v>
      </c>
      <c r="O655">
        <f ca="1">VLOOKUP(N655,球種情報!A:B,2,FALSE)</f>
        <v>2</v>
      </c>
      <c r="P655">
        <f ca="1">VLOOKUP(K655,投手データ!B:AI,output!O655+6,FALSE)</f>
        <v>1</v>
      </c>
      <c r="R655">
        <f t="shared" ca="1" si="53"/>
        <v>6.6225165562913907E-3</v>
      </c>
      <c r="S655">
        <f t="shared" si="54"/>
        <v>0.42881944444444448</v>
      </c>
      <c r="T655">
        <f>Prams!B$5/(S655-Prams!B$6)</f>
        <v>167.76048301386177</v>
      </c>
      <c r="U655">
        <f t="shared" ca="1" si="55"/>
        <v>0.49548611111111113</v>
      </c>
      <c r="V655">
        <f ca="1">Prams!C$5/(U655-Prams!C$6)</f>
        <v>175.6903669905825</v>
      </c>
      <c r="W655">
        <f t="shared" ca="1" si="56"/>
        <v>1.163512364176043</v>
      </c>
    </row>
    <row r="656" spans="1:24" hidden="1" x14ac:dyDescent="0.55000000000000004">
      <c r="A656" s="1" t="s">
        <v>1321</v>
      </c>
      <c r="B656" s="1">
        <v>124</v>
      </c>
      <c r="C656">
        <v>640</v>
      </c>
      <c r="D656">
        <v>608.5</v>
      </c>
      <c r="E656">
        <v>11.01146</v>
      </c>
      <c r="F656" t="s">
        <v>343</v>
      </c>
      <c r="G656" s="10" t="s">
        <v>2456</v>
      </c>
      <c r="H656">
        <v>98</v>
      </c>
      <c r="I656" t="s">
        <v>1312</v>
      </c>
      <c r="J656">
        <f ca="1">VLOOKUP(G656,INDIRECT("球速変換!A$1:B$" &amp; Prams!$B$8),2,)</f>
        <v>152</v>
      </c>
      <c r="K656" t="str">
        <f ca="1">VLOOKUP(I656,INDIRECT("投手名変換!A$1:B$" &amp; Prams!$B$9),2,)</f>
        <v>DD005</v>
      </c>
      <c r="L656">
        <f t="shared" si="57"/>
        <v>26</v>
      </c>
      <c r="M656">
        <f ca="1">(B656-VLOOKUP(K656,INDIRECT("投手データ!B1:D"&amp;Prams!$B$1),3,FALSE)*2)</f>
        <v>30</v>
      </c>
      <c r="N656" t="str">
        <f ca="1">VLOOKUP(F656,INDIRECT("球種変換表!A$1:B$" &amp; Prams!$B$2),2,)</f>
        <v>全力ストレート</v>
      </c>
      <c r="O656">
        <f ca="1">VLOOKUP(N656,球種情報!A:B,2,FALSE)</f>
        <v>2</v>
      </c>
      <c r="P656">
        <f ca="1">VLOOKUP(K656,投手データ!B:AI,output!O656+6,FALSE)</f>
        <v>1</v>
      </c>
      <c r="R656">
        <f t="shared" ca="1" si="53"/>
        <v>6.5789473684210523E-3</v>
      </c>
      <c r="S656">
        <f t="shared" si="54"/>
        <v>0.42743055555555554</v>
      </c>
      <c r="T656">
        <f>Prams!B$5/(S656-Prams!B$6)</f>
        <v>168.3951364561502</v>
      </c>
      <c r="U656">
        <f t="shared" ca="1" si="55"/>
        <v>0.49409722222222219</v>
      </c>
      <c r="V656">
        <f ca="1">Prams!C$5/(U656-Prams!C$6)</f>
        <v>176.38656194770923</v>
      </c>
      <c r="W656">
        <f t="shared" ca="1" si="56"/>
        <v>1.1604379075507185</v>
      </c>
    </row>
    <row r="657" spans="1:23" hidden="1" x14ac:dyDescent="0.55000000000000004">
      <c r="A657" s="1" t="s">
        <v>1322</v>
      </c>
      <c r="B657" s="1">
        <v>124</v>
      </c>
      <c r="C657">
        <v>640.5</v>
      </c>
      <c r="D657">
        <v>610.5</v>
      </c>
      <c r="E657">
        <v>10.512</v>
      </c>
      <c r="F657" t="s">
        <v>343</v>
      </c>
      <c r="G657" s="10" t="s">
        <v>762</v>
      </c>
      <c r="H657">
        <v>98</v>
      </c>
      <c r="I657" t="s">
        <v>1302</v>
      </c>
      <c r="J657">
        <v>153</v>
      </c>
      <c r="K657" t="str">
        <f ca="1">VLOOKUP(I657,INDIRECT("投手名変換!A$1:B$" &amp; Prams!$B$9),2,)</f>
        <v>DD005</v>
      </c>
      <c r="L657">
        <f t="shared" si="57"/>
        <v>26</v>
      </c>
      <c r="M657">
        <f ca="1">(B657-VLOOKUP(K657,INDIRECT("投手データ!B1:D"&amp;Prams!$B$1),3,FALSE)*2)</f>
        <v>30</v>
      </c>
      <c r="N657" t="str">
        <f ca="1">VLOOKUP(F657,INDIRECT("球種変換表!A$1:B$" &amp; Prams!$B$2),2,)</f>
        <v>全力ストレート</v>
      </c>
      <c r="O657">
        <f ca="1">VLOOKUP(N657,球種情報!A:B,2,FALSE)</f>
        <v>2</v>
      </c>
      <c r="P657">
        <f ca="1">VLOOKUP(K657,投手データ!B:AI,output!O657+6,FALSE)</f>
        <v>1</v>
      </c>
      <c r="R657">
        <f t="shared" si="53"/>
        <v>6.5359477124183009E-3</v>
      </c>
      <c r="S657">
        <f t="shared" si="54"/>
        <v>0.42604166666666665</v>
      </c>
      <c r="T657">
        <f>Prams!B$5/(S657-Prams!B$6)</f>
        <v>169.03461003896194</v>
      </c>
      <c r="U657">
        <f t="shared" ca="1" si="55"/>
        <v>0.49270833333333336</v>
      </c>
      <c r="V657">
        <f ca="1">Prams!C$5/(U657-Prams!C$6)</f>
        <v>177.0882963740959</v>
      </c>
      <c r="W657">
        <f t="shared" ca="1" si="56"/>
        <v>1.1574398455823263</v>
      </c>
    </row>
    <row r="658" spans="1:23" hidden="1" x14ac:dyDescent="0.55000000000000004">
      <c r="A658" s="1" t="s">
        <v>1323</v>
      </c>
      <c r="B658" s="1">
        <v>125</v>
      </c>
      <c r="C658">
        <v>643</v>
      </c>
      <c r="D658">
        <v>625.5</v>
      </c>
      <c r="E658">
        <v>11.101900000000001</v>
      </c>
      <c r="F658" t="s">
        <v>343</v>
      </c>
      <c r="G658" s="10" t="s">
        <v>640</v>
      </c>
      <c r="H658">
        <v>98</v>
      </c>
      <c r="I658" t="s">
        <v>1300</v>
      </c>
      <c r="J658">
        <f ca="1">VLOOKUP(G658,INDIRECT("球速変換!A$1:B$" &amp; Prams!$B$8),2,)</f>
        <v>148</v>
      </c>
      <c r="K658" t="str">
        <f ca="1">VLOOKUP(I658,INDIRECT("投手名変換!A$1:B$" &amp; Prams!$B$9),2,)</f>
        <v>DD005</v>
      </c>
      <c r="L658">
        <f t="shared" si="57"/>
        <v>27</v>
      </c>
      <c r="M658">
        <f ca="1">(B658-VLOOKUP(K658,INDIRECT("投手データ!B1:D"&amp;Prams!$B$1),3,FALSE)*2)</f>
        <v>31</v>
      </c>
      <c r="N658" t="str">
        <f ca="1">VLOOKUP(F658,INDIRECT("球種変換表!A$1:B$" &amp; Prams!$B$2),2,)</f>
        <v>全力ストレート</v>
      </c>
      <c r="O658">
        <f ca="1">VLOOKUP(N658,球種情報!A:B,2,FALSE)</f>
        <v>2</v>
      </c>
      <c r="P658">
        <f ca="1">VLOOKUP(K658,投手データ!B:AI,output!O658+6,FALSE)</f>
        <v>1</v>
      </c>
      <c r="R658">
        <f t="shared" ca="1" si="53"/>
        <v>6.7567567567567571E-3</v>
      </c>
      <c r="S658">
        <f t="shared" si="54"/>
        <v>0.43229166666666669</v>
      </c>
      <c r="T658">
        <f>Prams!B$5/(S658-Prams!B$6)</f>
        <v>166.19458321198951</v>
      </c>
      <c r="U658">
        <f t="shared" ca="1" si="55"/>
        <v>0.49895833333333334</v>
      </c>
      <c r="V658">
        <f ca="1">Prams!C$5/(U658-Prams!C$6)</f>
        <v>173.9736885303567</v>
      </c>
      <c r="W658">
        <f t="shared" ca="1" si="56"/>
        <v>1.1754978954753832</v>
      </c>
    </row>
    <row r="659" spans="1:23" hidden="1" x14ac:dyDescent="0.55000000000000004">
      <c r="A659" s="1" t="s">
        <v>1719</v>
      </c>
      <c r="B659" s="1">
        <v>124</v>
      </c>
      <c r="C659">
        <v>640.5</v>
      </c>
      <c r="D659">
        <v>610.5</v>
      </c>
      <c r="E659">
        <v>10.512</v>
      </c>
      <c r="F659" t="s">
        <v>343</v>
      </c>
      <c r="G659" s="10" t="s">
        <v>2457</v>
      </c>
      <c r="H659">
        <v>98</v>
      </c>
      <c r="I659" t="s">
        <v>1307</v>
      </c>
      <c r="J659">
        <f ca="1">VLOOKUP(G659,INDIRECT("球速変換!A$1:B$" &amp; Prams!$B$8),2,)</f>
        <v>153</v>
      </c>
      <c r="K659" t="str">
        <f ca="1">VLOOKUP(I659,INDIRECT("投手名変換!A$1:B$" &amp; Prams!$B$9),2,)</f>
        <v>DD005</v>
      </c>
      <c r="L659">
        <f t="shared" si="57"/>
        <v>26</v>
      </c>
      <c r="M659">
        <f ca="1">(B659-VLOOKUP(K659,INDIRECT("投手データ!B1:D"&amp;Prams!$B$1),3,FALSE)*2)</f>
        <v>30</v>
      </c>
      <c r="N659" t="str">
        <f ca="1">VLOOKUP(F659,INDIRECT("球種変換表!A$1:B$" &amp; Prams!$B$2),2,)</f>
        <v>全力ストレート</v>
      </c>
      <c r="O659">
        <f ca="1">VLOOKUP(N659,球種情報!A:B,2,FALSE)</f>
        <v>2</v>
      </c>
      <c r="P659">
        <f ca="1">VLOOKUP(K659,投手データ!B:AI,output!O659+6,FALSE)</f>
        <v>1</v>
      </c>
      <c r="R659">
        <f t="shared" ca="1" si="53"/>
        <v>6.5359477124183009E-3</v>
      </c>
      <c r="S659">
        <f t="shared" si="54"/>
        <v>0.42604166666666665</v>
      </c>
      <c r="T659">
        <f>Prams!B$5/(S659-Prams!B$6)</f>
        <v>169.03461003896194</v>
      </c>
      <c r="U659">
        <f t="shared" ca="1" si="55"/>
        <v>0.49270833333333336</v>
      </c>
      <c r="V659">
        <f ca="1">Prams!C$5/(U659-Prams!C$6)</f>
        <v>177.0882963740959</v>
      </c>
      <c r="W659">
        <f t="shared" ca="1" si="56"/>
        <v>1.1574398455823263</v>
      </c>
    </row>
    <row r="660" spans="1:23" hidden="1" x14ac:dyDescent="0.55000000000000004">
      <c r="A660" s="1" t="s">
        <v>1325</v>
      </c>
      <c r="B660" s="1">
        <v>138</v>
      </c>
      <c r="C660">
        <v>645</v>
      </c>
      <c r="D660">
        <v>613.5</v>
      </c>
      <c r="E660">
        <v>10.111969999999999</v>
      </c>
      <c r="F660" t="s">
        <v>40</v>
      </c>
      <c r="G660" s="10" t="s">
        <v>2418</v>
      </c>
      <c r="H660">
        <v>101</v>
      </c>
      <c r="I660" t="s">
        <v>1307</v>
      </c>
      <c r="J660">
        <f ca="1">VLOOKUP(G660,INDIRECT("球速変換!A$1:B$" &amp; Prams!$B$8),2,)</f>
        <v>129</v>
      </c>
      <c r="K660" t="str">
        <f ca="1">VLOOKUP(I660,INDIRECT("投手名変換!A$1:B$" &amp; Prams!$B$9),2,)</f>
        <v>DD005</v>
      </c>
      <c r="L660">
        <f t="shared" si="57"/>
        <v>37</v>
      </c>
      <c r="M660">
        <f ca="1">(B660-VLOOKUP(K660,INDIRECT("投手データ!B1:D"&amp;Prams!$B$1),3,FALSE)*2)</f>
        <v>44</v>
      </c>
      <c r="N660" t="str">
        <f ca="1">VLOOKUP(F660,INDIRECT("球種変換表!A$1:B$" &amp; Prams!$B$2),2,)</f>
        <v>ドロップカーブ</v>
      </c>
      <c r="O660">
        <f ca="1">VLOOKUP(N660,球種情報!A:B,2,FALSE)</f>
        <v>12</v>
      </c>
      <c r="P660">
        <f ca="1">VLOOKUP(K660,投手データ!B:AI,output!O660+6,FALSE)</f>
        <v>4</v>
      </c>
      <c r="R660">
        <f t="shared" ca="1" si="53"/>
        <v>7.7519379844961239E-3</v>
      </c>
      <c r="S660">
        <f t="shared" si="54"/>
        <v>0.60729166666666667</v>
      </c>
      <c r="T660">
        <f>Prams!B$5/(S660-Prams!B$6)</f>
        <v>113.023659714499</v>
      </c>
      <c r="U660">
        <f t="shared" ca="1" si="55"/>
        <v>0.72395833333333337</v>
      </c>
      <c r="V660">
        <f ca="1">Prams!C$5/(U660-Prams!C$6)</f>
        <v>106.52556610140287</v>
      </c>
      <c r="W660">
        <f t="shared" ca="1" si="56"/>
        <v>0.82577958218141767</v>
      </c>
    </row>
    <row r="661" spans="1:23" hidden="1" x14ac:dyDescent="0.55000000000000004">
      <c r="A661" s="1" t="s">
        <v>2194</v>
      </c>
      <c r="B661" s="1">
        <v>138</v>
      </c>
      <c r="C661">
        <v>645.04998999999998</v>
      </c>
      <c r="D661">
        <v>605.5</v>
      </c>
      <c r="E661">
        <v>10.06254</v>
      </c>
      <c r="F661" t="s">
        <v>40</v>
      </c>
      <c r="G661" s="10" t="s">
        <v>2420</v>
      </c>
      <c r="H661">
        <v>101</v>
      </c>
      <c r="I661" t="s">
        <v>1309</v>
      </c>
      <c r="J661">
        <f ca="1">VLOOKUP(G661,INDIRECT("球速変換!A$1:B$" &amp; Prams!$B$8),2,)</f>
        <v>127</v>
      </c>
      <c r="K661" t="str">
        <f ca="1">VLOOKUP(I661,INDIRECT("投手名変換!A$1:B$" &amp; Prams!$B$9),2,)</f>
        <v>DD005</v>
      </c>
      <c r="L661">
        <f t="shared" si="57"/>
        <v>37</v>
      </c>
      <c r="M661">
        <f ca="1">(B661-VLOOKUP(K661,INDIRECT("投手データ!B1:D"&amp;Prams!$B$1),3,FALSE)*2)</f>
        <v>44</v>
      </c>
      <c r="N661" t="str">
        <f ca="1">VLOOKUP(F661,INDIRECT("球種変換表!A$1:B$" &amp; Prams!$B$2),2,)</f>
        <v>ドロップカーブ</v>
      </c>
      <c r="O661">
        <f ca="1">VLOOKUP(N661,球種情報!A:B,2,FALSE)</f>
        <v>12</v>
      </c>
      <c r="P661">
        <f ca="1">VLOOKUP(K661,投手データ!B:AI,output!O661+6,FALSE)</f>
        <v>4</v>
      </c>
      <c r="R661">
        <f t="shared" ca="1" si="53"/>
        <v>7.874015748031496E-3</v>
      </c>
      <c r="S661">
        <f t="shared" si="54"/>
        <v>0.61284722222222221</v>
      </c>
      <c r="T661">
        <f>Prams!B$5/(S661-Prams!B$6)</f>
        <v>111.88726956469282</v>
      </c>
      <c r="U661">
        <f t="shared" ca="1" si="55"/>
        <v>0.72951388888888891</v>
      </c>
      <c r="V661">
        <f ca="1">Prams!C$5/(U661-Prams!C$6)</f>
        <v>105.51550521739543</v>
      </c>
      <c r="W661">
        <f t="shared" ca="1" si="56"/>
        <v>0.83083074974327109</v>
      </c>
    </row>
    <row r="662" spans="1:23" hidden="1" x14ac:dyDescent="0.55000000000000004">
      <c r="A662" s="1" t="s">
        <v>2196</v>
      </c>
      <c r="B662" s="1">
        <v>138</v>
      </c>
      <c r="C662">
        <v>636</v>
      </c>
      <c r="D662">
        <v>602</v>
      </c>
      <c r="E662">
        <v>11.04546</v>
      </c>
      <c r="F662" t="s">
        <v>40</v>
      </c>
      <c r="G662" s="10" t="s">
        <v>2419</v>
      </c>
      <c r="H662">
        <v>101</v>
      </c>
      <c r="I662" t="s">
        <v>2195</v>
      </c>
      <c r="J662">
        <f ca="1">VLOOKUP(G662,INDIRECT("球速変換!A$1:B$" &amp; Prams!$B$8),2,)</f>
        <v>126</v>
      </c>
      <c r="K662" t="s">
        <v>1897</v>
      </c>
      <c r="L662">
        <f t="shared" si="57"/>
        <v>37</v>
      </c>
      <c r="M662">
        <f ca="1">(B662-VLOOKUP(K662,INDIRECT("投手データ!B1:D"&amp;Prams!$B$1),3,FALSE)*2)</f>
        <v>44</v>
      </c>
      <c r="N662" t="str">
        <f ca="1">VLOOKUP(F662,INDIRECT("球種変換表!A$1:B$" &amp; Prams!$B$2),2,)</f>
        <v>ドロップカーブ</v>
      </c>
      <c r="O662">
        <f ca="1">VLOOKUP(N662,球種情報!A:B,2,FALSE)</f>
        <v>12</v>
      </c>
      <c r="P662">
        <f ca="1">VLOOKUP(K662,投手データ!B:AI,output!O662+6,FALSE)</f>
        <v>4</v>
      </c>
      <c r="R662">
        <f t="shared" ca="1" si="53"/>
        <v>7.9365079365079361E-3</v>
      </c>
      <c r="S662">
        <f t="shared" si="54"/>
        <v>0.6152777777777777</v>
      </c>
      <c r="T662">
        <f>Prams!B$5/(S662-Prams!B$6)</f>
        <v>111.39725314326903</v>
      </c>
      <c r="U662">
        <f t="shared" ca="1" si="55"/>
        <v>0.7319444444444444</v>
      </c>
      <c r="V662">
        <f ca="1">Prams!C$5/(U662-Prams!C$6)</f>
        <v>105.07960189609264</v>
      </c>
      <c r="W662">
        <f t="shared" ca="1" si="56"/>
        <v>0.83396509441343369</v>
      </c>
    </row>
    <row r="663" spans="1:23" hidden="1" x14ac:dyDescent="0.55000000000000004">
      <c r="A663" s="1" t="s">
        <v>2197</v>
      </c>
      <c r="B663" s="1">
        <v>139</v>
      </c>
      <c r="C663">
        <v>652.54760999999996</v>
      </c>
      <c r="D663">
        <v>614.5</v>
      </c>
      <c r="E663">
        <v>10.55958</v>
      </c>
      <c r="F663" t="s">
        <v>40</v>
      </c>
      <c r="G663" s="10" t="s">
        <v>623</v>
      </c>
      <c r="H663">
        <v>101</v>
      </c>
      <c r="I663" t="s">
        <v>1307</v>
      </c>
      <c r="J663">
        <f ca="1">VLOOKUP(G663,INDIRECT("球速変換!A$1:B$" &amp; Prams!$B$8),2,)</f>
        <v>120</v>
      </c>
      <c r="K663" t="str">
        <f ca="1">VLOOKUP(I663,INDIRECT("投手名変換!A$1:B$" &amp; Prams!$B$9),2,)</f>
        <v>DD005</v>
      </c>
      <c r="L663">
        <f t="shared" si="57"/>
        <v>38</v>
      </c>
      <c r="M663">
        <f ca="1">(B663-VLOOKUP(K663,INDIRECT("投手データ!B1:D"&amp;Prams!$B$1),3,FALSE)*2)</f>
        <v>45</v>
      </c>
      <c r="N663" t="str">
        <f ca="1">VLOOKUP(F663,INDIRECT("球種変換表!A$1:B$" &amp; Prams!$B$2),2,)</f>
        <v>ドロップカーブ</v>
      </c>
      <c r="O663">
        <f ca="1">VLOOKUP(N663,球種情報!A:B,2,FALSE)</f>
        <v>12</v>
      </c>
      <c r="P663">
        <f ca="1">VLOOKUP(K663,投手データ!B:AI,output!O663+6,FALSE)</f>
        <v>4</v>
      </c>
      <c r="R663">
        <f t="shared" ca="1" si="53"/>
        <v>8.3333333333333332E-3</v>
      </c>
      <c r="S663">
        <f t="shared" si="54"/>
        <v>0.62326388888888895</v>
      </c>
      <c r="T663">
        <f>Prams!B$5/(S663-Prams!B$6)</f>
        <v>109.81699043258152</v>
      </c>
      <c r="U663">
        <f t="shared" ca="1" si="55"/>
        <v>0.73993055555555565</v>
      </c>
      <c r="V663">
        <f ca="1">Prams!C$5/(U663-Prams!C$6)</f>
        <v>103.67236664974217</v>
      </c>
      <c r="W663">
        <f t="shared" ca="1" si="56"/>
        <v>0.86393638874785139</v>
      </c>
    </row>
    <row r="664" spans="1:23" hidden="1" x14ac:dyDescent="0.55000000000000004">
      <c r="A664" s="1" t="s">
        <v>2199</v>
      </c>
      <c r="B664" s="1">
        <v>139</v>
      </c>
      <c r="C664">
        <v>648.5</v>
      </c>
      <c r="D664">
        <v>614</v>
      </c>
      <c r="E664">
        <v>10.547610000000001</v>
      </c>
      <c r="F664" t="s">
        <v>40</v>
      </c>
      <c r="G664" s="10" t="s">
        <v>588</v>
      </c>
      <c r="H664">
        <v>101</v>
      </c>
      <c r="I664" t="s">
        <v>2198</v>
      </c>
      <c r="J664">
        <f ca="1">VLOOKUP(G664,INDIRECT("球速変換!A$1:B$" &amp; Prams!$B$8),2,)</f>
        <v>126</v>
      </c>
      <c r="K664" t="s">
        <v>1897</v>
      </c>
      <c r="L664">
        <f t="shared" si="57"/>
        <v>38</v>
      </c>
      <c r="M664">
        <f ca="1">(B664-VLOOKUP(K664,INDIRECT("投手データ!B1:D"&amp;Prams!$B$1),3,FALSE)*2)</f>
        <v>45</v>
      </c>
      <c r="N664" t="str">
        <f ca="1">VLOOKUP(F664,INDIRECT("球種変換表!A$1:B$" &amp; Prams!$B$2),2,)</f>
        <v>ドロップカーブ</v>
      </c>
      <c r="O664">
        <f ca="1">VLOOKUP(N664,球種情報!A:B,2,FALSE)</f>
        <v>12</v>
      </c>
      <c r="P664">
        <f ca="1">VLOOKUP(K664,投手データ!B:AI,output!O664+6,FALSE)</f>
        <v>4</v>
      </c>
      <c r="R664">
        <f t="shared" ca="1" si="53"/>
        <v>7.9365079365079361E-3</v>
      </c>
      <c r="S664">
        <f t="shared" si="54"/>
        <v>0.62361111111111112</v>
      </c>
      <c r="T664">
        <f>Prams!B$5/(S664-Prams!B$6)</f>
        <v>109.74929977513906</v>
      </c>
      <c r="U664">
        <f t="shared" ca="1" si="55"/>
        <v>0.7402777777777777</v>
      </c>
      <c r="V664">
        <f ca="1">Prams!C$5/(U664-Prams!C$6)</f>
        <v>103.61203701979481</v>
      </c>
      <c r="W664">
        <f t="shared" ca="1" si="56"/>
        <v>0.82231775412535568</v>
      </c>
    </row>
    <row r="665" spans="1:23" hidden="1" x14ac:dyDescent="0.55000000000000004">
      <c r="A665" s="1" t="s">
        <v>2200</v>
      </c>
      <c r="B665" s="1">
        <v>138</v>
      </c>
      <c r="C665">
        <v>637.04998999999998</v>
      </c>
      <c r="D665">
        <v>604.5</v>
      </c>
      <c r="E665">
        <v>10.06254</v>
      </c>
      <c r="F665" t="s">
        <v>40</v>
      </c>
      <c r="G665" s="10" t="s">
        <v>2420</v>
      </c>
      <c r="H665">
        <v>101</v>
      </c>
      <c r="I665" t="s">
        <v>1312</v>
      </c>
      <c r="J665">
        <f ca="1">VLOOKUP(G665,INDIRECT("球速変換!A$1:B$" &amp; Prams!$B$8),2,)</f>
        <v>127</v>
      </c>
      <c r="K665" t="str">
        <f ca="1">VLOOKUP(I665,INDIRECT("投手名変換!A$1:B$" &amp; Prams!$B$9),2,)</f>
        <v>DD005</v>
      </c>
      <c r="L665">
        <f t="shared" si="57"/>
        <v>37</v>
      </c>
      <c r="M665">
        <f ca="1">(B665-VLOOKUP(K665,INDIRECT("投手データ!B1:D"&amp;Prams!$B$1),3,FALSE)*2)</f>
        <v>44</v>
      </c>
      <c r="N665" t="str">
        <f ca="1">VLOOKUP(F665,INDIRECT("球種変換表!A$1:B$" &amp; Prams!$B$2),2,)</f>
        <v>ドロップカーブ</v>
      </c>
      <c r="O665">
        <f ca="1">VLOOKUP(N665,球種情報!A:B,2,FALSE)</f>
        <v>12</v>
      </c>
      <c r="P665">
        <f ca="1">VLOOKUP(K665,投手データ!B:AI,output!O665+6,FALSE)</f>
        <v>4</v>
      </c>
      <c r="R665">
        <f t="shared" ca="1" si="53"/>
        <v>7.874015748031496E-3</v>
      </c>
      <c r="S665">
        <f t="shared" si="54"/>
        <v>0.61354166666666665</v>
      </c>
      <c r="T665">
        <f>Prams!B$5/(S665-Prams!B$6)</f>
        <v>111.74682552832549</v>
      </c>
      <c r="U665">
        <f t="shared" ca="1" si="55"/>
        <v>0.73020833333333335</v>
      </c>
      <c r="V665">
        <f ca="1">Prams!C$5/(U665-Prams!C$6)</f>
        <v>105.39059281462644</v>
      </c>
      <c r="W665">
        <f t="shared" ca="1" si="56"/>
        <v>0.82984718751674369</v>
      </c>
    </row>
    <row r="666" spans="1:23" hidden="1" x14ac:dyDescent="0.55000000000000004">
      <c r="A666" s="1" t="s">
        <v>2202</v>
      </c>
      <c r="B666" s="1">
        <v>138</v>
      </c>
      <c r="C666">
        <v>636.5</v>
      </c>
      <c r="D666">
        <v>606</v>
      </c>
      <c r="E666">
        <v>10.547610000000001</v>
      </c>
      <c r="F666" t="s">
        <v>1327</v>
      </c>
      <c r="G666" s="10" t="s">
        <v>2420</v>
      </c>
      <c r="H666">
        <v>101</v>
      </c>
      <c r="I666" t="s">
        <v>2201</v>
      </c>
      <c r="J666">
        <f ca="1">VLOOKUP(G666,INDIRECT("球速変換!A$1:B$" &amp; Prams!$B$8),2,)</f>
        <v>127</v>
      </c>
      <c r="K666" t="s">
        <v>1897</v>
      </c>
      <c r="L666">
        <f t="shared" si="57"/>
        <v>37</v>
      </c>
      <c r="M666">
        <f ca="1">(B666-VLOOKUP(K666,INDIRECT("投手データ!B1:D"&amp;Prams!$B$1),3,FALSE)*2)</f>
        <v>44</v>
      </c>
      <c r="N666" t="str">
        <f ca="1">VLOOKUP(F666,INDIRECT("球種変換表!A$1:B$" &amp; Prams!$B$2),2,)</f>
        <v>ドロップカーブ</v>
      </c>
      <c r="O666">
        <f ca="1">VLOOKUP(N666,球種情報!A:B,2,FALSE)</f>
        <v>12</v>
      </c>
      <c r="P666">
        <f ca="1">VLOOKUP(K666,投手データ!B:AI,output!O666+6,FALSE)</f>
        <v>4</v>
      </c>
      <c r="R666">
        <f t="shared" ca="1" si="53"/>
        <v>7.874015748031496E-3</v>
      </c>
      <c r="S666">
        <f t="shared" si="54"/>
        <v>0.61250000000000004</v>
      </c>
      <c r="T666">
        <f>Prams!B$5/(S666-Prams!B$6)</f>
        <v>111.95762404925752</v>
      </c>
      <c r="U666">
        <f t="shared" ca="1" si="55"/>
        <v>0.72916666666666663</v>
      </c>
      <c r="V666">
        <f ca="1">Prams!C$5/(U666-Prams!C$6)</f>
        <v>105.57807252234305</v>
      </c>
      <c r="W666">
        <f t="shared" ca="1" si="56"/>
        <v>0.83132340568774055</v>
      </c>
    </row>
    <row r="667" spans="1:23" hidden="1" x14ac:dyDescent="0.55000000000000004">
      <c r="A667" s="1" t="s">
        <v>2203</v>
      </c>
      <c r="B667" s="1">
        <v>139</v>
      </c>
      <c r="C667">
        <v>640</v>
      </c>
      <c r="D667">
        <v>613</v>
      </c>
      <c r="E667">
        <v>11.0001</v>
      </c>
      <c r="F667" t="s">
        <v>1327</v>
      </c>
      <c r="G667" s="10" t="s">
        <v>588</v>
      </c>
      <c r="H667">
        <v>101</v>
      </c>
      <c r="I667" t="s">
        <v>1295</v>
      </c>
      <c r="J667">
        <f ca="1">VLOOKUP(G667,INDIRECT("球速変換!A$1:B$" &amp; Prams!$B$8),2,)</f>
        <v>126</v>
      </c>
      <c r="K667" t="str">
        <f ca="1">VLOOKUP(I667,INDIRECT("投手名変換!A$1:B$" &amp; Prams!$B$9),2,)</f>
        <v>DD005</v>
      </c>
      <c r="L667">
        <f t="shared" si="57"/>
        <v>38</v>
      </c>
      <c r="M667">
        <f ca="1">(B667-VLOOKUP(K667,INDIRECT("投手データ!B1:D"&amp;Prams!$B$1),3,FALSE)*2)</f>
        <v>45</v>
      </c>
      <c r="N667" t="str">
        <f ca="1">VLOOKUP(F667,INDIRECT("球種変換表!A$1:B$" &amp; Prams!$B$2),2,)</f>
        <v>ドロップカーブ</v>
      </c>
      <c r="O667">
        <f ca="1">VLOOKUP(N667,球種情報!A:B,2,FALSE)</f>
        <v>12</v>
      </c>
      <c r="P667">
        <f ca="1">VLOOKUP(K667,投手データ!B:AI,output!O667+6,FALSE)</f>
        <v>4</v>
      </c>
      <c r="R667">
        <f t="shared" ca="1" si="53"/>
        <v>7.9365079365079361E-3</v>
      </c>
      <c r="S667">
        <f t="shared" si="54"/>
        <v>0.62430555555555556</v>
      </c>
      <c r="T667">
        <f>Prams!B$5/(S667-Prams!B$6)</f>
        <v>109.61416849715823</v>
      </c>
      <c r="U667">
        <f t="shared" ca="1" si="55"/>
        <v>0.74097222222222225</v>
      </c>
      <c r="V667">
        <f ca="1">Prams!C$5/(U667-Prams!C$6)</f>
        <v>103.49158815925303</v>
      </c>
      <c r="W667">
        <f t="shared" ca="1" si="56"/>
        <v>0.82136181078772241</v>
      </c>
    </row>
    <row r="668" spans="1:23" hidden="1" x14ac:dyDescent="0.55000000000000004">
      <c r="A668" s="1" t="s">
        <v>2204</v>
      </c>
      <c r="B668" s="1">
        <v>138</v>
      </c>
      <c r="C668">
        <v>650.5</v>
      </c>
      <c r="D668">
        <v>615</v>
      </c>
      <c r="E668">
        <v>10.547610000000001</v>
      </c>
      <c r="F668" t="s">
        <v>40</v>
      </c>
      <c r="G668" s="10" t="s">
        <v>2418</v>
      </c>
      <c r="H668">
        <v>101</v>
      </c>
      <c r="I668" t="s">
        <v>1307</v>
      </c>
      <c r="J668">
        <f ca="1">VLOOKUP(G668,INDIRECT("球速変換!A$1:B$" &amp; Prams!$B$8),2,)</f>
        <v>129</v>
      </c>
      <c r="K668" t="str">
        <f ca="1">VLOOKUP(I668,INDIRECT("投手名変換!A$1:B$" &amp; Prams!$B$9),2,)</f>
        <v>DD005</v>
      </c>
      <c r="L668">
        <f t="shared" si="57"/>
        <v>37</v>
      </c>
      <c r="M668">
        <f ca="1">(B668-VLOOKUP(K668,INDIRECT("投手データ!B1:D"&amp;Prams!$B$1),3,FALSE)*2)</f>
        <v>44</v>
      </c>
      <c r="N668" t="str">
        <f ca="1">VLOOKUP(F668,INDIRECT("球種変換表!A$1:B$" &amp; Prams!$B$2),2,)</f>
        <v>ドロップカーブ</v>
      </c>
      <c r="O668">
        <f ca="1">VLOOKUP(N668,球種情報!A:B,2,FALSE)</f>
        <v>12</v>
      </c>
      <c r="P668">
        <f ca="1">VLOOKUP(K668,投手データ!B:AI,output!O668+6,FALSE)</f>
        <v>4</v>
      </c>
      <c r="R668">
        <f t="shared" ca="1" si="53"/>
        <v>7.7519379844961239E-3</v>
      </c>
      <c r="S668">
        <f t="shared" si="54"/>
        <v>0.60624999999999996</v>
      </c>
      <c r="T668">
        <f>Prams!B$5/(S668-Prams!B$6)</f>
        <v>113.23930762890376</v>
      </c>
      <c r="U668">
        <f t="shared" ca="1" si="55"/>
        <v>0.72291666666666665</v>
      </c>
      <c r="V668">
        <f ca="1">Prams!C$5/(U668-Prams!C$6)</f>
        <v>106.71710923789522</v>
      </c>
      <c r="W668">
        <f t="shared" ca="1" si="56"/>
        <v>0.82726441269686213</v>
      </c>
    </row>
    <row r="669" spans="1:23" hidden="1" x14ac:dyDescent="0.55000000000000004">
      <c r="A669" s="1" t="s">
        <v>2205</v>
      </c>
      <c r="B669" s="1">
        <v>138</v>
      </c>
      <c r="C669">
        <v>647.5</v>
      </c>
      <c r="D669">
        <v>611</v>
      </c>
      <c r="E669">
        <v>10.547610000000001</v>
      </c>
      <c r="F669" t="s">
        <v>40</v>
      </c>
      <c r="G669" s="10" t="s">
        <v>591</v>
      </c>
      <c r="H669">
        <v>101</v>
      </c>
      <c r="I669" t="s">
        <v>1304</v>
      </c>
      <c r="J669">
        <f ca="1">VLOOKUP(G669,INDIRECT("球速変換!A$1:B$" &amp; Prams!$B$8),2,)</f>
        <v>128</v>
      </c>
      <c r="K669" t="str">
        <f ca="1">VLOOKUP(I669,INDIRECT("投手名変換!A$1:B$" &amp; Prams!$B$9),2,)</f>
        <v>DD005</v>
      </c>
      <c r="L669">
        <f t="shared" si="57"/>
        <v>37</v>
      </c>
      <c r="M669">
        <f ca="1">(B669-VLOOKUP(K669,INDIRECT("投手データ!B1:D"&amp;Prams!$B$1),3,FALSE)*2)</f>
        <v>44</v>
      </c>
      <c r="N669" t="str">
        <f ca="1">VLOOKUP(F669,INDIRECT("球種変換表!A$1:B$" &amp; Prams!$B$2),2,)</f>
        <v>ドロップカーブ</v>
      </c>
      <c r="O669">
        <f ca="1">VLOOKUP(N669,球種情報!A:B,2,FALSE)</f>
        <v>12</v>
      </c>
      <c r="P669">
        <f ca="1">VLOOKUP(K669,投手データ!B:AI,output!O669+6,FALSE)</f>
        <v>4</v>
      </c>
      <c r="R669">
        <f t="shared" ca="1" si="53"/>
        <v>7.8125E-3</v>
      </c>
      <c r="S669">
        <f t="shared" si="54"/>
        <v>0.60902777777777772</v>
      </c>
      <c r="T669">
        <f>Prams!B$5/(S669-Prams!B$6)</f>
        <v>112.66606595053206</v>
      </c>
      <c r="U669">
        <f t="shared" ca="1" si="55"/>
        <v>0.72569444444444442</v>
      </c>
      <c r="V669">
        <f ca="1">Prams!C$5/(U669-Prams!C$6)</f>
        <v>106.20785095965718</v>
      </c>
      <c r="W669">
        <f t="shared" ca="1" si="56"/>
        <v>0.82974883562232171</v>
      </c>
    </row>
    <row r="670" spans="1:23" hidden="1" x14ac:dyDescent="0.55000000000000004">
      <c r="A670" s="1" t="s">
        <v>2206</v>
      </c>
      <c r="B670" s="1">
        <v>133</v>
      </c>
      <c r="C670">
        <v>622</v>
      </c>
      <c r="D670">
        <v>615.5</v>
      </c>
      <c r="E670">
        <v>10.012589999999999</v>
      </c>
      <c r="F670">
        <v>2</v>
      </c>
      <c r="G670" s="10" t="s">
        <v>2460</v>
      </c>
      <c r="H670">
        <v>101</v>
      </c>
      <c r="I670" t="s">
        <v>1307</v>
      </c>
      <c r="J670">
        <f ca="1">VLOOKUP(G670,INDIRECT("球速変換!A$1:B$" &amp; Prams!$B$8),2,)</f>
        <v>138</v>
      </c>
      <c r="K670" t="str">
        <f ca="1">VLOOKUP(I670,INDIRECT("投手名変換!A$1:B$" &amp; Prams!$B$9),2,)</f>
        <v>DD005</v>
      </c>
      <c r="L670">
        <f t="shared" si="57"/>
        <v>32</v>
      </c>
      <c r="M670">
        <f ca="1">(B670-VLOOKUP(K670,INDIRECT("投手データ!B1:D"&amp;Prams!$B$1),3,FALSE)*2)</f>
        <v>39</v>
      </c>
      <c r="N670" t="str">
        <f ca="1">VLOOKUP(F670,INDIRECT("球種変換表!A$1:B$" &amp; Prams!$B$2),2,)</f>
        <v>シュート</v>
      </c>
      <c r="O670">
        <f ca="1">VLOOKUP(N670,球種情報!A:B,2,FALSE)</f>
        <v>26</v>
      </c>
      <c r="P670">
        <f ca="1">VLOOKUP(K670,投手データ!B:AI,output!O670+6,FALSE)</f>
        <v>7</v>
      </c>
      <c r="R670">
        <f t="shared" ca="1" si="53"/>
        <v>7.246376811594203E-3</v>
      </c>
      <c r="S670">
        <f t="shared" si="54"/>
        <v>0.52256944444444442</v>
      </c>
      <c r="T670">
        <f>Prams!B$5/(S670-Prams!B$6)</f>
        <v>133.73801955329085</v>
      </c>
      <c r="U670">
        <f t="shared" ca="1" si="55"/>
        <v>0.63923611111111112</v>
      </c>
      <c r="V670">
        <f ca="1">Prams!C$5/(U670-Prams!C$6)</f>
        <v>124.73465636191426</v>
      </c>
      <c r="W670">
        <f t="shared" ca="1" si="56"/>
        <v>0.90387432146314683</v>
      </c>
    </row>
    <row r="671" spans="1:23" hidden="1" x14ac:dyDescent="0.55000000000000004">
      <c r="A671" s="1" t="s">
        <v>1329</v>
      </c>
      <c r="B671" s="1">
        <v>132</v>
      </c>
      <c r="C671">
        <v>617.44739000000004</v>
      </c>
      <c r="D671">
        <v>602.5</v>
      </c>
      <c r="E671">
        <v>9.5657899999999998</v>
      </c>
      <c r="F671" t="s">
        <v>1720</v>
      </c>
      <c r="G671" s="10" t="s">
        <v>585</v>
      </c>
      <c r="H671">
        <v>101</v>
      </c>
      <c r="I671" t="s">
        <v>1302</v>
      </c>
      <c r="J671">
        <f ca="1">VLOOKUP(G671,INDIRECT("球速変換!A$1:B$" &amp; Prams!$B$8),2,)</f>
        <v>140</v>
      </c>
      <c r="K671" t="str">
        <f ca="1">VLOOKUP(I671,INDIRECT("投手名変換!A$1:B$" &amp; Prams!$B$9),2,)</f>
        <v>DD005</v>
      </c>
      <c r="L671">
        <f t="shared" si="57"/>
        <v>31</v>
      </c>
      <c r="M671">
        <f ca="1">(B671-VLOOKUP(K671,INDIRECT("投手データ!B1:D"&amp;Prams!$B$1),3,FALSE)*2)</f>
        <v>38</v>
      </c>
      <c r="N671" t="str">
        <f ca="1">VLOOKUP(F671,INDIRECT("球種変換表!A$1:B$" &amp; Prams!$B$2),2,)</f>
        <v>シュート</v>
      </c>
      <c r="O671">
        <f ca="1">VLOOKUP(N671,球種情報!A:B,2,FALSE)</f>
        <v>26</v>
      </c>
      <c r="P671">
        <f ca="1">VLOOKUP(K671,投手データ!B:AI,output!O671+6,FALSE)</f>
        <v>7</v>
      </c>
      <c r="R671">
        <f t="shared" ca="1" si="53"/>
        <v>7.1428571428571426E-3</v>
      </c>
      <c r="S671">
        <f t="shared" si="54"/>
        <v>0.51493055555555556</v>
      </c>
      <c r="T671">
        <f>Prams!B$5/(S671-Prams!B$6)</f>
        <v>135.98514055979521</v>
      </c>
      <c r="U671">
        <f t="shared" ca="1" si="55"/>
        <v>0.63159722222222225</v>
      </c>
      <c r="V671">
        <f ca="1">Prams!C$5/(U671-Prams!C$6)</f>
        <v>126.68719653458865</v>
      </c>
      <c r="W671">
        <f t="shared" ca="1" si="56"/>
        <v>0.90490854667563325</v>
      </c>
    </row>
    <row r="672" spans="1:23" hidden="1" x14ac:dyDescent="0.55000000000000004">
      <c r="A672" s="1" t="s">
        <v>1330</v>
      </c>
      <c r="B672" s="1">
        <v>133</v>
      </c>
      <c r="C672">
        <v>613.07501000000002</v>
      </c>
      <c r="D672">
        <v>614</v>
      </c>
      <c r="E672">
        <v>10.12459</v>
      </c>
      <c r="F672" t="s">
        <v>351</v>
      </c>
      <c r="G672" s="10" t="s">
        <v>1101</v>
      </c>
      <c r="H672">
        <v>101</v>
      </c>
      <c r="I672" t="s">
        <v>1307</v>
      </c>
      <c r="J672">
        <f ca="1">VLOOKUP(G672,INDIRECT("球速変換!A$1:B$" &amp; Prams!$B$8),2,)</f>
        <v>92</v>
      </c>
      <c r="K672" t="str">
        <f ca="1">VLOOKUP(I672,INDIRECT("投手名変換!A$1:B$" &amp; Prams!$B$9),2,)</f>
        <v>DD005</v>
      </c>
      <c r="L672">
        <f t="shared" si="57"/>
        <v>32</v>
      </c>
      <c r="M672">
        <f ca="1">(B672-VLOOKUP(K672,INDIRECT("投手データ!B1:D"&amp;Prams!$B$1),3,FALSE)*2)</f>
        <v>39</v>
      </c>
      <c r="N672" t="str">
        <f ca="1">VLOOKUP(F672,INDIRECT("球種変換表!A$1:B$" &amp; Prams!$B$2),2,)</f>
        <v>シュート</v>
      </c>
      <c r="O672">
        <f ca="1">VLOOKUP(N672,球種情報!A:B,2,FALSE)</f>
        <v>26</v>
      </c>
      <c r="P672">
        <f ca="1">VLOOKUP(K672,投手データ!B:AI,output!O672+6,FALSE)</f>
        <v>7</v>
      </c>
      <c r="R672">
        <f t="shared" ca="1" si="53"/>
        <v>1.0869565217391304E-2</v>
      </c>
      <c r="S672">
        <f t="shared" si="54"/>
        <v>0.52361111111111114</v>
      </c>
      <c r="T672">
        <f>Prams!B$5/(S672-Prams!B$6)</f>
        <v>133.43733512398677</v>
      </c>
      <c r="U672">
        <f t="shared" ca="1" si="55"/>
        <v>0.64027777777777772</v>
      </c>
      <c r="V672">
        <f ca="1">Prams!C$5/(U672-Prams!C$6)</f>
        <v>124.47305429408739</v>
      </c>
      <c r="W672">
        <f t="shared" ca="1" si="56"/>
        <v>1.3529679814574715</v>
      </c>
    </row>
    <row r="673" spans="1:24" hidden="1" x14ac:dyDescent="0.55000000000000004">
      <c r="A673" s="1" t="s">
        <v>1331</v>
      </c>
      <c r="B673" s="1">
        <v>133</v>
      </c>
      <c r="C673">
        <v>616</v>
      </c>
      <c r="D673">
        <v>615</v>
      </c>
      <c r="E673">
        <v>11.0001</v>
      </c>
      <c r="F673" t="s">
        <v>351</v>
      </c>
      <c r="G673" s="10" t="s">
        <v>2460</v>
      </c>
      <c r="H673">
        <v>101</v>
      </c>
      <c r="I673" t="s">
        <v>1297</v>
      </c>
      <c r="J673">
        <f ca="1">VLOOKUP(G673,INDIRECT("球速変換!A$1:B$" &amp; Prams!$B$8),2,)</f>
        <v>138</v>
      </c>
      <c r="K673" t="str">
        <f ca="1">VLOOKUP(I673,INDIRECT("投手名変換!A$1:B$" &amp; Prams!$B$9),2,)</f>
        <v>DD005</v>
      </c>
      <c r="L673">
        <f t="shared" si="57"/>
        <v>32</v>
      </c>
      <c r="M673">
        <f ca="1">(B673-VLOOKUP(K673,INDIRECT("投手データ!B1:D"&amp;Prams!$B$1),3,FALSE)*2)</f>
        <v>39</v>
      </c>
      <c r="N673" t="str">
        <f ca="1">VLOOKUP(F673,INDIRECT("球種変換表!A$1:B$" &amp; Prams!$B$2),2,)</f>
        <v>シュート</v>
      </c>
      <c r="O673">
        <f ca="1">VLOOKUP(N673,球種情報!A:B,2,FALSE)</f>
        <v>26</v>
      </c>
      <c r="P673">
        <f ca="1">VLOOKUP(K673,投手データ!B:AI,output!O673+6,FALSE)</f>
        <v>7</v>
      </c>
      <c r="R673">
        <f t="shared" ca="1" si="53"/>
        <v>7.246376811594203E-3</v>
      </c>
      <c r="S673">
        <f t="shared" si="54"/>
        <v>0.5229166666666667</v>
      </c>
      <c r="T673">
        <f>Prams!B$5/(S673-Prams!B$6)</f>
        <v>133.63764095543468</v>
      </c>
      <c r="U673">
        <f t="shared" ca="1" si="55"/>
        <v>0.63958333333333328</v>
      </c>
      <c r="V673">
        <f ca="1">Prams!C$5/(U673-Prams!C$6)</f>
        <v>124.6473335797574</v>
      </c>
      <c r="W673">
        <f t="shared" ca="1" si="56"/>
        <v>0.90324154767940146</v>
      </c>
    </row>
    <row r="674" spans="1:24" hidden="1" x14ac:dyDescent="0.55000000000000004">
      <c r="A674" s="1" t="s">
        <v>1332</v>
      </c>
      <c r="B674" s="1">
        <v>132</v>
      </c>
      <c r="C674">
        <v>616.5</v>
      </c>
      <c r="D674">
        <v>607</v>
      </c>
      <c r="E674">
        <v>10.5001</v>
      </c>
      <c r="F674" t="s">
        <v>351</v>
      </c>
      <c r="G674" s="10" t="s">
        <v>1099</v>
      </c>
      <c r="H674">
        <v>101</v>
      </c>
      <c r="I674" t="s">
        <v>1307</v>
      </c>
      <c r="J674">
        <f ca="1">VLOOKUP(G674,INDIRECT("球速変換!A$1:B$" &amp; Prams!$B$8),2,)</f>
        <v>142</v>
      </c>
      <c r="K674" t="str">
        <f ca="1">VLOOKUP(I674,INDIRECT("投手名変換!A$1:B$" &amp; Prams!$B$9),2,)</f>
        <v>DD005</v>
      </c>
      <c r="L674">
        <f t="shared" si="57"/>
        <v>31</v>
      </c>
      <c r="M674">
        <f ca="1">(B674-VLOOKUP(K674,INDIRECT("投手データ!B1:D"&amp;Prams!$B$1),3,FALSE)*2)</f>
        <v>38</v>
      </c>
      <c r="N674" t="str">
        <f ca="1">VLOOKUP(F674,INDIRECT("球種変換表!A$1:B$" &amp; Prams!$B$2),2,)</f>
        <v>シュート</v>
      </c>
      <c r="O674">
        <f ca="1">VLOOKUP(N674,球種情報!A:B,2,FALSE)</f>
        <v>26</v>
      </c>
      <c r="P674">
        <f ca="1">VLOOKUP(K674,投手データ!B:AI,output!O674+6,FALSE)</f>
        <v>7</v>
      </c>
      <c r="R674">
        <f t="shared" ca="1" si="53"/>
        <v>7.0422535211267607E-3</v>
      </c>
      <c r="S674">
        <f t="shared" si="54"/>
        <v>0.51180555555555551</v>
      </c>
      <c r="T674">
        <f>Prams!B$5/(S674-Prams!B$6)</f>
        <v>136.92633288626942</v>
      </c>
      <c r="U674">
        <f t="shared" ca="1" si="55"/>
        <v>0.62847222222222221</v>
      </c>
      <c r="V674">
        <f ca="1">Prams!C$5/(U674-Prams!C$6)</f>
        <v>127.50369513159252</v>
      </c>
      <c r="W674">
        <f t="shared" ca="1" si="56"/>
        <v>0.89791334599713046</v>
      </c>
    </row>
    <row r="675" spans="1:24" hidden="1" x14ac:dyDescent="0.55000000000000004">
      <c r="A675" s="1" t="s">
        <v>1334</v>
      </c>
      <c r="B675" s="1">
        <v>132</v>
      </c>
      <c r="C675">
        <v>611.5</v>
      </c>
      <c r="D675">
        <v>604.5</v>
      </c>
      <c r="E675">
        <v>11.510960000000001</v>
      </c>
      <c r="F675" t="s">
        <v>350</v>
      </c>
      <c r="G675" s="10" t="s">
        <v>1333</v>
      </c>
      <c r="H675">
        <v>101</v>
      </c>
      <c r="I675" t="s">
        <v>1312</v>
      </c>
      <c r="J675">
        <f ca="1">VLOOKUP(G675,INDIRECT("球速変換!A$1:B$" &amp; Prams!$B$8),2,)</f>
        <v>141</v>
      </c>
      <c r="K675" t="str">
        <f ca="1">VLOOKUP(I675,INDIRECT("投手名変換!A$1:B$" &amp; Prams!$B$9),2,)</f>
        <v>DD005</v>
      </c>
      <c r="L675">
        <f t="shared" si="57"/>
        <v>31</v>
      </c>
      <c r="M675">
        <f ca="1">(B675-VLOOKUP(K675,INDIRECT("投手データ!B1:D"&amp;Prams!$B$1),3,FALSE)*2)</f>
        <v>38</v>
      </c>
      <c r="N675" t="str">
        <f ca="1">VLOOKUP(F675,INDIRECT("球種変換表!A$1:B$" &amp; Prams!$B$2),2,)</f>
        <v>シュート</v>
      </c>
      <c r="O675">
        <f ca="1">VLOOKUP(N675,球種情報!A:B,2,FALSE)</f>
        <v>26</v>
      </c>
      <c r="P675">
        <f ca="1">VLOOKUP(K675,投手データ!B:AI,output!O675+6,FALSE)</f>
        <v>7</v>
      </c>
      <c r="R675">
        <f t="shared" ca="1" si="53"/>
        <v>7.0921985815602835E-3</v>
      </c>
      <c r="S675">
        <f t="shared" si="54"/>
        <v>0.51354166666666667</v>
      </c>
      <c r="T675">
        <f>Prams!B$5/(S675-Prams!B$6)</f>
        <v>136.40184596149956</v>
      </c>
      <c r="U675">
        <f t="shared" ca="1" si="55"/>
        <v>0.63020833333333337</v>
      </c>
      <c r="V675">
        <f ca="1">Prams!C$5/(U675-Prams!C$6)</f>
        <v>127.04879009470312</v>
      </c>
      <c r="W675">
        <f t="shared" ca="1" si="56"/>
        <v>0.90105524889860367</v>
      </c>
    </row>
    <row r="676" spans="1:24" hidden="1" x14ac:dyDescent="0.55000000000000004">
      <c r="A676" s="1" t="s">
        <v>1335</v>
      </c>
      <c r="B676" s="1">
        <v>132</v>
      </c>
      <c r="C676">
        <v>618.5</v>
      </c>
      <c r="D676">
        <v>602.5</v>
      </c>
      <c r="E676">
        <v>10.512</v>
      </c>
      <c r="F676" t="s">
        <v>350</v>
      </c>
      <c r="G676" s="10" t="s">
        <v>2416</v>
      </c>
      <c r="H676">
        <v>101</v>
      </c>
      <c r="I676" t="s">
        <v>1309</v>
      </c>
      <c r="J676">
        <f ca="1">VLOOKUP(G676,INDIRECT("球速変換!A$1:B$" &amp; Prams!$B$8),2,)</f>
        <v>140</v>
      </c>
      <c r="K676" t="str">
        <f ca="1">VLOOKUP(I676,INDIRECT("投手名変換!A$1:B$" &amp; Prams!$B$9),2,)</f>
        <v>DD005</v>
      </c>
      <c r="L676">
        <f t="shared" si="57"/>
        <v>31</v>
      </c>
      <c r="M676">
        <f ca="1">(B676-VLOOKUP(K676,INDIRECT("投手データ!B1:D"&amp;Prams!$B$1),3,FALSE)*2)</f>
        <v>38</v>
      </c>
      <c r="N676" t="str">
        <f ca="1">VLOOKUP(F676,INDIRECT("球種変換表!A$1:B$" &amp; Prams!$B$2),2,)</f>
        <v>シュート</v>
      </c>
      <c r="O676">
        <f ca="1">VLOOKUP(N676,球種情報!A:B,2,FALSE)</f>
        <v>26</v>
      </c>
      <c r="P676">
        <f ca="1">VLOOKUP(K676,投手データ!B:AI,output!O676+6,FALSE)</f>
        <v>7</v>
      </c>
      <c r="R676">
        <f t="shared" ca="1" si="53"/>
        <v>7.1428571428571426E-3</v>
      </c>
      <c r="S676">
        <f t="shared" si="54"/>
        <v>0.51493055555555556</v>
      </c>
      <c r="T676">
        <f>Prams!B$5/(S676-Prams!B$6)</f>
        <v>135.98514055979521</v>
      </c>
      <c r="U676">
        <f t="shared" ca="1" si="55"/>
        <v>0.63159722222222225</v>
      </c>
      <c r="V676">
        <f ca="1">Prams!C$5/(U676-Prams!C$6)</f>
        <v>126.68719653458865</v>
      </c>
      <c r="W676">
        <f t="shared" ca="1" si="56"/>
        <v>0.90490854667563325</v>
      </c>
    </row>
    <row r="677" spans="1:24" hidden="1" x14ac:dyDescent="0.55000000000000004">
      <c r="A677" s="1" t="s">
        <v>1336</v>
      </c>
      <c r="B677" s="1">
        <v>133</v>
      </c>
      <c r="C677">
        <v>612.57141000000001</v>
      </c>
      <c r="D677">
        <v>614</v>
      </c>
      <c r="E677">
        <v>10.618740000000001</v>
      </c>
      <c r="F677" t="s">
        <v>351</v>
      </c>
      <c r="G677" s="10" t="s">
        <v>2207</v>
      </c>
      <c r="H677">
        <v>101</v>
      </c>
      <c r="I677" t="s">
        <v>1300</v>
      </c>
      <c r="J677">
        <f ca="1">VLOOKUP(G677,INDIRECT("球速変換!A$1:B$" &amp; Prams!$B$8),2,)</f>
        <v>138</v>
      </c>
      <c r="K677" t="str">
        <f ca="1">VLOOKUP(I677,INDIRECT("投手名変換!A$1:B$" &amp; Prams!$B$9),2,)</f>
        <v>DD005</v>
      </c>
      <c r="L677">
        <f t="shared" si="57"/>
        <v>32</v>
      </c>
      <c r="M677">
        <f ca="1">(B677-VLOOKUP(K677,INDIRECT("投手データ!B1:D"&amp;Prams!$B$1),3,FALSE)*2)</f>
        <v>39</v>
      </c>
      <c r="N677" t="str">
        <f ca="1">VLOOKUP(F677,INDIRECT("球種変換表!A$1:B$" &amp; Prams!$B$2),2,)</f>
        <v>シュート</v>
      </c>
      <c r="O677">
        <f ca="1">VLOOKUP(N677,球種情報!A:B,2,FALSE)</f>
        <v>26</v>
      </c>
      <c r="P677">
        <f ca="1">VLOOKUP(K677,投手データ!B:AI,output!O677+6,FALSE)</f>
        <v>7</v>
      </c>
      <c r="R677">
        <f t="shared" ca="1" si="53"/>
        <v>7.246376811594203E-3</v>
      </c>
      <c r="S677">
        <f t="shared" si="54"/>
        <v>0.52361111111111114</v>
      </c>
      <c r="T677">
        <f>Prams!B$5/(S677-Prams!B$6)</f>
        <v>133.43733512398677</v>
      </c>
      <c r="U677">
        <f t="shared" ca="1" si="55"/>
        <v>0.64027777777777772</v>
      </c>
      <c r="V677">
        <f ca="1">Prams!C$5/(U677-Prams!C$6)</f>
        <v>124.47305429408739</v>
      </c>
      <c r="W677">
        <f t="shared" ca="1" si="56"/>
        <v>0.90197865430498114</v>
      </c>
    </row>
    <row r="678" spans="1:24" hidden="1" x14ac:dyDescent="0.55000000000000004">
      <c r="A678" s="1" t="s">
        <v>1337</v>
      </c>
      <c r="B678" s="1">
        <v>133</v>
      </c>
      <c r="C678">
        <v>610.45239000000004</v>
      </c>
      <c r="D678">
        <v>618.5</v>
      </c>
      <c r="E678">
        <v>10.55955</v>
      </c>
      <c r="F678" t="s">
        <v>351</v>
      </c>
      <c r="G678" s="10" t="s">
        <v>824</v>
      </c>
      <c r="H678">
        <v>101</v>
      </c>
      <c r="I678" t="s">
        <v>1307</v>
      </c>
      <c r="J678">
        <f ca="1">VLOOKUP(G678,INDIRECT("球速変換!A$1:B$" &amp; Prams!$B$8),2,)</f>
        <v>139</v>
      </c>
      <c r="K678" t="str">
        <f ca="1">VLOOKUP(I678,INDIRECT("投手名変換!A$1:B$" &amp; Prams!$B$9),2,)</f>
        <v>DD005</v>
      </c>
      <c r="L678">
        <f t="shared" si="57"/>
        <v>32</v>
      </c>
      <c r="M678">
        <f ca="1">(B678-VLOOKUP(K678,INDIRECT("投手データ!B1:D"&amp;Prams!$B$1),3,FALSE)*2)</f>
        <v>39</v>
      </c>
      <c r="N678" t="str">
        <f ca="1">VLOOKUP(F678,INDIRECT("球種変換表!A$1:B$" &amp; Prams!$B$2),2,)</f>
        <v>シュート</v>
      </c>
      <c r="O678">
        <f ca="1">VLOOKUP(N678,球種情報!A:B,2,FALSE)</f>
        <v>26</v>
      </c>
      <c r="P678">
        <f ca="1">VLOOKUP(K678,投手データ!B:AI,output!O678+6,FALSE)</f>
        <v>7</v>
      </c>
      <c r="R678">
        <f t="shared" ca="1" si="53"/>
        <v>7.1942446043165471E-3</v>
      </c>
      <c r="S678">
        <f t="shared" si="54"/>
        <v>0.52048611111111109</v>
      </c>
      <c r="T678">
        <f>Prams!B$5/(S678-Prams!B$6)</f>
        <v>134.34347214593132</v>
      </c>
      <c r="U678">
        <f t="shared" ca="1" si="55"/>
        <v>0.63715277777777779</v>
      </c>
      <c r="V678">
        <f ca="1">Prams!C$5/(U678-Prams!C$6)</f>
        <v>125.26117323938114</v>
      </c>
      <c r="W678">
        <f t="shared" ca="1" si="56"/>
        <v>0.90115951970777797</v>
      </c>
    </row>
    <row r="679" spans="1:24" hidden="1" x14ac:dyDescent="0.55000000000000004">
      <c r="A679" s="1" t="s">
        <v>1721</v>
      </c>
      <c r="B679" s="1">
        <v>132</v>
      </c>
      <c r="C679">
        <v>620.5</v>
      </c>
      <c r="D679">
        <v>602</v>
      </c>
      <c r="E679">
        <v>10.547610000000001</v>
      </c>
      <c r="F679" t="s">
        <v>350</v>
      </c>
      <c r="G679" s="10" t="s">
        <v>1355</v>
      </c>
      <c r="H679">
        <v>101</v>
      </c>
      <c r="I679" t="s">
        <v>1307</v>
      </c>
      <c r="J679">
        <f ca="1">VLOOKUP(G679,INDIRECT("球速変換!A$1:B$" &amp; Prams!$B$8),2,)</f>
        <v>145</v>
      </c>
      <c r="K679" t="str">
        <f ca="1">VLOOKUP(I679,INDIRECT("投手名変換!A$1:B$" &amp; Prams!$B$9),2,)</f>
        <v>DD005</v>
      </c>
      <c r="L679">
        <f t="shared" si="57"/>
        <v>31</v>
      </c>
      <c r="M679">
        <f ca="1">(B679-VLOOKUP(K679,INDIRECT("投手データ!B1:D"&amp;Prams!$B$1),3,FALSE)*2)</f>
        <v>38</v>
      </c>
      <c r="N679" t="str">
        <f ca="1">VLOOKUP(F679,INDIRECT("球種変換表!A$1:B$" &amp; Prams!$B$2),2,)</f>
        <v>シュート</v>
      </c>
      <c r="O679">
        <f ca="1">VLOOKUP(N679,球種情報!A:B,2,FALSE)</f>
        <v>26</v>
      </c>
      <c r="P679">
        <f ca="1">VLOOKUP(K679,投手データ!B:AI,output!O679+6,FALSE)</f>
        <v>7</v>
      </c>
      <c r="R679">
        <f t="shared" ca="1" si="53"/>
        <v>6.8965517241379309E-3</v>
      </c>
      <c r="S679">
        <f t="shared" si="54"/>
        <v>0.51527777777777783</v>
      </c>
      <c r="T679">
        <f>Prams!B$5/(S679-Prams!B$6)</f>
        <v>135.88136172706848</v>
      </c>
      <c r="U679">
        <f t="shared" ca="1" si="55"/>
        <v>0.63194444444444442</v>
      </c>
      <c r="V679">
        <f ca="1">Prams!C$5/(U679-Prams!C$6)</f>
        <v>126.59711951946487</v>
      </c>
      <c r="W679">
        <f t="shared" ca="1" si="56"/>
        <v>0.87308358289286114</v>
      </c>
    </row>
    <row r="680" spans="1:24" hidden="1" x14ac:dyDescent="0.55000000000000004">
      <c r="A680" s="1" t="s">
        <v>1339</v>
      </c>
      <c r="B680" s="1">
        <v>128</v>
      </c>
      <c r="C680">
        <v>638.5</v>
      </c>
      <c r="D680">
        <v>600.5</v>
      </c>
      <c r="E680">
        <v>10.512</v>
      </c>
      <c r="F680" t="s">
        <v>656</v>
      </c>
      <c r="G680" s="10" t="s">
        <v>619</v>
      </c>
      <c r="H680">
        <v>99</v>
      </c>
      <c r="I680" t="s">
        <v>1347</v>
      </c>
      <c r="J680">
        <f ca="1">VLOOKUP(G680,INDIRECT("球速変換!A$1:B$" &amp; Prams!$B$8),2,)</f>
        <v>146</v>
      </c>
      <c r="K680" t="str">
        <f ca="1">VLOOKUP(I680,INDIRECT("投手名変換!A$1:B$" &amp; Prams!$B$9),2,)</f>
        <v>DD010</v>
      </c>
      <c r="L680">
        <f t="shared" si="57"/>
        <v>29</v>
      </c>
      <c r="M680">
        <f ca="1">(B680-VLOOKUP(K680,INDIRECT("投手データ!B1:D"&amp;Prams!$B$1),3,FALSE)*2)</f>
        <v>34</v>
      </c>
      <c r="N680" t="str">
        <f ca="1">VLOOKUP(F680,INDIRECT("球種変換表!A$1:B$" &amp; Prams!$B$2),2,)</f>
        <v>ストレート</v>
      </c>
      <c r="O680">
        <f ca="1">VLOOKUP(N680,球種情報!A:B,2,FALSE)</f>
        <v>1</v>
      </c>
      <c r="P680">
        <f ca="1">VLOOKUP(K680,投手データ!B:AI,output!O680+6,FALSE)</f>
        <v>1</v>
      </c>
      <c r="R680">
        <f t="shared" ca="1" si="53"/>
        <v>6.8493150684931503E-3</v>
      </c>
      <c r="S680">
        <f t="shared" si="54"/>
        <v>0.48298611111111112</v>
      </c>
      <c r="T680">
        <f>Prams!B$5/(S680-Prams!B$6)</f>
        <v>146.26219876845835</v>
      </c>
      <c r="U680">
        <f t="shared" ca="1" si="55"/>
        <v>0.56631944444444438</v>
      </c>
      <c r="V680">
        <f ca="1">Prams!C$5/(U680-Prams!C$6)</f>
        <v>146.2506653349017</v>
      </c>
      <c r="W680">
        <f t="shared" ca="1" si="56"/>
        <v>1.001716885855491</v>
      </c>
      <c r="X680" t="s">
        <v>50</v>
      </c>
    </row>
    <row r="681" spans="1:24" hidden="1" x14ac:dyDescent="0.55000000000000004">
      <c r="A681" s="1" t="s">
        <v>1341</v>
      </c>
      <c r="B681" s="1">
        <v>129</v>
      </c>
      <c r="C681">
        <v>640</v>
      </c>
      <c r="D681">
        <v>614</v>
      </c>
      <c r="E681">
        <v>11.04546</v>
      </c>
      <c r="F681" t="s">
        <v>716</v>
      </c>
      <c r="G681" s="10" t="s">
        <v>961</v>
      </c>
      <c r="H681">
        <v>99</v>
      </c>
      <c r="I681" t="s">
        <v>1347</v>
      </c>
      <c r="J681">
        <f ca="1">VLOOKUP(G681,INDIRECT("球速変換!A$1:B$" &amp; Prams!$B$8),2,)</f>
        <v>144</v>
      </c>
      <c r="K681" t="str">
        <f ca="1">VLOOKUP(I681,INDIRECT("投手名変換!A$1:B$" &amp; Prams!$B$9),2,)</f>
        <v>DD010</v>
      </c>
      <c r="L681">
        <f t="shared" si="57"/>
        <v>30</v>
      </c>
      <c r="M681">
        <f ca="1">(B681-VLOOKUP(K681,INDIRECT("投手データ!B1:D"&amp;Prams!$B$1),3,FALSE)*2)</f>
        <v>35</v>
      </c>
      <c r="N681" t="str">
        <f ca="1">VLOOKUP(F681,INDIRECT("球種変換表!A$1:B$" &amp; Prams!$B$2),2,)</f>
        <v>ストレート</v>
      </c>
      <c r="O681">
        <f ca="1">VLOOKUP(N681,球種情報!A:B,2,FALSE)</f>
        <v>1</v>
      </c>
      <c r="P681">
        <f ca="1">VLOOKUP(K681,投手データ!B:AI,output!O681+6,FALSE)</f>
        <v>1</v>
      </c>
      <c r="R681">
        <f t="shared" ca="1" si="53"/>
        <v>6.9444444444444441E-3</v>
      </c>
      <c r="S681">
        <f t="shared" si="54"/>
        <v>0.49027777777777781</v>
      </c>
      <c r="T681">
        <f>Prams!B$5/(S681-Prams!B$6)</f>
        <v>143.78184919117265</v>
      </c>
      <c r="U681">
        <f t="shared" ca="1" si="55"/>
        <v>0.57361111111111107</v>
      </c>
      <c r="V681">
        <f ca="1">Prams!C$5/(U681-Prams!C$6)</f>
        <v>143.7707035993902</v>
      </c>
      <c r="W681">
        <f t="shared" ca="1" si="56"/>
        <v>0.99840766388465418</v>
      </c>
      <c r="X681" t="s">
        <v>50</v>
      </c>
    </row>
    <row r="682" spans="1:24" hidden="1" x14ac:dyDescent="0.55000000000000004">
      <c r="A682" s="1" t="s">
        <v>1342</v>
      </c>
      <c r="B682" s="1">
        <v>128</v>
      </c>
      <c r="C682">
        <v>637.55260999999996</v>
      </c>
      <c r="D682">
        <v>604.5</v>
      </c>
      <c r="E682">
        <v>9.5658300000000001</v>
      </c>
      <c r="F682" t="s">
        <v>0</v>
      </c>
      <c r="G682" s="10" t="s">
        <v>613</v>
      </c>
      <c r="H682">
        <v>99</v>
      </c>
      <c r="I682" t="s">
        <v>1368</v>
      </c>
      <c r="J682">
        <f ca="1">VLOOKUP(G682,INDIRECT("球速変換!A$1:B$" &amp; Prams!$B$8),2,)</f>
        <v>147</v>
      </c>
      <c r="K682" t="str">
        <f ca="1">VLOOKUP(I682,INDIRECT("投手名変換!A$1:B$" &amp; Prams!$B$9),2,)</f>
        <v>DD010</v>
      </c>
      <c r="L682">
        <f t="shared" si="57"/>
        <v>29</v>
      </c>
      <c r="M682">
        <f ca="1">(B682-VLOOKUP(K682,INDIRECT("投手データ!B1:D"&amp;Prams!$B$1),3,FALSE)*2)</f>
        <v>34</v>
      </c>
      <c r="N682" t="str">
        <f ca="1">VLOOKUP(F682,INDIRECT("球種変換表!A$1:B$" &amp; Prams!$B$2),2,)</f>
        <v>ストレート</v>
      </c>
      <c r="O682">
        <f ca="1">VLOOKUP(N682,球種情報!A:B,2,FALSE)</f>
        <v>1</v>
      </c>
      <c r="P682">
        <f ca="1">VLOOKUP(K682,投手データ!B:AI,output!O682+6,FALSE)</f>
        <v>1</v>
      </c>
      <c r="R682">
        <f t="shared" ca="1" si="53"/>
        <v>6.8027210884353739E-3</v>
      </c>
      <c r="S682">
        <f t="shared" si="54"/>
        <v>0.48020833333333335</v>
      </c>
      <c r="T682">
        <f>Prams!B$5/(S682-Prams!B$6)</f>
        <v>147.22975252535275</v>
      </c>
      <c r="U682">
        <f t="shared" ca="1" si="55"/>
        <v>0.56354166666666672</v>
      </c>
      <c r="V682">
        <f ca="1">Prams!C$5/(U682-Prams!C$6)</f>
        <v>147.21806600123031</v>
      </c>
      <c r="W682">
        <f t="shared" ca="1" si="56"/>
        <v>1.0014834421852403</v>
      </c>
      <c r="X682" t="s">
        <v>50</v>
      </c>
    </row>
    <row r="683" spans="1:24" hidden="1" x14ac:dyDescent="0.55000000000000004">
      <c r="A683" s="1" t="s">
        <v>1344</v>
      </c>
      <c r="B683" s="1">
        <v>128</v>
      </c>
      <c r="C683">
        <v>643</v>
      </c>
      <c r="D683">
        <v>601</v>
      </c>
      <c r="E683">
        <v>11.04546</v>
      </c>
      <c r="F683" t="s">
        <v>0</v>
      </c>
      <c r="G683" s="10" t="s">
        <v>611</v>
      </c>
      <c r="H683">
        <v>99</v>
      </c>
      <c r="I683" t="s">
        <v>1338</v>
      </c>
      <c r="J683">
        <f ca="1">VLOOKUP(G683,INDIRECT("球速変換!A$1:B$" &amp; Prams!$B$8),2,)</f>
        <v>146</v>
      </c>
      <c r="K683" t="str">
        <f ca="1">VLOOKUP(I683,INDIRECT("投手名変換!A$1:B$" &amp; Prams!$B$9),2,)</f>
        <v>DD010</v>
      </c>
      <c r="L683">
        <f t="shared" si="57"/>
        <v>29</v>
      </c>
      <c r="M683">
        <f ca="1">(B683-VLOOKUP(K683,INDIRECT("投手データ!B1:D"&amp;Prams!$B$1),3,FALSE)*2)</f>
        <v>34</v>
      </c>
      <c r="N683" t="str">
        <f ca="1">VLOOKUP(F683,INDIRECT("球種変換表!A$1:B$" &amp; Prams!$B$2),2,)</f>
        <v>ストレート</v>
      </c>
      <c r="O683">
        <f ca="1">VLOOKUP(N683,球種情報!A:B,2,FALSE)</f>
        <v>1</v>
      </c>
      <c r="P683">
        <f ca="1">VLOOKUP(K683,投手データ!B:AI,output!O683+6,FALSE)</f>
        <v>1</v>
      </c>
      <c r="R683">
        <f t="shared" ca="1" si="53"/>
        <v>6.8493150684931503E-3</v>
      </c>
      <c r="S683">
        <f t="shared" si="54"/>
        <v>0.4826388888888889</v>
      </c>
      <c r="T683">
        <f>Prams!B$5/(S683-Prams!B$6)</f>
        <v>146.38244695544654</v>
      </c>
      <c r="U683">
        <f t="shared" ca="1" si="55"/>
        <v>0.56597222222222221</v>
      </c>
      <c r="V683">
        <f ca="1">Prams!C$5/(U683-Prams!C$6)</f>
        <v>146.37089455062019</v>
      </c>
      <c r="W683">
        <f t="shared" ca="1" si="56"/>
        <v>1.002540373634385</v>
      </c>
      <c r="X683" t="s">
        <v>50</v>
      </c>
    </row>
    <row r="684" spans="1:24" hidden="1" x14ac:dyDescent="0.55000000000000004">
      <c r="A684" s="1" t="s">
        <v>1345</v>
      </c>
      <c r="B684" s="1">
        <v>128</v>
      </c>
      <c r="C684">
        <v>634.5</v>
      </c>
      <c r="D684">
        <v>603</v>
      </c>
      <c r="E684">
        <v>10.547610000000001</v>
      </c>
      <c r="F684" t="s">
        <v>0</v>
      </c>
      <c r="G684" s="10" t="s">
        <v>613</v>
      </c>
      <c r="H684">
        <v>99</v>
      </c>
      <c r="I684" t="s">
        <v>1338</v>
      </c>
      <c r="J684">
        <f ca="1">VLOOKUP(G684,INDIRECT("球速変換!A$1:B$" &amp; Prams!$B$8),2,)</f>
        <v>147</v>
      </c>
      <c r="K684" t="str">
        <f ca="1">VLOOKUP(I684,INDIRECT("投手名変換!A$1:B$" &amp; Prams!$B$9),2,)</f>
        <v>DD010</v>
      </c>
      <c r="L684">
        <f t="shared" si="57"/>
        <v>29</v>
      </c>
      <c r="M684">
        <f ca="1">(B684-VLOOKUP(K684,INDIRECT("投手データ!B1:D"&amp;Prams!$B$1),3,FALSE)*2)</f>
        <v>34</v>
      </c>
      <c r="N684" t="str">
        <f ca="1">VLOOKUP(F684,INDIRECT("球種変換表!A$1:B$" &amp; Prams!$B$2),2,)</f>
        <v>ストレート</v>
      </c>
      <c r="O684">
        <f ca="1">VLOOKUP(N684,球種情報!A:B,2,FALSE)</f>
        <v>1</v>
      </c>
      <c r="P684">
        <f ca="1">VLOOKUP(K684,投手データ!B:AI,output!O684+6,FALSE)</f>
        <v>1</v>
      </c>
      <c r="R684">
        <f t="shared" ca="1" si="53"/>
        <v>6.8027210884353739E-3</v>
      </c>
      <c r="S684">
        <f t="shared" si="54"/>
        <v>0.48125000000000001</v>
      </c>
      <c r="T684">
        <f>Prams!B$5/(S684-Prams!B$6)</f>
        <v>146.8654234469652</v>
      </c>
      <c r="U684">
        <f t="shared" ca="1" si="55"/>
        <v>0.56458333333333333</v>
      </c>
      <c r="V684">
        <f ca="1">Prams!C$5/(U684-Prams!C$6)</f>
        <v>146.85379468704224</v>
      </c>
      <c r="W684">
        <f t="shared" ca="1" si="56"/>
        <v>0.99900540603430099</v>
      </c>
      <c r="X684" t="s">
        <v>50</v>
      </c>
    </row>
    <row r="685" spans="1:24" hidden="1" x14ac:dyDescent="0.55000000000000004">
      <c r="A685" s="1" t="s">
        <v>1346</v>
      </c>
      <c r="B685" s="1">
        <v>129</v>
      </c>
      <c r="C685">
        <v>640.5</v>
      </c>
      <c r="D685">
        <v>616</v>
      </c>
      <c r="E685">
        <v>11.5001</v>
      </c>
      <c r="F685" t="s">
        <v>0</v>
      </c>
      <c r="G685" s="10" t="s">
        <v>922</v>
      </c>
      <c r="H685">
        <v>99</v>
      </c>
      <c r="I685" t="s">
        <v>1338</v>
      </c>
      <c r="J685">
        <v>144</v>
      </c>
      <c r="K685" t="str">
        <f ca="1">VLOOKUP(I685,INDIRECT("投手名変換!A$1:B$" &amp; Prams!$B$9),2,)</f>
        <v>DD010</v>
      </c>
      <c r="L685">
        <f t="shared" si="57"/>
        <v>30</v>
      </c>
      <c r="M685">
        <f ca="1">(B685-VLOOKUP(K685,INDIRECT("投手データ!B1:D"&amp;Prams!$B$1),3,FALSE)*2)</f>
        <v>35</v>
      </c>
      <c r="N685" t="str">
        <f ca="1">VLOOKUP(F685,INDIRECT("球種変換表!A$1:B$" &amp; Prams!$B$2),2,)</f>
        <v>ストレート</v>
      </c>
      <c r="O685">
        <f ca="1">VLOOKUP(N685,球種情報!A:B,2,FALSE)</f>
        <v>1</v>
      </c>
      <c r="P685">
        <f ca="1">VLOOKUP(K685,投手データ!B:AI,output!O685+6,FALSE)</f>
        <v>1</v>
      </c>
      <c r="R685">
        <f t="shared" si="53"/>
        <v>6.9444444444444441E-3</v>
      </c>
      <c r="S685">
        <f t="shared" si="54"/>
        <v>0.48888888888888887</v>
      </c>
      <c r="T685">
        <f>Prams!B$5/(S685-Prams!B$6)</f>
        <v>144.24778990485575</v>
      </c>
      <c r="U685">
        <f t="shared" ca="1" si="55"/>
        <v>0.5722222222222223</v>
      </c>
      <c r="V685">
        <f ca="1">Prams!C$5/(U685-Prams!C$6)</f>
        <v>144.23657196184155</v>
      </c>
      <c r="W685">
        <f t="shared" ca="1" si="56"/>
        <v>1.0016428608461219</v>
      </c>
      <c r="X685" t="s">
        <v>50</v>
      </c>
    </row>
    <row r="686" spans="1:24" hidden="1" x14ac:dyDescent="0.55000000000000004">
      <c r="A686" s="1" t="s">
        <v>1348</v>
      </c>
      <c r="B686" s="1">
        <v>129</v>
      </c>
      <c r="C686">
        <v>635.5</v>
      </c>
      <c r="D686">
        <v>621</v>
      </c>
      <c r="E686">
        <v>11.5435</v>
      </c>
      <c r="F686" t="s">
        <v>0</v>
      </c>
      <c r="G686" s="10" t="s">
        <v>611</v>
      </c>
      <c r="H686">
        <v>99</v>
      </c>
      <c r="I686" t="s">
        <v>1347</v>
      </c>
      <c r="J686">
        <f ca="1">VLOOKUP(G686,INDIRECT("球速変換!A$1:B$" &amp; Prams!$B$8),2,)</f>
        <v>146</v>
      </c>
      <c r="K686" t="str">
        <f ca="1">VLOOKUP(I686,INDIRECT("投手名変換!A$1:B$" &amp; Prams!$B$9),2,)</f>
        <v>DD010</v>
      </c>
      <c r="L686">
        <f t="shared" si="57"/>
        <v>30</v>
      </c>
      <c r="M686">
        <f ca="1">(B686-VLOOKUP(K686,INDIRECT("投手データ!B1:D"&amp;Prams!$B$1),3,FALSE)*2)</f>
        <v>35</v>
      </c>
      <c r="N686" t="str">
        <f ca="1">VLOOKUP(F686,INDIRECT("球種変換表!A$1:B$" &amp; Prams!$B$2),2,)</f>
        <v>ストレート</v>
      </c>
      <c r="O686">
        <f ca="1">VLOOKUP(N686,球種情報!A:B,2,FALSE)</f>
        <v>1</v>
      </c>
      <c r="P686">
        <f ca="1">VLOOKUP(K686,投手データ!B:AI,output!O686+6,FALSE)</f>
        <v>1</v>
      </c>
      <c r="R686">
        <f t="shared" ca="1" si="53"/>
        <v>6.8493150684931503E-3</v>
      </c>
      <c r="S686">
        <f t="shared" si="54"/>
        <v>0.48541666666666666</v>
      </c>
      <c r="T686">
        <f>Prams!B$5/(S686-Prams!B$6)</f>
        <v>145.42596150076452</v>
      </c>
      <c r="U686">
        <f t="shared" ca="1" si="55"/>
        <v>0.56874999999999998</v>
      </c>
      <c r="V686">
        <f ca="1">Prams!C$5/(U686-Prams!C$6)</f>
        <v>145.41455956721157</v>
      </c>
      <c r="W686">
        <f t="shared" ca="1" si="56"/>
        <v>0.9959901340219971</v>
      </c>
      <c r="X686" t="s">
        <v>50</v>
      </c>
    </row>
    <row r="687" spans="1:24" hidden="1" x14ac:dyDescent="0.55000000000000004">
      <c r="A687" s="1" t="s">
        <v>1349</v>
      </c>
      <c r="B687" s="1">
        <v>129</v>
      </c>
      <c r="C687">
        <v>640.5</v>
      </c>
      <c r="D687">
        <v>616</v>
      </c>
      <c r="E687">
        <v>11.5001</v>
      </c>
      <c r="F687" t="s">
        <v>0</v>
      </c>
      <c r="G687" s="10" t="s">
        <v>972</v>
      </c>
      <c r="H687">
        <v>99</v>
      </c>
      <c r="I687" t="s">
        <v>1338</v>
      </c>
      <c r="J687">
        <f ca="1">VLOOKUP(G687,INDIRECT("球速変換!A$1:B$" &amp; Prams!$B$8),2,)</f>
        <v>144</v>
      </c>
      <c r="K687" t="str">
        <f ca="1">VLOOKUP(I687,INDIRECT("投手名変換!A$1:B$" &amp; Prams!$B$9),2,)</f>
        <v>DD010</v>
      </c>
      <c r="L687">
        <f t="shared" si="57"/>
        <v>30</v>
      </c>
      <c r="M687">
        <f ca="1">(B687-VLOOKUP(K687,INDIRECT("投手データ!B1:D"&amp;Prams!$B$1),3,FALSE)*2)</f>
        <v>35</v>
      </c>
      <c r="N687" t="str">
        <f ca="1">VLOOKUP(F687,INDIRECT("球種変換表!A$1:B$" &amp; Prams!$B$2),2,)</f>
        <v>ストレート</v>
      </c>
      <c r="O687">
        <f ca="1">VLOOKUP(N687,球種情報!A:B,2,FALSE)</f>
        <v>1</v>
      </c>
      <c r="P687">
        <f ca="1">VLOOKUP(K687,投手データ!B:AI,output!O687+6,FALSE)</f>
        <v>1</v>
      </c>
      <c r="R687">
        <f t="shared" ca="1" si="53"/>
        <v>6.9444444444444441E-3</v>
      </c>
      <c r="S687">
        <f t="shared" si="54"/>
        <v>0.48888888888888887</v>
      </c>
      <c r="T687">
        <f>Prams!B$5/(S687-Prams!B$6)</f>
        <v>144.24778990485575</v>
      </c>
      <c r="U687">
        <f t="shared" ca="1" si="55"/>
        <v>0.5722222222222223</v>
      </c>
      <c r="V687">
        <f ca="1">Prams!C$5/(U687-Prams!C$6)</f>
        <v>144.23657196184155</v>
      </c>
      <c r="W687">
        <f t="shared" ca="1" si="56"/>
        <v>1.0016428608461219</v>
      </c>
      <c r="X687" t="s">
        <v>50</v>
      </c>
    </row>
    <row r="688" spans="1:24" hidden="1" x14ac:dyDescent="0.55000000000000004">
      <c r="A688" s="1" t="s">
        <v>1350</v>
      </c>
      <c r="B688" s="1">
        <v>128</v>
      </c>
      <c r="C688">
        <v>638</v>
      </c>
      <c r="D688">
        <v>604.5</v>
      </c>
      <c r="E688">
        <v>10.012589999999999</v>
      </c>
      <c r="F688" t="s">
        <v>0</v>
      </c>
      <c r="G688" s="10" t="s">
        <v>613</v>
      </c>
      <c r="H688">
        <v>99</v>
      </c>
      <c r="I688" t="s">
        <v>1347</v>
      </c>
      <c r="J688">
        <f ca="1">VLOOKUP(G688,INDIRECT("球速変換!A$1:B$" &amp; Prams!$B$8),2,)</f>
        <v>147</v>
      </c>
      <c r="K688" t="str">
        <f ca="1">VLOOKUP(I688,INDIRECT("投手名変換!A$1:B$" &amp; Prams!$B$9),2,)</f>
        <v>DD010</v>
      </c>
      <c r="L688">
        <f t="shared" si="57"/>
        <v>29</v>
      </c>
      <c r="M688">
        <f ca="1">(B688-VLOOKUP(K688,INDIRECT("投手データ!B1:D"&amp;Prams!$B$1),3,FALSE)*2)</f>
        <v>34</v>
      </c>
      <c r="N688" t="str">
        <f ca="1">VLOOKUP(F688,INDIRECT("球種変換表!A$1:B$" &amp; Prams!$B$2),2,)</f>
        <v>ストレート</v>
      </c>
      <c r="O688">
        <f ca="1">VLOOKUP(N688,球種情報!A:B,2,FALSE)</f>
        <v>1</v>
      </c>
      <c r="P688">
        <f ca="1">VLOOKUP(K688,投手データ!B:AI,output!O688+6,FALSE)</f>
        <v>1</v>
      </c>
      <c r="R688">
        <f t="shared" ca="1" si="53"/>
        <v>6.8027210884353739E-3</v>
      </c>
      <c r="S688">
        <f t="shared" si="54"/>
        <v>0.48020833333333335</v>
      </c>
      <c r="T688">
        <f>Prams!B$5/(S688-Prams!B$6)</f>
        <v>147.22975252535275</v>
      </c>
      <c r="U688">
        <f t="shared" ca="1" si="55"/>
        <v>0.56354166666666672</v>
      </c>
      <c r="V688">
        <f ca="1">Prams!C$5/(U688-Prams!C$6)</f>
        <v>147.21806600123031</v>
      </c>
      <c r="W688">
        <f t="shared" ca="1" si="56"/>
        <v>1.0014834421852403</v>
      </c>
      <c r="X688" t="s">
        <v>50</v>
      </c>
    </row>
    <row r="689" spans="1:24" hidden="1" x14ac:dyDescent="0.55000000000000004">
      <c r="A689" s="1" t="s">
        <v>1351</v>
      </c>
      <c r="B689" s="1">
        <v>128</v>
      </c>
      <c r="C689">
        <v>638.5</v>
      </c>
      <c r="D689">
        <v>604.5</v>
      </c>
      <c r="E689">
        <v>10.512</v>
      </c>
      <c r="F689" t="s">
        <v>0</v>
      </c>
      <c r="G689" s="10" t="s">
        <v>613</v>
      </c>
      <c r="H689">
        <v>99</v>
      </c>
      <c r="I689" t="s">
        <v>1338</v>
      </c>
      <c r="J689">
        <f ca="1">VLOOKUP(G689,INDIRECT("球速変換!A$1:B$" &amp; Prams!$B$8),2,)</f>
        <v>147</v>
      </c>
      <c r="K689" t="str">
        <f ca="1">VLOOKUP(I689,INDIRECT("投手名変換!A$1:B$" &amp; Prams!$B$9),2,)</f>
        <v>DD010</v>
      </c>
      <c r="L689">
        <f t="shared" si="57"/>
        <v>29</v>
      </c>
      <c r="M689">
        <f ca="1">(B689-VLOOKUP(K689,INDIRECT("投手データ!B1:D"&amp;Prams!$B$1),3,FALSE)*2)</f>
        <v>34</v>
      </c>
      <c r="N689" t="str">
        <f ca="1">VLOOKUP(F689,INDIRECT("球種変換表!A$1:B$" &amp; Prams!$B$2),2,)</f>
        <v>ストレート</v>
      </c>
      <c r="O689">
        <f ca="1">VLOOKUP(N689,球種情報!A:B,2,FALSE)</f>
        <v>1</v>
      </c>
      <c r="P689">
        <f ca="1">VLOOKUP(K689,投手データ!B:AI,output!O689+6,FALSE)</f>
        <v>1</v>
      </c>
      <c r="R689">
        <f t="shared" ca="1" si="53"/>
        <v>6.8027210884353739E-3</v>
      </c>
      <c r="S689">
        <f t="shared" si="54"/>
        <v>0.48020833333333335</v>
      </c>
      <c r="T689">
        <f>Prams!B$5/(S689-Prams!B$6)</f>
        <v>147.22975252535275</v>
      </c>
      <c r="U689">
        <f t="shared" ca="1" si="55"/>
        <v>0.56354166666666672</v>
      </c>
      <c r="V689">
        <f ca="1">Prams!C$5/(U689-Prams!C$6)</f>
        <v>147.21806600123031</v>
      </c>
      <c r="W689">
        <f t="shared" ca="1" si="56"/>
        <v>1.0014834421852403</v>
      </c>
      <c r="X689" t="s">
        <v>50</v>
      </c>
    </row>
    <row r="690" spans="1:24" hidden="1" x14ac:dyDescent="0.55000000000000004">
      <c r="A690" s="1" t="s">
        <v>1352</v>
      </c>
      <c r="B690" s="1">
        <v>125</v>
      </c>
      <c r="C690">
        <v>641.5</v>
      </c>
      <c r="D690">
        <v>619.5</v>
      </c>
      <c r="E690">
        <v>10.512</v>
      </c>
      <c r="F690" t="s">
        <v>343</v>
      </c>
      <c r="G690" s="10" t="s">
        <v>638</v>
      </c>
      <c r="H690">
        <v>98</v>
      </c>
      <c r="I690" t="s">
        <v>1347</v>
      </c>
      <c r="J690">
        <f ca="1">VLOOKUP(G690,INDIRECT("球速変換!A$1:B$" &amp; Prams!$B$8),2,)</f>
        <v>147</v>
      </c>
      <c r="K690" t="str">
        <f ca="1">VLOOKUP(I690,INDIRECT("投手名変換!A$1:B$" &amp; Prams!$B$9),2,)</f>
        <v>DD010</v>
      </c>
      <c r="L690">
        <f t="shared" si="57"/>
        <v>27</v>
      </c>
      <c r="M690">
        <f ca="1">(B690-VLOOKUP(K690,INDIRECT("投手データ!B1:D"&amp;Prams!$B$1),3,FALSE)*2)</f>
        <v>31</v>
      </c>
      <c r="N690" t="str">
        <f ca="1">VLOOKUP(F690,INDIRECT("球種変換表!A$1:B$" &amp; Prams!$B$2),2,)</f>
        <v>全力ストレート</v>
      </c>
      <c r="O690">
        <f ca="1">VLOOKUP(N690,球種情報!A:B,2,FALSE)</f>
        <v>2</v>
      </c>
      <c r="P690">
        <f ca="1">VLOOKUP(K690,投手データ!B:AI,output!O690+6,FALSE)</f>
        <v>1</v>
      </c>
      <c r="R690">
        <f t="shared" ca="1" si="53"/>
        <v>6.8027210884353739E-3</v>
      </c>
      <c r="S690">
        <f t="shared" si="54"/>
        <v>0.43645833333333334</v>
      </c>
      <c r="T690">
        <f>Prams!B$5/(S690-Prams!B$6)</f>
        <v>164.35366312944461</v>
      </c>
      <c r="U690">
        <f t="shared" ca="1" si="55"/>
        <v>0.50312500000000004</v>
      </c>
      <c r="V690">
        <f ca="1">Prams!C$5/(U690-Prams!C$6)</f>
        <v>171.95744384952366</v>
      </c>
      <c r="W690">
        <f t="shared" ca="1" si="56"/>
        <v>1.1697785295885963</v>
      </c>
      <c r="X690" t="s">
        <v>50</v>
      </c>
    </row>
    <row r="691" spans="1:24" hidden="1" x14ac:dyDescent="0.55000000000000004">
      <c r="A691" s="1" t="s">
        <v>1354</v>
      </c>
      <c r="B691" s="1">
        <v>125</v>
      </c>
      <c r="C691">
        <v>640</v>
      </c>
      <c r="D691">
        <v>609</v>
      </c>
      <c r="E691">
        <v>11.04546</v>
      </c>
      <c r="F691" t="s">
        <v>343</v>
      </c>
      <c r="G691" s="10" t="s">
        <v>1098</v>
      </c>
      <c r="H691">
        <v>98</v>
      </c>
      <c r="I691" t="s">
        <v>1338</v>
      </c>
      <c r="J691">
        <f ca="1">VLOOKUP(G691,INDIRECT("球速変換!A$1:B$" &amp; Prams!$B$8),2,)</f>
        <v>143</v>
      </c>
      <c r="K691" t="str">
        <f ca="1">VLOOKUP(I691,INDIRECT("投手名変換!A$1:B$" &amp; Prams!$B$9),2,)</f>
        <v>DD010</v>
      </c>
      <c r="L691">
        <f t="shared" si="57"/>
        <v>27</v>
      </c>
      <c r="M691">
        <f ca="1">(B691-VLOOKUP(K691,INDIRECT("投手データ!B1:D"&amp;Prams!$B$1),3,FALSE)*2)</f>
        <v>31</v>
      </c>
      <c r="N691" t="str">
        <f ca="1">VLOOKUP(F691,INDIRECT("球種変換表!A$1:B$" &amp; Prams!$B$2),2,)</f>
        <v>全力ストレート</v>
      </c>
      <c r="O691">
        <f ca="1">VLOOKUP(N691,球種情報!A:B,2,FALSE)</f>
        <v>2</v>
      </c>
      <c r="P691">
        <f ca="1">VLOOKUP(K691,投手データ!B:AI,output!O691+6,FALSE)</f>
        <v>1</v>
      </c>
      <c r="R691">
        <f t="shared" ca="1" si="53"/>
        <v>6.993006993006993E-3</v>
      </c>
      <c r="S691">
        <f t="shared" si="54"/>
        <v>0.44374999999999998</v>
      </c>
      <c r="T691">
        <f>Prams!B$5/(S691-Prams!B$6)</f>
        <v>161.22832181509978</v>
      </c>
      <c r="U691">
        <f t="shared" ca="1" si="55"/>
        <v>0.51041666666666663</v>
      </c>
      <c r="V691">
        <f ca="1">Prams!C$5/(U691-Prams!C$6)</f>
        <v>168.53923394974785</v>
      </c>
      <c r="W691">
        <f t="shared" ca="1" si="56"/>
        <v>1.1785960416066283</v>
      </c>
      <c r="X691" t="s">
        <v>50</v>
      </c>
    </row>
    <row r="692" spans="1:24" hidden="1" x14ac:dyDescent="0.55000000000000004">
      <c r="A692" s="1" t="s">
        <v>1357</v>
      </c>
      <c r="B692" s="1">
        <v>125</v>
      </c>
      <c r="C692">
        <v>641</v>
      </c>
      <c r="D692">
        <v>614.5</v>
      </c>
      <c r="E692">
        <v>11.01146</v>
      </c>
      <c r="F692" t="s">
        <v>531</v>
      </c>
      <c r="G692" s="10" t="s">
        <v>1034</v>
      </c>
      <c r="H692">
        <v>98</v>
      </c>
      <c r="I692" t="s">
        <v>1338</v>
      </c>
      <c r="J692">
        <f ca="1">VLOOKUP(G692,INDIRECT("球速変換!A$1:B$" &amp; Prams!$B$8),2,)</f>
        <v>145</v>
      </c>
      <c r="K692" t="str">
        <f ca="1">VLOOKUP(I692,INDIRECT("投手名変換!A$1:B$" &amp; Prams!$B$9),2,)</f>
        <v>DD010</v>
      </c>
      <c r="L692">
        <f t="shared" si="57"/>
        <v>27</v>
      </c>
      <c r="M692">
        <f ca="1">(B692-VLOOKUP(K692,INDIRECT("投手データ!B1:D"&amp;Prams!$B$1),3,FALSE)*2)</f>
        <v>31</v>
      </c>
      <c r="N692" t="str">
        <f ca="1">VLOOKUP(F692,INDIRECT("球種変換表!A$1:B$" &amp; Prams!$B$2),2,)</f>
        <v>全力ストレート</v>
      </c>
      <c r="O692">
        <f ca="1">VLOOKUP(N692,球種情報!A:B,2,FALSE)</f>
        <v>2</v>
      </c>
      <c r="P692">
        <f ca="1">VLOOKUP(K692,投手データ!B:AI,output!O692+6,FALSE)</f>
        <v>1</v>
      </c>
      <c r="R692">
        <f t="shared" ca="1" si="53"/>
        <v>6.8965517241379309E-3</v>
      </c>
      <c r="S692">
        <f t="shared" si="54"/>
        <v>0.43993055555555555</v>
      </c>
      <c r="T692">
        <f>Prams!B$5/(S692-Prams!B$6)</f>
        <v>162.85043207211692</v>
      </c>
      <c r="U692">
        <f t="shared" ca="1" si="55"/>
        <v>0.50659722222222225</v>
      </c>
      <c r="V692">
        <f ca="1">Prams!C$5/(U692-Prams!C$6)</f>
        <v>170.31259804559264</v>
      </c>
      <c r="W692">
        <f t="shared" ca="1" si="56"/>
        <v>1.1745696416937423</v>
      </c>
      <c r="X692" t="s">
        <v>50</v>
      </c>
    </row>
    <row r="693" spans="1:24" hidden="1" x14ac:dyDescent="0.55000000000000004">
      <c r="A693" s="1" t="s">
        <v>1358</v>
      </c>
      <c r="B693" s="1">
        <v>125</v>
      </c>
      <c r="C693">
        <v>640.5</v>
      </c>
      <c r="D693">
        <v>617</v>
      </c>
      <c r="E693">
        <v>10.547610000000001</v>
      </c>
      <c r="F693" t="s">
        <v>343</v>
      </c>
      <c r="G693" s="10" t="s">
        <v>2208</v>
      </c>
      <c r="H693">
        <v>98</v>
      </c>
      <c r="I693" t="s">
        <v>1343</v>
      </c>
      <c r="J693">
        <f ca="1">VLOOKUP(G693,INDIRECT("球速変換!A$1:B$" &amp; Prams!$B$8),2,)</f>
        <v>146</v>
      </c>
      <c r="K693" t="str">
        <f ca="1">VLOOKUP(I693,INDIRECT("投手名変換!A$1:B$" &amp; Prams!$B$9),2,)</f>
        <v>DD010</v>
      </c>
      <c r="L693">
        <f t="shared" si="57"/>
        <v>27</v>
      </c>
      <c r="M693">
        <f ca="1">(B693-VLOOKUP(K693,INDIRECT("投手データ!B1:D"&amp;Prams!$B$1),3,FALSE)*2)</f>
        <v>31</v>
      </c>
      <c r="N693" t="str">
        <f ca="1">VLOOKUP(F693,INDIRECT("球種変換表!A$1:B$" &amp; Prams!$B$2),2,)</f>
        <v>全力ストレート</v>
      </c>
      <c r="O693">
        <f ca="1">VLOOKUP(N693,球種情報!A:B,2,FALSE)</f>
        <v>2</v>
      </c>
      <c r="P693">
        <f ca="1">VLOOKUP(K693,投手データ!B:AI,output!O693+6,FALSE)</f>
        <v>1</v>
      </c>
      <c r="R693">
        <f t="shared" ca="1" si="53"/>
        <v>6.8493150684931503E-3</v>
      </c>
      <c r="S693">
        <f t="shared" si="54"/>
        <v>0.43819444444444444</v>
      </c>
      <c r="T693">
        <f>Prams!B$5/(S693-Prams!B$6)</f>
        <v>163.59859455168257</v>
      </c>
      <c r="U693">
        <f t="shared" ca="1" si="55"/>
        <v>0.50486111111111109</v>
      </c>
      <c r="V693">
        <f ca="1">Prams!C$5/(U693-Prams!C$6)</f>
        <v>171.13106863302937</v>
      </c>
      <c r="W693">
        <f t="shared" ca="1" si="56"/>
        <v>1.1721306070755437</v>
      </c>
      <c r="X693" t="s">
        <v>50</v>
      </c>
    </row>
    <row r="694" spans="1:24" hidden="1" x14ac:dyDescent="0.55000000000000004">
      <c r="A694" s="1" t="s">
        <v>1359</v>
      </c>
      <c r="B694" s="1">
        <v>125</v>
      </c>
      <c r="C694">
        <v>641</v>
      </c>
      <c r="D694">
        <v>617.5</v>
      </c>
      <c r="E694">
        <v>11.01146</v>
      </c>
      <c r="F694" t="s">
        <v>343</v>
      </c>
      <c r="G694" s="10" t="s">
        <v>1722</v>
      </c>
      <c r="H694">
        <v>98</v>
      </c>
      <c r="I694" t="s">
        <v>1338</v>
      </c>
      <c r="J694">
        <f ca="1">VLOOKUP(G694,INDIRECT("球速変換!A$1:B$" &amp; Prams!$B$8),2,)</f>
        <v>145</v>
      </c>
      <c r="K694" t="str">
        <f ca="1">VLOOKUP(I694,INDIRECT("投手名変換!A$1:B$" &amp; Prams!$B$9),2,)</f>
        <v>DD010</v>
      </c>
      <c r="L694">
        <f t="shared" si="57"/>
        <v>27</v>
      </c>
      <c r="M694">
        <f ca="1">(B694-VLOOKUP(K694,INDIRECT("投手データ!B1:D"&amp;Prams!$B$1),3,FALSE)*2)</f>
        <v>31</v>
      </c>
      <c r="N694" t="str">
        <f ca="1">VLOOKUP(F694,INDIRECT("球種変換表!A$1:B$" &amp; Prams!$B$2),2,)</f>
        <v>全力ストレート</v>
      </c>
      <c r="O694">
        <f ca="1">VLOOKUP(N694,球種情報!A:B,2,FALSE)</f>
        <v>2</v>
      </c>
      <c r="P694">
        <f ca="1">VLOOKUP(K694,投手データ!B:AI,output!O694+6,FALSE)</f>
        <v>1</v>
      </c>
      <c r="R694">
        <f t="shared" ca="1" si="53"/>
        <v>6.8965517241379309E-3</v>
      </c>
      <c r="S694">
        <f t="shared" si="54"/>
        <v>0.43784722222222222</v>
      </c>
      <c r="T694">
        <f>Prams!B$5/(S694-Prams!B$6)</f>
        <v>163.74905273071067</v>
      </c>
      <c r="U694">
        <f t="shared" ca="1" si="55"/>
        <v>0.50451388888888882</v>
      </c>
      <c r="V694">
        <f ca="1">Prams!C$5/(U694-Prams!C$6)</f>
        <v>171.2957076557197</v>
      </c>
      <c r="W694">
        <f t="shared" ca="1" si="56"/>
        <v>1.1813497079704807</v>
      </c>
      <c r="X694" t="s">
        <v>50</v>
      </c>
    </row>
    <row r="695" spans="1:24" hidden="1" x14ac:dyDescent="0.55000000000000004">
      <c r="A695" s="1" t="s">
        <v>1360</v>
      </c>
      <c r="B695" s="1">
        <v>125</v>
      </c>
      <c r="C695">
        <v>640.5</v>
      </c>
      <c r="D695">
        <v>616.5</v>
      </c>
      <c r="E695">
        <v>10.512</v>
      </c>
      <c r="F695" t="s">
        <v>343</v>
      </c>
      <c r="G695" s="10" t="s">
        <v>611</v>
      </c>
      <c r="H695">
        <v>98</v>
      </c>
      <c r="I695" t="s">
        <v>1338</v>
      </c>
      <c r="J695">
        <f ca="1">VLOOKUP(G695,INDIRECT("球速変換!A$1:B$" &amp; Prams!$B$8),2,)</f>
        <v>146</v>
      </c>
      <c r="K695" t="str">
        <f ca="1">VLOOKUP(I695,INDIRECT("投手名変換!A$1:B$" &amp; Prams!$B$9),2,)</f>
        <v>DD010</v>
      </c>
      <c r="L695">
        <f t="shared" si="57"/>
        <v>27</v>
      </c>
      <c r="M695">
        <f ca="1">(B695-VLOOKUP(K695,INDIRECT("投手データ!B1:D"&amp;Prams!$B$1),3,FALSE)*2)</f>
        <v>31</v>
      </c>
      <c r="N695" t="str">
        <f ca="1">VLOOKUP(F695,INDIRECT("球種変換表!A$1:B$" &amp; Prams!$B$2),2,)</f>
        <v>全力ストレート</v>
      </c>
      <c r="O695">
        <f ca="1">VLOOKUP(N695,球種情報!A:B,2,FALSE)</f>
        <v>2</v>
      </c>
      <c r="P695">
        <f ca="1">VLOOKUP(K695,投手データ!B:AI,output!O695+6,FALSE)</f>
        <v>1</v>
      </c>
      <c r="R695">
        <f t="shared" ca="1" si="53"/>
        <v>6.8493150684931503E-3</v>
      </c>
      <c r="S695">
        <f t="shared" si="54"/>
        <v>0.43854166666666666</v>
      </c>
      <c r="T695">
        <f>Prams!B$5/(S695-Prams!B$6)</f>
        <v>163.44841261098506</v>
      </c>
      <c r="U695">
        <f t="shared" ca="1" si="55"/>
        <v>0.50520833333333337</v>
      </c>
      <c r="V695">
        <f ca="1">Prams!C$5/(U695-Prams!C$6)</f>
        <v>170.96674578849121</v>
      </c>
      <c r="W695">
        <f t="shared" ca="1" si="56"/>
        <v>1.1710051081403507</v>
      </c>
      <c r="X695" t="s">
        <v>50</v>
      </c>
    </row>
    <row r="696" spans="1:24" hidden="1" x14ac:dyDescent="0.55000000000000004">
      <c r="A696" s="1" t="s">
        <v>1361</v>
      </c>
      <c r="B696" s="1">
        <v>125</v>
      </c>
      <c r="C696">
        <v>641.90002000000004</v>
      </c>
      <c r="D696">
        <v>623</v>
      </c>
      <c r="E696">
        <v>10.10008</v>
      </c>
      <c r="F696" t="s">
        <v>343</v>
      </c>
      <c r="G696" s="10" t="s">
        <v>2435</v>
      </c>
      <c r="H696">
        <v>98</v>
      </c>
      <c r="I696" t="s">
        <v>1338</v>
      </c>
      <c r="J696">
        <f ca="1">VLOOKUP(G696,INDIRECT("球速変換!A$1:B$" &amp; Prams!$B$8),2,)</f>
        <v>148</v>
      </c>
      <c r="K696" t="str">
        <f ca="1">VLOOKUP(I696,INDIRECT("投手名変換!A$1:B$" &amp; Prams!$B$9),2,)</f>
        <v>DD010</v>
      </c>
      <c r="L696">
        <f t="shared" si="57"/>
        <v>27</v>
      </c>
      <c r="M696">
        <f ca="1">(B696-VLOOKUP(K696,INDIRECT("投手データ!B1:D"&amp;Prams!$B$1),3,FALSE)*2)</f>
        <v>31</v>
      </c>
      <c r="N696" t="str">
        <f ca="1">VLOOKUP(F696,INDIRECT("球種変換表!A$1:B$" &amp; Prams!$B$2),2,)</f>
        <v>全力ストレート</v>
      </c>
      <c r="O696">
        <f ca="1">VLOOKUP(N696,球種情報!A:B,2,FALSE)</f>
        <v>2</v>
      </c>
      <c r="P696">
        <f ca="1">VLOOKUP(K696,投手データ!B:AI,output!O696+6,FALSE)</f>
        <v>1</v>
      </c>
      <c r="R696">
        <f t="shared" ca="1" si="53"/>
        <v>6.7567567567567571E-3</v>
      </c>
      <c r="S696">
        <f t="shared" si="54"/>
        <v>0.43402777777777779</v>
      </c>
      <c r="T696">
        <f>Prams!B$5/(S696-Prams!B$6)</f>
        <v>165.42254463290274</v>
      </c>
      <c r="U696">
        <f t="shared" ca="1" si="55"/>
        <v>0.50069444444444444</v>
      </c>
      <c r="V696">
        <f ca="1">Prams!C$5/(U696-Prams!C$6)</f>
        <v>173.12786844438912</v>
      </c>
      <c r="W696">
        <f t="shared" ca="1" si="56"/>
        <v>1.169782894894521</v>
      </c>
      <c r="X696" t="s">
        <v>50</v>
      </c>
    </row>
    <row r="697" spans="1:24" hidden="1" x14ac:dyDescent="0.55000000000000004">
      <c r="A697" s="1" t="s">
        <v>2209</v>
      </c>
      <c r="B697" s="1">
        <v>125</v>
      </c>
      <c r="C697">
        <v>640</v>
      </c>
      <c r="D697">
        <v>614</v>
      </c>
      <c r="E697">
        <v>11.04546</v>
      </c>
      <c r="F697" t="s">
        <v>494</v>
      </c>
      <c r="G697" s="10" t="s">
        <v>2462</v>
      </c>
      <c r="H697">
        <v>98</v>
      </c>
      <c r="I697" t="s">
        <v>1338</v>
      </c>
      <c r="J697">
        <f ca="1">VLOOKUP(G697,INDIRECT("球速変換!A$1:B$" &amp; Prams!$B$8),2,)</f>
        <v>145</v>
      </c>
      <c r="K697" t="str">
        <f ca="1">VLOOKUP(I697,INDIRECT("投手名変換!A$1:B$" &amp; Prams!$B$9),2,)</f>
        <v>DD010</v>
      </c>
      <c r="L697">
        <f t="shared" si="57"/>
        <v>27</v>
      </c>
      <c r="M697">
        <f ca="1">(B697-VLOOKUP(K697,INDIRECT("投手データ!B1:D"&amp;Prams!$B$1),3,FALSE)*2)</f>
        <v>31</v>
      </c>
      <c r="N697" t="str">
        <f ca="1">VLOOKUP(F697,INDIRECT("球種変換表!A$1:B$" &amp; Prams!$B$2),2,)</f>
        <v>全力ストレート</v>
      </c>
      <c r="O697">
        <f ca="1">VLOOKUP(N697,球種情報!A:B,2,FALSE)</f>
        <v>2</v>
      </c>
      <c r="P697">
        <f ca="1">VLOOKUP(K697,投手データ!B:AI,output!O697+6,FALSE)</f>
        <v>1</v>
      </c>
      <c r="R697">
        <f t="shared" ca="1" si="53"/>
        <v>6.8965517241379309E-3</v>
      </c>
      <c r="S697">
        <f t="shared" si="54"/>
        <v>0.44027777777777782</v>
      </c>
      <c r="T697">
        <f>Prams!B$5/(S697-Prams!B$6)</f>
        <v>162.70161997777646</v>
      </c>
      <c r="U697">
        <f t="shared" ca="1" si="55"/>
        <v>0.50694444444444442</v>
      </c>
      <c r="V697">
        <f ca="1">Prams!C$5/(U697-Prams!C$6)</f>
        <v>170.14984251246142</v>
      </c>
      <c r="W697">
        <f t="shared" ca="1" si="56"/>
        <v>1.1734471897411132</v>
      </c>
      <c r="X697" t="s">
        <v>50</v>
      </c>
    </row>
    <row r="698" spans="1:24" hidden="1" x14ac:dyDescent="0.55000000000000004">
      <c r="A698" s="1" t="s">
        <v>2210</v>
      </c>
      <c r="B698" s="1">
        <v>125</v>
      </c>
      <c r="C698">
        <v>642.45239000000004</v>
      </c>
      <c r="D698">
        <v>622.5</v>
      </c>
      <c r="E698">
        <v>10.55955</v>
      </c>
      <c r="F698" t="s">
        <v>343</v>
      </c>
      <c r="G698" s="10" t="s">
        <v>1382</v>
      </c>
      <c r="H698">
        <v>98</v>
      </c>
      <c r="I698" t="s">
        <v>1347</v>
      </c>
      <c r="J698">
        <f ca="1">VLOOKUP(G698,INDIRECT("球速変換!A$1:B$" &amp; Prams!$B$8),2,)</f>
        <v>148</v>
      </c>
      <c r="K698" t="str">
        <f ca="1">VLOOKUP(I698,INDIRECT("投手名変換!A$1:B$" &amp; Prams!$B$9),2,)</f>
        <v>DD010</v>
      </c>
      <c r="L698">
        <f t="shared" si="57"/>
        <v>27</v>
      </c>
      <c r="M698">
        <f ca="1">(B698-VLOOKUP(K698,INDIRECT("投手データ!B1:D"&amp;Prams!$B$1),3,FALSE)*2)</f>
        <v>31</v>
      </c>
      <c r="N698" t="str">
        <f ca="1">VLOOKUP(F698,INDIRECT("球種変換表!A$1:B$" &amp; Prams!$B$2),2,)</f>
        <v>全力ストレート</v>
      </c>
      <c r="O698">
        <f ca="1">VLOOKUP(N698,球種情報!A:B,2,FALSE)</f>
        <v>2</v>
      </c>
      <c r="P698">
        <f ca="1">VLOOKUP(K698,投手データ!B:AI,output!O698+6,FALSE)</f>
        <v>1</v>
      </c>
      <c r="R698">
        <f t="shared" ca="1" si="53"/>
        <v>6.7567567567567571E-3</v>
      </c>
      <c r="S698">
        <f t="shared" si="54"/>
        <v>0.43437500000000001</v>
      </c>
      <c r="T698">
        <f>Prams!B$5/(S698-Prams!B$6)</f>
        <v>165.26899685891868</v>
      </c>
      <c r="U698">
        <f t="shared" ca="1" si="55"/>
        <v>0.50104166666666672</v>
      </c>
      <c r="V698">
        <f ca="1">Prams!C$5/(U698-Prams!C$6)</f>
        <v>172.9596903923717</v>
      </c>
      <c r="W698">
        <f t="shared" ca="1" si="56"/>
        <v>1.1686465567052142</v>
      </c>
      <c r="X698" t="s">
        <v>50</v>
      </c>
    </row>
    <row r="699" spans="1:24" hidden="1" x14ac:dyDescent="0.55000000000000004">
      <c r="A699" s="1" t="s">
        <v>2211</v>
      </c>
      <c r="B699" s="1">
        <v>125</v>
      </c>
      <c r="C699">
        <v>640.5</v>
      </c>
      <c r="D699">
        <v>616.5</v>
      </c>
      <c r="E699">
        <v>10.512</v>
      </c>
      <c r="F699" t="s">
        <v>343</v>
      </c>
      <c r="G699" s="10" t="s">
        <v>620</v>
      </c>
      <c r="H699">
        <v>98</v>
      </c>
      <c r="I699" t="s">
        <v>1338</v>
      </c>
      <c r="J699">
        <f ca="1">VLOOKUP(G699,INDIRECT("球速変換!A$1:B$" &amp; Prams!$B$8),2,)</f>
        <v>146</v>
      </c>
      <c r="K699" t="str">
        <f ca="1">VLOOKUP(I699,INDIRECT("投手名変換!A$1:B$" &amp; Prams!$B$9),2,)</f>
        <v>DD010</v>
      </c>
      <c r="L699">
        <f t="shared" si="57"/>
        <v>27</v>
      </c>
      <c r="M699">
        <f ca="1">(B699-VLOOKUP(K699,INDIRECT("投手データ!B1:D"&amp;Prams!$B$1),3,FALSE)*2)</f>
        <v>31</v>
      </c>
      <c r="N699" t="str">
        <f ca="1">VLOOKUP(F699,INDIRECT("球種変換表!A$1:B$" &amp; Prams!$B$2),2,)</f>
        <v>全力ストレート</v>
      </c>
      <c r="O699">
        <f ca="1">VLOOKUP(N699,球種情報!A:B,2,FALSE)</f>
        <v>2</v>
      </c>
      <c r="P699">
        <f ca="1">VLOOKUP(K699,投手データ!B:AI,output!O699+6,FALSE)</f>
        <v>1</v>
      </c>
      <c r="R699">
        <f t="shared" ca="1" si="53"/>
        <v>6.8493150684931503E-3</v>
      </c>
      <c r="S699">
        <f t="shared" si="54"/>
        <v>0.43854166666666666</v>
      </c>
      <c r="T699">
        <f>Prams!B$5/(S699-Prams!B$6)</f>
        <v>163.44841261098506</v>
      </c>
      <c r="U699">
        <f t="shared" ca="1" si="55"/>
        <v>0.50520833333333337</v>
      </c>
      <c r="V699">
        <f ca="1">Prams!C$5/(U699-Prams!C$6)</f>
        <v>170.96674578849121</v>
      </c>
      <c r="W699">
        <f t="shared" ca="1" si="56"/>
        <v>1.1710051081403507</v>
      </c>
      <c r="X699" t="s">
        <v>50</v>
      </c>
    </row>
    <row r="700" spans="1:24" hidden="1" x14ac:dyDescent="0.55000000000000004">
      <c r="A700" s="1" t="s">
        <v>2213</v>
      </c>
      <c r="B700" s="1">
        <v>1</v>
      </c>
      <c r="C700">
        <v>675.5</v>
      </c>
      <c r="D700">
        <v>627</v>
      </c>
      <c r="E700">
        <v>11.5001</v>
      </c>
      <c r="F700" t="s">
        <v>9</v>
      </c>
      <c r="G700" s="10" t="s">
        <v>762</v>
      </c>
      <c r="H700">
        <v>1</v>
      </c>
      <c r="I700" t="s">
        <v>2212</v>
      </c>
      <c r="J700">
        <f ca="1">VLOOKUP(G700,INDIRECT("球速変換!A$1:B$" &amp; Prams!$B$8),2,)</f>
        <v>93</v>
      </c>
      <c r="K700" t="s">
        <v>1890</v>
      </c>
      <c r="L700">
        <f t="shared" si="57"/>
        <v>0</v>
      </c>
      <c r="M700">
        <f ca="1">(B700-VLOOKUP(K700,INDIRECT("投手データ!B1:D"&amp;Prams!$B$1),3,FALSE)*2)</f>
        <v>-93</v>
      </c>
      <c r="N700" t="str">
        <f ca="1">VLOOKUP(F700,INDIRECT("球種変換表!A$1:B$" &amp; Prams!$B$2),2,)</f>
        <v>スライダー</v>
      </c>
      <c r="O700">
        <f ca="1">VLOOKUP(N700,球種情報!A:B,2,FALSE)</f>
        <v>6</v>
      </c>
      <c r="P700">
        <f ca="1">VLOOKUP(K700,投手データ!B:AI,output!O700+6,FALSE)</f>
        <v>0</v>
      </c>
      <c r="R700">
        <f t="shared" ca="1" si="53"/>
        <v>1.0752688172043012E-2</v>
      </c>
      <c r="S700">
        <f t="shared" si="54"/>
        <v>-1.8749999999999999E-2</v>
      </c>
      <c r="T700">
        <f>Prams!B$5/(S700-Prams!B$6)</f>
        <v>-782.0746363061354</v>
      </c>
      <c r="U700">
        <f t="shared" ca="1" si="55"/>
        <v>-1.5687500000000001</v>
      </c>
      <c r="V700">
        <f ca="1">Prams!C$5/(U700-Prams!C$6)</f>
        <v>-36.104184308114576</v>
      </c>
      <c r="W700">
        <f t="shared" ca="1" si="56"/>
        <v>-0.38821703557112447</v>
      </c>
      <c r="X700" t="s">
        <v>50</v>
      </c>
    </row>
    <row r="701" spans="1:24" hidden="1" x14ac:dyDescent="0.55000000000000004">
      <c r="A701" s="1" t="s">
        <v>2214</v>
      </c>
      <c r="B701" s="1">
        <v>134</v>
      </c>
      <c r="C701">
        <v>656</v>
      </c>
      <c r="D701">
        <v>604.5</v>
      </c>
      <c r="E701">
        <v>10.012589999999999</v>
      </c>
      <c r="F701" t="s">
        <v>9</v>
      </c>
      <c r="G701" s="10" t="s">
        <v>608</v>
      </c>
      <c r="H701">
        <v>101</v>
      </c>
      <c r="I701" t="s">
        <v>1347</v>
      </c>
      <c r="J701">
        <f ca="1">VLOOKUP(G701,INDIRECT("球速変換!A$1:B$" &amp; Prams!$B$8),2,)</f>
        <v>132</v>
      </c>
      <c r="K701" t="str">
        <f ca="1">VLOOKUP(I701,INDIRECT("投手名変換!A$1:B$" &amp; Prams!$B$9),2,)</f>
        <v>DD010</v>
      </c>
      <c r="L701">
        <f t="shared" si="57"/>
        <v>33</v>
      </c>
      <c r="M701">
        <f ca="1">(B701-VLOOKUP(K701,INDIRECT("投手データ!B1:D"&amp;Prams!$B$1),3,FALSE)*2)</f>
        <v>40</v>
      </c>
      <c r="N701" t="str">
        <f ca="1">VLOOKUP(F701,INDIRECT("球種変換表!A$1:B$" &amp; Prams!$B$2),2,)</f>
        <v>スライダー</v>
      </c>
      <c r="O701">
        <f ca="1">VLOOKUP(N701,球種情報!A:B,2,FALSE)</f>
        <v>6</v>
      </c>
      <c r="P701">
        <f ca="1">VLOOKUP(K701,投手データ!B:AI,output!O701+6,FALSE)</f>
        <v>0</v>
      </c>
      <c r="R701">
        <f t="shared" ca="1" si="53"/>
        <v>7.575757575757576E-3</v>
      </c>
      <c r="S701">
        <f t="shared" si="54"/>
        <v>0.546875</v>
      </c>
      <c r="T701">
        <f>Prams!B$5/(S701-Prams!B$6)</f>
        <v>127.05749370600627</v>
      </c>
      <c r="U701">
        <f t="shared" ca="1" si="55"/>
        <v>0.6635416666666667</v>
      </c>
      <c r="V701">
        <f ca="1">Prams!C$5/(U701-Prams!C$6)</f>
        <v>118.903723174074</v>
      </c>
      <c r="W701">
        <f t="shared" ca="1" si="56"/>
        <v>0.9007857816217727</v>
      </c>
      <c r="X701" t="s">
        <v>50</v>
      </c>
    </row>
    <row r="702" spans="1:24" hidden="1" x14ac:dyDescent="0.55000000000000004">
      <c r="A702" s="1" t="s">
        <v>2215</v>
      </c>
      <c r="B702" s="1">
        <v>134</v>
      </c>
      <c r="C702">
        <v>660.5</v>
      </c>
      <c r="D702">
        <v>600.5</v>
      </c>
      <c r="E702">
        <v>10.512</v>
      </c>
      <c r="F702" t="s">
        <v>9</v>
      </c>
      <c r="G702" s="10" t="s">
        <v>906</v>
      </c>
      <c r="H702">
        <v>101</v>
      </c>
      <c r="I702" t="s">
        <v>1338</v>
      </c>
      <c r="J702">
        <f ca="1">VLOOKUP(G702,INDIRECT("球速変換!A$1:B$" &amp; Prams!$B$8),2,)</f>
        <v>151</v>
      </c>
      <c r="K702" t="str">
        <f ca="1">VLOOKUP(I702,INDIRECT("投手名変換!A$1:B$" &amp; Prams!$B$9),2,)</f>
        <v>DD010</v>
      </c>
      <c r="L702">
        <f t="shared" si="57"/>
        <v>33</v>
      </c>
      <c r="M702">
        <f ca="1">(B702-VLOOKUP(K702,INDIRECT("投手データ!B1:D"&amp;Prams!$B$1),3,FALSE)*2)</f>
        <v>40</v>
      </c>
      <c r="N702" t="str">
        <f ca="1">VLOOKUP(F702,INDIRECT("球種変換表!A$1:B$" &amp; Prams!$B$2),2,)</f>
        <v>スライダー</v>
      </c>
      <c r="O702">
        <f ca="1">VLOOKUP(N702,球種情報!A:B,2,FALSE)</f>
        <v>6</v>
      </c>
      <c r="P702">
        <f ca="1">VLOOKUP(K702,投手データ!B:AI,output!O702+6,FALSE)</f>
        <v>0</v>
      </c>
      <c r="R702">
        <f t="shared" ca="1" si="53"/>
        <v>6.6225165562913907E-3</v>
      </c>
      <c r="S702">
        <f t="shared" si="54"/>
        <v>0.54965277777777777</v>
      </c>
      <c r="T702">
        <f>Prams!B$5/(S702-Prams!B$6)</f>
        <v>126.33626048011263</v>
      </c>
      <c r="U702">
        <f t="shared" ca="1" si="55"/>
        <v>0.66631944444444435</v>
      </c>
      <c r="V702">
        <f ca="1">Prams!C$5/(U702-Prams!C$6)</f>
        <v>118.27185817758627</v>
      </c>
      <c r="W702">
        <f t="shared" ca="1" si="56"/>
        <v>0.78325733892441241</v>
      </c>
      <c r="X702" t="s">
        <v>50</v>
      </c>
    </row>
    <row r="703" spans="1:24" hidden="1" x14ac:dyDescent="0.55000000000000004">
      <c r="A703" s="1" t="s">
        <v>2216</v>
      </c>
      <c r="B703" s="1">
        <v>134</v>
      </c>
      <c r="C703">
        <v>661.5</v>
      </c>
      <c r="D703">
        <v>605</v>
      </c>
      <c r="E703">
        <v>9.5525900000000004</v>
      </c>
      <c r="F703" t="s">
        <v>9</v>
      </c>
      <c r="G703" s="10" t="s">
        <v>1363</v>
      </c>
      <c r="H703">
        <v>101</v>
      </c>
      <c r="I703" t="s">
        <v>1338</v>
      </c>
      <c r="J703">
        <f ca="1">VLOOKUP(G703,INDIRECT("球速変換!A$1:B$" &amp; Prams!$B$8),2,)</f>
        <v>132</v>
      </c>
      <c r="K703" t="str">
        <f ca="1">VLOOKUP(I703,INDIRECT("投手名変換!A$1:B$" &amp; Prams!$B$9),2,)</f>
        <v>DD010</v>
      </c>
      <c r="L703">
        <f t="shared" si="57"/>
        <v>33</v>
      </c>
      <c r="M703">
        <f ca="1">(B703-VLOOKUP(K703,INDIRECT("投手データ!B1:D"&amp;Prams!$B$1),3,FALSE)*2)</f>
        <v>40</v>
      </c>
      <c r="N703" t="str">
        <f ca="1">VLOOKUP(F703,INDIRECT("球種変換表!A$1:B$" &amp; Prams!$B$2),2,)</f>
        <v>スライダー</v>
      </c>
      <c r="O703">
        <f ca="1">VLOOKUP(N703,球種情報!A:B,2,FALSE)</f>
        <v>6</v>
      </c>
      <c r="P703">
        <f ca="1">VLOOKUP(K703,投手データ!B:AI,output!O703+6,FALSE)</f>
        <v>0</v>
      </c>
      <c r="R703">
        <f t="shared" ca="1" si="53"/>
        <v>7.575757575757576E-3</v>
      </c>
      <c r="S703">
        <f t="shared" si="54"/>
        <v>0.54652777777777772</v>
      </c>
      <c r="T703">
        <f>Prams!B$5/(S703-Prams!B$6)</f>
        <v>127.14822728259506</v>
      </c>
      <c r="U703">
        <f t="shared" ca="1" si="55"/>
        <v>0.66319444444444442</v>
      </c>
      <c r="V703">
        <f ca="1">Prams!C$5/(U703-Prams!C$6)</f>
        <v>118.98318132731724</v>
      </c>
      <c r="W703">
        <f t="shared" ca="1" si="56"/>
        <v>0.90138773732816091</v>
      </c>
      <c r="X703" t="s">
        <v>50</v>
      </c>
    </row>
    <row r="704" spans="1:24" hidden="1" x14ac:dyDescent="0.55000000000000004">
      <c r="A704" s="1" t="s">
        <v>2217</v>
      </c>
      <c r="B704" s="1">
        <v>134</v>
      </c>
      <c r="C704">
        <v>655.5</v>
      </c>
      <c r="D704">
        <v>606.5</v>
      </c>
      <c r="E704">
        <v>10.512</v>
      </c>
      <c r="F704" t="s">
        <v>9</v>
      </c>
      <c r="G704" s="10" t="s">
        <v>1363</v>
      </c>
      <c r="H704">
        <v>101</v>
      </c>
      <c r="I704" t="s">
        <v>1338</v>
      </c>
      <c r="J704">
        <f ca="1">VLOOKUP(G704,INDIRECT("球速変換!A$1:B$" &amp; Prams!$B$8),2,)</f>
        <v>132</v>
      </c>
      <c r="K704" t="str">
        <f ca="1">VLOOKUP(I704,INDIRECT("投手名変換!A$1:B$" &amp; Prams!$B$9),2,)</f>
        <v>DD010</v>
      </c>
      <c r="L704">
        <f t="shared" si="57"/>
        <v>33</v>
      </c>
      <c r="M704">
        <f ca="1">(B704-VLOOKUP(K704,INDIRECT("投手データ!B1:D"&amp;Prams!$B$1),3,FALSE)*2)</f>
        <v>40</v>
      </c>
      <c r="N704" t="str">
        <f ca="1">VLOOKUP(F704,INDIRECT("球種変換表!A$1:B$" &amp; Prams!$B$2),2,)</f>
        <v>スライダー</v>
      </c>
      <c r="O704">
        <f ca="1">VLOOKUP(N704,球種情報!A:B,2,FALSE)</f>
        <v>6</v>
      </c>
      <c r="P704">
        <f ca="1">VLOOKUP(K704,投手データ!B:AI,output!O704+6,FALSE)</f>
        <v>0</v>
      </c>
      <c r="R704">
        <f t="shared" ca="1" si="53"/>
        <v>7.575757575757576E-3</v>
      </c>
      <c r="S704">
        <f t="shared" si="54"/>
        <v>0.54548611111111112</v>
      </c>
      <c r="T704">
        <f>Prams!B$5/(S704-Prams!B$6)</f>
        <v>127.42120721143662</v>
      </c>
      <c r="U704">
        <f t="shared" ca="1" si="55"/>
        <v>0.6621527777777777</v>
      </c>
      <c r="V704">
        <f ca="1">Prams!C$5/(U704-Prams!C$6)</f>
        <v>119.22219424788008</v>
      </c>
      <c r="W704">
        <f t="shared" ca="1" si="56"/>
        <v>0.90319844127181881</v>
      </c>
      <c r="X704" t="s">
        <v>50</v>
      </c>
    </row>
    <row r="705" spans="1:24" hidden="1" x14ac:dyDescent="0.55000000000000004">
      <c r="A705" s="1" t="s">
        <v>2218</v>
      </c>
      <c r="B705" s="1">
        <v>136</v>
      </c>
      <c r="C705">
        <v>670</v>
      </c>
      <c r="D705">
        <v>640.5</v>
      </c>
      <c r="E705">
        <v>12.093489999999999</v>
      </c>
      <c r="F705" t="s">
        <v>9</v>
      </c>
      <c r="G705" s="10" t="s">
        <v>2432</v>
      </c>
      <c r="H705">
        <v>101</v>
      </c>
      <c r="I705" t="s">
        <v>1347</v>
      </c>
      <c r="J705">
        <f ca="1">VLOOKUP(G705,INDIRECT("球速変換!A$1:B$" &amp; Prams!$B$8),2,)</f>
        <v>131</v>
      </c>
      <c r="K705" t="str">
        <f ca="1">VLOOKUP(I705,INDIRECT("投手名変換!A$1:B$" &amp; Prams!$B$9),2,)</f>
        <v>DD010</v>
      </c>
      <c r="L705">
        <f t="shared" si="57"/>
        <v>35</v>
      </c>
      <c r="M705">
        <f ca="1">(B705-VLOOKUP(K705,INDIRECT("投手データ!B1:D"&amp;Prams!$B$1),3,FALSE)*2)</f>
        <v>42</v>
      </c>
      <c r="N705" t="str">
        <f ca="1">VLOOKUP(F705,INDIRECT("球種変換表!A$1:B$" &amp; Prams!$B$2),2,)</f>
        <v>スライダー</v>
      </c>
      <c r="O705">
        <f ca="1">VLOOKUP(N705,球種情報!A:B,2,FALSE)</f>
        <v>6</v>
      </c>
      <c r="P705">
        <f ca="1">VLOOKUP(K705,投手データ!B:AI,output!O705+6,FALSE)</f>
        <v>0</v>
      </c>
      <c r="R705">
        <f t="shared" ca="1" si="53"/>
        <v>7.6335877862595417E-3</v>
      </c>
      <c r="S705">
        <f t="shared" si="54"/>
        <v>0.5552083333333333</v>
      </c>
      <c r="T705">
        <f>Prams!B$5/(S705-Prams!B$6)</f>
        <v>124.91808247318528</v>
      </c>
      <c r="U705">
        <f t="shared" ca="1" si="55"/>
        <v>0.671875</v>
      </c>
      <c r="V705">
        <f ca="1">Prams!C$5/(U705-Prams!C$6)</f>
        <v>117.0280630353509</v>
      </c>
      <c r="W705">
        <f t="shared" ca="1" si="56"/>
        <v>0.8933439926362664</v>
      </c>
      <c r="X705" t="s">
        <v>50</v>
      </c>
    </row>
    <row r="706" spans="1:24" hidden="1" x14ac:dyDescent="0.55000000000000004">
      <c r="A706" s="1" t="s">
        <v>1365</v>
      </c>
      <c r="B706" s="1">
        <v>134</v>
      </c>
      <c r="C706">
        <v>657.95001000000002</v>
      </c>
      <c r="D706">
        <v>607.5</v>
      </c>
      <c r="E706">
        <v>10.062519999999999</v>
      </c>
      <c r="F706" t="s">
        <v>9</v>
      </c>
      <c r="G706" s="10" t="s">
        <v>762</v>
      </c>
      <c r="H706">
        <v>101</v>
      </c>
      <c r="I706" t="s">
        <v>1338</v>
      </c>
      <c r="J706">
        <f ca="1">VLOOKUP(G706,INDIRECT("球速変換!A$1:B$" &amp; Prams!$B$8),2,)</f>
        <v>93</v>
      </c>
      <c r="K706" t="str">
        <f ca="1">VLOOKUP(I706,INDIRECT("投手名変換!A$1:B$" &amp; Prams!$B$9),2,)</f>
        <v>DD010</v>
      </c>
      <c r="L706">
        <f t="shared" si="57"/>
        <v>33</v>
      </c>
      <c r="M706">
        <f ca="1">(B706-VLOOKUP(K706,INDIRECT("投手データ!B1:D"&amp;Prams!$B$1),3,FALSE)*2)</f>
        <v>40</v>
      </c>
      <c r="N706" t="str">
        <f ca="1">VLOOKUP(F706,INDIRECT("球種変換表!A$1:B$" &amp; Prams!$B$2),2,)</f>
        <v>スライダー</v>
      </c>
      <c r="O706">
        <f ca="1">VLOOKUP(N706,球種情報!A:B,2,FALSE)</f>
        <v>6</v>
      </c>
      <c r="P706">
        <f ca="1">VLOOKUP(K706,投手データ!B:AI,output!O706+6,FALSE)</f>
        <v>0</v>
      </c>
      <c r="R706">
        <f t="shared" ca="1" si="53"/>
        <v>1.0752688172043012E-2</v>
      </c>
      <c r="S706">
        <f t="shared" si="54"/>
        <v>0.54479166666666667</v>
      </c>
      <c r="T706">
        <f>Prams!B$5/(S706-Prams!B$6)</f>
        <v>127.60384595538279</v>
      </c>
      <c r="U706">
        <f t="shared" ca="1" si="55"/>
        <v>0.66145833333333337</v>
      </c>
      <c r="V706">
        <f ca="1">Prams!C$5/(U706-Prams!C$6)</f>
        <v>119.3820703860451</v>
      </c>
      <c r="W706">
        <f t="shared" ca="1" si="56"/>
        <v>1.2836781761940332</v>
      </c>
      <c r="X706" t="s">
        <v>50</v>
      </c>
    </row>
    <row r="707" spans="1:24" hidden="1" x14ac:dyDescent="0.55000000000000004">
      <c r="A707" s="1" t="s">
        <v>1366</v>
      </c>
      <c r="B707" s="1">
        <v>134</v>
      </c>
      <c r="C707">
        <v>661.55260999999996</v>
      </c>
      <c r="D707">
        <v>603.5</v>
      </c>
      <c r="E707">
        <v>9.5658300000000001</v>
      </c>
      <c r="F707" t="s">
        <v>9</v>
      </c>
      <c r="G707" s="10" t="s">
        <v>608</v>
      </c>
      <c r="H707">
        <v>101</v>
      </c>
      <c r="I707" t="s">
        <v>1338</v>
      </c>
      <c r="J707">
        <f ca="1">VLOOKUP(G707,INDIRECT("球速変換!A$1:B$" &amp; Prams!$B$8),2,)</f>
        <v>132</v>
      </c>
      <c r="K707" t="str">
        <f ca="1">VLOOKUP(I707,INDIRECT("投手名変換!A$1:B$" &amp; Prams!$B$9),2,)</f>
        <v>DD010</v>
      </c>
      <c r="L707">
        <f t="shared" si="57"/>
        <v>33</v>
      </c>
      <c r="M707">
        <f ca="1">(B707-VLOOKUP(K707,INDIRECT("投手データ!B1:D"&amp;Prams!$B$1),3,FALSE)*2)</f>
        <v>40</v>
      </c>
      <c r="N707" t="str">
        <f ca="1">VLOOKUP(F707,INDIRECT("球種変換表!A$1:B$" &amp; Prams!$B$2),2,)</f>
        <v>スライダー</v>
      </c>
      <c r="O707">
        <f ca="1">VLOOKUP(N707,球種情報!A:B,2,FALSE)</f>
        <v>6</v>
      </c>
      <c r="P707">
        <f ca="1">VLOOKUP(K707,投手データ!B:AI,output!O707+6,FALSE)</f>
        <v>0</v>
      </c>
      <c r="R707">
        <f t="shared" ca="1" si="53"/>
        <v>7.575757575757576E-3</v>
      </c>
      <c r="S707">
        <f t="shared" si="54"/>
        <v>0.54756944444444444</v>
      </c>
      <c r="T707">
        <f>Prams!B$5/(S707-Prams!B$6)</f>
        <v>126.8764144866233</v>
      </c>
      <c r="U707">
        <f t="shared" ca="1" si="55"/>
        <v>0.66423611111111103</v>
      </c>
      <c r="V707">
        <f ca="1">Prams!C$5/(U707-Prams!C$6)</f>
        <v>118.74512482059875</v>
      </c>
      <c r="W707">
        <f t="shared" ca="1" si="56"/>
        <v>0.89958427894392989</v>
      </c>
      <c r="X707" t="s">
        <v>50</v>
      </c>
    </row>
    <row r="708" spans="1:24" hidden="1" x14ac:dyDescent="0.55000000000000004">
      <c r="A708" s="1" t="s">
        <v>1723</v>
      </c>
      <c r="B708" s="1">
        <v>134</v>
      </c>
      <c r="C708">
        <v>648.5</v>
      </c>
      <c r="D708">
        <v>604.5</v>
      </c>
      <c r="E708">
        <v>10.512</v>
      </c>
      <c r="F708" t="s">
        <v>9</v>
      </c>
      <c r="G708" s="10" t="s">
        <v>608</v>
      </c>
      <c r="H708">
        <v>101</v>
      </c>
      <c r="I708" t="s">
        <v>1338</v>
      </c>
      <c r="J708">
        <f ca="1">VLOOKUP(G708,INDIRECT("球速変換!A$1:B$" &amp; Prams!$B$8),2,)</f>
        <v>132</v>
      </c>
      <c r="K708" t="str">
        <f ca="1">VLOOKUP(I708,INDIRECT("投手名変換!A$1:B$" &amp; Prams!$B$9),2,)</f>
        <v>DD010</v>
      </c>
      <c r="L708">
        <f t="shared" si="57"/>
        <v>33</v>
      </c>
      <c r="M708">
        <f ca="1">(B708-VLOOKUP(K708,INDIRECT("投手データ!B1:D"&amp;Prams!$B$1),3,FALSE)*2)</f>
        <v>40</v>
      </c>
      <c r="N708" t="str">
        <f ca="1">VLOOKUP(F708,INDIRECT("球種変換表!A$1:B$" &amp; Prams!$B$2),2,)</f>
        <v>スライダー</v>
      </c>
      <c r="O708">
        <f ca="1">VLOOKUP(N708,球種情報!A:B,2,FALSE)</f>
        <v>6</v>
      </c>
      <c r="P708">
        <f ca="1">VLOOKUP(K708,投手データ!B:AI,output!O708+6,FALSE)</f>
        <v>0</v>
      </c>
      <c r="R708">
        <f t="shared" ca="1" si="53"/>
        <v>7.575757575757576E-3</v>
      </c>
      <c r="S708">
        <f t="shared" si="54"/>
        <v>0.546875</v>
      </c>
      <c r="T708">
        <f>Prams!B$5/(S708-Prams!B$6)</f>
        <v>127.05749370600627</v>
      </c>
      <c r="U708">
        <f t="shared" ca="1" si="55"/>
        <v>0.6635416666666667</v>
      </c>
      <c r="V708">
        <f ca="1">Prams!C$5/(U708-Prams!C$6)</f>
        <v>118.903723174074</v>
      </c>
      <c r="W708">
        <f t="shared" ca="1" si="56"/>
        <v>0.9007857816217727</v>
      </c>
      <c r="X708" t="s">
        <v>50</v>
      </c>
    </row>
    <row r="709" spans="1:24" hidden="1" x14ac:dyDescent="0.55000000000000004">
      <c r="A709" s="1" t="s">
        <v>1724</v>
      </c>
      <c r="B709" s="1">
        <v>135</v>
      </c>
      <c r="C709">
        <v>657.90002000000004</v>
      </c>
      <c r="D709">
        <v>616</v>
      </c>
      <c r="E709">
        <v>10.10008</v>
      </c>
      <c r="F709" t="s">
        <v>9</v>
      </c>
      <c r="G709" s="10" t="s">
        <v>2431</v>
      </c>
      <c r="H709">
        <v>101</v>
      </c>
      <c r="I709" t="s">
        <v>1353</v>
      </c>
      <c r="J709">
        <f ca="1">VLOOKUP(G709,INDIRECT("球速変換!A$1:B$" &amp; Prams!$B$8),2,)</f>
        <v>130</v>
      </c>
      <c r="K709" t="str">
        <f ca="1">VLOOKUP(I709,INDIRECT("投手名変換!A$1:B$" &amp; Prams!$B$9),2,)</f>
        <v>DD010</v>
      </c>
      <c r="L709">
        <f t="shared" si="57"/>
        <v>34</v>
      </c>
      <c r="M709">
        <f ca="1">(B709-VLOOKUP(K709,INDIRECT("投手データ!B1:D"&amp;Prams!$B$1),3,FALSE)*2)</f>
        <v>41</v>
      </c>
      <c r="N709" t="str">
        <f ca="1">VLOOKUP(F709,INDIRECT("球種変換表!A$1:B$" &amp; Prams!$B$2),2,)</f>
        <v>スライダー</v>
      </c>
      <c r="O709">
        <f ca="1">VLOOKUP(N709,球種情報!A:B,2,FALSE)</f>
        <v>6</v>
      </c>
      <c r="P709">
        <f ca="1">VLOOKUP(K709,投手データ!B:AI,output!O709+6,FALSE)</f>
        <v>0</v>
      </c>
      <c r="R709">
        <f t="shared" ref="R709:R772" ca="1" si="58">1/J709</f>
        <v>7.6923076923076927E-3</v>
      </c>
      <c r="S709">
        <f t="shared" ref="S709:S772" si="59">(L709-(D709-600)/24)*2/120</f>
        <v>0.55555555555555558</v>
      </c>
      <c r="T709">
        <f>Prams!B$5/(S709-Prams!B$6)</f>
        <v>124.83050277073565</v>
      </c>
      <c r="U709">
        <f t="shared" ref="U709:U772" ca="1" si="60">(M709-(D709-600)/24)*2/120</f>
        <v>0.67222222222222228</v>
      </c>
      <c r="V709">
        <f ca="1">Prams!C$5/(U709-Prams!C$6)</f>
        <v>116.95119387926684</v>
      </c>
      <c r="W709">
        <f t="shared" ref="W709:W772" ca="1" si="61">V709/J709</f>
        <v>0.89962456830205262</v>
      </c>
      <c r="X709" t="s">
        <v>50</v>
      </c>
    </row>
    <row r="710" spans="1:24" hidden="1" x14ac:dyDescent="0.55000000000000004">
      <c r="A710" s="1" t="s">
        <v>1367</v>
      </c>
      <c r="B710" s="1">
        <v>133</v>
      </c>
      <c r="C710">
        <v>628.54760999999996</v>
      </c>
      <c r="D710">
        <v>612.5</v>
      </c>
      <c r="E710">
        <v>10.55958</v>
      </c>
      <c r="F710" t="s">
        <v>6</v>
      </c>
      <c r="G710" s="10" t="s">
        <v>2419</v>
      </c>
      <c r="H710">
        <v>98</v>
      </c>
      <c r="I710" t="s">
        <v>1338</v>
      </c>
      <c r="J710">
        <f ca="1">VLOOKUP(G710,INDIRECT("球速変換!A$1:B$" &amp; Prams!$B$8),2,)</f>
        <v>126</v>
      </c>
      <c r="K710" t="str">
        <f ca="1">VLOOKUP(I710,INDIRECT("投手名変換!A$1:B$" &amp; Prams!$B$9),2,)</f>
        <v>DD010</v>
      </c>
      <c r="L710">
        <f t="shared" si="57"/>
        <v>35</v>
      </c>
      <c r="M710">
        <f ca="1">(B710-VLOOKUP(K710,INDIRECT("投手データ!B1:D"&amp;Prams!$B$1),3,FALSE)*2)</f>
        <v>39</v>
      </c>
      <c r="N710" t="str">
        <f ca="1">VLOOKUP(F710,INDIRECT("球種変換表!A$1:B$" &amp; Prams!$B$2),2,)</f>
        <v>フォーク</v>
      </c>
      <c r="O710">
        <f ca="1">VLOOKUP(N710,球種情報!A:B,2,FALSE)</f>
        <v>16</v>
      </c>
      <c r="P710">
        <f ca="1">VLOOKUP(K710,投手データ!B:AI,output!O710+6,FALSE)</f>
        <v>0</v>
      </c>
      <c r="R710">
        <f t="shared" ca="1" si="58"/>
        <v>7.9365079365079361E-3</v>
      </c>
      <c r="S710">
        <f t="shared" si="59"/>
        <v>0.57465277777777779</v>
      </c>
      <c r="T710">
        <f>Prams!B$5/(S710-Prams!B$6)</f>
        <v>120.19571521923453</v>
      </c>
      <c r="U710">
        <f t="shared" ca="1" si="60"/>
        <v>0.64131944444444444</v>
      </c>
      <c r="V710">
        <f ca="1">Prams!C$5/(U710-Prams!C$6)</f>
        <v>124.21254722930701</v>
      </c>
      <c r="W710">
        <f t="shared" ca="1" si="61"/>
        <v>0.98581386689926198</v>
      </c>
      <c r="X710" t="s">
        <v>50</v>
      </c>
    </row>
    <row r="711" spans="1:24" hidden="1" x14ac:dyDescent="0.55000000000000004">
      <c r="A711" s="1" t="s">
        <v>1369</v>
      </c>
      <c r="B711" s="1">
        <v>132</v>
      </c>
      <c r="C711">
        <v>640.5</v>
      </c>
      <c r="D711">
        <v>603.5</v>
      </c>
      <c r="E711">
        <v>10.512</v>
      </c>
      <c r="F711" t="s">
        <v>6</v>
      </c>
      <c r="G711" s="10" t="s">
        <v>1725</v>
      </c>
      <c r="H711">
        <v>98</v>
      </c>
      <c r="I711" t="s">
        <v>1338</v>
      </c>
      <c r="J711">
        <f ca="1">VLOOKUP(G711,INDIRECT("球速変換!A$1:B$" &amp; Prams!$B$8),2,)</f>
        <v>128</v>
      </c>
      <c r="K711" t="str">
        <f ca="1">VLOOKUP(I711,INDIRECT("投手名変換!A$1:B$" &amp; Prams!$B$9),2,)</f>
        <v>DD010</v>
      </c>
      <c r="L711">
        <f t="shared" si="57"/>
        <v>34</v>
      </c>
      <c r="M711">
        <f ca="1">(B711-VLOOKUP(K711,INDIRECT("投手データ!B1:D"&amp;Prams!$B$1),3,FALSE)*2)</f>
        <v>38</v>
      </c>
      <c r="N711" t="str">
        <f ca="1">VLOOKUP(F711,INDIRECT("球種変換表!A$1:B$" &amp; Prams!$B$2),2,)</f>
        <v>フォーク</v>
      </c>
      <c r="O711">
        <f ca="1">VLOOKUP(N711,球種情報!A:B,2,FALSE)</f>
        <v>16</v>
      </c>
      <c r="P711">
        <f ca="1">VLOOKUP(K711,投手データ!B:AI,output!O711+6,FALSE)</f>
        <v>0</v>
      </c>
      <c r="R711">
        <f t="shared" ca="1" si="58"/>
        <v>7.8125E-3</v>
      </c>
      <c r="S711">
        <f t="shared" si="59"/>
        <v>0.56423611111111105</v>
      </c>
      <c r="T711">
        <f>Prams!B$5/(S711-Prams!B$6)</f>
        <v>122.6802339361802</v>
      </c>
      <c r="U711">
        <f t="shared" ca="1" si="60"/>
        <v>0.6309027777777777</v>
      </c>
      <c r="V711">
        <f ca="1">Prams!C$5/(U711-Prams!C$6)</f>
        <v>126.8677356651409</v>
      </c>
      <c r="W711">
        <f t="shared" ca="1" si="61"/>
        <v>0.99115418488391327</v>
      </c>
      <c r="X711" t="s">
        <v>50</v>
      </c>
    </row>
    <row r="712" spans="1:24" hidden="1" x14ac:dyDescent="0.55000000000000004">
      <c r="A712" s="1" t="s">
        <v>1370</v>
      </c>
      <c r="B712" s="1">
        <v>132</v>
      </c>
      <c r="C712">
        <v>634.97729000000004</v>
      </c>
      <c r="D712">
        <v>606</v>
      </c>
      <c r="E712">
        <v>11.02281</v>
      </c>
      <c r="F712" t="s">
        <v>6</v>
      </c>
      <c r="G712" s="10" t="s">
        <v>2418</v>
      </c>
      <c r="H712">
        <v>98</v>
      </c>
      <c r="I712" t="s">
        <v>1347</v>
      </c>
      <c r="J712">
        <f ca="1">VLOOKUP(G712,INDIRECT("球速変換!A$1:B$" &amp; Prams!$B$8),2,)</f>
        <v>129</v>
      </c>
      <c r="K712" t="str">
        <f ca="1">VLOOKUP(I712,INDIRECT("投手名変換!A$1:B$" &amp; Prams!$B$9),2,)</f>
        <v>DD010</v>
      </c>
      <c r="L712">
        <f t="shared" si="57"/>
        <v>34</v>
      </c>
      <c r="M712">
        <f ca="1">(B712-VLOOKUP(K712,INDIRECT("投手データ!B1:D"&amp;Prams!$B$1),3,FALSE)*2)</f>
        <v>38</v>
      </c>
      <c r="N712" t="str">
        <f ca="1">VLOOKUP(F712,INDIRECT("球種変換表!A$1:B$" &amp; Prams!$B$2),2,)</f>
        <v>フォーク</v>
      </c>
      <c r="O712">
        <f ca="1">VLOOKUP(N712,球種情報!A:B,2,FALSE)</f>
        <v>16</v>
      </c>
      <c r="P712">
        <f ca="1">VLOOKUP(K712,投手データ!B:AI,output!O712+6,FALSE)</f>
        <v>0</v>
      </c>
      <c r="R712">
        <f t="shared" ca="1" si="58"/>
        <v>7.7519379844961239E-3</v>
      </c>
      <c r="S712">
        <f t="shared" si="59"/>
        <v>0.5625</v>
      </c>
      <c r="T712">
        <f>Prams!B$5/(S712-Prams!B$6)</f>
        <v>123.10434090003983</v>
      </c>
      <c r="U712">
        <f t="shared" ca="1" si="60"/>
        <v>0.62916666666666665</v>
      </c>
      <c r="V712">
        <f ca="1">Prams!C$5/(U712-Prams!C$6)</f>
        <v>127.32134276103523</v>
      </c>
      <c r="W712">
        <f t="shared" ca="1" si="61"/>
        <v>0.98698715318631958</v>
      </c>
      <c r="X712" t="s">
        <v>50</v>
      </c>
    </row>
    <row r="713" spans="1:24" hidden="1" x14ac:dyDescent="0.55000000000000004">
      <c r="A713" s="1" t="s">
        <v>1371</v>
      </c>
      <c r="B713" s="1">
        <v>133</v>
      </c>
      <c r="C713">
        <v>648</v>
      </c>
      <c r="D713">
        <v>618</v>
      </c>
      <c r="E713">
        <v>11.04546</v>
      </c>
      <c r="F713" t="s">
        <v>6</v>
      </c>
      <c r="G713" s="10" t="s">
        <v>2420</v>
      </c>
      <c r="H713">
        <v>98</v>
      </c>
      <c r="I713" t="s">
        <v>1347</v>
      </c>
      <c r="J713">
        <f ca="1">VLOOKUP(G713,INDIRECT("球速変換!A$1:B$" &amp; Prams!$B$8),2,)</f>
        <v>127</v>
      </c>
      <c r="K713" t="str">
        <f ca="1">VLOOKUP(I713,INDIRECT("投手名変換!A$1:B$" &amp; Prams!$B$9),2,)</f>
        <v>DD010</v>
      </c>
      <c r="L713">
        <f t="shared" ref="L713:L776" si="62">B713-H713</f>
        <v>35</v>
      </c>
      <c r="M713">
        <f ca="1">(B713-VLOOKUP(K713,INDIRECT("投手データ!B1:D"&amp;Prams!$B$1),3,FALSE)*2)</f>
        <v>39</v>
      </c>
      <c r="N713" t="str">
        <f ca="1">VLOOKUP(F713,INDIRECT("球種変換表!A$1:B$" &amp; Prams!$B$2),2,)</f>
        <v>フォーク</v>
      </c>
      <c r="O713">
        <f ca="1">VLOOKUP(N713,球種情報!A:B,2,FALSE)</f>
        <v>16</v>
      </c>
      <c r="P713">
        <f ca="1">VLOOKUP(K713,投手データ!B:AI,output!O713+6,FALSE)</f>
        <v>0</v>
      </c>
      <c r="R713">
        <f t="shared" ca="1" si="58"/>
        <v>7.874015748031496E-3</v>
      </c>
      <c r="S713">
        <f t="shared" si="59"/>
        <v>0.5708333333333333</v>
      </c>
      <c r="T713">
        <f>Prams!B$5/(S713-Prams!B$6)</f>
        <v>121.09493340297729</v>
      </c>
      <c r="U713">
        <f t="shared" ca="1" si="60"/>
        <v>0.63749999999999996</v>
      </c>
      <c r="V713">
        <f ca="1">Prams!C$5/(U713-Prams!C$6)</f>
        <v>125.17311196598503</v>
      </c>
      <c r="W713">
        <f t="shared" ca="1" si="61"/>
        <v>0.98561505485027578</v>
      </c>
      <c r="X713" t="s">
        <v>50</v>
      </c>
    </row>
    <row r="714" spans="1:24" hidden="1" x14ac:dyDescent="0.55000000000000004">
      <c r="A714" s="1" t="s">
        <v>1372</v>
      </c>
      <c r="B714" s="1">
        <v>133</v>
      </c>
      <c r="C714">
        <v>638.5</v>
      </c>
      <c r="D714">
        <v>611.5</v>
      </c>
      <c r="E714">
        <v>10.512</v>
      </c>
      <c r="F714" t="s">
        <v>6</v>
      </c>
      <c r="G714" s="10" t="s">
        <v>1100</v>
      </c>
      <c r="H714">
        <v>98</v>
      </c>
      <c r="I714" t="s">
        <v>655</v>
      </c>
      <c r="J714">
        <f ca="1">VLOOKUP(G714,INDIRECT("球速変換!A$1:B$" &amp; Prams!$B$8),2,)</f>
        <v>126</v>
      </c>
      <c r="K714" t="str">
        <f ca="1">VLOOKUP(I714,INDIRECT("投手名変換!A$1:B$" &amp; Prams!$B$9),2,)</f>
        <v>DD010</v>
      </c>
      <c r="L714">
        <f t="shared" si="62"/>
        <v>35</v>
      </c>
      <c r="M714">
        <f ca="1">(B714-VLOOKUP(K714,INDIRECT("投手データ!B1:D"&amp;Prams!$B$1),3,FALSE)*2)</f>
        <v>39</v>
      </c>
      <c r="N714" t="str">
        <f ca="1">VLOOKUP(F714,INDIRECT("球種変換表!A$1:B$" &amp; Prams!$B$2),2,)</f>
        <v>フォーク</v>
      </c>
      <c r="O714">
        <f ca="1">VLOOKUP(N714,球種情報!A:B,2,FALSE)</f>
        <v>16</v>
      </c>
      <c r="P714">
        <f ca="1">VLOOKUP(K714,投手データ!B:AI,output!O714+6,FALSE)</f>
        <v>0</v>
      </c>
      <c r="R714">
        <f t="shared" ca="1" si="58"/>
        <v>7.9365079365079361E-3</v>
      </c>
      <c r="S714">
        <f t="shared" si="59"/>
        <v>0.57534722222222223</v>
      </c>
      <c r="T714">
        <f>Prams!B$5/(S714-Prams!B$6)</f>
        <v>120.03365387208294</v>
      </c>
      <c r="U714">
        <f t="shared" ca="1" si="60"/>
        <v>0.64201388888888888</v>
      </c>
      <c r="V714">
        <f ca="1">Prams!C$5/(U714-Prams!C$6)</f>
        <v>124.03948079741848</v>
      </c>
      <c r="W714">
        <f t="shared" ca="1" si="61"/>
        <v>0.98444032378903557</v>
      </c>
      <c r="X714" t="s">
        <v>50</v>
      </c>
    </row>
    <row r="715" spans="1:24" hidden="1" x14ac:dyDescent="0.55000000000000004">
      <c r="A715" s="1" t="s">
        <v>1373</v>
      </c>
      <c r="B715" s="1">
        <v>133</v>
      </c>
      <c r="C715">
        <v>646.5</v>
      </c>
      <c r="D715">
        <v>617.5</v>
      </c>
      <c r="E715">
        <v>10.512</v>
      </c>
      <c r="F715" t="s">
        <v>6</v>
      </c>
      <c r="G715" s="10" t="s">
        <v>2420</v>
      </c>
      <c r="H715">
        <v>98</v>
      </c>
      <c r="I715" t="s">
        <v>1347</v>
      </c>
      <c r="J715">
        <f ca="1">VLOOKUP(G715,INDIRECT("球速変換!A$1:B$" &amp; Prams!$B$8),2,)</f>
        <v>127</v>
      </c>
      <c r="K715" t="str">
        <f ca="1">VLOOKUP(I715,INDIRECT("投手名変換!A$1:B$" &amp; Prams!$B$9),2,)</f>
        <v>DD010</v>
      </c>
      <c r="L715">
        <f t="shared" si="62"/>
        <v>35</v>
      </c>
      <c r="M715">
        <f ca="1">(B715-VLOOKUP(K715,INDIRECT("投手データ!B1:D"&amp;Prams!$B$1),3,FALSE)*2)</f>
        <v>39</v>
      </c>
      <c r="N715" t="str">
        <f ca="1">VLOOKUP(F715,INDIRECT("球種変換表!A$1:B$" &amp; Prams!$B$2),2,)</f>
        <v>フォーク</v>
      </c>
      <c r="O715">
        <f ca="1">VLOOKUP(N715,球種情報!A:B,2,FALSE)</f>
        <v>16</v>
      </c>
      <c r="P715">
        <f ca="1">VLOOKUP(K715,投手データ!B:AI,output!O715+6,FALSE)</f>
        <v>0</v>
      </c>
      <c r="R715">
        <f t="shared" ca="1" si="58"/>
        <v>7.874015748031496E-3</v>
      </c>
      <c r="S715">
        <f t="shared" si="59"/>
        <v>0.57118055555555558</v>
      </c>
      <c r="T715">
        <f>Prams!B$5/(S715-Prams!B$6)</f>
        <v>121.01263069754292</v>
      </c>
      <c r="U715">
        <f t="shared" ca="1" si="60"/>
        <v>0.63784722222222223</v>
      </c>
      <c r="V715">
        <f ca="1">Prams!C$5/(U715-Prams!C$6)</f>
        <v>125.085174423506</v>
      </c>
      <c r="W715">
        <f t="shared" ca="1" si="61"/>
        <v>0.98492263325595275</v>
      </c>
      <c r="X715" t="s">
        <v>50</v>
      </c>
    </row>
    <row r="716" spans="1:24" hidden="1" x14ac:dyDescent="0.55000000000000004">
      <c r="A716" s="1" t="s">
        <v>1374</v>
      </c>
      <c r="B716" s="1">
        <v>132</v>
      </c>
      <c r="C716">
        <v>637.04998999999998</v>
      </c>
      <c r="D716">
        <v>603.5</v>
      </c>
      <c r="E716">
        <v>10.06254</v>
      </c>
      <c r="F716" t="s">
        <v>6</v>
      </c>
      <c r="G716" s="10" t="s">
        <v>591</v>
      </c>
      <c r="H716">
        <v>98</v>
      </c>
      <c r="I716" t="s">
        <v>1338</v>
      </c>
      <c r="J716">
        <f ca="1">VLOOKUP(G716,INDIRECT("球速変換!A$1:B$" &amp; Prams!$B$8),2,)</f>
        <v>128</v>
      </c>
      <c r="K716" t="str">
        <f ca="1">VLOOKUP(I716,INDIRECT("投手名変換!A$1:B$" &amp; Prams!$B$9),2,)</f>
        <v>DD010</v>
      </c>
      <c r="L716">
        <f t="shared" si="62"/>
        <v>34</v>
      </c>
      <c r="M716">
        <f ca="1">(B716-VLOOKUP(K716,INDIRECT("投手データ!B1:D"&amp;Prams!$B$1),3,FALSE)*2)</f>
        <v>38</v>
      </c>
      <c r="N716" t="str">
        <f ca="1">VLOOKUP(F716,INDIRECT("球種変換表!A$1:B$" &amp; Prams!$B$2),2,)</f>
        <v>フォーク</v>
      </c>
      <c r="O716">
        <f ca="1">VLOOKUP(N716,球種情報!A:B,2,FALSE)</f>
        <v>16</v>
      </c>
      <c r="P716">
        <f ca="1">VLOOKUP(K716,投手データ!B:AI,output!O716+6,FALSE)</f>
        <v>0</v>
      </c>
      <c r="R716">
        <f t="shared" ca="1" si="58"/>
        <v>7.8125E-3</v>
      </c>
      <c r="S716">
        <f t="shared" si="59"/>
        <v>0.56423611111111105</v>
      </c>
      <c r="T716">
        <f>Prams!B$5/(S716-Prams!B$6)</f>
        <v>122.6802339361802</v>
      </c>
      <c r="U716">
        <f t="shared" ca="1" si="60"/>
        <v>0.6309027777777777</v>
      </c>
      <c r="V716">
        <f ca="1">Prams!C$5/(U716-Prams!C$6)</f>
        <v>126.8677356651409</v>
      </c>
      <c r="W716">
        <f t="shared" ca="1" si="61"/>
        <v>0.99115418488391327</v>
      </c>
      <c r="X716" t="s">
        <v>50</v>
      </c>
    </row>
    <row r="717" spans="1:24" hidden="1" x14ac:dyDescent="0.55000000000000004">
      <c r="A717" s="1" t="s">
        <v>1376</v>
      </c>
      <c r="B717" s="1">
        <v>133</v>
      </c>
      <c r="C717">
        <v>640</v>
      </c>
      <c r="D717">
        <v>616</v>
      </c>
      <c r="E717">
        <v>11.0001</v>
      </c>
      <c r="F717" t="s">
        <v>6</v>
      </c>
      <c r="G717" s="10" t="s">
        <v>589</v>
      </c>
      <c r="H717">
        <v>98</v>
      </c>
      <c r="I717" t="s">
        <v>1338</v>
      </c>
      <c r="J717">
        <f ca="1">VLOOKUP(G717,INDIRECT("球速変換!A$1:B$" &amp; Prams!$B$8),2,)</f>
        <v>127</v>
      </c>
      <c r="K717" t="str">
        <f ca="1">VLOOKUP(I717,INDIRECT("投手名変換!A$1:B$" &amp; Prams!$B$9),2,)</f>
        <v>DD010</v>
      </c>
      <c r="L717">
        <f t="shared" si="62"/>
        <v>35</v>
      </c>
      <c r="M717">
        <f ca="1">(B717-VLOOKUP(K717,INDIRECT("投手データ!B1:D"&amp;Prams!$B$1),3,FALSE)*2)</f>
        <v>39</v>
      </c>
      <c r="N717" t="str">
        <f ca="1">VLOOKUP(F717,INDIRECT("球種変換表!A$1:B$" &amp; Prams!$B$2),2,)</f>
        <v>フォーク</v>
      </c>
      <c r="O717">
        <f ca="1">VLOOKUP(N717,球種情報!A:B,2,FALSE)</f>
        <v>16</v>
      </c>
      <c r="P717">
        <f ca="1">VLOOKUP(K717,投手データ!B:AI,output!O717+6,FALSE)</f>
        <v>0</v>
      </c>
      <c r="R717">
        <f t="shared" ca="1" si="58"/>
        <v>7.874015748031496E-3</v>
      </c>
      <c r="S717">
        <f t="shared" si="59"/>
        <v>0.5722222222222223</v>
      </c>
      <c r="T717">
        <f>Prams!B$5/(S717-Prams!B$6)</f>
        <v>120.76639246413299</v>
      </c>
      <c r="U717">
        <f t="shared" ca="1" si="60"/>
        <v>0.63888888888888895</v>
      </c>
      <c r="V717">
        <f ca="1">Prams!C$5/(U717-Prams!C$6)</f>
        <v>124.82210157932518</v>
      </c>
      <c r="W717">
        <f t="shared" ca="1" si="61"/>
        <v>0.98285119353799355</v>
      </c>
      <c r="X717" t="s">
        <v>50</v>
      </c>
    </row>
    <row r="718" spans="1:24" hidden="1" x14ac:dyDescent="0.55000000000000004">
      <c r="A718" s="1" t="s">
        <v>1377</v>
      </c>
      <c r="B718" s="1">
        <v>133</v>
      </c>
      <c r="C718">
        <v>634.40479000000005</v>
      </c>
      <c r="D718">
        <v>614</v>
      </c>
      <c r="E718">
        <v>10.59531</v>
      </c>
      <c r="F718" t="s">
        <v>6</v>
      </c>
      <c r="G718" s="10" t="s">
        <v>588</v>
      </c>
      <c r="H718">
        <v>98</v>
      </c>
      <c r="I718" t="s">
        <v>1338</v>
      </c>
      <c r="J718">
        <f ca="1">VLOOKUP(G718,INDIRECT("球速変換!A$1:B$" &amp; Prams!$B$8),2,)</f>
        <v>126</v>
      </c>
      <c r="K718" t="str">
        <f ca="1">VLOOKUP(I718,INDIRECT("投手名変換!A$1:B$" &amp; Prams!$B$9),2,)</f>
        <v>DD010</v>
      </c>
      <c r="L718">
        <f t="shared" si="62"/>
        <v>35</v>
      </c>
      <c r="M718">
        <f ca="1">(B718-VLOOKUP(K718,INDIRECT("投手データ!B1:D"&amp;Prams!$B$1),3,FALSE)*2)</f>
        <v>39</v>
      </c>
      <c r="N718" t="str">
        <f ca="1">VLOOKUP(F718,INDIRECT("球種変換表!A$1:B$" &amp; Prams!$B$2),2,)</f>
        <v>フォーク</v>
      </c>
      <c r="O718">
        <f ca="1">VLOOKUP(N718,球種情報!A:B,2,FALSE)</f>
        <v>16</v>
      </c>
      <c r="P718">
        <f ca="1">VLOOKUP(K718,投手データ!B:AI,output!O718+6,FALSE)</f>
        <v>0</v>
      </c>
      <c r="R718">
        <f t="shared" ca="1" si="58"/>
        <v>7.9365079365079361E-3</v>
      </c>
      <c r="S718">
        <f t="shared" si="59"/>
        <v>0.57361111111111107</v>
      </c>
      <c r="T718">
        <f>Prams!B$5/(S718-Prams!B$6)</f>
        <v>120.43962942118708</v>
      </c>
      <c r="U718">
        <f t="shared" ca="1" si="60"/>
        <v>0.64027777777777772</v>
      </c>
      <c r="V718">
        <f ca="1">Prams!C$5/(U718-Prams!C$6)</f>
        <v>124.47305429408739</v>
      </c>
      <c r="W718">
        <f t="shared" ca="1" si="61"/>
        <v>0.98788138328640784</v>
      </c>
      <c r="X718" t="s">
        <v>50</v>
      </c>
    </row>
    <row r="719" spans="1:24" hidden="1" x14ac:dyDescent="0.55000000000000004">
      <c r="A719" s="1" t="s">
        <v>1726</v>
      </c>
      <c r="B719" s="1">
        <v>133</v>
      </c>
      <c r="C719">
        <v>644.5</v>
      </c>
      <c r="D719">
        <v>610.5</v>
      </c>
      <c r="E719">
        <v>10.512</v>
      </c>
      <c r="F719" t="s">
        <v>6</v>
      </c>
      <c r="G719" s="10" t="s">
        <v>625</v>
      </c>
      <c r="H719">
        <v>98</v>
      </c>
      <c r="I719" t="s">
        <v>1347</v>
      </c>
      <c r="J719">
        <v>125</v>
      </c>
      <c r="K719" t="str">
        <f ca="1">VLOOKUP(I719,INDIRECT("投手名変換!A$1:B$" &amp; Prams!$B$9),2,)</f>
        <v>DD010</v>
      </c>
      <c r="L719">
        <f t="shared" si="62"/>
        <v>35</v>
      </c>
      <c r="M719">
        <f ca="1">(B719-VLOOKUP(K719,INDIRECT("投手データ!B1:D"&amp;Prams!$B$1),3,FALSE)*2)</f>
        <v>39</v>
      </c>
      <c r="N719" t="str">
        <f ca="1">VLOOKUP(F719,INDIRECT("球種変換表!A$1:B$" &amp; Prams!$B$2),2,)</f>
        <v>フォーク</v>
      </c>
      <c r="O719">
        <f ca="1">VLOOKUP(N719,球種情報!A:B,2,FALSE)</f>
        <v>16</v>
      </c>
      <c r="P719">
        <f ca="1">VLOOKUP(K719,投手データ!B:AI,output!O719+6,FALSE)</f>
        <v>0</v>
      </c>
      <c r="R719">
        <f t="shared" si="58"/>
        <v>8.0000000000000002E-3</v>
      </c>
      <c r="S719">
        <f t="shared" si="59"/>
        <v>0.57604166666666667</v>
      </c>
      <c r="T719">
        <f>Prams!B$5/(S719-Prams!B$6)</f>
        <v>119.87202895506472</v>
      </c>
      <c r="U719">
        <f t="shared" ca="1" si="60"/>
        <v>0.64270833333333333</v>
      </c>
      <c r="V719">
        <f ca="1">Prams!C$5/(U719-Prams!C$6)</f>
        <v>123.86689596446998</v>
      </c>
      <c r="W719">
        <f t="shared" ca="1" si="61"/>
        <v>0.99093516771575985</v>
      </c>
      <c r="X719" t="s">
        <v>50</v>
      </c>
    </row>
    <row r="720" spans="1:24" hidden="1" x14ac:dyDescent="0.55000000000000004">
      <c r="A720" s="1" t="s">
        <v>1379</v>
      </c>
      <c r="B720" s="1">
        <v>128</v>
      </c>
      <c r="C720">
        <v>636.5</v>
      </c>
      <c r="D720">
        <v>601</v>
      </c>
      <c r="E720">
        <v>10.547610000000001</v>
      </c>
      <c r="F720" t="s">
        <v>0</v>
      </c>
      <c r="G720" s="10" t="s">
        <v>1722</v>
      </c>
      <c r="H720">
        <v>99</v>
      </c>
      <c r="I720" t="s">
        <v>1380</v>
      </c>
      <c r="J720">
        <f ca="1">VLOOKUP(G720,INDIRECT("球速変換!A$1:B$" &amp; Prams!$B$8),2,)</f>
        <v>145</v>
      </c>
      <c r="K720" t="str">
        <f ca="1">VLOOKUP(I720,INDIRECT("投手名変換!A$1:B$" &amp; Prams!$B$9),2,)</f>
        <v>DD001</v>
      </c>
      <c r="L720">
        <f t="shared" si="62"/>
        <v>29</v>
      </c>
      <c r="M720">
        <f ca="1">(B720-VLOOKUP(K720,INDIRECT("投手データ!B1:D"&amp;Prams!$B$1),3,FALSE)*2)</f>
        <v>34</v>
      </c>
      <c r="N720" t="str">
        <f ca="1">VLOOKUP(F720,INDIRECT("球種変換表!A$1:B$" &amp; Prams!$B$2),2,)</f>
        <v>ストレート</v>
      </c>
      <c r="O720">
        <f ca="1">VLOOKUP(N720,球種情報!A:B,2,FALSE)</f>
        <v>1</v>
      </c>
      <c r="P720">
        <f ca="1">VLOOKUP(K720,投手データ!B:AI,output!O720+6,FALSE)</f>
        <v>1</v>
      </c>
      <c r="R720">
        <f t="shared" ca="1" si="58"/>
        <v>6.8965517241379309E-3</v>
      </c>
      <c r="S720">
        <f t="shared" si="59"/>
        <v>0.4826388888888889</v>
      </c>
      <c r="T720">
        <f>Prams!B$5/(S720-Prams!B$6)</f>
        <v>146.38244695544654</v>
      </c>
      <c r="U720">
        <f t="shared" ca="1" si="60"/>
        <v>0.56597222222222221</v>
      </c>
      <c r="V720">
        <f ca="1">Prams!C$5/(U720-Prams!C$6)</f>
        <v>146.37089455062019</v>
      </c>
      <c r="W720">
        <f t="shared" ca="1" si="61"/>
        <v>1.0094544451766909</v>
      </c>
    </row>
    <row r="721" spans="1:23" hidden="1" x14ac:dyDescent="0.55000000000000004">
      <c r="A721" s="1" t="s">
        <v>1381</v>
      </c>
      <c r="B721" s="1">
        <v>128</v>
      </c>
      <c r="C721">
        <v>639.5</v>
      </c>
      <c r="D721">
        <v>603.5</v>
      </c>
      <c r="E721">
        <v>10.512</v>
      </c>
      <c r="F721" t="s">
        <v>0</v>
      </c>
      <c r="G721" s="10" t="s">
        <v>1403</v>
      </c>
      <c r="H721">
        <v>99</v>
      </c>
      <c r="I721" t="s">
        <v>1380</v>
      </c>
      <c r="J721">
        <f ca="1">VLOOKUP(G721,INDIRECT("球速変換!A$1:B$" &amp; Prams!$B$8),2,)</f>
        <v>147</v>
      </c>
      <c r="K721" t="str">
        <f ca="1">VLOOKUP(I721,INDIRECT("投手名変換!A$1:B$" &amp; Prams!$B$9),2,)</f>
        <v>DD001</v>
      </c>
      <c r="L721">
        <f t="shared" si="62"/>
        <v>29</v>
      </c>
      <c r="M721">
        <f ca="1">(B721-VLOOKUP(K721,INDIRECT("投手データ!B1:D"&amp;Prams!$B$1),3,FALSE)*2)</f>
        <v>34</v>
      </c>
      <c r="N721" t="str">
        <f ca="1">VLOOKUP(F721,INDIRECT("球種変換表!A$1:B$" &amp; Prams!$B$2),2,)</f>
        <v>ストレート</v>
      </c>
      <c r="O721">
        <f ca="1">VLOOKUP(N721,球種情報!A:B,2,FALSE)</f>
        <v>1</v>
      </c>
      <c r="P721">
        <f ca="1">VLOOKUP(K721,投手データ!B:AI,output!O721+6,FALSE)</f>
        <v>1</v>
      </c>
      <c r="R721">
        <f t="shared" ca="1" si="58"/>
        <v>6.8027210884353739E-3</v>
      </c>
      <c r="S721">
        <f t="shared" si="59"/>
        <v>0.48090277777777779</v>
      </c>
      <c r="T721">
        <f>Prams!B$5/(S721-Prams!B$6)</f>
        <v>146.98666596221031</v>
      </c>
      <c r="U721">
        <f t="shared" ca="1" si="60"/>
        <v>0.56423611111111105</v>
      </c>
      <c r="V721">
        <f ca="1">Prams!C$5/(U721-Prams!C$6)</f>
        <v>146.97501799523212</v>
      </c>
      <c r="W721">
        <f t="shared" ca="1" si="61"/>
        <v>0.99983005438933414</v>
      </c>
    </row>
    <row r="722" spans="1:23" hidden="1" x14ac:dyDescent="0.55000000000000004">
      <c r="A722" s="1" t="s">
        <v>1384</v>
      </c>
      <c r="B722" s="1">
        <v>128</v>
      </c>
      <c r="C722">
        <v>644.5</v>
      </c>
      <c r="D722">
        <v>608.5</v>
      </c>
      <c r="E722">
        <v>10.512</v>
      </c>
      <c r="F722" t="s">
        <v>0</v>
      </c>
      <c r="G722" s="10" t="s">
        <v>967</v>
      </c>
      <c r="H722">
        <v>99</v>
      </c>
      <c r="I722" t="s">
        <v>1727</v>
      </c>
      <c r="J722">
        <f ca="1">VLOOKUP(G722,INDIRECT("球速変換!A$1:B$" &amp; Prams!$B$8),2,)</f>
        <v>148</v>
      </c>
      <c r="K722" t="s">
        <v>1898</v>
      </c>
      <c r="L722">
        <f t="shared" si="62"/>
        <v>29</v>
      </c>
      <c r="M722">
        <f ca="1">(B722-VLOOKUP(K722,INDIRECT("投手データ!B1:D"&amp;Prams!$B$1),3,FALSE)*2)</f>
        <v>34</v>
      </c>
      <c r="N722" t="str">
        <f ca="1">VLOOKUP(F722,INDIRECT("球種変換表!A$1:B$" &amp; Prams!$B$2),2,)</f>
        <v>ストレート</v>
      </c>
      <c r="O722">
        <f ca="1">VLOOKUP(N722,球種情報!A:B,2,FALSE)</f>
        <v>1</v>
      </c>
      <c r="P722">
        <f ca="1">VLOOKUP(K722,投手データ!B:AI,output!O722+6,FALSE)</f>
        <v>1</v>
      </c>
      <c r="R722">
        <f t="shared" ca="1" si="58"/>
        <v>6.7567567567567571E-3</v>
      </c>
      <c r="S722">
        <f t="shared" si="59"/>
        <v>0.47743055555555552</v>
      </c>
      <c r="T722">
        <f>Prams!B$5/(S722-Prams!B$6)</f>
        <v>148.21019265218058</v>
      </c>
      <c r="U722">
        <f t="shared" ca="1" si="60"/>
        <v>0.56076388888888895</v>
      </c>
      <c r="V722">
        <f ca="1">Prams!C$5/(U722-Prams!C$6)</f>
        <v>148.19834996903694</v>
      </c>
      <c r="W722">
        <f t="shared" ca="1" si="61"/>
        <v>1.0013402024934928</v>
      </c>
    </row>
    <row r="723" spans="1:23" hidden="1" x14ac:dyDescent="0.55000000000000004">
      <c r="A723" s="1" t="s">
        <v>1386</v>
      </c>
      <c r="B723" s="1">
        <v>128</v>
      </c>
      <c r="C723">
        <v>637</v>
      </c>
      <c r="D723">
        <v>605</v>
      </c>
      <c r="E723">
        <v>10.04998</v>
      </c>
      <c r="F723" t="s">
        <v>0</v>
      </c>
      <c r="G723" s="10" t="s">
        <v>613</v>
      </c>
      <c r="H723">
        <v>99</v>
      </c>
      <c r="I723" t="s">
        <v>1385</v>
      </c>
      <c r="J723">
        <f ca="1">VLOOKUP(G723,INDIRECT("球速変換!A$1:B$" &amp; Prams!$B$8),2,)</f>
        <v>147</v>
      </c>
      <c r="K723" t="str">
        <f ca="1">VLOOKUP(I723,INDIRECT("投手名変換!A$1:B$" &amp; Prams!$B$9),2,)</f>
        <v>DD001</v>
      </c>
      <c r="L723">
        <f t="shared" si="62"/>
        <v>29</v>
      </c>
      <c r="M723">
        <f ca="1">(B723-VLOOKUP(K723,INDIRECT("投手データ!B1:D"&amp;Prams!$B$1),3,FALSE)*2)</f>
        <v>34</v>
      </c>
      <c r="N723" t="str">
        <f ca="1">VLOOKUP(F723,INDIRECT("球種変換表!A$1:B$" &amp; Prams!$B$2),2,)</f>
        <v>ストレート</v>
      </c>
      <c r="O723">
        <f ca="1">VLOOKUP(N723,球種情報!A:B,2,FALSE)</f>
        <v>1</v>
      </c>
      <c r="P723">
        <f ca="1">VLOOKUP(K723,投手データ!B:AI,output!O723+6,FALSE)</f>
        <v>1</v>
      </c>
      <c r="R723">
        <f t="shared" ca="1" si="58"/>
        <v>6.8027210884353739E-3</v>
      </c>
      <c r="S723">
        <f t="shared" si="59"/>
        <v>0.47986111111111113</v>
      </c>
      <c r="T723">
        <f>Prams!B$5/(S723-Prams!B$6)</f>
        <v>147.35159756888814</v>
      </c>
      <c r="U723">
        <f t="shared" ca="1" si="60"/>
        <v>0.56319444444444444</v>
      </c>
      <c r="V723">
        <f ca="1">Prams!C$5/(U723-Prams!C$6)</f>
        <v>147.33989169436097</v>
      </c>
      <c r="W723">
        <f t="shared" ca="1" si="61"/>
        <v>1.0023121883970134</v>
      </c>
    </row>
    <row r="724" spans="1:23" hidden="1" x14ac:dyDescent="0.55000000000000004">
      <c r="A724" s="1" t="s">
        <v>1388</v>
      </c>
      <c r="B724" s="1">
        <v>128</v>
      </c>
      <c r="C724">
        <v>638.52380000000005</v>
      </c>
      <c r="D724">
        <v>605</v>
      </c>
      <c r="E724">
        <v>10.52392</v>
      </c>
      <c r="F724" t="s">
        <v>0</v>
      </c>
      <c r="G724" s="10" t="s">
        <v>638</v>
      </c>
      <c r="H724">
        <v>99</v>
      </c>
      <c r="I724" t="s">
        <v>1380</v>
      </c>
      <c r="J724">
        <f ca="1">VLOOKUP(G724,INDIRECT("球速変換!A$1:B$" &amp; Prams!$B$8),2,)</f>
        <v>147</v>
      </c>
      <c r="K724" t="str">
        <f ca="1">VLOOKUP(I724,INDIRECT("投手名変換!A$1:B$" &amp; Prams!$B$9),2,)</f>
        <v>DD001</v>
      </c>
      <c r="L724">
        <f t="shared" si="62"/>
        <v>29</v>
      </c>
      <c r="M724">
        <f ca="1">(B724-VLOOKUP(K724,INDIRECT("投手データ!B1:D"&amp;Prams!$B$1),3,FALSE)*2)</f>
        <v>34</v>
      </c>
      <c r="N724" t="str">
        <f ca="1">VLOOKUP(F724,INDIRECT("球種変換表!A$1:B$" &amp; Prams!$B$2),2,)</f>
        <v>ストレート</v>
      </c>
      <c r="O724">
        <f ca="1">VLOOKUP(N724,球種情報!A:B,2,FALSE)</f>
        <v>1</v>
      </c>
      <c r="P724">
        <f ca="1">VLOOKUP(K724,投手データ!B:AI,output!O724+6,FALSE)</f>
        <v>1</v>
      </c>
      <c r="R724">
        <f t="shared" ca="1" si="58"/>
        <v>6.8027210884353739E-3</v>
      </c>
      <c r="S724">
        <f t="shared" si="59"/>
        <v>0.47986111111111113</v>
      </c>
      <c r="T724">
        <f>Prams!B$5/(S724-Prams!B$6)</f>
        <v>147.35159756888814</v>
      </c>
      <c r="U724">
        <f t="shared" ca="1" si="60"/>
        <v>0.56319444444444444</v>
      </c>
      <c r="V724">
        <f ca="1">Prams!C$5/(U724-Prams!C$6)</f>
        <v>147.33989169436097</v>
      </c>
      <c r="W724">
        <f t="shared" ca="1" si="61"/>
        <v>1.0023121883970134</v>
      </c>
    </row>
    <row r="725" spans="1:23" hidden="1" x14ac:dyDescent="0.55000000000000004">
      <c r="A725" s="1" t="s">
        <v>1390</v>
      </c>
      <c r="B725" s="1">
        <v>128</v>
      </c>
      <c r="C725">
        <v>639.5</v>
      </c>
      <c r="D725">
        <v>609</v>
      </c>
      <c r="E725">
        <v>10.547610000000001</v>
      </c>
      <c r="F725" t="s">
        <v>0</v>
      </c>
      <c r="G725" s="10" t="s">
        <v>609</v>
      </c>
      <c r="H725">
        <v>99</v>
      </c>
      <c r="I725" t="s">
        <v>1389</v>
      </c>
      <c r="J725">
        <f ca="1">VLOOKUP(G725,INDIRECT("球速変換!A$1:B$" &amp; Prams!$B$8),2,)</f>
        <v>148</v>
      </c>
      <c r="K725" t="str">
        <f ca="1">VLOOKUP(I725,INDIRECT("投手名変換!A$1:B$" &amp; Prams!$B$9),2,)</f>
        <v>DD001</v>
      </c>
      <c r="L725">
        <f t="shared" si="62"/>
        <v>29</v>
      </c>
      <c r="M725">
        <f ca="1">(B725-VLOOKUP(K725,INDIRECT("投手データ!B1:D"&amp;Prams!$B$1),3,FALSE)*2)</f>
        <v>34</v>
      </c>
      <c r="N725" t="str">
        <f ca="1">VLOOKUP(F725,INDIRECT("球種変換表!A$1:B$" &amp; Prams!$B$2),2,)</f>
        <v>ストレート</v>
      </c>
      <c r="O725">
        <f ca="1">VLOOKUP(N725,球種情報!A:B,2,FALSE)</f>
        <v>1</v>
      </c>
      <c r="P725">
        <f ca="1">VLOOKUP(K725,投手データ!B:AI,output!O725+6,FALSE)</f>
        <v>1</v>
      </c>
      <c r="R725">
        <f t="shared" ca="1" si="58"/>
        <v>6.7567567567567571E-3</v>
      </c>
      <c r="S725">
        <f t="shared" si="59"/>
        <v>0.47708333333333336</v>
      </c>
      <c r="T725">
        <f>Prams!B$5/(S725-Prams!B$6)</f>
        <v>148.33366657335947</v>
      </c>
      <c r="U725">
        <f t="shared" ca="1" si="60"/>
        <v>0.56041666666666667</v>
      </c>
      <c r="V725">
        <f ca="1">Prams!C$5/(U725-Prams!C$6)</f>
        <v>148.32180415050581</v>
      </c>
      <c r="W725">
        <f t="shared" ca="1" si="61"/>
        <v>1.0021743523682825</v>
      </c>
    </row>
    <row r="726" spans="1:23" hidden="1" x14ac:dyDescent="0.55000000000000004">
      <c r="A726" s="1" t="s">
        <v>1392</v>
      </c>
      <c r="B726" s="1">
        <v>129</v>
      </c>
      <c r="C726">
        <v>645</v>
      </c>
      <c r="D726">
        <v>621.5</v>
      </c>
      <c r="E726">
        <v>11.01146</v>
      </c>
      <c r="F726" t="s">
        <v>656</v>
      </c>
      <c r="G726" s="10" t="s">
        <v>611</v>
      </c>
      <c r="H726">
        <v>99</v>
      </c>
      <c r="I726" t="s">
        <v>1391</v>
      </c>
      <c r="J726">
        <f ca="1">VLOOKUP(G726,INDIRECT("球速変換!A$1:B$" &amp; Prams!$B$8),2,)</f>
        <v>146</v>
      </c>
      <c r="K726" t="str">
        <f ca="1">VLOOKUP(I726,INDIRECT("投手名変換!A$1:B$" &amp; Prams!$B$9),2,)</f>
        <v>DD001</v>
      </c>
      <c r="L726">
        <f t="shared" si="62"/>
        <v>30</v>
      </c>
      <c r="M726">
        <f ca="1">(B726-VLOOKUP(K726,INDIRECT("投手データ!B1:D"&amp;Prams!$B$1),3,FALSE)*2)</f>
        <v>35</v>
      </c>
      <c r="N726" t="str">
        <f ca="1">VLOOKUP(F726,INDIRECT("球種変換表!A$1:B$" &amp; Prams!$B$2),2,)</f>
        <v>ストレート</v>
      </c>
      <c r="O726">
        <f ca="1">VLOOKUP(N726,球種情報!A:B,2,FALSE)</f>
        <v>1</v>
      </c>
      <c r="P726">
        <f ca="1">VLOOKUP(K726,投手データ!B:AI,output!O726+6,FALSE)</f>
        <v>1</v>
      </c>
      <c r="R726">
        <f t="shared" ca="1" si="58"/>
        <v>6.8493150684931503E-3</v>
      </c>
      <c r="S726">
        <f t="shared" si="59"/>
        <v>0.48506944444444444</v>
      </c>
      <c r="T726">
        <f>Prams!B$5/(S726-Prams!B$6)</f>
        <v>145.54483804939935</v>
      </c>
      <c r="U726">
        <f t="shared" ca="1" si="60"/>
        <v>0.5684027777777777</v>
      </c>
      <c r="V726">
        <f ca="1">Prams!C$5/(U726-Prams!C$6)</f>
        <v>145.53341746823693</v>
      </c>
      <c r="W726">
        <f t="shared" ca="1" si="61"/>
        <v>0.99680422923449952</v>
      </c>
    </row>
    <row r="727" spans="1:23" hidden="1" x14ac:dyDescent="0.55000000000000004">
      <c r="A727" s="1" t="s">
        <v>1393</v>
      </c>
      <c r="B727" s="1">
        <v>128</v>
      </c>
      <c r="C727">
        <v>640.5</v>
      </c>
      <c r="D727">
        <v>606.5</v>
      </c>
      <c r="E727">
        <v>10.512</v>
      </c>
      <c r="F727" t="s">
        <v>0</v>
      </c>
      <c r="G727" s="10" t="s">
        <v>635</v>
      </c>
      <c r="H727">
        <v>99</v>
      </c>
      <c r="I727" t="s">
        <v>1385</v>
      </c>
      <c r="J727">
        <f ca="1">VLOOKUP(G727,INDIRECT("球速変換!A$1:B$" &amp; Prams!$B$8),2,)</f>
        <v>148</v>
      </c>
      <c r="K727" t="str">
        <f ca="1">VLOOKUP(I727,INDIRECT("投手名変換!A$1:B$" &amp; Prams!$B$9),2,)</f>
        <v>DD001</v>
      </c>
      <c r="L727">
        <f t="shared" si="62"/>
        <v>29</v>
      </c>
      <c r="M727">
        <f ca="1">(B727-VLOOKUP(K727,INDIRECT("投手データ!B1:D"&amp;Prams!$B$1),3,FALSE)*2)</f>
        <v>34</v>
      </c>
      <c r="N727" t="str">
        <f ca="1">VLOOKUP(F727,INDIRECT("球種変換表!A$1:B$" &amp; Prams!$B$2),2,)</f>
        <v>ストレート</v>
      </c>
      <c r="O727">
        <f ca="1">VLOOKUP(N727,球種情報!A:B,2,FALSE)</f>
        <v>1</v>
      </c>
      <c r="P727">
        <f ca="1">VLOOKUP(K727,投手データ!B:AI,output!O727+6,FALSE)</f>
        <v>1</v>
      </c>
      <c r="R727">
        <f t="shared" ca="1" si="58"/>
        <v>6.7567567567567571E-3</v>
      </c>
      <c r="S727">
        <f t="shared" si="59"/>
        <v>0.47881944444444446</v>
      </c>
      <c r="T727">
        <f>Prams!B$5/(S727-Prams!B$6)</f>
        <v>147.71834575587224</v>
      </c>
      <c r="U727">
        <f t="shared" ca="1" si="60"/>
        <v>0.56215277777777772</v>
      </c>
      <c r="V727">
        <f ca="1">Prams!C$5/(U727-Prams!C$6)</f>
        <v>147.70658154089159</v>
      </c>
      <c r="W727">
        <f t="shared" ca="1" si="61"/>
        <v>0.99801744284386207</v>
      </c>
    </row>
    <row r="728" spans="1:23" hidden="1" x14ac:dyDescent="0.55000000000000004">
      <c r="A728" s="1" t="s">
        <v>1395</v>
      </c>
      <c r="B728" s="1">
        <v>128</v>
      </c>
      <c r="C728">
        <v>634.47619999999995</v>
      </c>
      <c r="D728">
        <v>602</v>
      </c>
      <c r="E728">
        <v>10.523899999999999</v>
      </c>
      <c r="F728" t="s">
        <v>0</v>
      </c>
      <c r="G728" s="10" t="s">
        <v>619</v>
      </c>
      <c r="H728">
        <v>99</v>
      </c>
      <c r="I728" t="s">
        <v>1385</v>
      </c>
      <c r="J728">
        <f ca="1">VLOOKUP(G728,INDIRECT("球速変換!A$1:B$" &amp; Prams!$B$8),2,)</f>
        <v>146</v>
      </c>
      <c r="K728" t="str">
        <f ca="1">VLOOKUP(I728,INDIRECT("投手名変換!A$1:B$" &amp; Prams!$B$9),2,)</f>
        <v>DD001</v>
      </c>
      <c r="L728">
        <f t="shared" si="62"/>
        <v>29</v>
      </c>
      <c r="M728">
        <f ca="1">(B728-VLOOKUP(K728,INDIRECT("投手データ!B1:D"&amp;Prams!$B$1),3,FALSE)*2)</f>
        <v>34</v>
      </c>
      <c r="N728" t="str">
        <f ca="1">VLOOKUP(F728,INDIRECT("球種変換表!A$1:B$" &amp; Prams!$B$2),2,)</f>
        <v>ストレート</v>
      </c>
      <c r="O728">
        <f ca="1">VLOOKUP(N728,球種情報!A:B,2,FALSE)</f>
        <v>1</v>
      </c>
      <c r="P728">
        <f ca="1">VLOOKUP(K728,投手データ!B:AI,output!O728+6,FALSE)</f>
        <v>1</v>
      </c>
      <c r="R728">
        <f t="shared" ca="1" si="58"/>
        <v>6.8493150684931503E-3</v>
      </c>
      <c r="S728">
        <f t="shared" si="59"/>
        <v>0.48194444444444445</v>
      </c>
      <c r="T728">
        <f>Prams!B$5/(S728-Prams!B$6)</f>
        <v>146.62353747233055</v>
      </c>
      <c r="U728">
        <f t="shared" ca="1" si="60"/>
        <v>0.56527777777777777</v>
      </c>
      <c r="V728">
        <f ca="1">Prams!C$5/(U728-Prams!C$6)</f>
        <v>146.6119469842692</v>
      </c>
      <c r="W728">
        <f t="shared" ca="1" si="61"/>
        <v>1.004191417700474</v>
      </c>
    </row>
    <row r="729" spans="1:23" hidden="1" x14ac:dyDescent="0.55000000000000004">
      <c r="A729" s="1" t="s">
        <v>1728</v>
      </c>
      <c r="B729" s="1">
        <v>128</v>
      </c>
      <c r="C729">
        <v>641</v>
      </c>
      <c r="D729">
        <v>613.5</v>
      </c>
      <c r="E729">
        <v>11.01146</v>
      </c>
      <c r="F729" t="s">
        <v>0</v>
      </c>
      <c r="G729" s="10" t="s">
        <v>2437</v>
      </c>
      <c r="H729">
        <v>99</v>
      </c>
      <c r="I729" t="s">
        <v>1385</v>
      </c>
      <c r="J729">
        <f ca="1">VLOOKUP(G729,INDIRECT("球速変換!A$1:B$" &amp; Prams!$B$8),2,)</f>
        <v>150</v>
      </c>
      <c r="K729" t="str">
        <f ca="1">VLOOKUP(I729,INDIRECT("投手名変換!A$1:B$" &amp; Prams!$B$9),2,)</f>
        <v>DD001</v>
      </c>
      <c r="L729">
        <f t="shared" si="62"/>
        <v>29</v>
      </c>
      <c r="M729">
        <f ca="1">(B729-VLOOKUP(K729,INDIRECT("投手データ!B1:D"&amp;Prams!$B$1),3,FALSE)*2)</f>
        <v>34</v>
      </c>
      <c r="N729" t="str">
        <f ca="1">VLOOKUP(F729,INDIRECT("球種変換表!A$1:B$" &amp; Prams!$B$2),2,)</f>
        <v>ストレート</v>
      </c>
      <c r="O729">
        <f ca="1">VLOOKUP(N729,球種情報!A:B,2,FALSE)</f>
        <v>1</v>
      </c>
      <c r="P729">
        <f ca="1">VLOOKUP(K729,投手データ!B:AI,output!O729+6,FALSE)</f>
        <v>1</v>
      </c>
      <c r="R729">
        <f t="shared" ca="1" si="58"/>
        <v>6.6666666666666671E-3</v>
      </c>
      <c r="S729">
        <f t="shared" si="59"/>
        <v>0.47395833333333331</v>
      </c>
      <c r="T729">
        <f>Prams!B$5/(S729-Prams!B$6)</f>
        <v>149.45425975543424</v>
      </c>
      <c r="U729">
        <f t="shared" ca="1" si="60"/>
        <v>0.55729166666666663</v>
      </c>
      <c r="V729">
        <f ca="1">Prams!C$5/(U729-Prams!C$6)</f>
        <v>149.44221743246783</v>
      </c>
      <c r="W729">
        <f t="shared" ca="1" si="61"/>
        <v>0.99628144954978548</v>
      </c>
    </row>
    <row r="730" spans="1:23" hidden="1" x14ac:dyDescent="0.55000000000000004">
      <c r="A730" s="1" t="s">
        <v>1396</v>
      </c>
      <c r="B730" s="1">
        <v>124</v>
      </c>
      <c r="C730">
        <v>639</v>
      </c>
      <c r="D730">
        <v>602</v>
      </c>
      <c r="E730">
        <v>10.04998</v>
      </c>
      <c r="F730" t="s">
        <v>343</v>
      </c>
      <c r="G730" s="10" t="s">
        <v>2437</v>
      </c>
      <c r="H730">
        <v>98</v>
      </c>
      <c r="I730" t="s">
        <v>1380</v>
      </c>
      <c r="J730">
        <f ca="1">VLOOKUP(G730,INDIRECT("球速変換!A$1:B$" &amp; Prams!$B$8),2,)</f>
        <v>150</v>
      </c>
      <c r="K730" t="str">
        <f ca="1">VLOOKUP(I730,INDIRECT("投手名変換!A$1:B$" &amp; Prams!$B$9),2,)</f>
        <v>DD001</v>
      </c>
      <c r="L730">
        <f t="shared" si="62"/>
        <v>26</v>
      </c>
      <c r="M730">
        <f ca="1">(B730-VLOOKUP(K730,INDIRECT("投手データ!B1:D"&amp;Prams!$B$1),3,FALSE)*2)</f>
        <v>30</v>
      </c>
      <c r="N730" t="str">
        <f ca="1">VLOOKUP(F730,INDIRECT("球種変換表!A$1:B$" &amp; Prams!$B$2),2,)</f>
        <v>全力ストレート</v>
      </c>
      <c r="O730">
        <f ca="1">VLOOKUP(N730,球種情報!A:B,2,FALSE)</f>
        <v>2</v>
      </c>
      <c r="P730">
        <f ca="1">VLOOKUP(K730,投手データ!B:AI,output!O730+6,FALSE)</f>
        <v>1</v>
      </c>
      <c r="R730">
        <f t="shared" ca="1" si="58"/>
        <v>6.6666666666666671E-3</v>
      </c>
      <c r="S730">
        <f t="shared" si="59"/>
        <v>0.43194444444444446</v>
      </c>
      <c r="T730">
        <f>Prams!B$5/(S730-Prams!B$6)</f>
        <v>166.3498564936618</v>
      </c>
      <c r="U730">
        <f t="shared" ca="1" si="60"/>
        <v>0.49861111111111112</v>
      </c>
      <c r="V730">
        <f ca="1">Prams!C$5/(U730-Prams!C$6)</f>
        <v>174.14384526305906</v>
      </c>
      <c r="W730">
        <f t="shared" ca="1" si="61"/>
        <v>1.1609589684203938</v>
      </c>
    </row>
    <row r="731" spans="1:23" hidden="1" x14ac:dyDescent="0.55000000000000004">
      <c r="A731" s="1" t="s">
        <v>1399</v>
      </c>
      <c r="B731" s="1">
        <v>124</v>
      </c>
      <c r="C731">
        <v>638.5</v>
      </c>
      <c r="D731">
        <v>601.5</v>
      </c>
      <c r="E731">
        <v>10.512</v>
      </c>
      <c r="F731" t="s">
        <v>343</v>
      </c>
      <c r="G731" s="10" t="s">
        <v>2437</v>
      </c>
      <c r="H731">
        <v>98</v>
      </c>
      <c r="I731" t="s">
        <v>1385</v>
      </c>
      <c r="J731">
        <f ca="1">VLOOKUP(G731,INDIRECT("球速変換!A$1:B$" &amp; Prams!$B$8),2,)</f>
        <v>150</v>
      </c>
      <c r="K731" t="str">
        <f ca="1">VLOOKUP(I731,INDIRECT("投手名変換!A$1:B$" &amp; Prams!$B$9),2,)</f>
        <v>DD001</v>
      </c>
      <c r="L731">
        <f t="shared" si="62"/>
        <v>26</v>
      </c>
      <c r="M731">
        <f ca="1">(B731-VLOOKUP(K731,INDIRECT("投手データ!B1:D"&amp;Prams!$B$1),3,FALSE)*2)</f>
        <v>30</v>
      </c>
      <c r="N731" t="str">
        <f ca="1">VLOOKUP(F731,INDIRECT("球種変換表!A$1:B$" &amp; Prams!$B$2),2,)</f>
        <v>全力ストレート</v>
      </c>
      <c r="O731">
        <f ca="1">VLOOKUP(N731,球種情報!A:B,2,FALSE)</f>
        <v>2</v>
      </c>
      <c r="P731">
        <f ca="1">VLOOKUP(K731,投手データ!B:AI,output!O731+6,FALSE)</f>
        <v>1</v>
      </c>
      <c r="R731">
        <f t="shared" ca="1" si="58"/>
        <v>6.6666666666666671E-3</v>
      </c>
      <c r="S731">
        <f t="shared" si="59"/>
        <v>0.43229166666666669</v>
      </c>
      <c r="T731">
        <f>Prams!B$5/(S731-Prams!B$6)</f>
        <v>166.19458321198951</v>
      </c>
      <c r="U731">
        <f t="shared" ca="1" si="60"/>
        <v>0.49895833333333334</v>
      </c>
      <c r="V731">
        <f ca="1">Prams!C$5/(U731-Prams!C$6)</f>
        <v>173.9736885303567</v>
      </c>
      <c r="W731">
        <f t="shared" ca="1" si="61"/>
        <v>1.159824590202378</v>
      </c>
    </row>
    <row r="732" spans="1:23" hidden="1" x14ac:dyDescent="0.55000000000000004">
      <c r="A732" s="1" t="s">
        <v>1400</v>
      </c>
      <c r="B732" s="1">
        <v>125</v>
      </c>
      <c r="C732">
        <v>642.5</v>
      </c>
      <c r="D732">
        <v>626</v>
      </c>
      <c r="E732">
        <v>10.547610000000001</v>
      </c>
      <c r="F732" t="s">
        <v>343</v>
      </c>
      <c r="G732" s="10" t="s">
        <v>644</v>
      </c>
      <c r="H732">
        <v>98</v>
      </c>
      <c r="I732" t="s">
        <v>1380</v>
      </c>
      <c r="J732">
        <f ca="1">VLOOKUP(G732,INDIRECT("球速変換!A$1:B$" &amp; Prams!$B$8),2,)</f>
        <v>149</v>
      </c>
      <c r="K732" t="str">
        <f ca="1">VLOOKUP(I732,INDIRECT("投手名変換!A$1:B$" &amp; Prams!$B$9),2,)</f>
        <v>DD001</v>
      </c>
      <c r="L732">
        <f t="shared" si="62"/>
        <v>27</v>
      </c>
      <c r="M732">
        <f ca="1">(B732-VLOOKUP(K732,INDIRECT("投手データ!B1:D"&amp;Prams!$B$1),3,FALSE)*2)</f>
        <v>31</v>
      </c>
      <c r="N732" t="str">
        <f ca="1">VLOOKUP(F732,INDIRECT("球種変換表!A$1:B$" &amp; Prams!$B$2),2,)</f>
        <v>全力ストレート</v>
      </c>
      <c r="O732">
        <f ca="1">VLOOKUP(N732,球種情報!A:B,2,FALSE)</f>
        <v>2</v>
      </c>
      <c r="P732">
        <f ca="1">VLOOKUP(K732,投手データ!B:AI,output!O732+6,FALSE)</f>
        <v>1</v>
      </c>
      <c r="R732">
        <f t="shared" ca="1" si="58"/>
        <v>6.7114093959731542E-3</v>
      </c>
      <c r="S732">
        <f t="shared" si="59"/>
        <v>0.43194444444444446</v>
      </c>
      <c r="T732">
        <f>Prams!B$5/(S732-Prams!B$6)</f>
        <v>166.3498564936618</v>
      </c>
      <c r="U732">
        <f t="shared" ca="1" si="60"/>
        <v>0.49861111111111112</v>
      </c>
      <c r="V732">
        <f ca="1">Prams!C$5/(U732-Prams!C$6)</f>
        <v>174.14384526305906</v>
      </c>
      <c r="W732">
        <f t="shared" ca="1" si="61"/>
        <v>1.1687506393493896</v>
      </c>
    </row>
    <row r="733" spans="1:23" hidden="1" x14ac:dyDescent="0.55000000000000004">
      <c r="A733" s="1" t="s">
        <v>1402</v>
      </c>
      <c r="B733" s="1">
        <v>125</v>
      </c>
      <c r="C733">
        <v>642</v>
      </c>
      <c r="D733">
        <v>625.5</v>
      </c>
      <c r="E733">
        <v>11.101900000000001</v>
      </c>
      <c r="F733" t="s">
        <v>343</v>
      </c>
      <c r="G733" s="10" t="s">
        <v>2435</v>
      </c>
      <c r="H733">
        <v>98</v>
      </c>
      <c r="I733" t="s">
        <v>1385</v>
      </c>
      <c r="J733">
        <f ca="1">VLOOKUP(G733,INDIRECT("球速変換!A$1:B$" &amp; Prams!$B$8),2,)</f>
        <v>148</v>
      </c>
      <c r="K733" t="str">
        <f ca="1">VLOOKUP(I733,INDIRECT("投手名変換!A$1:B$" &amp; Prams!$B$9),2,)</f>
        <v>DD001</v>
      </c>
      <c r="L733">
        <f t="shared" si="62"/>
        <v>27</v>
      </c>
      <c r="M733">
        <f ca="1">(B733-VLOOKUP(K733,INDIRECT("投手データ!B1:D"&amp;Prams!$B$1),3,FALSE)*2)</f>
        <v>31</v>
      </c>
      <c r="N733" t="str">
        <f ca="1">VLOOKUP(F733,INDIRECT("球種変換表!A$1:B$" &amp; Prams!$B$2),2,)</f>
        <v>全力ストレート</v>
      </c>
      <c r="O733">
        <f ca="1">VLOOKUP(N733,球種情報!A:B,2,FALSE)</f>
        <v>2</v>
      </c>
      <c r="P733">
        <f ca="1">VLOOKUP(K733,投手データ!B:AI,output!O733+6,FALSE)</f>
        <v>1</v>
      </c>
      <c r="R733">
        <f t="shared" ca="1" si="58"/>
        <v>6.7567567567567571E-3</v>
      </c>
      <c r="S733">
        <f t="shared" si="59"/>
        <v>0.43229166666666669</v>
      </c>
      <c r="T733">
        <f>Prams!B$5/(S733-Prams!B$6)</f>
        <v>166.19458321198951</v>
      </c>
      <c r="U733">
        <f t="shared" ca="1" si="60"/>
        <v>0.49895833333333334</v>
      </c>
      <c r="V733">
        <f ca="1">Prams!C$5/(U733-Prams!C$6)</f>
        <v>173.9736885303567</v>
      </c>
      <c r="W733">
        <f t="shared" ca="1" si="61"/>
        <v>1.1754978954753832</v>
      </c>
    </row>
    <row r="734" spans="1:23" hidden="1" x14ac:dyDescent="0.55000000000000004">
      <c r="A734" s="1" t="s">
        <v>1404</v>
      </c>
      <c r="B734" s="1">
        <v>125</v>
      </c>
      <c r="C734">
        <v>641.5</v>
      </c>
      <c r="D734">
        <v>619.5</v>
      </c>
      <c r="E734">
        <v>10.512</v>
      </c>
      <c r="F734" t="s">
        <v>343</v>
      </c>
      <c r="G734" s="10" t="s">
        <v>638</v>
      </c>
      <c r="H734">
        <v>98</v>
      </c>
      <c r="I734" t="s">
        <v>1385</v>
      </c>
      <c r="J734">
        <f ca="1">VLOOKUP(G734,INDIRECT("球速変換!A$1:B$" &amp; Prams!$B$8),2,)</f>
        <v>147</v>
      </c>
      <c r="K734" t="str">
        <f ca="1">VLOOKUP(I734,INDIRECT("投手名変換!A$1:B$" &amp; Prams!$B$9),2,)</f>
        <v>DD001</v>
      </c>
      <c r="L734">
        <f t="shared" si="62"/>
        <v>27</v>
      </c>
      <c r="M734">
        <f ca="1">(B734-VLOOKUP(K734,INDIRECT("投手データ!B1:D"&amp;Prams!$B$1),3,FALSE)*2)</f>
        <v>31</v>
      </c>
      <c r="N734" t="str">
        <f ca="1">VLOOKUP(F734,INDIRECT("球種変換表!A$1:B$" &amp; Prams!$B$2),2,)</f>
        <v>全力ストレート</v>
      </c>
      <c r="O734">
        <f ca="1">VLOOKUP(N734,球種情報!A:B,2,FALSE)</f>
        <v>2</v>
      </c>
      <c r="P734">
        <f ca="1">VLOOKUP(K734,投手データ!B:AI,output!O734+6,FALSE)</f>
        <v>1</v>
      </c>
      <c r="R734">
        <f t="shared" ca="1" si="58"/>
        <v>6.8027210884353739E-3</v>
      </c>
      <c r="S734">
        <f t="shared" si="59"/>
        <v>0.43645833333333334</v>
      </c>
      <c r="T734">
        <f>Prams!B$5/(S734-Prams!B$6)</f>
        <v>164.35366312944461</v>
      </c>
      <c r="U734">
        <f t="shared" ca="1" si="60"/>
        <v>0.50312500000000004</v>
      </c>
      <c r="V734">
        <f ca="1">Prams!C$5/(U734-Prams!C$6)</f>
        <v>171.95744384952366</v>
      </c>
      <c r="W734">
        <f t="shared" ca="1" si="61"/>
        <v>1.1697785295885963</v>
      </c>
    </row>
    <row r="735" spans="1:23" hidden="1" x14ac:dyDescent="0.55000000000000004">
      <c r="A735" s="1" t="s">
        <v>1405</v>
      </c>
      <c r="B735" s="1">
        <v>125</v>
      </c>
      <c r="C735">
        <v>642.5</v>
      </c>
      <c r="D735">
        <v>626</v>
      </c>
      <c r="E735">
        <v>10.547610000000001</v>
      </c>
      <c r="F735" t="s">
        <v>343</v>
      </c>
      <c r="G735" s="10" t="s">
        <v>1299</v>
      </c>
      <c r="H735">
        <v>98</v>
      </c>
      <c r="I735" t="s">
        <v>1401</v>
      </c>
      <c r="J735">
        <f ca="1">VLOOKUP(G735,INDIRECT("球速変換!A$1:B$" &amp; Prams!$B$8),2,)</f>
        <v>149</v>
      </c>
      <c r="K735" t="str">
        <f ca="1">VLOOKUP(I735,INDIRECT("投手名変換!A$1:B$" &amp; Prams!$B$9),2,)</f>
        <v>DD001</v>
      </c>
      <c r="L735">
        <f t="shared" si="62"/>
        <v>27</v>
      </c>
      <c r="M735">
        <f ca="1">(B735-VLOOKUP(K735,INDIRECT("投手データ!B1:D"&amp;Prams!$B$1),3,FALSE)*2)</f>
        <v>31</v>
      </c>
      <c r="N735" t="str">
        <f ca="1">VLOOKUP(F735,INDIRECT("球種変換表!A$1:B$" &amp; Prams!$B$2),2,)</f>
        <v>全力ストレート</v>
      </c>
      <c r="O735">
        <f ca="1">VLOOKUP(N735,球種情報!A:B,2,FALSE)</f>
        <v>2</v>
      </c>
      <c r="P735">
        <f ca="1">VLOOKUP(K735,投手データ!B:AI,output!O735+6,FALSE)</f>
        <v>1</v>
      </c>
      <c r="R735">
        <f t="shared" ca="1" si="58"/>
        <v>6.7114093959731542E-3</v>
      </c>
      <c r="S735">
        <f t="shared" si="59"/>
        <v>0.43194444444444446</v>
      </c>
      <c r="T735">
        <f>Prams!B$5/(S735-Prams!B$6)</f>
        <v>166.3498564936618</v>
      </c>
      <c r="U735">
        <f t="shared" ca="1" si="60"/>
        <v>0.49861111111111112</v>
      </c>
      <c r="V735">
        <f ca="1">Prams!C$5/(U735-Prams!C$6)</f>
        <v>174.14384526305906</v>
      </c>
      <c r="W735">
        <f t="shared" ca="1" si="61"/>
        <v>1.1687506393493896</v>
      </c>
    </row>
    <row r="736" spans="1:23" hidden="1" x14ac:dyDescent="0.55000000000000004">
      <c r="A736" s="1" t="s">
        <v>1406</v>
      </c>
      <c r="B736" s="1">
        <v>125</v>
      </c>
      <c r="C736">
        <v>641.95001000000002</v>
      </c>
      <c r="D736">
        <v>623.5</v>
      </c>
      <c r="E736">
        <v>10.062519999999999</v>
      </c>
      <c r="F736" t="s">
        <v>1729</v>
      </c>
      <c r="G736" s="10" t="s">
        <v>635</v>
      </c>
      <c r="H736">
        <v>98</v>
      </c>
      <c r="I736" t="s">
        <v>1385</v>
      </c>
      <c r="J736">
        <f ca="1">VLOOKUP(G736,INDIRECT("球速変換!A$1:B$" &amp; Prams!$B$8),2,)</f>
        <v>148</v>
      </c>
      <c r="K736" t="str">
        <f ca="1">VLOOKUP(I736,INDIRECT("投手名変換!A$1:B$" &amp; Prams!$B$9),2,)</f>
        <v>DD001</v>
      </c>
      <c r="L736">
        <f t="shared" si="62"/>
        <v>27</v>
      </c>
      <c r="M736">
        <f ca="1">(B736-VLOOKUP(K736,INDIRECT("投手データ!B1:D"&amp;Prams!$B$1),3,FALSE)*2)</f>
        <v>31</v>
      </c>
      <c r="N736" t="str">
        <f ca="1">VLOOKUP(F736,INDIRECT("球種変換表!A$1:B$" &amp; Prams!$B$2),2,)</f>
        <v>全力ストレート</v>
      </c>
      <c r="O736">
        <f ca="1">VLOOKUP(N736,球種情報!A:B,2,FALSE)</f>
        <v>2</v>
      </c>
      <c r="P736">
        <f ca="1">VLOOKUP(K736,投手データ!B:AI,output!O736+6,FALSE)</f>
        <v>1</v>
      </c>
      <c r="R736">
        <f t="shared" ca="1" si="58"/>
        <v>6.7567567567567571E-3</v>
      </c>
      <c r="S736">
        <f t="shared" si="59"/>
        <v>0.43368055555555551</v>
      </c>
      <c r="T736">
        <f>Prams!B$5/(S736-Prams!B$6)</f>
        <v>165.57637798790336</v>
      </c>
      <c r="U736">
        <f t="shared" ca="1" si="60"/>
        <v>0.50034722222222217</v>
      </c>
      <c r="V736">
        <f ca="1">Prams!C$5/(U736-Prams!C$6)</f>
        <v>173.29637387194484</v>
      </c>
      <c r="W736">
        <f t="shared" ca="1" si="61"/>
        <v>1.1709214450807084</v>
      </c>
    </row>
    <row r="737" spans="1:23" hidden="1" x14ac:dyDescent="0.55000000000000004">
      <c r="A737" s="1" t="s">
        <v>1407</v>
      </c>
      <c r="B737" s="1">
        <v>125</v>
      </c>
      <c r="C737">
        <v>641.95001000000002</v>
      </c>
      <c r="D737">
        <v>621.5</v>
      </c>
      <c r="E737">
        <v>10.062519999999999</v>
      </c>
      <c r="F737" t="s">
        <v>1730</v>
      </c>
      <c r="G737" s="10" t="s">
        <v>638</v>
      </c>
      <c r="H737">
        <v>98</v>
      </c>
      <c r="I737" t="s">
        <v>1391</v>
      </c>
      <c r="J737">
        <f ca="1">VLOOKUP(G737,INDIRECT("球速変換!A$1:B$" &amp; Prams!$B$8),2,)</f>
        <v>147</v>
      </c>
      <c r="K737" t="str">
        <f ca="1">VLOOKUP(I737,INDIRECT("投手名変換!A$1:B$" &amp; Prams!$B$9),2,)</f>
        <v>DD001</v>
      </c>
      <c r="L737">
        <f t="shared" si="62"/>
        <v>27</v>
      </c>
      <c r="M737">
        <f ca="1">(B737-VLOOKUP(K737,INDIRECT("投手データ!B1:D"&amp;Prams!$B$1),3,FALSE)*2)</f>
        <v>31</v>
      </c>
      <c r="N737" t="str">
        <f ca="1">VLOOKUP(F737,INDIRECT("球種変換表!A$1:B$" &amp; Prams!$B$2),2,)</f>
        <v>全力ストレート</v>
      </c>
      <c r="O737">
        <f ca="1">VLOOKUP(N737,球種情報!A:B,2,FALSE)</f>
        <v>2</v>
      </c>
      <c r="P737">
        <f ca="1">VLOOKUP(K737,投手データ!B:AI,output!O737+6,FALSE)</f>
        <v>1</v>
      </c>
      <c r="R737">
        <f t="shared" ca="1" si="58"/>
        <v>6.8027210884353739E-3</v>
      </c>
      <c r="S737">
        <f t="shared" si="59"/>
        <v>0.43506944444444445</v>
      </c>
      <c r="T737">
        <f>Prams!B$5/(S737-Prams!B$6)</f>
        <v>164.96275487892558</v>
      </c>
      <c r="U737">
        <f t="shared" ca="1" si="60"/>
        <v>0.50173611111111116</v>
      </c>
      <c r="V737">
        <f ca="1">Prams!C$5/(U737-Prams!C$6)</f>
        <v>172.62431260616307</v>
      </c>
      <c r="W737">
        <f t="shared" ca="1" si="61"/>
        <v>1.174315051742606</v>
      </c>
    </row>
    <row r="738" spans="1:23" hidden="1" x14ac:dyDescent="0.55000000000000004">
      <c r="A738" s="1" t="s">
        <v>1408</v>
      </c>
      <c r="B738" s="1">
        <v>125</v>
      </c>
      <c r="C738">
        <v>641</v>
      </c>
      <c r="D738">
        <v>623.5</v>
      </c>
      <c r="E738">
        <v>11.01146</v>
      </c>
      <c r="F738" t="s">
        <v>343</v>
      </c>
      <c r="G738" s="10" t="s">
        <v>640</v>
      </c>
      <c r="H738">
        <v>98</v>
      </c>
      <c r="I738" t="s">
        <v>1380</v>
      </c>
      <c r="J738">
        <f ca="1">VLOOKUP(G738,INDIRECT("球速変換!A$1:B$" &amp; Prams!$B$8),2,)</f>
        <v>148</v>
      </c>
      <c r="K738" t="str">
        <f ca="1">VLOOKUP(I738,INDIRECT("投手名変換!A$1:B$" &amp; Prams!$B$9),2,)</f>
        <v>DD001</v>
      </c>
      <c r="L738">
        <f t="shared" si="62"/>
        <v>27</v>
      </c>
      <c r="M738">
        <f ca="1">(B738-VLOOKUP(K738,INDIRECT("投手データ!B1:D"&amp;Prams!$B$1),3,FALSE)*2)</f>
        <v>31</v>
      </c>
      <c r="N738" t="str">
        <f ca="1">VLOOKUP(F738,INDIRECT("球種変換表!A$1:B$" &amp; Prams!$B$2),2,)</f>
        <v>全力ストレート</v>
      </c>
      <c r="O738">
        <f ca="1">VLOOKUP(N738,球種情報!A:B,2,FALSE)</f>
        <v>2</v>
      </c>
      <c r="P738">
        <f ca="1">VLOOKUP(K738,投手データ!B:AI,output!O738+6,FALSE)</f>
        <v>1</v>
      </c>
      <c r="R738">
        <f t="shared" ca="1" si="58"/>
        <v>6.7567567567567571E-3</v>
      </c>
      <c r="S738">
        <f t="shared" si="59"/>
        <v>0.43368055555555551</v>
      </c>
      <c r="T738">
        <f>Prams!B$5/(S738-Prams!B$6)</f>
        <v>165.57637798790336</v>
      </c>
      <c r="U738">
        <f t="shared" ca="1" si="60"/>
        <v>0.50034722222222217</v>
      </c>
      <c r="V738">
        <f ca="1">Prams!C$5/(U738-Prams!C$6)</f>
        <v>173.29637387194484</v>
      </c>
      <c r="W738">
        <f t="shared" ca="1" si="61"/>
        <v>1.1709214450807084</v>
      </c>
    </row>
    <row r="739" spans="1:23" hidden="1" x14ac:dyDescent="0.55000000000000004">
      <c r="A739" s="1" t="s">
        <v>1731</v>
      </c>
      <c r="B739" s="1">
        <v>125</v>
      </c>
      <c r="C739">
        <v>641</v>
      </c>
      <c r="D739">
        <v>619.5</v>
      </c>
      <c r="E739">
        <v>10.012589999999999</v>
      </c>
      <c r="F739" t="s">
        <v>343</v>
      </c>
      <c r="G739" s="10" t="s">
        <v>638</v>
      </c>
      <c r="H739">
        <v>98</v>
      </c>
      <c r="I739" t="s">
        <v>1383</v>
      </c>
      <c r="J739">
        <f ca="1">VLOOKUP(G739,INDIRECT("球速変換!A$1:B$" &amp; Prams!$B$8),2,)</f>
        <v>147</v>
      </c>
      <c r="K739" t="str">
        <f ca="1">VLOOKUP(I739,INDIRECT("投手名変換!A$1:B$" &amp; Prams!$B$9),2,)</f>
        <v>DD001</v>
      </c>
      <c r="L739">
        <f t="shared" si="62"/>
        <v>27</v>
      </c>
      <c r="M739">
        <f ca="1">(B739-VLOOKUP(K739,INDIRECT("投手データ!B1:D"&amp;Prams!$B$1),3,FALSE)*2)</f>
        <v>31</v>
      </c>
      <c r="N739" t="str">
        <f ca="1">VLOOKUP(F739,INDIRECT("球種変換表!A$1:B$" &amp; Prams!$B$2),2,)</f>
        <v>全力ストレート</v>
      </c>
      <c r="O739">
        <f ca="1">VLOOKUP(N739,球種情報!A:B,2,FALSE)</f>
        <v>2</v>
      </c>
      <c r="P739">
        <f ca="1">VLOOKUP(K739,投手データ!B:AI,output!O739+6,FALSE)</f>
        <v>1</v>
      </c>
      <c r="R739">
        <f t="shared" ca="1" si="58"/>
        <v>6.8027210884353739E-3</v>
      </c>
      <c r="S739">
        <f t="shared" si="59"/>
        <v>0.43645833333333334</v>
      </c>
      <c r="T739">
        <f>Prams!B$5/(S739-Prams!B$6)</f>
        <v>164.35366312944461</v>
      </c>
      <c r="U739">
        <f t="shared" ca="1" si="60"/>
        <v>0.50312500000000004</v>
      </c>
      <c r="V739">
        <f ca="1">Prams!C$5/(U739-Prams!C$6)</f>
        <v>171.95744384952366</v>
      </c>
      <c r="W739">
        <f t="shared" ca="1" si="61"/>
        <v>1.1697785295885963</v>
      </c>
    </row>
    <row r="740" spans="1:23" hidden="1" x14ac:dyDescent="0.55000000000000004">
      <c r="A740" s="1" t="s">
        <v>1410</v>
      </c>
      <c r="B740" s="1">
        <v>133</v>
      </c>
      <c r="C740">
        <v>647</v>
      </c>
      <c r="D740">
        <v>619.5</v>
      </c>
      <c r="E740">
        <v>11.01146</v>
      </c>
      <c r="F740" t="s">
        <v>1732</v>
      </c>
      <c r="G740" s="10" t="s">
        <v>2417</v>
      </c>
      <c r="H740">
        <v>101</v>
      </c>
      <c r="I740" t="s">
        <v>1422</v>
      </c>
      <c r="J740">
        <f ca="1">VLOOKUP(G740,INDIRECT("球速変換!A$1:B$" &amp; Prams!$B$8),2,)</f>
        <v>139</v>
      </c>
      <c r="K740" t="str">
        <f ca="1">VLOOKUP(I740,INDIRECT("投手名変換!A$1:B$" &amp; Prams!$B$9),2,)</f>
        <v>DD001</v>
      </c>
      <c r="L740">
        <f t="shared" si="62"/>
        <v>32</v>
      </c>
      <c r="M740">
        <f ca="1">(B740-VLOOKUP(K740,INDIRECT("投手データ!B1:D"&amp;Prams!$B$1),3,FALSE)*2)</f>
        <v>39</v>
      </c>
      <c r="N740" t="str">
        <f ca="1">VLOOKUP(F740,INDIRECT("球種変換表!A$1:B$" &amp; Prams!$B$2),2,)</f>
        <v>カットボール</v>
      </c>
      <c r="O740">
        <f ca="1">VLOOKUP(N740,球種情報!A:B,2,FALSE)</f>
        <v>8</v>
      </c>
      <c r="P740">
        <f ca="1">VLOOKUP(K740,投手データ!B:AI,output!O740+6,FALSE)</f>
        <v>0</v>
      </c>
      <c r="R740">
        <f t="shared" ca="1" si="58"/>
        <v>7.1942446043165471E-3</v>
      </c>
      <c r="S740">
        <f t="shared" si="59"/>
        <v>0.51979166666666665</v>
      </c>
      <c r="T740">
        <f>Prams!B$5/(S740-Prams!B$6)</f>
        <v>134.5465097299552</v>
      </c>
      <c r="U740">
        <f t="shared" ca="1" si="60"/>
        <v>0.63645833333333335</v>
      </c>
      <c r="V740">
        <f ca="1">Prams!C$5/(U740-Prams!C$6)</f>
        <v>125.43766802495647</v>
      </c>
      <c r="W740">
        <f t="shared" ca="1" si="61"/>
        <v>0.90242926636659326</v>
      </c>
    </row>
    <row r="741" spans="1:23" hidden="1" x14ac:dyDescent="0.55000000000000004">
      <c r="A741" s="1" t="s">
        <v>1413</v>
      </c>
      <c r="B741" s="1">
        <v>133</v>
      </c>
      <c r="C741">
        <v>651.5</v>
      </c>
      <c r="D741">
        <v>616.5</v>
      </c>
      <c r="E741">
        <v>11.510960000000001</v>
      </c>
      <c r="F741" t="s">
        <v>1733</v>
      </c>
      <c r="G741" s="10" t="s">
        <v>2417</v>
      </c>
      <c r="H741">
        <v>101</v>
      </c>
      <c r="I741" t="s">
        <v>1387</v>
      </c>
      <c r="J741">
        <f ca="1">VLOOKUP(G741,INDIRECT("球速変換!A$1:B$" &amp; Prams!$B$8),2,)</f>
        <v>139</v>
      </c>
      <c r="K741" t="str">
        <f ca="1">VLOOKUP(I741,INDIRECT("投手名変換!A$1:B$" &amp; Prams!$B$9),2,)</f>
        <v>DD001</v>
      </c>
      <c r="L741">
        <f t="shared" si="62"/>
        <v>32</v>
      </c>
      <c r="M741">
        <f ca="1">(B741-VLOOKUP(K741,INDIRECT("投手データ!B1:D"&amp;Prams!$B$1),3,FALSE)*2)</f>
        <v>39</v>
      </c>
      <c r="N741" t="str">
        <f ca="1">VLOOKUP(F741,INDIRECT("球種変換表!A$1:B$" &amp; Prams!$B$2),2,)</f>
        <v>Hスライダー</v>
      </c>
      <c r="O741">
        <f ca="1">VLOOKUP(N741,球種情報!A:B,2,FALSE)</f>
        <v>7</v>
      </c>
      <c r="P741">
        <f ca="1">VLOOKUP(K741,投手データ!B:AI,output!O741+6,FALSE)</f>
        <v>1</v>
      </c>
      <c r="R741">
        <f t="shared" ca="1" si="58"/>
        <v>7.1942446043165471E-3</v>
      </c>
      <c r="S741">
        <f t="shared" si="59"/>
        <v>0.52187499999999998</v>
      </c>
      <c r="T741">
        <f>Prams!B$5/(S741-Prams!B$6)</f>
        <v>133.9392298109733</v>
      </c>
      <c r="U741">
        <f t="shared" ca="1" si="60"/>
        <v>0.63854166666666667</v>
      </c>
      <c r="V741">
        <f ca="1">Prams!C$5/(U741-Prams!C$6)</f>
        <v>124.90966948967051</v>
      </c>
      <c r="W741">
        <f t="shared" ca="1" si="61"/>
        <v>0.89863071575302522</v>
      </c>
    </row>
    <row r="742" spans="1:23" hidden="1" x14ac:dyDescent="0.55000000000000004">
      <c r="A742" s="1" t="s">
        <v>1415</v>
      </c>
      <c r="B742" s="1">
        <v>132</v>
      </c>
      <c r="C742">
        <v>635.5</v>
      </c>
      <c r="D742">
        <v>602.5</v>
      </c>
      <c r="E742">
        <v>11.510960000000001</v>
      </c>
      <c r="F742" t="s">
        <v>38</v>
      </c>
      <c r="G742" s="10" t="s">
        <v>2416</v>
      </c>
      <c r="H742">
        <v>101</v>
      </c>
      <c r="I742" t="s">
        <v>1385</v>
      </c>
      <c r="J742">
        <f ca="1">VLOOKUP(G742,INDIRECT("球速変換!A$1:B$" &amp; Prams!$B$8),2,)</f>
        <v>140</v>
      </c>
      <c r="K742" t="str">
        <f ca="1">VLOOKUP(I742,INDIRECT("投手名変換!A$1:B$" &amp; Prams!$B$9),2,)</f>
        <v>DD001</v>
      </c>
      <c r="L742">
        <f t="shared" si="62"/>
        <v>31</v>
      </c>
      <c r="M742">
        <f ca="1">(B742-VLOOKUP(K742,INDIRECT("投手データ!B1:D"&amp;Prams!$B$1),3,FALSE)*2)</f>
        <v>38</v>
      </c>
      <c r="N742" t="str">
        <f ca="1">VLOOKUP(F742,INDIRECT("球種変換表!A$1:B$" &amp; Prams!$B$2),2,)</f>
        <v>Hスライダー</v>
      </c>
      <c r="O742">
        <f ca="1">VLOOKUP(N742,球種情報!A:B,2,FALSE)</f>
        <v>7</v>
      </c>
      <c r="P742">
        <f ca="1">VLOOKUP(K742,投手データ!B:AI,output!O742+6,FALSE)</f>
        <v>1</v>
      </c>
      <c r="R742">
        <f t="shared" ca="1" si="58"/>
        <v>7.1428571428571426E-3</v>
      </c>
      <c r="S742">
        <f t="shared" si="59"/>
        <v>0.51493055555555556</v>
      </c>
      <c r="T742">
        <f>Prams!B$5/(S742-Prams!B$6)</f>
        <v>135.98514055979521</v>
      </c>
      <c r="U742">
        <f t="shared" ca="1" si="60"/>
        <v>0.63159722222222225</v>
      </c>
      <c r="V742">
        <f ca="1">Prams!C$5/(U742-Prams!C$6)</f>
        <v>126.68719653458865</v>
      </c>
      <c r="W742">
        <f t="shared" ca="1" si="61"/>
        <v>0.90490854667563325</v>
      </c>
    </row>
    <row r="743" spans="1:23" hidden="1" x14ac:dyDescent="0.55000000000000004">
      <c r="A743" s="1" t="s">
        <v>1418</v>
      </c>
      <c r="B743" s="1">
        <v>132</v>
      </c>
      <c r="C743">
        <v>643.5</v>
      </c>
      <c r="D743">
        <v>604.5</v>
      </c>
      <c r="E743">
        <v>11.510960000000001</v>
      </c>
      <c r="F743" t="s">
        <v>38</v>
      </c>
      <c r="G743" s="10" t="s">
        <v>646</v>
      </c>
      <c r="H743">
        <v>101</v>
      </c>
      <c r="I743" t="s">
        <v>1385</v>
      </c>
      <c r="J743">
        <f ca="1">VLOOKUP(G743,INDIRECT("球速変換!A$1:B$" &amp; Prams!$B$8),2,)</f>
        <v>141</v>
      </c>
      <c r="K743" t="str">
        <f ca="1">VLOOKUP(I743,INDIRECT("投手名変換!A$1:B$" &amp; Prams!$B$9),2,)</f>
        <v>DD001</v>
      </c>
      <c r="L743">
        <f t="shared" si="62"/>
        <v>31</v>
      </c>
      <c r="M743">
        <f ca="1">(B743-VLOOKUP(K743,INDIRECT("投手データ!B1:D"&amp;Prams!$B$1),3,FALSE)*2)</f>
        <v>38</v>
      </c>
      <c r="N743" t="str">
        <f ca="1">VLOOKUP(F743,INDIRECT("球種変換表!A$1:B$" &amp; Prams!$B$2),2,)</f>
        <v>Hスライダー</v>
      </c>
      <c r="O743">
        <f ca="1">VLOOKUP(N743,球種情報!A:B,2,FALSE)</f>
        <v>7</v>
      </c>
      <c r="P743">
        <f ca="1">VLOOKUP(K743,投手データ!B:AI,output!O743+6,FALSE)</f>
        <v>1</v>
      </c>
      <c r="R743">
        <f t="shared" ca="1" si="58"/>
        <v>7.0921985815602835E-3</v>
      </c>
      <c r="S743">
        <f t="shared" si="59"/>
        <v>0.51354166666666667</v>
      </c>
      <c r="T743">
        <f>Prams!B$5/(S743-Prams!B$6)</f>
        <v>136.40184596149956</v>
      </c>
      <c r="U743">
        <f t="shared" ca="1" si="60"/>
        <v>0.63020833333333337</v>
      </c>
      <c r="V743">
        <f ca="1">Prams!C$5/(U743-Prams!C$6)</f>
        <v>127.04879009470312</v>
      </c>
      <c r="W743">
        <f t="shared" ca="1" si="61"/>
        <v>0.90105524889860367</v>
      </c>
    </row>
    <row r="744" spans="1:23" hidden="1" x14ac:dyDescent="0.55000000000000004">
      <c r="A744" s="1" t="s">
        <v>1420</v>
      </c>
      <c r="B744" s="1">
        <v>133</v>
      </c>
      <c r="C744">
        <v>649</v>
      </c>
      <c r="D744">
        <v>615</v>
      </c>
      <c r="E744">
        <v>10.04998</v>
      </c>
      <c r="F744" t="s">
        <v>1734</v>
      </c>
      <c r="G744" s="10" t="s">
        <v>1101</v>
      </c>
      <c r="H744">
        <v>101</v>
      </c>
      <c r="I744" t="s">
        <v>1735</v>
      </c>
      <c r="J744">
        <f ca="1">VLOOKUP(G744,INDIRECT("球速変換!A$1:B$" &amp; Prams!$B$8),2,)</f>
        <v>92</v>
      </c>
      <c r="K744" t="s">
        <v>1898</v>
      </c>
      <c r="L744">
        <f t="shared" si="62"/>
        <v>32</v>
      </c>
      <c r="M744">
        <f ca="1">(B744-VLOOKUP(K744,INDIRECT("投手データ!B1:D"&amp;Prams!$B$1),3,FALSE)*2)</f>
        <v>39</v>
      </c>
      <c r="N744" t="str">
        <f ca="1">VLOOKUP(F744,INDIRECT("球種変換表!A$1:B$" &amp; Prams!$B$2),2,)</f>
        <v>Hスライダー</v>
      </c>
      <c r="O744">
        <f ca="1">VLOOKUP(N744,球種情報!A:B,2,FALSE)</f>
        <v>7</v>
      </c>
      <c r="P744">
        <f ca="1">VLOOKUP(K744,投手データ!B:AI,output!O744+6,FALSE)</f>
        <v>1</v>
      </c>
      <c r="R744">
        <f t="shared" ca="1" si="58"/>
        <v>1.0869565217391304E-2</v>
      </c>
      <c r="S744">
        <f t="shared" si="59"/>
        <v>0.5229166666666667</v>
      </c>
      <c r="T744">
        <f>Prams!B$5/(S744-Prams!B$6)</f>
        <v>133.63764095543468</v>
      </c>
      <c r="U744">
        <f t="shared" ca="1" si="60"/>
        <v>0.63958333333333328</v>
      </c>
      <c r="V744">
        <f ca="1">Prams!C$5/(U744-Prams!C$6)</f>
        <v>124.6473335797574</v>
      </c>
      <c r="W744">
        <f t="shared" ca="1" si="61"/>
        <v>1.3548623215191022</v>
      </c>
    </row>
    <row r="745" spans="1:23" hidden="1" x14ac:dyDescent="0.55000000000000004">
      <c r="A745" s="1" t="s">
        <v>2219</v>
      </c>
      <c r="B745" s="1">
        <v>133</v>
      </c>
      <c r="C745">
        <v>638.5</v>
      </c>
      <c r="D745">
        <v>614.5</v>
      </c>
      <c r="E745">
        <v>10.512</v>
      </c>
      <c r="F745" t="s">
        <v>38</v>
      </c>
      <c r="G745" s="10" t="s">
        <v>1101</v>
      </c>
      <c r="H745">
        <v>101</v>
      </c>
      <c r="I745" t="s">
        <v>1380</v>
      </c>
      <c r="J745">
        <f ca="1">VLOOKUP(G745,INDIRECT("球速変換!A$1:B$" &amp; Prams!$B$8),2,)</f>
        <v>92</v>
      </c>
      <c r="K745" t="str">
        <f ca="1">VLOOKUP(I745,INDIRECT("投手名変換!A$1:B$" &amp; Prams!$B$9),2,)</f>
        <v>DD001</v>
      </c>
      <c r="L745">
        <f t="shared" si="62"/>
        <v>32</v>
      </c>
      <c r="M745">
        <f ca="1">(B745-VLOOKUP(K745,INDIRECT("投手データ!B1:D"&amp;Prams!$B$1),3,FALSE)*2)</f>
        <v>39</v>
      </c>
      <c r="N745" t="str">
        <f ca="1">VLOOKUP(F745,INDIRECT("球種変換表!A$1:B$" &amp; Prams!$B$2),2,)</f>
        <v>Hスライダー</v>
      </c>
      <c r="O745">
        <f ca="1">VLOOKUP(N745,球種情報!A:B,2,FALSE)</f>
        <v>7</v>
      </c>
      <c r="P745">
        <f ca="1">VLOOKUP(K745,投手データ!B:AI,output!O745+6,FALSE)</f>
        <v>1</v>
      </c>
      <c r="R745">
        <f t="shared" ca="1" si="58"/>
        <v>1.0869565217391304E-2</v>
      </c>
      <c r="S745">
        <f t="shared" si="59"/>
        <v>0.52326388888888886</v>
      </c>
      <c r="T745">
        <f>Prams!B$5/(S745-Prams!B$6)</f>
        <v>133.53741292517415</v>
      </c>
      <c r="U745">
        <f t="shared" ca="1" si="60"/>
        <v>0.63993055555555556</v>
      </c>
      <c r="V745">
        <f ca="1">Prams!C$5/(U745-Prams!C$6)</f>
        <v>124.56013297589533</v>
      </c>
      <c r="W745">
        <f t="shared" ca="1" si="61"/>
        <v>1.3539144888684276</v>
      </c>
    </row>
    <row r="746" spans="1:23" hidden="1" x14ac:dyDescent="0.55000000000000004">
      <c r="A746" s="1" t="s">
        <v>2221</v>
      </c>
      <c r="B746" s="1">
        <v>132</v>
      </c>
      <c r="C746">
        <v>638.5</v>
      </c>
      <c r="D746">
        <v>608</v>
      </c>
      <c r="E746">
        <v>10.5001</v>
      </c>
      <c r="F746" t="s">
        <v>2220</v>
      </c>
      <c r="G746" s="10" t="s">
        <v>581</v>
      </c>
      <c r="H746">
        <v>101</v>
      </c>
      <c r="I746" t="s">
        <v>1391</v>
      </c>
      <c r="J746">
        <f ca="1">VLOOKUP(G746,INDIRECT("球速変換!A$1:B$" &amp; Prams!$B$8),2,)</f>
        <v>142</v>
      </c>
      <c r="K746" t="str">
        <f ca="1">VLOOKUP(I746,INDIRECT("投手名変換!A$1:B$" &amp; Prams!$B$9),2,)</f>
        <v>DD001</v>
      </c>
      <c r="L746">
        <f t="shared" si="62"/>
        <v>31</v>
      </c>
      <c r="M746">
        <f ca="1">(B746-VLOOKUP(K746,INDIRECT("投手データ!B1:D"&amp;Prams!$B$1),3,FALSE)*2)</f>
        <v>38</v>
      </c>
      <c r="N746" t="str">
        <f ca="1">VLOOKUP(F746,INDIRECT("球種変換表!A$1:B$" &amp; Prams!$B$2),2,)</f>
        <v>Hスライダー</v>
      </c>
      <c r="O746">
        <f ca="1">VLOOKUP(N746,球種情報!A:B,2,FALSE)</f>
        <v>7</v>
      </c>
      <c r="P746">
        <f ca="1">VLOOKUP(K746,投手データ!B:AI,output!O746+6,FALSE)</f>
        <v>1</v>
      </c>
      <c r="R746">
        <f t="shared" ca="1" si="58"/>
        <v>7.0422535211267607E-3</v>
      </c>
      <c r="S746">
        <f t="shared" si="59"/>
        <v>0.51111111111111118</v>
      </c>
      <c r="T746">
        <f>Prams!B$5/(S746-Prams!B$6)</f>
        <v>137.1372587681463</v>
      </c>
      <c r="U746">
        <f t="shared" ca="1" si="60"/>
        <v>0.62777777777777777</v>
      </c>
      <c r="V746">
        <f ca="1">Prams!C$5/(U746-Prams!C$6)</f>
        <v>127.68657058931522</v>
      </c>
      <c r="W746">
        <f t="shared" ca="1" si="61"/>
        <v>0.8992012013332058</v>
      </c>
    </row>
    <row r="747" spans="1:23" hidden="1" x14ac:dyDescent="0.55000000000000004">
      <c r="A747" s="1" t="s">
        <v>2222</v>
      </c>
      <c r="B747" s="1">
        <v>132</v>
      </c>
      <c r="C747">
        <v>642.5</v>
      </c>
      <c r="D747">
        <v>603</v>
      </c>
      <c r="E747">
        <v>10.547610000000001</v>
      </c>
      <c r="F747" t="s">
        <v>1411</v>
      </c>
      <c r="G747" s="10" t="s">
        <v>2416</v>
      </c>
      <c r="H747">
        <v>101</v>
      </c>
      <c r="I747" t="s">
        <v>1383</v>
      </c>
      <c r="J747">
        <f ca="1">VLOOKUP(G747,INDIRECT("球速変換!A$1:B$" &amp; Prams!$B$8),2,)</f>
        <v>140</v>
      </c>
      <c r="K747" t="str">
        <f ca="1">VLOOKUP(I747,INDIRECT("投手名変換!A$1:B$" &amp; Prams!$B$9),2,)</f>
        <v>DD001</v>
      </c>
      <c r="L747">
        <f t="shared" si="62"/>
        <v>31</v>
      </c>
      <c r="M747">
        <f ca="1">(B747-VLOOKUP(K747,INDIRECT("投手データ!B1:D"&amp;Prams!$B$1),3,FALSE)*2)</f>
        <v>38</v>
      </c>
      <c r="N747" t="str">
        <f ca="1">VLOOKUP(F747,INDIRECT("球種変換表!A$1:B$" &amp; Prams!$B$2),2,)</f>
        <v>Hスライダー</v>
      </c>
      <c r="O747">
        <f ca="1">VLOOKUP(N747,球種情報!A:B,2,FALSE)</f>
        <v>7</v>
      </c>
      <c r="P747">
        <f ca="1">VLOOKUP(K747,投手データ!B:AI,output!O747+6,FALSE)</f>
        <v>1</v>
      </c>
      <c r="R747">
        <f t="shared" ca="1" si="58"/>
        <v>7.1428571428571426E-3</v>
      </c>
      <c r="S747">
        <f t="shared" si="59"/>
        <v>0.51458333333333328</v>
      </c>
      <c r="T747">
        <f>Prams!B$5/(S747-Prams!B$6)</f>
        <v>136.0890780350002</v>
      </c>
      <c r="U747">
        <f t="shared" ca="1" si="60"/>
        <v>0.63124999999999998</v>
      </c>
      <c r="V747">
        <f ca="1">Prams!C$5/(U747-Prams!C$6)</f>
        <v>126.77740182507947</v>
      </c>
      <c r="W747">
        <f t="shared" ca="1" si="61"/>
        <v>0.90555287017913899</v>
      </c>
    </row>
    <row r="748" spans="1:23" hidden="1" x14ac:dyDescent="0.55000000000000004">
      <c r="A748" s="1" t="s">
        <v>2223</v>
      </c>
      <c r="B748" s="1">
        <v>134</v>
      </c>
      <c r="C748">
        <v>656.47997999999995</v>
      </c>
      <c r="D748">
        <v>643</v>
      </c>
      <c r="E748">
        <v>12.52012</v>
      </c>
      <c r="F748" t="s">
        <v>1421</v>
      </c>
      <c r="G748" s="10" t="s">
        <v>2416</v>
      </c>
      <c r="H748">
        <v>101</v>
      </c>
      <c r="I748" t="s">
        <v>1380</v>
      </c>
      <c r="J748">
        <f ca="1">VLOOKUP(G748,INDIRECT("球速変換!A$1:B$" &amp; Prams!$B$8),2,)</f>
        <v>140</v>
      </c>
      <c r="K748" t="str">
        <f ca="1">VLOOKUP(I748,INDIRECT("投手名変換!A$1:B$" &amp; Prams!$B$9),2,)</f>
        <v>DD001</v>
      </c>
      <c r="L748">
        <f t="shared" si="62"/>
        <v>33</v>
      </c>
      <c r="M748">
        <f ca="1">(B748-VLOOKUP(K748,INDIRECT("投手データ!B1:D"&amp;Prams!$B$1),3,FALSE)*2)</f>
        <v>40</v>
      </c>
      <c r="N748" t="str">
        <f ca="1">VLOOKUP(F748,INDIRECT("球種変換表!A$1:B$" &amp; Prams!$B$2),2,)</f>
        <v>Hスライダー</v>
      </c>
      <c r="O748">
        <f ca="1">VLOOKUP(N748,球種情報!A:B,2,FALSE)</f>
        <v>7</v>
      </c>
      <c r="P748">
        <f ca="1">VLOOKUP(K748,投手データ!B:AI,output!O748+6,FALSE)</f>
        <v>1</v>
      </c>
      <c r="R748">
        <f t="shared" ca="1" si="58"/>
        <v>7.1428571428571426E-3</v>
      </c>
      <c r="S748">
        <f t="shared" si="59"/>
        <v>0.52013888888888882</v>
      </c>
      <c r="T748">
        <f>Prams!B$5/(S748-Prams!B$6)</f>
        <v>134.44491428157207</v>
      </c>
      <c r="U748">
        <f t="shared" ca="1" si="60"/>
        <v>0.63680555555555562</v>
      </c>
      <c r="V748">
        <f ca="1">Prams!C$5/(U748-Prams!C$6)</f>
        <v>125.34935850501817</v>
      </c>
      <c r="W748">
        <f t="shared" ca="1" si="61"/>
        <v>0.89535256075012981</v>
      </c>
    </row>
    <row r="749" spans="1:23" hidden="1" x14ac:dyDescent="0.55000000000000004">
      <c r="A749" s="1" t="s">
        <v>2224</v>
      </c>
      <c r="B749" s="1">
        <v>133</v>
      </c>
      <c r="C749">
        <v>647.5</v>
      </c>
      <c r="D749">
        <v>618.5</v>
      </c>
      <c r="E749">
        <v>10.512</v>
      </c>
      <c r="F749" t="s">
        <v>1414</v>
      </c>
      <c r="G749" s="10" t="s">
        <v>814</v>
      </c>
      <c r="H749">
        <v>101</v>
      </c>
      <c r="I749" t="s">
        <v>1385</v>
      </c>
      <c r="J749">
        <f ca="1">VLOOKUP(G749,INDIRECT("球速変換!A$1:B$" &amp; Prams!$B$8),2,)</f>
        <v>139</v>
      </c>
      <c r="K749" t="str">
        <f ca="1">VLOOKUP(I749,INDIRECT("投手名変換!A$1:B$" &amp; Prams!$B$9),2,)</f>
        <v>DD001</v>
      </c>
      <c r="L749">
        <f t="shared" si="62"/>
        <v>32</v>
      </c>
      <c r="M749">
        <f ca="1">(B749-VLOOKUP(K749,INDIRECT("投手データ!B1:D"&amp;Prams!$B$1),3,FALSE)*2)</f>
        <v>39</v>
      </c>
      <c r="N749" t="str">
        <f ca="1">VLOOKUP(F749,INDIRECT("球種変換表!A$1:B$" &amp; Prams!$B$2),2,)</f>
        <v>Hスライダー</v>
      </c>
      <c r="O749">
        <f ca="1">VLOOKUP(N749,球種情報!A:B,2,FALSE)</f>
        <v>7</v>
      </c>
      <c r="P749">
        <f ca="1">VLOOKUP(K749,投手データ!B:AI,output!O749+6,FALSE)</f>
        <v>1</v>
      </c>
      <c r="R749">
        <f t="shared" ca="1" si="58"/>
        <v>7.1942446043165471E-3</v>
      </c>
      <c r="S749">
        <f t="shared" si="59"/>
        <v>0.52048611111111109</v>
      </c>
      <c r="T749">
        <f>Prams!B$5/(S749-Prams!B$6)</f>
        <v>134.34347214593132</v>
      </c>
      <c r="U749">
        <f t="shared" ca="1" si="60"/>
        <v>0.63715277777777779</v>
      </c>
      <c r="V749">
        <f ca="1">Prams!C$5/(U749-Prams!C$6)</f>
        <v>125.26117323938114</v>
      </c>
      <c r="W749">
        <f t="shared" ca="1" si="61"/>
        <v>0.90115951970777797</v>
      </c>
    </row>
    <row r="750" spans="1:23" hidden="1" x14ac:dyDescent="0.55000000000000004">
      <c r="A750" s="1" t="s">
        <v>2225</v>
      </c>
      <c r="B750" s="1">
        <v>141</v>
      </c>
      <c r="C750">
        <v>647</v>
      </c>
      <c r="D750">
        <v>606</v>
      </c>
      <c r="E750">
        <v>10.04998</v>
      </c>
      <c r="F750" t="s">
        <v>16</v>
      </c>
      <c r="G750" s="10" t="s">
        <v>591</v>
      </c>
      <c r="H750">
        <v>101</v>
      </c>
      <c r="I750" t="s">
        <v>1383</v>
      </c>
      <c r="J750">
        <f ca="1">VLOOKUP(G750,INDIRECT("球速変換!A$1:B$" &amp; Prams!$B$8),2,)</f>
        <v>128</v>
      </c>
      <c r="K750" t="str">
        <f ca="1">VLOOKUP(I750,INDIRECT("投手名変換!A$1:B$" &amp; Prams!$B$9),2,)</f>
        <v>DD001</v>
      </c>
      <c r="L750">
        <f t="shared" si="62"/>
        <v>40</v>
      </c>
      <c r="M750">
        <f ca="1">(B750-VLOOKUP(K750,INDIRECT("投手データ!B1:D"&amp;Prams!$B$1),3,FALSE)*2)</f>
        <v>47</v>
      </c>
      <c r="N750" t="str">
        <f ca="1">VLOOKUP(F750,INDIRECT("球種変換表!A$1:B$" &amp; Prams!$B$2),2,)</f>
        <v>ナックルカーブ</v>
      </c>
      <c r="O750">
        <f ca="1">VLOOKUP(N750,球種情報!A:B,2,FALSE)</f>
        <v>14</v>
      </c>
      <c r="P750">
        <f ca="1">VLOOKUP(K750,投手データ!B:AI,output!O750+6,FALSE)</f>
        <v>4</v>
      </c>
      <c r="R750">
        <f t="shared" ca="1" si="58"/>
        <v>7.8125E-3</v>
      </c>
      <c r="S750">
        <f t="shared" si="59"/>
        <v>0.66249999999999998</v>
      </c>
      <c r="T750">
        <f>Prams!B$5/(S750-Prams!B$6)</f>
        <v>102.66190634340751</v>
      </c>
      <c r="U750">
        <f t="shared" ca="1" si="60"/>
        <v>0.77916666666666667</v>
      </c>
      <c r="V750">
        <f ca="1">Prams!C$5/(U750-Prams!C$6)</f>
        <v>97.272250485131394</v>
      </c>
      <c r="W750">
        <f t="shared" ca="1" si="61"/>
        <v>0.75993945691508902</v>
      </c>
    </row>
    <row r="751" spans="1:23" hidden="1" x14ac:dyDescent="0.55000000000000004">
      <c r="A751" s="1" t="s">
        <v>2226</v>
      </c>
      <c r="B751" s="1">
        <v>142</v>
      </c>
      <c r="C751">
        <v>662</v>
      </c>
      <c r="D751">
        <v>614.5</v>
      </c>
      <c r="E751">
        <v>11.01146</v>
      </c>
      <c r="F751" t="s">
        <v>16</v>
      </c>
      <c r="G751" s="10" t="s">
        <v>623</v>
      </c>
      <c r="H751">
        <v>101</v>
      </c>
      <c r="I751" t="s">
        <v>1735</v>
      </c>
      <c r="J751">
        <f ca="1">VLOOKUP(G751,INDIRECT("球速変換!A$1:B$" &amp; Prams!$B$8),2,)</f>
        <v>120</v>
      </c>
      <c r="K751" t="s">
        <v>1898</v>
      </c>
      <c r="L751">
        <f t="shared" si="62"/>
        <v>41</v>
      </c>
      <c r="M751">
        <f ca="1">(B751-VLOOKUP(K751,INDIRECT("投手データ!B1:D"&amp;Prams!$B$1),3,FALSE)*2)</f>
        <v>48</v>
      </c>
      <c r="N751" t="str">
        <f ca="1">VLOOKUP(F751,INDIRECT("球種変換表!A$1:B$" &amp; Prams!$B$2),2,)</f>
        <v>ナックルカーブ</v>
      </c>
      <c r="O751">
        <f ca="1">VLOOKUP(N751,球種情報!A:B,2,FALSE)</f>
        <v>14</v>
      </c>
      <c r="P751">
        <f ca="1">VLOOKUP(K751,投手データ!B:AI,output!O751+6,FALSE)</f>
        <v>4</v>
      </c>
      <c r="R751">
        <f t="shared" ca="1" si="58"/>
        <v>8.3333333333333332E-3</v>
      </c>
      <c r="S751">
        <f t="shared" si="59"/>
        <v>0.67326388888888888</v>
      </c>
      <c r="T751">
        <f>Prams!B$5/(S751-Prams!B$6)</f>
        <v>100.85912256930126</v>
      </c>
      <c r="U751">
        <f t="shared" ca="1" si="60"/>
        <v>0.78993055555555558</v>
      </c>
      <c r="V751">
        <f ca="1">Prams!C$5/(U751-Prams!C$6)</f>
        <v>95.652293503066446</v>
      </c>
      <c r="W751">
        <f t="shared" ca="1" si="61"/>
        <v>0.79710244585888701</v>
      </c>
    </row>
    <row r="752" spans="1:23" hidden="1" x14ac:dyDescent="0.55000000000000004">
      <c r="A752" s="1" t="s">
        <v>2227</v>
      </c>
      <c r="B752" s="1">
        <v>141</v>
      </c>
      <c r="C752">
        <v>639</v>
      </c>
      <c r="D752">
        <v>602.5</v>
      </c>
      <c r="E752">
        <v>11.01146</v>
      </c>
      <c r="F752" t="s">
        <v>16</v>
      </c>
      <c r="G752" s="10" t="s">
        <v>2419</v>
      </c>
      <c r="H752">
        <v>101</v>
      </c>
      <c r="I752" t="s">
        <v>1380</v>
      </c>
      <c r="J752">
        <f ca="1">VLOOKUP(G752,INDIRECT("球速変換!A$1:B$" &amp; Prams!$B$8),2,)</f>
        <v>126</v>
      </c>
      <c r="K752" t="str">
        <f ca="1">VLOOKUP(I752,INDIRECT("投手名変換!A$1:B$" &amp; Prams!$B$9),2,)</f>
        <v>DD001</v>
      </c>
      <c r="L752">
        <f t="shared" si="62"/>
        <v>40</v>
      </c>
      <c r="M752">
        <f ca="1">(B752-VLOOKUP(K752,INDIRECT("投手データ!B1:D"&amp;Prams!$B$1),3,FALSE)*2)</f>
        <v>47</v>
      </c>
      <c r="N752" t="str">
        <f ca="1">VLOOKUP(F752,INDIRECT("球種変換表!A$1:B$" &amp; Prams!$B$2),2,)</f>
        <v>ナックルカーブ</v>
      </c>
      <c r="O752">
        <f ca="1">VLOOKUP(N752,球種情報!A:B,2,FALSE)</f>
        <v>14</v>
      </c>
      <c r="P752">
        <f ca="1">VLOOKUP(K752,投手データ!B:AI,output!O752+6,FALSE)</f>
        <v>4</v>
      </c>
      <c r="R752">
        <f t="shared" ca="1" si="58"/>
        <v>7.9365079365079361E-3</v>
      </c>
      <c r="S752">
        <f t="shared" si="59"/>
        <v>0.66493055555555558</v>
      </c>
      <c r="T752">
        <f>Prams!B$5/(S752-Prams!B$6)</f>
        <v>102.24921554484602</v>
      </c>
      <c r="U752">
        <f t="shared" ca="1" si="60"/>
        <v>0.78159722222222228</v>
      </c>
      <c r="V752">
        <f ca="1">Prams!C$5/(U752-Prams!C$6)</f>
        <v>96.901675817118658</v>
      </c>
      <c r="W752">
        <f t="shared" ca="1" si="61"/>
        <v>0.76906091918348141</v>
      </c>
    </row>
    <row r="753" spans="1:23" hidden="1" x14ac:dyDescent="0.55000000000000004">
      <c r="A753" s="1" t="s">
        <v>2228</v>
      </c>
      <c r="B753" s="1">
        <v>142</v>
      </c>
      <c r="C753">
        <v>650.42858999999999</v>
      </c>
      <c r="D753">
        <v>609</v>
      </c>
      <c r="E753">
        <v>10.6187</v>
      </c>
      <c r="F753" t="s">
        <v>16</v>
      </c>
      <c r="G753" s="10" t="s">
        <v>649</v>
      </c>
      <c r="H753">
        <v>101</v>
      </c>
      <c r="I753" t="s">
        <v>1391</v>
      </c>
      <c r="J753">
        <f ca="1">VLOOKUP(G753,INDIRECT("球速変換!A$1:B$" &amp; Prams!$B$8),2,)</f>
        <v>124</v>
      </c>
      <c r="K753" t="str">
        <f ca="1">VLOOKUP(I753,INDIRECT("投手名変換!A$1:B$" &amp; Prams!$B$9),2,)</f>
        <v>DD001</v>
      </c>
      <c r="L753">
        <f t="shared" si="62"/>
        <v>41</v>
      </c>
      <c r="M753">
        <f ca="1">(B753-VLOOKUP(K753,INDIRECT("投手データ!B1:D"&amp;Prams!$B$1),3,FALSE)*2)</f>
        <v>48</v>
      </c>
      <c r="N753" t="str">
        <f ca="1">VLOOKUP(F753,INDIRECT("球種変換表!A$1:B$" &amp; Prams!$B$2),2,)</f>
        <v>ナックルカーブ</v>
      </c>
      <c r="O753">
        <f ca="1">VLOOKUP(N753,球種情報!A:B,2,FALSE)</f>
        <v>14</v>
      </c>
      <c r="P753">
        <f ca="1">VLOOKUP(K753,投手データ!B:AI,output!O753+6,FALSE)</f>
        <v>4</v>
      </c>
      <c r="R753">
        <f t="shared" ca="1" si="58"/>
        <v>8.0645161290322578E-3</v>
      </c>
      <c r="S753">
        <f t="shared" si="59"/>
        <v>0.67708333333333337</v>
      </c>
      <c r="T753">
        <f>Prams!B$5/(S753-Prams!B$6)</f>
        <v>100.2345502202286</v>
      </c>
      <c r="U753">
        <f t="shared" ca="1" si="60"/>
        <v>0.79374999999999996</v>
      </c>
      <c r="V753">
        <f ca="1">Prams!C$5/(U753-Prams!C$6)</f>
        <v>95.090363762208725</v>
      </c>
      <c r="W753">
        <f t="shared" ca="1" si="61"/>
        <v>0.76685777227587681</v>
      </c>
    </row>
    <row r="754" spans="1:23" hidden="1" x14ac:dyDescent="0.55000000000000004">
      <c r="A754" s="1" t="s">
        <v>2230</v>
      </c>
      <c r="B754" s="1">
        <v>141</v>
      </c>
      <c r="C754">
        <v>645.04998999999998</v>
      </c>
      <c r="D754">
        <v>604.5</v>
      </c>
      <c r="E754">
        <v>10.06254</v>
      </c>
      <c r="F754" t="s">
        <v>2229</v>
      </c>
      <c r="G754" s="10" t="s">
        <v>2419</v>
      </c>
      <c r="H754">
        <v>101</v>
      </c>
      <c r="I754" t="s">
        <v>1391</v>
      </c>
      <c r="J754">
        <f ca="1">VLOOKUP(G754,INDIRECT("球速変換!A$1:B$" &amp; Prams!$B$8),2,)</f>
        <v>126</v>
      </c>
      <c r="K754" t="str">
        <f ca="1">VLOOKUP(I754,INDIRECT("投手名変換!A$1:B$" &amp; Prams!$B$9),2,)</f>
        <v>DD001</v>
      </c>
      <c r="L754">
        <f t="shared" si="62"/>
        <v>40</v>
      </c>
      <c r="M754">
        <f ca="1">(B754-VLOOKUP(K754,INDIRECT("投手データ!B1:D"&amp;Prams!$B$1),3,FALSE)*2)</f>
        <v>47</v>
      </c>
      <c r="N754" t="str">
        <f ca="1">VLOOKUP(F754,INDIRECT("球種変換表!A$1:B$" &amp; Prams!$B$2),2,)</f>
        <v>ナックルカーブ</v>
      </c>
      <c r="O754">
        <f ca="1">VLOOKUP(N754,球種情報!A:B,2,FALSE)</f>
        <v>14</v>
      </c>
      <c r="P754">
        <f ca="1">VLOOKUP(K754,投手データ!B:AI,output!O754+6,FALSE)</f>
        <v>4</v>
      </c>
      <c r="R754">
        <f t="shared" ca="1" si="58"/>
        <v>7.9365079365079361E-3</v>
      </c>
      <c r="S754">
        <f t="shared" si="59"/>
        <v>0.6635416666666667</v>
      </c>
      <c r="T754">
        <f>Prams!B$5/(S754-Prams!B$6)</f>
        <v>102.48463164292917</v>
      </c>
      <c r="U754">
        <f t="shared" ca="1" si="60"/>
        <v>0.78020833333333328</v>
      </c>
      <c r="V754">
        <f ca="1">Prams!C$5/(U754-Prams!C$6)</f>
        <v>97.113086277538542</v>
      </c>
      <c r="W754">
        <f t="shared" ca="1" si="61"/>
        <v>0.77073877998046458</v>
      </c>
    </row>
    <row r="755" spans="1:23" hidden="1" x14ac:dyDescent="0.55000000000000004">
      <c r="A755" s="1" t="s">
        <v>1738</v>
      </c>
      <c r="B755" s="1">
        <v>141</v>
      </c>
      <c r="C755">
        <v>653</v>
      </c>
      <c r="D755">
        <v>604</v>
      </c>
      <c r="E755">
        <v>10.04998</v>
      </c>
      <c r="F755" t="s">
        <v>16</v>
      </c>
      <c r="G755" s="10" t="s">
        <v>2419</v>
      </c>
      <c r="H755">
        <v>101</v>
      </c>
      <c r="I755" t="s">
        <v>1383</v>
      </c>
      <c r="J755">
        <f ca="1">VLOOKUP(G755,INDIRECT("球速変換!A$1:B$" &amp; Prams!$B$8),2,)</f>
        <v>126</v>
      </c>
      <c r="K755" t="str">
        <f ca="1">VLOOKUP(I755,INDIRECT("投手名変換!A$1:B$" &amp; Prams!$B$9),2,)</f>
        <v>DD001</v>
      </c>
      <c r="L755">
        <f t="shared" si="62"/>
        <v>40</v>
      </c>
      <c r="M755">
        <f ca="1">(B755-VLOOKUP(K755,INDIRECT("投手データ!B1:D"&amp;Prams!$B$1),3,FALSE)*2)</f>
        <v>47</v>
      </c>
      <c r="N755" t="str">
        <f ca="1">VLOOKUP(F755,INDIRECT("球種変換表!A$1:B$" &amp; Prams!$B$2),2,)</f>
        <v>ナックルカーブ</v>
      </c>
      <c r="O755">
        <f ca="1">VLOOKUP(N755,球種情報!A:B,2,FALSE)</f>
        <v>14</v>
      </c>
      <c r="P755">
        <f ca="1">VLOOKUP(K755,投手データ!B:AI,output!O755+6,FALSE)</f>
        <v>4</v>
      </c>
      <c r="R755">
        <f t="shared" ca="1" si="58"/>
        <v>7.9365079365079361E-3</v>
      </c>
      <c r="S755">
        <f t="shared" si="59"/>
        <v>0.66388888888888897</v>
      </c>
      <c r="T755">
        <f>Prams!B$5/(S755-Prams!B$6)</f>
        <v>102.42567604881908</v>
      </c>
      <c r="U755">
        <f t="shared" ca="1" si="60"/>
        <v>0.78055555555555556</v>
      </c>
      <c r="V755">
        <f ca="1">Prams!C$5/(U755-Prams!C$6)</f>
        <v>97.060147228133843</v>
      </c>
      <c r="W755">
        <f t="shared" ca="1" si="61"/>
        <v>0.77031862879471302</v>
      </c>
    </row>
    <row r="756" spans="1:23" hidden="1" x14ac:dyDescent="0.55000000000000004">
      <c r="A756" s="1" t="s">
        <v>1739</v>
      </c>
      <c r="B756" s="1">
        <v>141</v>
      </c>
      <c r="C756">
        <v>655.5</v>
      </c>
      <c r="D756">
        <v>607.5</v>
      </c>
      <c r="E756">
        <v>10.512</v>
      </c>
      <c r="F756" t="s">
        <v>16</v>
      </c>
      <c r="G756" s="10" t="s">
        <v>629</v>
      </c>
      <c r="H756">
        <v>101</v>
      </c>
      <c r="I756" t="s">
        <v>1380</v>
      </c>
      <c r="J756">
        <f ca="1">VLOOKUP(G756,INDIRECT("球速変換!A$1:B$" &amp; Prams!$B$8),2,)</f>
        <v>121</v>
      </c>
      <c r="K756" t="str">
        <f ca="1">VLOOKUP(I756,INDIRECT("投手名変換!A$1:B$" &amp; Prams!$B$9),2,)</f>
        <v>DD001</v>
      </c>
      <c r="L756">
        <f t="shared" si="62"/>
        <v>40</v>
      </c>
      <c r="M756">
        <f ca="1">(B756-VLOOKUP(K756,INDIRECT("投手データ!B1:D"&amp;Prams!$B$1),3,FALSE)*2)</f>
        <v>47</v>
      </c>
      <c r="N756" t="str">
        <f ca="1">VLOOKUP(F756,INDIRECT("球種変換表!A$1:B$" &amp; Prams!$B$2),2,)</f>
        <v>ナックルカーブ</v>
      </c>
      <c r="O756">
        <f ca="1">VLOOKUP(N756,球種情報!A:B,2,FALSE)</f>
        <v>14</v>
      </c>
      <c r="P756">
        <f ca="1">VLOOKUP(K756,投手データ!B:AI,output!O756+6,FALSE)</f>
        <v>4</v>
      </c>
      <c r="R756">
        <f t="shared" ca="1" si="58"/>
        <v>8.2644628099173556E-3</v>
      </c>
      <c r="S756">
        <f t="shared" si="59"/>
        <v>0.66145833333333337</v>
      </c>
      <c r="T756">
        <f>Prams!B$5/(S756-Prams!B$6)</f>
        <v>102.83979539500132</v>
      </c>
      <c r="U756">
        <f t="shared" ca="1" si="60"/>
        <v>0.77812499999999996</v>
      </c>
      <c r="V756">
        <f ca="1">Prams!C$5/(U756-Prams!C$6)</f>
        <v>97.431937275915061</v>
      </c>
      <c r="W756">
        <f t="shared" ca="1" si="61"/>
        <v>0.80522262211500051</v>
      </c>
    </row>
    <row r="757" spans="1:23" hidden="1" x14ac:dyDescent="0.55000000000000004">
      <c r="A757" s="1" t="s">
        <v>1426</v>
      </c>
      <c r="B757" s="1">
        <v>141</v>
      </c>
      <c r="C757">
        <v>649.95001000000002</v>
      </c>
      <c r="D757">
        <v>603.5</v>
      </c>
      <c r="E757">
        <v>10.062519999999999</v>
      </c>
      <c r="F757" t="s">
        <v>16</v>
      </c>
      <c r="G757" s="10" t="s">
        <v>589</v>
      </c>
      <c r="H757">
        <v>101</v>
      </c>
      <c r="I757" t="s">
        <v>1378</v>
      </c>
      <c r="J757">
        <f ca="1">VLOOKUP(G757,INDIRECT("球速変換!A$1:B$" &amp; Prams!$B$8),2,)</f>
        <v>127</v>
      </c>
      <c r="K757" t="str">
        <f ca="1">VLOOKUP(I757,INDIRECT("投手名変換!A$1:B$" &amp; Prams!$B$9),2,)</f>
        <v>DD001</v>
      </c>
      <c r="L757">
        <f t="shared" si="62"/>
        <v>40</v>
      </c>
      <c r="M757">
        <f ca="1">(B757-VLOOKUP(K757,INDIRECT("投手データ!B1:D"&amp;Prams!$B$1),3,FALSE)*2)</f>
        <v>47</v>
      </c>
      <c r="N757" t="str">
        <f ca="1">VLOOKUP(F757,INDIRECT("球種変換表!A$1:B$" &amp; Prams!$B$2),2,)</f>
        <v>ナックルカーブ</v>
      </c>
      <c r="O757">
        <f ca="1">VLOOKUP(N757,球種情報!A:B,2,FALSE)</f>
        <v>14</v>
      </c>
      <c r="P757">
        <f ca="1">VLOOKUP(K757,投手データ!B:AI,output!O757+6,FALSE)</f>
        <v>4</v>
      </c>
      <c r="R757">
        <f t="shared" ca="1" si="58"/>
        <v>7.874015748031496E-3</v>
      </c>
      <c r="S757">
        <f t="shared" si="59"/>
        <v>0.66423611111111103</v>
      </c>
      <c r="T757">
        <f>Prams!B$5/(S757-Prams!B$6)</f>
        <v>102.36678824562938</v>
      </c>
      <c r="U757">
        <f t="shared" ca="1" si="60"/>
        <v>0.78090277777777772</v>
      </c>
      <c r="V757">
        <f ca="1">Prams!C$5/(U757-Prams!C$6)</f>
        <v>97.007265864385062</v>
      </c>
      <c r="W757">
        <f t="shared" ca="1" si="61"/>
        <v>0.76383673908964611</v>
      </c>
    </row>
    <row r="758" spans="1:23" hidden="1" x14ac:dyDescent="0.55000000000000004">
      <c r="A758" s="1" t="s">
        <v>1427</v>
      </c>
      <c r="B758" s="1">
        <v>142</v>
      </c>
      <c r="C758">
        <v>654.5</v>
      </c>
      <c r="D758">
        <v>615</v>
      </c>
      <c r="E758">
        <v>11.5435</v>
      </c>
      <c r="F758" t="s">
        <v>16</v>
      </c>
      <c r="G758" s="10" t="s">
        <v>625</v>
      </c>
      <c r="H758">
        <v>101</v>
      </c>
      <c r="I758" t="s">
        <v>1380</v>
      </c>
      <c r="J758">
        <f ca="1">VLOOKUP(G758,INDIRECT("球速変換!A$1:B$" &amp; Prams!$B$8),2,)</f>
        <v>123</v>
      </c>
      <c r="K758" t="str">
        <f ca="1">VLOOKUP(I758,INDIRECT("投手名変換!A$1:B$" &amp; Prams!$B$9),2,)</f>
        <v>DD001</v>
      </c>
      <c r="L758">
        <f t="shared" si="62"/>
        <v>41</v>
      </c>
      <c r="M758">
        <f ca="1">(B758-VLOOKUP(K758,INDIRECT("投手データ!B1:D"&amp;Prams!$B$1),3,FALSE)*2)</f>
        <v>48</v>
      </c>
      <c r="N758" t="str">
        <f ca="1">VLOOKUP(F758,INDIRECT("球種変換表!A$1:B$" &amp; Prams!$B$2),2,)</f>
        <v>ナックルカーブ</v>
      </c>
      <c r="O758">
        <f ca="1">VLOOKUP(N758,球種情報!A:B,2,FALSE)</f>
        <v>14</v>
      </c>
      <c r="P758">
        <f ca="1">VLOOKUP(K758,投手データ!B:AI,output!O758+6,FALSE)</f>
        <v>4</v>
      </c>
      <c r="R758">
        <f t="shared" ca="1" si="58"/>
        <v>8.130081300813009E-3</v>
      </c>
      <c r="S758">
        <f t="shared" si="59"/>
        <v>0.67291666666666672</v>
      </c>
      <c r="T758">
        <f>Prams!B$5/(S758-Prams!B$6)</f>
        <v>100.9162880539761</v>
      </c>
      <c r="U758">
        <f t="shared" ca="1" si="60"/>
        <v>0.7895833333333333</v>
      </c>
      <c r="V758">
        <f ca="1">Prams!C$5/(U758-Prams!C$6)</f>
        <v>95.703707525993963</v>
      </c>
      <c r="W758">
        <f t="shared" ca="1" si="61"/>
        <v>0.77807892297556069</v>
      </c>
    </row>
    <row r="759" spans="1:23" hidden="1" x14ac:dyDescent="0.55000000000000004">
      <c r="A759" s="1" t="s">
        <v>1429</v>
      </c>
      <c r="B759" s="1">
        <v>142</v>
      </c>
      <c r="C759">
        <v>650.47619999999995</v>
      </c>
      <c r="D759">
        <v>610</v>
      </c>
      <c r="E759">
        <v>10.523899999999999</v>
      </c>
      <c r="F759" t="s">
        <v>16</v>
      </c>
      <c r="G759" s="10" t="s">
        <v>649</v>
      </c>
      <c r="H759">
        <v>101</v>
      </c>
      <c r="I759" t="s">
        <v>1727</v>
      </c>
      <c r="J759">
        <f ca="1">VLOOKUP(G759,INDIRECT("球速変換!A$1:B$" &amp; Prams!$B$8),2,)</f>
        <v>124</v>
      </c>
      <c r="K759" t="s">
        <v>1898</v>
      </c>
      <c r="L759">
        <f t="shared" si="62"/>
        <v>41</v>
      </c>
      <c r="M759">
        <f ca="1">(B759-VLOOKUP(K759,INDIRECT("投手データ!B1:D"&amp;Prams!$B$1),3,FALSE)*2)</f>
        <v>48</v>
      </c>
      <c r="N759" t="str">
        <f ca="1">VLOOKUP(F759,INDIRECT("球種変換表!A$1:B$" &amp; Prams!$B$2),2,)</f>
        <v>ナックルカーブ</v>
      </c>
      <c r="O759">
        <f ca="1">VLOOKUP(N759,球種情報!A:B,2,FALSE)</f>
        <v>14</v>
      </c>
      <c r="P759">
        <f ca="1">VLOOKUP(K759,投手データ!B:AI,output!O759+6,FALSE)</f>
        <v>4</v>
      </c>
      <c r="R759">
        <f t="shared" ca="1" si="58"/>
        <v>8.0645161290322578E-3</v>
      </c>
      <c r="S759">
        <f t="shared" si="59"/>
        <v>0.67638888888888893</v>
      </c>
      <c r="T759">
        <f>Prams!B$5/(S759-Prams!B$6)</f>
        <v>100.34753282354639</v>
      </c>
      <c r="U759">
        <f t="shared" ca="1" si="60"/>
        <v>0.79305555555555562</v>
      </c>
      <c r="V759">
        <f ca="1">Prams!C$5/(U759-Prams!C$6)</f>
        <v>95.19204119689995</v>
      </c>
      <c r="W759">
        <f t="shared" ca="1" si="61"/>
        <v>0.76767775158790286</v>
      </c>
    </row>
    <row r="760" spans="1:23" hidden="1" x14ac:dyDescent="0.55000000000000004">
      <c r="A760" s="1" t="s">
        <v>1431</v>
      </c>
      <c r="B760" s="1">
        <v>141</v>
      </c>
      <c r="C760">
        <v>649.5</v>
      </c>
      <c r="D760">
        <v>603.5</v>
      </c>
      <c r="E760">
        <v>10.512</v>
      </c>
      <c r="F760" t="s">
        <v>16</v>
      </c>
      <c r="G760" s="10" t="s">
        <v>1430</v>
      </c>
      <c r="H760">
        <v>101</v>
      </c>
      <c r="I760" t="s">
        <v>1385</v>
      </c>
      <c r="J760">
        <f ca="1">VLOOKUP(G760,INDIRECT("球速変換!A$1:B$" &amp; Prams!$B$8),2,)</f>
        <v>127</v>
      </c>
      <c r="K760" t="str">
        <f ca="1">VLOOKUP(I760,INDIRECT("投手名変換!A$1:B$" &amp; Prams!$B$9),2,)</f>
        <v>DD001</v>
      </c>
      <c r="L760">
        <f t="shared" si="62"/>
        <v>40</v>
      </c>
      <c r="M760">
        <f ca="1">(B760-VLOOKUP(K760,INDIRECT("投手データ!B1:D"&amp;Prams!$B$1),3,FALSE)*2)</f>
        <v>47</v>
      </c>
      <c r="N760" t="str">
        <f ca="1">VLOOKUP(F760,INDIRECT("球種変換表!A$1:B$" &amp; Prams!$B$2),2,)</f>
        <v>ナックルカーブ</v>
      </c>
      <c r="O760">
        <f ca="1">VLOOKUP(N760,球種情報!A:B,2,FALSE)</f>
        <v>14</v>
      </c>
      <c r="P760">
        <f ca="1">VLOOKUP(K760,投手データ!B:AI,output!O760+6,FALSE)</f>
        <v>4</v>
      </c>
      <c r="R760">
        <f t="shared" ca="1" si="58"/>
        <v>7.874015748031496E-3</v>
      </c>
      <c r="S760">
        <f t="shared" si="59"/>
        <v>0.66423611111111103</v>
      </c>
      <c r="T760">
        <f>Prams!B$5/(S760-Prams!B$6)</f>
        <v>102.36678824562938</v>
      </c>
      <c r="U760">
        <f t="shared" ca="1" si="60"/>
        <v>0.78090277777777772</v>
      </c>
      <c r="V760">
        <f ca="1">Prams!C$5/(U760-Prams!C$6)</f>
        <v>97.007265864385062</v>
      </c>
      <c r="W760">
        <f t="shared" ca="1" si="61"/>
        <v>0.76383673908964611</v>
      </c>
    </row>
    <row r="761" spans="1:23" hidden="1" x14ac:dyDescent="0.55000000000000004">
      <c r="A761" s="1" t="s">
        <v>1432</v>
      </c>
      <c r="B761" s="1">
        <v>141</v>
      </c>
      <c r="C761">
        <v>647</v>
      </c>
      <c r="D761">
        <v>600.5</v>
      </c>
      <c r="E761">
        <v>10.012589999999999</v>
      </c>
      <c r="F761" t="s">
        <v>16</v>
      </c>
      <c r="G761" s="10" t="s">
        <v>623</v>
      </c>
      <c r="H761">
        <v>101</v>
      </c>
      <c r="I761" t="s">
        <v>1385</v>
      </c>
      <c r="J761">
        <f ca="1">VLOOKUP(G761,INDIRECT("球速変換!A$1:B$" &amp; Prams!$B$8),2,)</f>
        <v>120</v>
      </c>
      <c r="K761" t="str">
        <f ca="1">VLOOKUP(I761,INDIRECT("投手名変換!A$1:B$" &amp; Prams!$B$9),2,)</f>
        <v>DD001</v>
      </c>
      <c r="L761">
        <f t="shared" si="62"/>
        <v>40</v>
      </c>
      <c r="M761">
        <f ca="1">(B761-VLOOKUP(K761,INDIRECT("投手データ!B1:D"&amp;Prams!$B$1),3,FALSE)*2)</f>
        <v>47</v>
      </c>
      <c r="N761" t="str">
        <f ca="1">VLOOKUP(F761,INDIRECT("球種変換表!A$1:B$" &amp; Prams!$B$2),2,)</f>
        <v>ナックルカーブ</v>
      </c>
      <c r="O761">
        <f ca="1">VLOOKUP(N761,球種情報!A:B,2,FALSE)</f>
        <v>14</v>
      </c>
      <c r="P761">
        <f ca="1">VLOOKUP(K761,投手データ!B:AI,output!O761+6,FALSE)</f>
        <v>4</v>
      </c>
      <c r="R761">
        <f t="shared" ca="1" si="58"/>
        <v>8.3333333333333332E-3</v>
      </c>
      <c r="S761">
        <f t="shared" si="59"/>
        <v>0.66631944444444435</v>
      </c>
      <c r="T761">
        <f>Prams!B$5/(S761-Prams!B$6)</f>
        <v>102.01487851049886</v>
      </c>
      <c r="U761">
        <f t="shared" ca="1" si="60"/>
        <v>0.78298611111111105</v>
      </c>
      <c r="V761">
        <f ca="1">Prams!C$5/(U761-Prams!C$6)</f>
        <v>96.691183817811378</v>
      </c>
      <c r="W761">
        <f t="shared" ca="1" si="61"/>
        <v>0.80575986514842812</v>
      </c>
    </row>
    <row r="762" spans="1:23" hidden="1" x14ac:dyDescent="0.55000000000000004">
      <c r="A762" s="1" t="s">
        <v>1433</v>
      </c>
      <c r="B762" s="1">
        <v>142</v>
      </c>
      <c r="C762">
        <v>650.45239000000004</v>
      </c>
      <c r="D762">
        <v>609.5</v>
      </c>
      <c r="E762">
        <v>10.55955</v>
      </c>
      <c r="F762" t="s">
        <v>16</v>
      </c>
      <c r="G762" s="10" t="s">
        <v>2425</v>
      </c>
      <c r="H762">
        <v>101</v>
      </c>
      <c r="I762" t="s">
        <v>1385</v>
      </c>
      <c r="J762">
        <f ca="1">VLOOKUP(G762,INDIRECT("球速変換!A$1:B$" &amp; Prams!$B$8),2,)</f>
        <v>124</v>
      </c>
      <c r="K762" t="str">
        <f ca="1">VLOOKUP(I762,INDIRECT("投手名変換!A$1:B$" &amp; Prams!$B$9),2,)</f>
        <v>DD001</v>
      </c>
      <c r="L762">
        <f t="shared" si="62"/>
        <v>41</v>
      </c>
      <c r="M762">
        <f ca="1">(B762-VLOOKUP(K762,INDIRECT("投手データ!B1:D"&amp;Prams!$B$1),3,FALSE)*2)</f>
        <v>48</v>
      </c>
      <c r="N762" t="str">
        <f ca="1">VLOOKUP(F762,INDIRECT("球種変換表!A$1:B$" &amp; Prams!$B$2),2,)</f>
        <v>ナックルカーブ</v>
      </c>
      <c r="O762">
        <f ca="1">VLOOKUP(N762,球種情報!A:B,2,FALSE)</f>
        <v>14</v>
      </c>
      <c r="P762">
        <f ca="1">VLOOKUP(K762,投手データ!B:AI,output!O762+6,FALSE)</f>
        <v>4</v>
      </c>
      <c r="R762">
        <f t="shared" ca="1" si="58"/>
        <v>8.0645161290322578E-3</v>
      </c>
      <c r="S762">
        <f t="shared" si="59"/>
        <v>0.67673611111111109</v>
      </c>
      <c r="T762">
        <f>Prams!B$5/(S762-Prams!B$6)</f>
        <v>100.29100970182546</v>
      </c>
      <c r="U762">
        <f t="shared" ca="1" si="60"/>
        <v>0.79340277777777779</v>
      </c>
      <c r="V762">
        <f ca="1">Prams!C$5/(U762-Prams!C$6)</f>
        <v>95.141175313877298</v>
      </c>
      <c r="W762">
        <f t="shared" ca="1" si="61"/>
        <v>0.76726754285384913</v>
      </c>
    </row>
    <row r="763" spans="1:23" hidden="1" x14ac:dyDescent="0.55000000000000004">
      <c r="A763" s="1" t="s">
        <v>1434</v>
      </c>
      <c r="B763" s="1">
        <v>139</v>
      </c>
      <c r="C763">
        <v>626.5</v>
      </c>
      <c r="D763">
        <v>609.5</v>
      </c>
      <c r="E763">
        <v>10.6067</v>
      </c>
      <c r="F763" t="s">
        <v>47</v>
      </c>
      <c r="G763" s="10" t="s">
        <v>2434</v>
      </c>
      <c r="H763">
        <v>98</v>
      </c>
      <c r="I763" t="s">
        <v>1385</v>
      </c>
      <c r="J763">
        <f ca="1">VLOOKUP(G763,INDIRECT("球速変換!A$1:B$" &amp; Prams!$B$8),2,)</f>
        <v>125</v>
      </c>
      <c r="K763" t="str">
        <f ca="1">VLOOKUP(I763,INDIRECT("投手名変換!A$1:B$" &amp; Prams!$B$9),2,)</f>
        <v>DD001</v>
      </c>
      <c r="L763">
        <f t="shared" si="62"/>
        <v>41</v>
      </c>
      <c r="M763">
        <f ca="1">(B763-VLOOKUP(K763,INDIRECT("投手データ!B1:D"&amp;Prams!$B$1),3,FALSE)*2)</f>
        <v>45</v>
      </c>
      <c r="N763" t="str">
        <f ca="1">VLOOKUP(F763,INDIRECT("球種変換表!A$1:B$" &amp; Prams!$B$2),2,)</f>
        <v>サークルチェンジ</v>
      </c>
      <c r="O763">
        <f ca="1">VLOOKUP(N763,球種情報!A:B,2,FALSE)</f>
        <v>24</v>
      </c>
      <c r="P763">
        <f ca="1">VLOOKUP(K763,投手データ!B:AI,output!O763+6,FALSE)</f>
        <v>3</v>
      </c>
      <c r="R763">
        <f t="shared" ca="1" si="58"/>
        <v>8.0000000000000002E-3</v>
      </c>
      <c r="S763">
        <f t="shared" si="59"/>
        <v>0.67673611111111109</v>
      </c>
      <c r="T763">
        <f>Prams!B$5/(S763-Prams!B$6)</f>
        <v>100.29100970182546</v>
      </c>
      <c r="U763">
        <f t="shared" ca="1" si="60"/>
        <v>0.74340277777777775</v>
      </c>
      <c r="V763">
        <f ca="1">Prams!C$5/(U763-Prams!C$6)</f>
        <v>103.07221355167673</v>
      </c>
      <c r="W763">
        <f t="shared" ca="1" si="61"/>
        <v>0.82457770841341382</v>
      </c>
    </row>
    <row r="764" spans="1:23" hidden="1" x14ac:dyDescent="0.55000000000000004">
      <c r="A764" s="1" t="s">
        <v>1740</v>
      </c>
      <c r="B764" s="1">
        <v>139</v>
      </c>
      <c r="C764">
        <v>640</v>
      </c>
      <c r="D764">
        <v>601.5</v>
      </c>
      <c r="E764">
        <v>10.111969999999999</v>
      </c>
      <c r="F764" t="s">
        <v>47</v>
      </c>
      <c r="G764" s="10" t="s">
        <v>2424</v>
      </c>
      <c r="H764">
        <v>98</v>
      </c>
      <c r="I764" t="s">
        <v>1391</v>
      </c>
      <c r="J764">
        <f ca="1">VLOOKUP(G764,INDIRECT("球速変換!A$1:B$" &amp; Prams!$B$8),2,)</f>
        <v>123</v>
      </c>
      <c r="K764" t="str">
        <f ca="1">VLOOKUP(I764,INDIRECT("投手名変換!A$1:B$" &amp; Prams!$B$9),2,)</f>
        <v>DD001</v>
      </c>
      <c r="L764">
        <f t="shared" si="62"/>
        <v>41</v>
      </c>
      <c r="M764">
        <f ca="1">(B764-VLOOKUP(K764,INDIRECT("投手データ!B1:D"&amp;Prams!$B$1),3,FALSE)*2)</f>
        <v>45</v>
      </c>
      <c r="N764" t="str">
        <f ca="1">VLOOKUP(F764,INDIRECT("球種変換表!A$1:B$" &amp; Prams!$B$2),2,)</f>
        <v>サークルチェンジ</v>
      </c>
      <c r="O764">
        <f ca="1">VLOOKUP(N764,球種情報!A:B,2,FALSE)</f>
        <v>24</v>
      </c>
      <c r="P764">
        <f ca="1">VLOOKUP(K764,投手データ!B:AI,output!O764+6,FALSE)</f>
        <v>3</v>
      </c>
      <c r="R764">
        <f t="shared" ca="1" si="58"/>
        <v>8.130081300813009E-3</v>
      </c>
      <c r="S764">
        <f t="shared" si="59"/>
        <v>0.68229166666666663</v>
      </c>
      <c r="T764">
        <f>Prams!B$5/(S764-Prams!B$6)</f>
        <v>99.395222336848036</v>
      </c>
      <c r="U764">
        <f t="shared" ca="1" si="60"/>
        <v>0.74895833333333328</v>
      </c>
      <c r="V764">
        <f ca="1">Prams!C$5/(U764-Prams!C$6)</f>
        <v>102.12628883719012</v>
      </c>
      <c r="W764">
        <f t="shared" ca="1" si="61"/>
        <v>0.83029503119666759</v>
      </c>
    </row>
    <row r="765" spans="1:23" hidden="1" x14ac:dyDescent="0.55000000000000004">
      <c r="A765" s="1" t="s">
        <v>1741</v>
      </c>
      <c r="B765" s="1">
        <v>139</v>
      </c>
      <c r="C765">
        <v>633</v>
      </c>
      <c r="D765">
        <v>605</v>
      </c>
      <c r="E765">
        <v>10.04998</v>
      </c>
      <c r="F765" t="s">
        <v>47</v>
      </c>
      <c r="G765" s="10" t="s">
        <v>591</v>
      </c>
      <c r="H765">
        <v>98</v>
      </c>
      <c r="I765" t="s">
        <v>1401</v>
      </c>
      <c r="J765">
        <f ca="1">VLOOKUP(G765,INDIRECT("球速変換!A$1:B$" &amp; Prams!$B$8),2,)</f>
        <v>128</v>
      </c>
      <c r="K765" t="str">
        <f ca="1">VLOOKUP(I765,INDIRECT("投手名変換!A$1:B$" &amp; Prams!$B$9),2,)</f>
        <v>DD001</v>
      </c>
      <c r="L765">
        <f t="shared" si="62"/>
        <v>41</v>
      </c>
      <c r="M765">
        <f ca="1">(B765-VLOOKUP(K765,INDIRECT("投手データ!B1:D"&amp;Prams!$B$1),3,FALSE)*2)</f>
        <v>45</v>
      </c>
      <c r="N765" t="str">
        <f ca="1">VLOOKUP(F765,INDIRECT("球種変換表!A$1:B$" &amp; Prams!$B$2),2,)</f>
        <v>サークルチェンジ</v>
      </c>
      <c r="O765">
        <f ca="1">VLOOKUP(N765,球種情報!A:B,2,FALSE)</f>
        <v>24</v>
      </c>
      <c r="P765">
        <f ca="1">VLOOKUP(K765,投手データ!B:AI,output!O765+6,FALSE)</f>
        <v>3</v>
      </c>
      <c r="R765">
        <f t="shared" ca="1" si="58"/>
        <v>7.8125E-3</v>
      </c>
      <c r="S765">
        <f t="shared" si="59"/>
        <v>0.67986111111111103</v>
      </c>
      <c r="T765">
        <f>Prams!B$5/(S765-Prams!B$6)</f>
        <v>99.785152572161309</v>
      </c>
      <c r="U765">
        <f t="shared" ca="1" si="60"/>
        <v>0.74652777777777779</v>
      </c>
      <c r="V765">
        <f ca="1">Prams!C$5/(U765-Prams!C$6)</f>
        <v>102.53798593898293</v>
      </c>
      <c r="W765">
        <f t="shared" ca="1" si="61"/>
        <v>0.80107801514830412</v>
      </c>
    </row>
    <row r="766" spans="1:23" hidden="1" x14ac:dyDescent="0.55000000000000004">
      <c r="A766" s="1" t="s">
        <v>1436</v>
      </c>
      <c r="B766" s="1">
        <v>140</v>
      </c>
      <c r="C766">
        <v>633.92498999999998</v>
      </c>
      <c r="D766">
        <v>612</v>
      </c>
      <c r="E766">
        <v>10.12462</v>
      </c>
      <c r="F766" t="s">
        <v>47</v>
      </c>
      <c r="G766" s="10" t="s">
        <v>2231</v>
      </c>
      <c r="H766">
        <v>98</v>
      </c>
      <c r="I766" t="s">
        <v>1401</v>
      </c>
      <c r="J766">
        <f ca="1">VLOOKUP(G766,INDIRECT("球速変換!A$1:B$" &amp; Prams!$B$8),2,)</f>
        <v>122</v>
      </c>
      <c r="K766" t="str">
        <f ca="1">VLOOKUP(I766,INDIRECT("投手名変換!A$1:B$" &amp; Prams!$B$9),2,)</f>
        <v>DD001</v>
      </c>
      <c r="L766">
        <f t="shared" si="62"/>
        <v>42</v>
      </c>
      <c r="M766">
        <f ca="1">(B766-VLOOKUP(K766,INDIRECT("投手データ!B1:D"&amp;Prams!$B$1),3,FALSE)*2)</f>
        <v>46</v>
      </c>
      <c r="N766" t="str">
        <f ca="1">VLOOKUP(F766,INDIRECT("球種変換表!A$1:B$" &amp; Prams!$B$2),2,)</f>
        <v>サークルチェンジ</v>
      </c>
      <c r="O766">
        <f ca="1">VLOOKUP(N766,球種情報!A:B,2,FALSE)</f>
        <v>24</v>
      </c>
      <c r="P766">
        <f ca="1">VLOOKUP(K766,投手データ!B:AI,output!O766+6,FALSE)</f>
        <v>3</v>
      </c>
      <c r="R766">
        <f t="shared" ca="1" si="58"/>
        <v>8.1967213114754103E-3</v>
      </c>
      <c r="S766">
        <f t="shared" si="59"/>
        <v>0.69166666666666665</v>
      </c>
      <c r="T766">
        <f>Prams!B$5/(S766-Prams!B$6)</f>
        <v>97.91932844094822</v>
      </c>
      <c r="U766">
        <f t="shared" ca="1" si="60"/>
        <v>0.7583333333333333</v>
      </c>
      <c r="V766">
        <f ca="1">Prams!C$5/(U766-Prams!C$6)</f>
        <v>100.56881032425984</v>
      </c>
      <c r="W766">
        <f t="shared" ca="1" si="61"/>
        <v>0.82433451085458886</v>
      </c>
    </row>
    <row r="767" spans="1:23" hidden="1" x14ac:dyDescent="0.55000000000000004">
      <c r="A767" s="1" t="s">
        <v>1438</v>
      </c>
      <c r="B767" s="1">
        <v>139</v>
      </c>
      <c r="C767">
        <v>633.95001000000002</v>
      </c>
      <c r="D767">
        <v>603.5</v>
      </c>
      <c r="E767">
        <v>10.062519999999999</v>
      </c>
      <c r="F767" t="s">
        <v>47</v>
      </c>
      <c r="G767" s="10" t="s">
        <v>625</v>
      </c>
      <c r="H767">
        <v>98</v>
      </c>
      <c r="I767" t="s">
        <v>1378</v>
      </c>
      <c r="J767">
        <f ca="1">VLOOKUP(G767,INDIRECT("球速変換!A$1:B$" &amp; Prams!$B$8),2,)</f>
        <v>123</v>
      </c>
      <c r="K767" t="str">
        <f ca="1">VLOOKUP(I767,INDIRECT("投手名変換!A$1:B$" &amp; Prams!$B$9),2,)</f>
        <v>DD001</v>
      </c>
      <c r="L767">
        <f t="shared" si="62"/>
        <v>41</v>
      </c>
      <c r="M767">
        <f ca="1">(B767-VLOOKUP(K767,INDIRECT("投手データ!B1:D"&amp;Prams!$B$1),3,FALSE)*2)</f>
        <v>45</v>
      </c>
      <c r="N767" t="str">
        <f ca="1">VLOOKUP(F767,INDIRECT("球種変換表!A$1:B$" &amp; Prams!$B$2),2,)</f>
        <v>サークルチェンジ</v>
      </c>
      <c r="O767">
        <f ca="1">VLOOKUP(N767,球種情報!A:B,2,FALSE)</f>
        <v>24</v>
      </c>
      <c r="P767">
        <f ca="1">VLOOKUP(K767,投手データ!B:AI,output!O767+6,FALSE)</f>
        <v>3</v>
      </c>
      <c r="R767">
        <f t="shared" ca="1" si="58"/>
        <v>8.130081300813009E-3</v>
      </c>
      <c r="S767">
        <f t="shared" si="59"/>
        <v>0.68090277777777775</v>
      </c>
      <c r="T767">
        <f>Prams!B$5/(S767-Prams!B$6)</f>
        <v>99.617665620789836</v>
      </c>
      <c r="U767">
        <f t="shared" ca="1" si="60"/>
        <v>0.7475694444444444</v>
      </c>
      <c r="V767">
        <f ca="1">Prams!C$5/(U767-Prams!C$6)</f>
        <v>102.36113857857049</v>
      </c>
      <c r="W767">
        <f t="shared" ca="1" si="61"/>
        <v>0.83220437868756492</v>
      </c>
    </row>
    <row r="768" spans="1:23" hidden="1" x14ac:dyDescent="0.55000000000000004">
      <c r="A768" s="1" t="s">
        <v>1743</v>
      </c>
      <c r="B768" s="1">
        <v>140</v>
      </c>
      <c r="C768">
        <v>634.5</v>
      </c>
      <c r="D768">
        <v>613</v>
      </c>
      <c r="E768">
        <v>10.547610000000001</v>
      </c>
      <c r="F768" t="s">
        <v>47</v>
      </c>
      <c r="G768" s="10" t="s">
        <v>2424</v>
      </c>
      <c r="H768">
        <v>98</v>
      </c>
      <c r="I768" t="s">
        <v>1385</v>
      </c>
      <c r="J768">
        <f ca="1">VLOOKUP(G768,INDIRECT("球速変換!A$1:B$" &amp; Prams!$B$8),2,)</f>
        <v>123</v>
      </c>
      <c r="K768" t="str">
        <f ca="1">VLOOKUP(I768,INDIRECT("投手名変換!A$1:B$" &amp; Prams!$B$9),2,)</f>
        <v>DD001</v>
      </c>
      <c r="L768">
        <f t="shared" si="62"/>
        <v>42</v>
      </c>
      <c r="M768">
        <f ca="1">(B768-VLOOKUP(K768,INDIRECT("投手データ!B1:D"&amp;Prams!$B$1),3,FALSE)*2)</f>
        <v>46</v>
      </c>
      <c r="N768" t="str">
        <f ca="1">VLOOKUP(F768,INDIRECT("球種変換表!A$1:B$" &amp; Prams!$B$2),2,)</f>
        <v>サークルチェンジ</v>
      </c>
      <c r="O768">
        <f ca="1">VLOOKUP(N768,球種情報!A:B,2,FALSE)</f>
        <v>24</v>
      </c>
      <c r="P768">
        <f ca="1">VLOOKUP(K768,投手データ!B:AI,output!O768+6,FALSE)</f>
        <v>3</v>
      </c>
      <c r="R768">
        <f t="shared" ca="1" si="58"/>
        <v>8.130081300813009E-3</v>
      </c>
      <c r="S768">
        <f t="shared" si="59"/>
        <v>0.69097222222222221</v>
      </c>
      <c r="T768">
        <f>Prams!B$5/(S768-Prams!B$6)</f>
        <v>98.027149161829101</v>
      </c>
      <c r="U768">
        <f t="shared" ca="1" si="60"/>
        <v>0.75763888888888897</v>
      </c>
      <c r="V768">
        <f ca="1">Prams!C$5/(U768-Prams!C$6)</f>
        <v>100.68254815565426</v>
      </c>
      <c r="W768">
        <f t="shared" ca="1" si="61"/>
        <v>0.81855730207848987</v>
      </c>
    </row>
    <row r="769" spans="1:23" hidden="1" x14ac:dyDescent="0.55000000000000004">
      <c r="A769" s="1" t="s">
        <v>1440</v>
      </c>
      <c r="B769" s="1">
        <v>139</v>
      </c>
      <c r="C769">
        <v>626.45239000000004</v>
      </c>
      <c r="D769">
        <v>604.5</v>
      </c>
      <c r="E769">
        <v>10.55955</v>
      </c>
      <c r="F769" t="s">
        <v>47</v>
      </c>
      <c r="G769" s="10" t="s">
        <v>2425</v>
      </c>
      <c r="H769">
        <v>98</v>
      </c>
      <c r="I769" t="s">
        <v>1380</v>
      </c>
      <c r="J769">
        <f ca="1">VLOOKUP(G769,INDIRECT("球速変換!A$1:B$" &amp; Prams!$B$8),2,)</f>
        <v>124</v>
      </c>
      <c r="K769" t="str">
        <f ca="1">VLOOKUP(I769,INDIRECT("投手名変換!A$1:B$" &amp; Prams!$B$9),2,)</f>
        <v>DD001</v>
      </c>
      <c r="L769">
        <f t="shared" si="62"/>
        <v>41</v>
      </c>
      <c r="M769">
        <f ca="1">(B769-VLOOKUP(K769,INDIRECT("投手データ!B1:D"&amp;Prams!$B$1),3,FALSE)*2)</f>
        <v>45</v>
      </c>
      <c r="N769" t="str">
        <f ca="1">VLOOKUP(F769,INDIRECT("球種変換表!A$1:B$" &amp; Prams!$B$2),2,)</f>
        <v>サークルチェンジ</v>
      </c>
      <c r="O769">
        <f ca="1">VLOOKUP(N769,球種情報!A:B,2,FALSE)</f>
        <v>24</v>
      </c>
      <c r="P769">
        <f ca="1">VLOOKUP(K769,投手データ!B:AI,output!O769+6,FALSE)</f>
        <v>3</v>
      </c>
      <c r="R769">
        <f t="shared" ca="1" si="58"/>
        <v>8.0645161290322578E-3</v>
      </c>
      <c r="S769">
        <f t="shared" si="59"/>
        <v>0.6802083333333333</v>
      </c>
      <c r="T769">
        <f>Prams!B$5/(S769-Prams!B$6)</f>
        <v>99.729261046660127</v>
      </c>
      <c r="U769">
        <f t="shared" ca="1" si="60"/>
        <v>0.74687499999999996</v>
      </c>
      <c r="V769">
        <f ca="1">Prams!C$5/(U769-Prams!C$6)</f>
        <v>102.4789689610874</v>
      </c>
      <c r="W769">
        <f t="shared" ca="1" si="61"/>
        <v>0.82644329807328554</v>
      </c>
    </row>
    <row r="770" spans="1:23" hidden="1" x14ac:dyDescent="0.55000000000000004">
      <c r="A770" s="1" t="s">
        <v>1441</v>
      </c>
      <c r="B770" s="1">
        <v>140</v>
      </c>
      <c r="C770">
        <v>634</v>
      </c>
      <c r="D770">
        <v>610.5</v>
      </c>
      <c r="E770">
        <v>10.111969999999999</v>
      </c>
      <c r="F770" t="s">
        <v>47</v>
      </c>
      <c r="G770" s="10" t="s">
        <v>625</v>
      </c>
      <c r="H770">
        <v>98</v>
      </c>
      <c r="I770" t="s">
        <v>1380</v>
      </c>
      <c r="J770">
        <f ca="1">VLOOKUP(G770,INDIRECT("球速変換!A$1:B$" &amp; Prams!$B$8),2,)</f>
        <v>123</v>
      </c>
      <c r="K770" t="str">
        <f ca="1">VLOOKUP(I770,INDIRECT("投手名変換!A$1:B$" &amp; Prams!$B$9),2,)</f>
        <v>DD001</v>
      </c>
      <c r="L770">
        <f t="shared" si="62"/>
        <v>42</v>
      </c>
      <c r="M770">
        <f ca="1">(B770-VLOOKUP(K770,INDIRECT("投手データ!B1:D"&amp;Prams!$B$1),3,FALSE)*2)</f>
        <v>46</v>
      </c>
      <c r="N770" t="str">
        <f ca="1">VLOOKUP(F770,INDIRECT("球種変換表!A$1:B$" &amp; Prams!$B$2),2,)</f>
        <v>サークルチェンジ</v>
      </c>
      <c r="O770">
        <f ca="1">VLOOKUP(N770,球種情報!A:B,2,FALSE)</f>
        <v>24</v>
      </c>
      <c r="P770">
        <f ca="1">VLOOKUP(K770,投手データ!B:AI,output!O770+6,FALSE)</f>
        <v>3</v>
      </c>
      <c r="R770">
        <f t="shared" ca="1" si="58"/>
        <v>8.130081300813009E-3</v>
      </c>
      <c r="S770">
        <f t="shared" si="59"/>
        <v>0.69270833333333337</v>
      </c>
      <c r="T770">
        <f>Prams!B$5/(S770-Prams!B$6)</f>
        <v>97.758041349866247</v>
      </c>
      <c r="U770">
        <f t="shared" ca="1" si="60"/>
        <v>0.75937500000000002</v>
      </c>
      <c r="V770">
        <f ca="1">Prams!C$5/(U770-Prams!C$6)</f>
        <v>100.39868458446674</v>
      </c>
      <c r="W770">
        <f t="shared" ca="1" si="61"/>
        <v>0.81624946816639621</v>
      </c>
    </row>
    <row r="771" spans="1:23" hidden="1" x14ac:dyDescent="0.55000000000000004">
      <c r="A771" s="1" t="s">
        <v>1744</v>
      </c>
      <c r="B771" s="1">
        <v>139</v>
      </c>
      <c r="C771">
        <v>627.5</v>
      </c>
      <c r="D771">
        <v>607.5</v>
      </c>
      <c r="E771">
        <v>11.59751</v>
      </c>
      <c r="F771" t="s">
        <v>47</v>
      </c>
      <c r="G771" s="10" t="s">
        <v>2434</v>
      </c>
      <c r="H771">
        <v>98</v>
      </c>
      <c r="I771" t="s">
        <v>1385</v>
      </c>
      <c r="J771">
        <f ca="1">VLOOKUP(G771,INDIRECT("球速変換!A$1:B$" &amp; Prams!$B$8),2,)</f>
        <v>125</v>
      </c>
      <c r="K771" t="str">
        <f ca="1">VLOOKUP(I771,INDIRECT("投手名変換!A$1:B$" &amp; Prams!$B$9),2,)</f>
        <v>DD001</v>
      </c>
      <c r="L771">
        <f t="shared" si="62"/>
        <v>41</v>
      </c>
      <c r="M771">
        <f ca="1">(B771-VLOOKUP(K771,INDIRECT("投手データ!B1:D"&amp;Prams!$B$1),3,FALSE)*2)</f>
        <v>45</v>
      </c>
      <c r="N771" t="str">
        <f ca="1">VLOOKUP(F771,INDIRECT("球種変換表!A$1:B$" &amp; Prams!$B$2),2,)</f>
        <v>サークルチェンジ</v>
      </c>
      <c r="O771">
        <f ca="1">VLOOKUP(N771,球種情報!A:B,2,FALSE)</f>
        <v>24</v>
      </c>
      <c r="P771">
        <f ca="1">VLOOKUP(K771,投手データ!B:AI,output!O771+6,FALSE)</f>
        <v>3</v>
      </c>
      <c r="R771">
        <f t="shared" ca="1" si="58"/>
        <v>8.0000000000000002E-3</v>
      </c>
      <c r="S771">
        <f t="shared" si="59"/>
        <v>0.67812499999999998</v>
      </c>
      <c r="T771">
        <f>Prams!B$5/(S771-Prams!B$6)</f>
        <v>100.06555254319589</v>
      </c>
      <c r="U771">
        <f t="shared" ca="1" si="60"/>
        <v>0.74479166666666663</v>
      </c>
      <c r="V771">
        <f ca="1">Prams!C$5/(U771-Prams!C$6)</f>
        <v>102.83409339783488</v>
      </c>
      <c r="W771">
        <f t="shared" ca="1" si="61"/>
        <v>0.82267274718267902</v>
      </c>
    </row>
    <row r="772" spans="1:23" hidden="1" x14ac:dyDescent="0.55000000000000004">
      <c r="A772" s="1" t="s">
        <v>1745</v>
      </c>
      <c r="B772" s="1">
        <v>140</v>
      </c>
      <c r="C772">
        <v>626.45239000000004</v>
      </c>
      <c r="D772">
        <v>612.5</v>
      </c>
      <c r="E772">
        <v>10.55955</v>
      </c>
      <c r="F772" t="s">
        <v>47</v>
      </c>
      <c r="G772" s="10" t="s">
        <v>1056</v>
      </c>
      <c r="H772">
        <v>98</v>
      </c>
      <c r="I772" t="s">
        <v>1380</v>
      </c>
      <c r="J772">
        <f ca="1">VLOOKUP(G772,INDIRECT("球速変換!A$1:B$" &amp; Prams!$B$8),2,)</f>
        <v>122</v>
      </c>
      <c r="K772" t="str">
        <f ca="1">VLOOKUP(I772,INDIRECT("投手名変換!A$1:B$" &amp; Prams!$B$9),2,)</f>
        <v>DD001</v>
      </c>
      <c r="L772">
        <f t="shared" si="62"/>
        <v>42</v>
      </c>
      <c r="M772">
        <f ca="1">(B772-VLOOKUP(K772,INDIRECT("投手データ!B1:D"&amp;Prams!$B$1),3,FALSE)*2)</f>
        <v>46</v>
      </c>
      <c r="N772" t="str">
        <f ca="1">VLOOKUP(F772,INDIRECT("球種変換表!A$1:B$" &amp; Prams!$B$2),2,)</f>
        <v>サークルチェンジ</v>
      </c>
      <c r="O772">
        <f ca="1">VLOOKUP(N772,球種情報!A:B,2,FALSE)</f>
        <v>24</v>
      </c>
      <c r="P772">
        <f ca="1">VLOOKUP(K772,投手データ!B:AI,output!O772+6,FALSE)</f>
        <v>3</v>
      </c>
      <c r="R772">
        <f t="shared" ca="1" si="58"/>
        <v>8.1967213114754103E-3</v>
      </c>
      <c r="S772">
        <f t="shared" si="59"/>
        <v>0.69131944444444438</v>
      </c>
      <c r="T772">
        <f>Prams!B$5/(S772-Prams!B$6)</f>
        <v>97.973209136890489</v>
      </c>
      <c r="U772">
        <f t="shared" ca="1" si="60"/>
        <v>0.75798611111111103</v>
      </c>
      <c r="V772">
        <f ca="1">Prams!C$5/(U772-Prams!C$6)</f>
        <v>100.62564710031242</v>
      </c>
      <c r="W772">
        <f t="shared" ca="1" si="61"/>
        <v>0.82480038606813455</v>
      </c>
    </row>
    <row r="773" spans="1:23" hidden="1" x14ac:dyDescent="0.55000000000000004">
      <c r="A773" s="1" t="s">
        <v>1442</v>
      </c>
      <c r="B773" s="1">
        <v>140</v>
      </c>
      <c r="C773">
        <v>634.5</v>
      </c>
      <c r="D773">
        <v>613</v>
      </c>
      <c r="E773">
        <v>10.547610000000001</v>
      </c>
      <c r="F773" t="s">
        <v>47</v>
      </c>
      <c r="G773" s="10" t="s">
        <v>2424</v>
      </c>
      <c r="H773">
        <v>98</v>
      </c>
      <c r="I773" t="s">
        <v>1385</v>
      </c>
      <c r="J773">
        <f ca="1">VLOOKUP(G773,INDIRECT("球速変換!A$1:B$" &amp; Prams!$B$8),2,)</f>
        <v>123</v>
      </c>
      <c r="K773" t="str">
        <f ca="1">VLOOKUP(I773,INDIRECT("投手名変換!A$1:B$" &amp; Prams!$B$9),2,)</f>
        <v>DD001</v>
      </c>
      <c r="L773">
        <f t="shared" si="62"/>
        <v>42</v>
      </c>
      <c r="M773">
        <f ca="1">(B773-VLOOKUP(K773,INDIRECT("投手データ!B1:D"&amp;Prams!$B$1),3,FALSE)*2)</f>
        <v>46</v>
      </c>
      <c r="N773" t="str">
        <f ca="1">VLOOKUP(F773,INDIRECT("球種変換表!A$1:B$" &amp; Prams!$B$2),2,)</f>
        <v>サークルチェンジ</v>
      </c>
      <c r="O773">
        <f ca="1">VLOOKUP(N773,球種情報!A:B,2,FALSE)</f>
        <v>24</v>
      </c>
      <c r="P773">
        <f ca="1">VLOOKUP(K773,投手データ!B:AI,output!O773+6,FALSE)</f>
        <v>3</v>
      </c>
      <c r="R773">
        <f t="shared" ref="R773:R836" ca="1" si="63">1/J773</f>
        <v>8.130081300813009E-3</v>
      </c>
      <c r="S773">
        <f t="shared" ref="S773:S836" si="64">(L773-(D773-600)/24)*2/120</f>
        <v>0.69097222222222221</v>
      </c>
      <c r="T773">
        <f>Prams!B$5/(S773-Prams!B$6)</f>
        <v>98.027149161829101</v>
      </c>
      <c r="U773">
        <f t="shared" ref="U773:U836" ca="1" si="65">(M773-(D773-600)/24)*2/120</f>
        <v>0.75763888888888897</v>
      </c>
      <c r="V773">
        <f ca="1">Prams!C$5/(U773-Prams!C$6)</f>
        <v>100.68254815565426</v>
      </c>
      <c r="W773">
        <f t="shared" ref="W773:W836" ca="1" si="66">V773/J773</f>
        <v>0.81855730207848987</v>
      </c>
    </row>
    <row r="774" spans="1:23" hidden="1" x14ac:dyDescent="0.55000000000000004">
      <c r="A774" s="1" t="s">
        <v>1443</v>
      </c>
      <c r="B774" s="1">
        <v>139</v>
      </c>
      <c r="C774">
        <v>626.5</v>
      </c>
      <c r="D774">
        <v>605</v>
      </c>
      <c r="E774">
        <v>10.547610000000001</v>
      </c>
      <c r="F774" t="s">
        <v>47</v>
      </c>
      <c r="G774" s="10" t="s">
        <v>2425</v>
      </c>
      <c r="H774">
        <v>98</v>
      </c>
      <c r="I774" t="s">
        <v>1385</v>
      </c>
      <c r="J774">
        <f ca="1">VLOOKUP(G774,INDIRECT("球速変換!A$1:B$" &amp; Prams!$B$8),2,)</f>
        <v>124</v>
      </c>
      <c r="K774" t="str">
        <f ca="1">VLOOKUP(I774,INDIRECT("投手名変換!A$1:B$" &amp; Prams!$B$9),2,)</f>
        <v>DD001</v>
      </c>
      <c r="L774">
        <f t="shared" si="62"/>
        <v>41</v>
      </c>
      <c r="M774">
        <f ca="1">(B774-VLOOKUP(K774,INDIRECT("投手データ!B1:D"&amp;Prams!$B$1),3,FALSE)*2)</f>
        <v>45</v>
      </c>
      <c r="N774" t="str">
        <f ca="1">VLOOKUP(F774,INDIRECT("球種変換表!A$1:B$" &amp; Prams!$B$2),2,)</f>
        <v>サークルチェンジ</v>
      </c>
      <c r="O774">
        <f ca="1">VLOOKUP(N774,球種情報!A:B,2,FALSE)</f>
        <v>24</v>
      </c>
      <c r="P774">
        <f ca="1">VLOOKUP(K774,投手データ!B:AI,output!O774+6,FALSE)</f>
        <v>3</v>
      </c>
      <c r="R774">
        <f t="shared" ca="1" si="63"/>
        <v>8.0645161290322578E-3</v>
      </c>
      <c r="S774">
        <f t="shared" si="64"/>
        <v>0.67986111111111103</v>
      </c>
      <c r="T774">
        <f>Prams!B$5/(S774-Prams!B$6)</f>
        <v>99.785152572161309</v>
      </c>
      <c r="U774">
        <f t="shared" ca="1" si="65"/>
        <v>0.74652777777777779</v>
      </c>
      <c r="V774">
        <f ca="1">Prams!C$5/(U774-Prams!C$6)</f>
        <v>102.53798593898293</v>
      </c>
      <c r="W774">
        <f t="shared" ca="1" si="66"/>
        <v>0.82691924144341067</v>
      </c>
    </row>
    <row r="775" spans="1:23" hidden="1" x14ac:dyDescent="0.55000000000000004">
      <c r="A775" s="1" t="s">
        <v>1444</v>
      </c>
      <c r="B775" s="1">
        <v>140</v>
      </c>
      <c r="C775">
        <v>634</v>
      </c>
      <c r="D775">
        <v>610.5</v>
      </c>
      <c r="E775">
        <v>10.111969999999999</v>
      </c>
      <c r="F775" t="s">
        <v>47</v>
      </c>
      <c r="G775" s="10" t="s">
        <v>591</v>
      </c>
      <c r="H775">
        <v>98</v>
      </c>
      <c r="I775" t="s">
        <v>1385</v>
      </c>
      <c r="J775">
        <f ca="1">VLOOKUP(G775,INDIRECT("球速変換!A$1:B$" &amp; Prams!$B$8),2,)</f>
        <v>128</v>
      </c>
      <c r="K775" t="str">
        <f ca="1">VLOOKUP(I775,INDIRECT("投手名変換!A$1:B$" &amp; Prams!$B$9),2,)</f>
        <v>DD001</v>
      </c>
      <c r="L775">
        <f t="shared" si="62"/>
        <v>42</v>
      </c>
      <c r="M775">
        <f ca="1">(B775-VLOOKUP(K775,INDIRECT("投手データ!B1:D"&amp;Prams!$B$1),3,FALSE)*2)</f>
        <v>46</v>
      </c>
      <c r="N775" t="str">
        <f ca="1">VLOOKUP(F775,INDIRECT("球種変換表!A$1:B$" &amp; Prams!$B$2),2,)</f>
        <v>サークルチェンジ</v>
      </c>
      <c r="O775">
        <f ca="1">VLOOKUP(N775,球種情報!A:B,2,FALSE)</f>
        <v>24</v>
      </c>
      <c r="P775">
        <f ca="1">VLOOKUP(K775,投手データ!B:AI,output!O775+6,FALSE)</f>
        <v>3</v>
      </c>
      <c r="R775">
        <f t="shared" ca="1" si="63"/>
        <v>7.8125E-3</v>
      </c>
      <c r="S775">
        <f t="shared" si="64"/>
        <v>0.69270833333333337</v>
      </c>
      <c r="T775">
        <f>Prams!B$5/(S775-Prams!B$6)</f>
        <v>97.758041349866247</v>
      </c>
      <c r="U775">
        <f t="shared" ca="1" si="65"/>
        <v>0.75937500000000002</v>
      </c>
      <c r="V775">
        <f ca="1">Prams!C$5/(U775-Prams!C$6)</f>
        <v>100.39868458446674</v>
      </c>
      <c r="W775">
        <f t="shared" ca="1" si="66"/>
        <v>0.78436472331614637</v>
      </c>
    </row>
    <row r="776" spans="1:23" hidden="1" x14ac:dyDescent="0.55000000000000004">
      <c r="A776" s="1" t="s">
        <v>1446</v>
      </c>
      <c r="B776" s="1">
        <v>139</v>
      </c>
      <c r="C776">
        <v>628.5</v>
      </c>
      <c r="D776">
        <v>607.5</v>
      </c>
      <c r="E776">
        <v>10.6067</v>
      </c>
      <c r="F776" t="s">
        <v>47</v>
      </c>
      <c r="G776" s="10" t="s">
        <v>623</v>
      </c>
      <c r="H776">
        <v>98</v>
      </c>
      <c r="I776" t="s">
        <v>1445</v>
      </c>
      <c r="J776">
        <f ca="1">VLOOKUP(G776,INDIRECT("球速変換!A$1:B$" &amp; Prams!$B$8),2,)</f>
        <v>120</v>
      </c>
      <c r="K776" t="str">
        <f ca="1">VLOOKUP(I776,INDIRECT("投手名変換!A$1:B$" &amp; Prams!$B$9),2,)</f>
        <v>DD001</v>
      </c>
      <c r="L776">
        <f t="shared" si="62"/>
        <v>41</v>
      </c>
      <c r="M776">
        <f ca="1">(B776-VLOOKUP(K776,INDIRECT("投手データ!B1:D"&amp;Prams!$B$1),3,FALSE)*2)</f>
        <v>45</v>
      </c>
      <c r="N776" t="str">
        <f ca="1">VLOOKUP(F776,INDIRECT("球種変換表!A$1:B$" &amp; Prams!$B$2),2,)</f>
        <v>サークルチェンジ</v>
      </c>
      <c r="O776">
        <f ca="1">VLOOKUP(N776,球種情報!A:B,2,FALSE)</f>
        <v>24</v>
      </c>
      <c r="P776">
        <f ca="1">VLOOKUP(K776,投手データ!B:AI,output!O776+6,FALSE)</f>
        <v>3</v>
      </c>
      <c r="R776">
        <f t="shared" ca="1" si="63"/>
        <v>8.3333333333333332E-3</v>
      </c>
      <c r="S776">
        <f t="shared" si="64"/>
        <v>0.67812499999999998</v>
      </c>
      <c r="T776">
        <f>Prams!B$5/(S776-Prams!B$6)</f>
        <v>100.06555254319589</v>
      </c>
      <c r="U776">
        <f t="shared" ca="1" si="65"/>
        <v>0.74479166666666663</v>
      </c>
      <c r="V776">
        <f ca="1">Prams!C$5/(U776-Prams!C$6)</f>
        <v>102.83409339783488</v>
      </c>
      <c r="W776">
        <f t="shared" ca="1" si="66"/>
        <v>0.85695077831529065</v>
      </c>
    </row>
    <row r="777" spans="1:23" hidden="1" x14ac:dyDescent="0.55000000000000004">
      <c r="A777" s="1" t="s">
        <v>1746</v>
      </c>
      <c r="B777" s="1">
        <v>140</v>
      </c>
      <c r="C777">
        <v>626.5</v>
      </c>
      <c r="D777">
        <v>613</v>
      </c>
      <c r="E777">
        <v>10.547610000000001</v>
      </c>
      <c r="F777" t="s">
        <v>47</v>
      </c>
      <c r="G777" s="10" t="s">
        <v>1056</v>
      </c>
      <c r="H777">
        <v>98</v>
      </c>
      <c r="I777" t="s">
        <v>1380</v>
      </c>
      <c r="J777">
        <f ca="1">VLOOKUP(G777,INDIRECT("球速変換!A$1:B$" &amp; Prams!$B$8),2,)</f>
        <v>122</v>
      </c>
      <c r="K777" t="str">
        <f ca="1">VLOOKUP(I777,INDIRECT("投手名変換!A$1:B$" &amp; Prams!$B$9),2,)</f>
        <v>DD001</v>
      </c>
      <c r="L777">
        <f t="shared" ref="L777:L840" si="67">B777-H777</f>
        <v>42</v>
      </c>
      <c r="M777">
        <f ca="1">(B777-VLOOKUP(K777,INDIRECT("投手データ!B1:D"&amp;Prams!$B$1),3,FALSE)*2)</f>
        <v>46</v>
      </c>
      <c r="N777" t="str">
        <f ca="1">VLOOKUP(F777,INDIRECT("球種変換表!A$1:B$" &amp; Prams!$B$2),2,)</f>
        <v>サークルチェンジ</v>
      </c>
      <c r="O777">
        <f ca="1">VLOOKUP(N777,球種情報!A:B,2,FALSE)</f>
        <v>24</v>
      </c>
      <c r="P777">
        <f ca="1">VLOOKUP(K777,投手データ!B:AI,output!O777+6,FALSE)</f>
        <v>3</v>
      </c>
      <c r="R777">
        <f t="shared" ca="1" si="63"/>
        <v>8.1967213114754103E-3</v>
      </c>
      <c r="S777">
        <f t="shared" si="64"/>
        <v>0.69097222222222221</v>
      </c>
      <c r="T777">
        <f>Prams!B$5/(S777-Prams!B$6)</f>
        <v>98.027149161829101</v>
      </c>
      <c r="U777">
        <f t="shared" ca="1" si="65"/>
        <v>0.75763888888888897</v>
      </c>
      <c r="V777">
        <f ca="1">Prams!C$5/(U777-Prams!C$6)</f>
        <v>100.68254815565426</v>
      </c>
      <c r="W777">
        <f t="shared" ca="1" si="66"/>
        <v>0.82526678816110044</v>
      </c>
    </row>
    <row r="778" spans="1:23" hidden="1" x14ac:dyDescent="0.55000000000000004">
      <c r="A778" s="1" t="s">
        <v>1748</v>
      </c>
      <c r="B778" s="1">
        <v>128</v>
      </c>
      <c r="C778">
        <v>641.90002000000004</v>
      </c>
      <c r="D778">
        <v>607</v>
      </c>
      <c r="E778">
        <v>10.10008</v>
      </c>
      <c r="F778" t="s">
        <v>0</v>
      </c>
      <c r="G778" s="10" t="s">
        <v>2435</v>
      </c>
      <c r="H778">
        <v>99</v>
      </c>
      <c r="I778" t="s">
        <v>1747</v>
      </c>
      <c r="J778">
        <f ca="1">VLOOKUP(G778,INDIRECT("球速変換!A$1:B$" &amp; Prams!$B$8),2,)</f>
        <v>148</v>
      </c>
      <c r="K778" t="s">
        <v>1899</v>
      </c>
      <c r="L778">
        <f t="shared" si="67"/>
        <v>29</v>
      </c>
      <c r="M778">
        <f ca="1">(B778-VLOOKUP(K778,INDIRECT("投手データ!B1:D"&amp;Prams!$B$1),3,FALSE)*2)</f>
        <v>34</v>
      </c>
      <c r="N778" t="str">
        <f ca="1">VLOOKUP(F778,INDIRECT("球種変換表!A$1:B$" &amp; Prams!$B$2),2,)</f>
        <v>ストレート</v>
      </c>
      <c r="O778">
        <f ca="1">VLOOKUP(N778,球種情報!A:B,2,FALSE)</f>
        <v>1</v>
      </c>
      <c r="P778">
        <f ca="1">VLOOKUP(K778,投手データ!B:AI,output!O778+6,FALSE)</f>
        <v>1</v>
      </c>
      <c r="R778">
        <f t="shared" ca="1" si="63"/>
        <v>6.7567567567567571E-3</v>
      </c>
      <c r="S778">
        <f t="shared" si="64"/>
        <v>0.47847222222222219</v>
      </c>
      <c r="T778">
        <f>Prams!B$5/(S778-Prams!B$6)</f>
        <v>147.84100118239431</v>
      </c>
      <c r="U778">
        <f t="shared" ca="1" si="65"/>
        <v>0.56180555555555556</v>
      </c>
      <c r="V778">
        <f ca="1">Prams!C$5/(U778-Prams!C$6)</f>
        <v>147.82921742364866</v>
      </c>
      <c r="W778">
        <f t="shared" ca="1" si="66"/>
        <v>0.99884606367330175</v>
      </c>
    </row>
    <row r="779" spans="1:23" hidden="1" x14ac:dyDescent="0.55000000000000004">
      <c r="A779" s="1" t="s">
        <v>1750</v>
      </c>
      <c r="B779" s="1">
        <v>128</v>
      </c>
      <c r="C779">
        <v>639.5</v>
      </c>
      <c r="D779">
        <v>611.5</v>
      </c>
      <c r="E779">
        <v>10.512</v>
      </c>
      <c r="F779" t="s">
        <v>0</v>
      </c>
      <c r="G779" s="10" t="s">
        <v>1306</v>
      </c>
      <c r="H779">
        <v>99</v>
      </c>
      <c r="I779" t="s">
        <v>1749</v>
      </c>
      <c r="J779">
        <f ca="1">VLOOKUP(G779,INDIRECT("球速変換!A$1:B$" &amp; Prams!$B$8),2,)</f>
        <v>149</v>
      </c>
      <c r="K779" t="s">
        <v>1899</v>
      </c>
      <c r="L779">
        <f t="shared" si="67"/>
        <v>29</v>
      </c>
      <c r="M779">
        <f ca="1">(B779-VLOOKUP(K779,INDIRECT("投手データ!B1:D"&amp;Prams!$B$1),3,FALSE)*2)</f>
        <v>34</v>
      </c>
      <c r="N779" t="str">
        <f ca="1">VLOOKUP(F779,INDIRECT("球種変換表!A$1:B$" &amp; Prams!$B$2),2,)</f>
        <v>ストレート</v>
      </c>
      <c r="O779">
        <f ca="1">VLOOKUP(N779,球種情報!A:B,2,FALSE)</f>
        <v>1</v>
      </c>
      <c r="P779">
        <f ca="1">VLOOKUP(K779,投手データ!B:AI,output!O779+6,FALSE)</f>
        <v>1</v>
      </c>
      <c r="R779">
        <f t="shared" ca="1" si="63"/>
        <v>6.7114093959731542E-3</v>
      </c>
      <c r="S779">
        <f t="shared" si="64"/>
        <v>0.4753472222222222</v>
      </c>
      <c r="T779">
        <f>Prams!B$5/(S779-Prams!B$6)</f>
        <v>148.95413507164514</v>
      </c>
      <c r="U779">
        <f t="shared" ca="1" si="65"/>
        <v>0.55868055555555562</v>
      </c>
      <c r="V779">
        <f ca="1">Prams!C$5/(U779-Prams!C$6)</f>
        <v>148.94217320600416</v>
      </c>
      <c r="W779">
        <f t="shared" ca="1" si="66"/>
        <v>0.99961190071143724</v>
      </c>
    </row>
    <row r="780" spans="1:23" hidden="1" x14ac:dyDescent="0.55000000000000004">
      <c r="A780" s="1" t="s">
        <v>1752</v>
      </c>
      <c r="B780" s="1">
        <v>129</v>
      </c>
      <c r="C780">
        <v>638.97729000000004</v>
      </c>
      <c r="D780">
        <v>621</v>
      </c>
      <c r="E780">
        <v>11.02281</v>
      </c>
      <c r="F780" t="s">
        <v>0</v>
      </c>
      <c r="G780" s="10" t="s">
        <v>620</v>
      </c>
      <c r="H780">
        <v>99</v>
      </c>
      <c r="I780" t="s">
        <v>1751</v>
      </c>
      <c r="J780">
        <f ca="1">VLOOKUP(G780,INDIRECT("球速変換!A$1:B$" &amp; Prams!$B$8),2,)</f>
        <v>146</v>
      </c>
      <c r="K780" t="s">
        <v>1899</v>
      </c>
      <c r="L780">
        <f t="shared" si="67"/>
        <v>30</v>
      </c>
      <c r="M780">
        <f ca="1">(B780-VLOOKUP(K780,INDIRECT("投手データ!B1:D"&amp;Prams!$B$1),3,FALSE)*2)</f>
        <v>35</v>
      </c>
      <c r="N780" t="str">
        <f ca="1">VLOOKUP(F780,INDIRECT("球種変換表!A$1:B$" &amp; Prams!$B$2),2,)</f>
        <v>ストレート</v>
      </c>
      <c r="O780">
        <f ca="1">VLOOKUP(N780,球種情報!A:B,2,FALSE)</f>
        <v>1</v>
      </c>
      <c r="P780">
        <f ca="1">VLOOKUP(K780,投手データ!B:AI,output!O780+6,FALSE)</f>
        <v>1</v>
      </c>
      <c r="R780">
        <f t="shared" ca="1" si="63"/>
        <v>6.8493150684931503E-3</v>
      </c>
      <c r="S780">
        <f t="shared" si="64"/>
        <v>0.48541666666666666</v>
      </c>
      <c r="T780">
        <f>Prams!B$5/(S780-Prams!B$6)</f>
        <v>145.42596150076452</v>
      </c>
      <c r="U780">
        <f t="shared" ca="1" si="65"/>
        <v>0.56874999999999998</v>
      </c>
      <c r="V780">
        <f ca="1">Prams!C$5/(U780-Prams!C$6)</f>
        <v>145.41455956721157</v>
      </c>
      <c r="W780">
        <f t="shared" ca="1" si="66"/>
        <v>0.9959901340219971</v>
      </c>
    </row>
    <row r="781" spans="1:23" hidden="1" x14ac:dyDescent="0.55000000000000004">
      <c r="A781" s="1" t="s">
        <v>1754</v>
      </c>
      <c r="B781" s="1">
        <v>128</v>
      </c>
      <c r="C781">
        <v>643.5</v>
      </c>
      <c r="D781">
        <v>606.5</v>
      </c>
      <c r="E781">
        <v>11.510960000000001</v>
      </c>
      <c r="F781" t="s">
        <v>0</v>
      </c>
      <c r="G781" s="10" t="s">
        <v>640</v>
      </c>
      <c r="H781">
        <v>99</v>
      </c>
      <c r="I781" t="s">
        <v>1753</v>
      </c>
      <c r="J781">
        <f ca="1">VLOOKUP(G781,INDIRECT("球速変換!A$1:B$" &amp; Prams!$B$8),2,)</f>
        <v>148</v>
      </c>
      <c r="K781" t="str">
        <f ca="1">VLOOKUP(I781,INDIRECT("投手名変換!A$1:B$" &amp; Prams!$B$9),2,)</f>
        <v>DD002</v>
      </c>
      <c r="L781">
        <f t="shared" si="67"/>
        <v>29</v>
      </c>
      <c r="M781">
        <f ca="1">(B781-VLOOKUP(K781,INDIRECT("投手データ!B1:D"&amp;Prams!$B$1),3,FALSE)*2)</f>
        <v>34</v>
      </c>
      <c r="N781" t="str">
        <f ca="1">VLOOKUP(F781,INDIRECT("球種変換表!A$1:B$" &amp; Prams!$B$2),2,)</f>
        <v>ストレート</v>
      </c>
      <c r="O781">
        <f ca="1">VLOOKUP(N781,球種情報!A:B,2,FALSE)</f>
        <v>1</v>
      </c>
      <c r="P781">
        <f ca="1">VLOOKUP(K781,投手データ!B:AI,output!O781+6,FALSE)</f>
        <v>1</v>
      </c>
      <c r="R781">
        <f t="shared" ca="1" si="63"/>
        <v>6.7567567567567571E-3</v>
      </c>
      <c r="S781">
        <f t="shared" si="64"/>
        <v>0.47881944444444446</v>
      </c>
      <c r="T781">
        <f>Prams!B$5/(S781-Prams!B$6)</f>
        <v>147.71834575587224</v>
      </c>
      <c r="U781">
        <f t="shared" ca="1" si="65"/>
        <v>0.56215277777777772</v>
      </c>
      <c r="V781">
        <f ca="1">Prams!C$5/(U781-Prams!C$6)</f>
        <v>147.70658154089159</v>
      </c>
      <c r="W781">
        <f t="shared" ca="1" si="66"/>
        <v>0.99801744284386207</v>
      </c>
    </row>
    <row r="782" spans="1:23" hidden="1" x14ac:dyDescent="0.55000000000000004">
      <c r="A782" s="1" t="s">
        <v>1756</v>
      </c>
      <c r="B782" s="1">
        <v>128</v>
      </c>
      <c r="C782">
        <v>639.47619999999995</v>
      </c>
      <c r="D782">
        <v>607</v>
      </c>
      <c r="E782">
        <v>10.523899999999999</v>
      </c>
      <c r="F782" t="s">
        <v>0</v>
      </c>
      <c r="G782" s="10" t="s">
        <v>635</v>
      </c>
      <c r="H782">
        <v>99</v>
      </c>
      <c r="I782" t="s">
        <v>1755</v>
      </c>
      <c r="J782">
        <f ca="1">VLOOKUP(G782,INDIRECT("球速変換!A$1:B$" &amp; Prams!$B$8),2,)</f>
        <v>148</v>
      </c>
      <c r="K782" t="str">
        <f ca="1">VLOOKUP(I782,INDIRECT("投手名変換!A$1:B$" &amp; Prams!$B$9),2,)</f>
        <v>DD002</v>
      </c>
      <c r="L782">
        <f t="shared" si="67"/>
        <v>29</v>
      </c>
      <c r="M782">
        <f ca="1">(B782-VLOOKUP(K782,INDIRECT("投手データ!B1:D"&amp;Prams!$B$1),3,FALSE)*2)</f>
        <v>34</v>
      </c>
      <c r="N782" t="str">
        <f ca="1">VLOOKUP(F782,INDIRECT("球種変換表!A$1:B$" &amp; Prams!$B$2),2,)</f>
        <v>ストレート</v>
      </c>
      <c r="O782">
        <f ca="1">VLOOKUP(N782,球種情報!A:B,2,FALSE)</f>
        <v>1</v>
      </c>
      <c r="P782">
        <f ca="1">VLOOKUP(K782,投手データ!B:AI,output!O782+6,FALSE)</f>
        <v>1</v>
      </c>
      <c r="R782">
        <f t="shared" ca="1" si="63"/>
        <v>6.7567567567567571E-3</v>
      </c>
      <c r="S782">
        <f t="shared" si="64"/>
        <v>0.47847222222222219</v>
      </c>
      <c r="T782">
        <f>Prams!B$5/(S782-Prams!B$6)</f>
        <v>147.84100118239431</v>
      </c>
      <c r="U782">
        <f t="shared" ca="1" si="65"/>
        <v>0.56180555555555556</v>
      </c>
      <c r="V782">
        <f ca="1">Prams!C$5/(U782-Prams!C$6)</f>
        <v>147.82921742364866</v>
      </c>
      <c r="W782">
        <f t="shared" ca="1" si="66"/>
        <v>0.99884606367330175</v>
      </c>
    </row>
    <row r="783" spans="1:23" hidden="1" x14ac:dyDescent="0.55000000000000004">
      <c r="A783" s="1" t="s">
        <v>1758</v>
      </c>
      <c r="B783" s="1">
        <v>128</v>
      </c>
      <c r="C783">
        <v>640</v>
      </c>
      <c r="D783">
        <v>612.5</v>
      </c>
      <c r="E783">
        <v>11.01146</v>
      </c>
      <c r="F783" t="s">
        <v>0</v>
      </c>
      <c r="G783" s="10" t="s">
        <v>644</v>
      </c>
      <c r="H783">
        <v>99</v>
      </c>
      <c r="I783" t="s">
        <v>1757</v>
      </c>
      <c r="J783">
        <f ca="1">VLOOKUP(G783,INDIRECT("球速変換!A$1:B$" &amp; Prams!$B$8),2,)</f>
        <v>149</v>
      </c>
      <c r="K783" t="s">
        <v>1899</v>
      </c>
      <c r="L783">
        <f t="shared" si="67"/>
        <v>29</v>
      </c>
      <c r="M783">
        <f ca="1">(B783-VLOOKUP(K783,INDIRECT("投手データ!B1:D"&amp;Prams!$B$1),3,FALSE)*2)</f>
        <v>34</v>
      </c>
      <c r="N783" t="str">
        <f ca="1">VLOOKUP(F783,INDIRECT("球種変換表!A$1:B$" &amp; Prams!$B$2),2,)</f>
        <v>ストレート</v>
      </c>
      <c r="O783">
        <f ca="1">VLOOKUP(N783,球種情報!A:B,2,FALSE)</f>
        <v>1</v>
      </c>
      <c r="P783">
        <f ca="1">VLOOKUP(K783,投手データ!B:AI,output!O783+6,FALSE)</f>
        <v>1</v>
      </c>
      <c r="R783">
        <f t="shared" ca="1" si="63"/>
        <v>6.7114093959731542E-3</v>
      </c>
      <c r="S783">
        <f t="shared" si="64"/>
        <v>0.47465277777777781</v>
      </c>
      <c r="T783">
        <f>Prams!B$5/(S783-Prams!B$6)</f>
        <v>149.20377831557917</v>
      </c>
      <c r="U783">
        <f t="shared" ca="1" si="65"/>
        <v>0.55798611111111107</v>
      </c>
      <c r="V783">
        <f ca="1">Prams!C$5/(U783-Prams!C$6)</f>
        <v>149.19177632240465</v>
      </c>
      <c r="W783">
        <f t="shared" ca="1" si="66"/>
        <v>1.0012870894121118</v>
      </c>
    </row>
    <row r="784" spans="1:23" hidden="1" x14ac:dyDescent="0.55000000000000004">
      <c r="A784" s="1" t="s">
        <v>1759</v>
      </c>
      <c r="B784" s="1">
        <v>128</v>
      </c>
      <c r="C784">
        <v>634</v>
      </c>
      <c r="D784">
        <v>601</v>
      </c>
      <c r="E784">
        <v>10.04998</v>
      </c>
      <c r="F784" t="s">
        <v>0</v>
      </c>
      <c r="G784" s="10" t="s">
        <v>611</v>
      </c>
      <c r="H784">
        <v>99</v>
      </c>
      <c r="I784" t="s">
        <v>1755</v>
      </c>
      <c r="J784">
        <f ca="1">VLOOKUP(G784,INDIRECT("球速変換!A$1:B$" &amp; Prams!$B$8),2,)</f>
        <v>146</v>
      </c>
      <c r="K784" t="str">
        <f ca="1">VLOOKUP(I784,INDIRECT("投手名変換!A$1:B$" &amp; Prams!$B$9),2,)</f>
        <v>DD002</v>
      </c>
      <c r="L784">
        <f t="shared" si="67"/>
        <v>29</v>
      </c>
      <c r="M784">
        <f ca="1">(B784-VLOOKUP(K784,INDIRECT("投手データ!B1:D"&amp;Prams!$B$1),3,FALSE)*2)</f>
        <v>34</v>
      </c>
      <c r="N784" t="str">
        <f ca="1">VLOOKUP(F784,INDIRECT("球種変換表!A$1:B$" &amp; Prams!$B$2),2,)</f>
        <v>ストレート</v>
      </c>
      <c r="O784">
        <f ca="1">VLOOKUP(N784,球種情報!A:B,2,FALSE)</f>
        <v>1</v>
      </c>
      <c r="P784">
        <f ca="1">VLOOKUP(K784,投手データ!B:AI,output!O784+6,FALSE)</f>
        <v>1</v>
      </c>
      <c r="R784">
        <f t="shared" ca="1" si="63"/>
        <v>6.8493150684931503E-3</v>
      </c>
      <c r="S784">
        <f t="shared" si="64"/>
        <v>0.4826388888888889</v>
      </c>
      <c r="T784">
        <f>Prams!B$5/(S784-Prams!B$6)</f>
        <v>146.38244695544654</v>
      </c>
      <c r="U784">
        <f t="shared" ca="1" si="65"/>
        <v>0.56597222222222221</v>
      </c>
      <c r="V784">
        <f ca="1">Prams!C$5/(U784-Prams!C$6)</f>
        <v>146.37089455062019</v>
      </c>
      <c r="W784">
        <f t="shared" ca="1" si="66"/>
        <v>1.002540373634385</v>
      </c>
    </row>
    <row r="785" spans="1:23" hidden="1" x14ac:dyDescent="0.55000000000000004">
      <c r="A785" s="1" t="s">
        <v>1761</v>
      </c>
      <c r="B785" s="1">
        <v>128</v>
      </c>
      <c r="C785">
        <v>639.5</v>
      </c>
      <c r="D785">
        <v>602.5</v>
      </c>
      <c r="E785">
        <v>10.512</v>
      </c>
      <c r="F785" t="s">
        <v>656</v>
      </c>
      <c r="G785" s="10" t="s">
        <v>613</v>
      </c>
      <c r="H785">
        <v>99</v>
      </c>
      <c r="I785" t="s">
        <v>1760</v>
      </c>
      <c r="J785">
        <f ca="1">VLOOKUP(G785,INDIRECT("球速変換!A$1:B$" &amp; Prams!$B$8),2,)</f>
        <v>147</v>
      </c>
      <c r="K785" t="str">
        <f ca="1">VLOOKUP(I785,INDIRECT("投手名変換!A$1:B$" &amp; Prams!$B$9),2,)</f>
        <v>DD002</v>
      </c>
      <c r="L785">
        <f t="shared" si="67"/>
        <v>29</v>
      </c>
      <c r="M785">
        <f ca="1">(B785-VLOOKUP(K785,INDIRECT("投手データ!B1:D"&amp;Prams!$B$1),3,FALSE)*2)</f>
        <v>34</v>
      </c>
      <c r="N785" t="str">
        <f ca="1">VLOOKUP(F785,INDIRECT("球種変換表!A$1:B$" &amp; Prams!$B$2),2,)</f>
        <v>ストレート</v>
      </c>
      <c r="O785">
        <f ca="1">VLOOKUP(N785,球種情報!A:B,2,FALSE)</f>
        <v>1</v>
      </c>
      <c r="P785">
        <f ca="1">VLOOKUP(K785,投手データ!B:AI,output!O785+6,FALSE)</f>
        <v>1</v>
      </c>
      <c r="R785">
        <f t="shared" ca="1" si="63"/>
        <v>6.8027210884353739E-3</v>
      </c>
      <c r="S785">
        <f t="shared" si="64"/>
        <v>0.48159722222222218</v>
      </c>
      <c r="T785">
        <f>Prams!B$5/(S785-Prams!B$6)</f>
        <v>146.74438078158073</v>
      </c>
      <c r="U785">
        <f t="shared" ca="1" si="65"/>
        <v>0.5649305555555556</v>
      </c>
      <c r="V785">
        <f ca="1">Prams!C$5/(U785-Prams!C$6)</f>
        <v>146.7327711812446</v>
      </c>
      <c r="W785">
        <f t="shared" ca="1" si="66"/>
        <v>0.99818211687921499</v>
      </c>
    </row>
    <row r="786" spans="1:23" hidden="1" x14ac:dyDescent="0.55000000000000004">
      <c r="A786" s="1" t="s">
        <v>1763</v>
      </c>
      <c r="B786" s="1">
        <v>128</v>
      </c>
      <c r="C786">
        <v>642.97729000000004</v>
      </c>
      <c r="D786">
        <v>602</v>
      </c>
      <c r="E786">
        <v>11.02281</v>
      </c>
      <c r="F786" t="s">
        <v>0</v>
      </c>
      <c r="G786" s="10" t="s">
        <v>613</v>
      </c>
      <c r="H786">
        <v>99</v>
      </c>
      <c r="I786" t="s">
        <v>1762</v>
      </c>
      <c r="J786">
        <f ca="1">VLOOKUP(G786,INDIRECT("球速変換!A$1:B$" &amp; Prams!$B$8),2,)</f>
        <v>147</v>
      </c>
      <c r="K786" t="str">
        <f ca="1">VLOOKUP(I786,INDIRECT("投手名変換!A$1:B$" &amp; Prams!$B$9),2,)</f>
        <v>DD002</v>
      </c>
      <c r="L786">
        <f t="shared" si="67"/>
        <v>29</v>
      </c>
      <c r="M786">
        <f ca="1">(B786-VLOOKUP(K786,INDIRECT("投手データ!B1:D"&amp;Prams!$B$1),3,FALSE)*2)</f>
        <v>34</v>
      </c>
      <c r="N786" t="str">
        <f ca="1">VLOOKUP(F786,INDIRECT("球種変換表!A$1:B$" &amp; Prams!$B$2),2,)</f>
        <v>ストレート</v>
      </c>
      <c r="O786">
        <f ca="1">VLOOKUP(N786,球種情報!A:B,2,FALSE)</f>
        <v>1</v>
      </c>
      <c r="P786">
        <f ca="1">VLOOKUP(K786,投手データ!B:AI,output!O786+6,FALSE)</f>
        <v>1</v>
      </c>
      <c r="R786">
        <f t="shared" ca="1" si="63"/>
        <v>6.8027210884353739E-3</v>
      </c>
      <c r="S786">
        <f t="shared" si="64"/>
        <v>0.48194444444444445</v>
      </c>
      <c r="T786">
        <f>Prams!B$5/(S786-Prams!B$6)</f>
        <v>146.62353747233055</v>
      </c>
      <c r="U786">
        <f t="shared" ca="1" si="65"/>
        <v>0.56527777777777777</v>
      </c>
      <c r="V786">
        <f ca="1">Prams!C$5/(U786-Prams!C$6)</f>
        <v>146.6119469842692</v>
      </c>
      <c r="W786">
        <f t="shared" ca="1" si="66"/>
        <v>0.99736018356645706</v>
      </c>
    </row>
    <row r="787" spans="1:23" hidden="1" x14ac:dyDescent="0.55000000000000004">
      <c r="A787" s="1" t="s">
        <v>1765</v>
      </c>
      <c r="B787" s="1">
        <v>128</v>
      </c>
      <c r="C787">
        <v>638.5</v>
      </c>
      <c r="D787">
        <v>603</v>
      </c>
      <c r="E787">
        <v>10.5001</v>
      </c>
      <c r="F787" t="s">
        <v>100</v>
      </c>
      <c r="G787" s="10" t="s">
        <v>638</v>
      </c>
      <c r="H787">
        <v>99</v>
      </c>
      <c r="I787" t="s">
        <v>1764</v>
      </c>
      <c r="J787">
        <f ca="1">VLOOKUP(G787,INDIRECT("球速変換!A$1:B$" &amp; Prams!$B$8),2,)</f>
        <v>147</v>
      </c>
      <c r="K787" t="str">
        <f ca="1">VLOOKUP(I787,INDIRECT("投手名変換!A$1:B$" &amp; Prams!$B$9),2,)</f>
        <v>DD002</v>
      </c>
      <c r="L787">
        <f t="shared" si="67"/>
        <v>29</v>
      </c>
      <c r="M787">
        <f ca="1">(B787-VLOOKUP(K787,INDIRECT("投手データ!B1:D"&amp;Prams!$B$1),3,FALSE)*2)</f>
        <v>34</v>
      </c>
      <c r="N787" t="str">
        <f ca="1">VLOOKUP(F787,INDIRECT("球種変換表!A$1:B$" &amp; Prams!$B$2),2,)</f>
        <v>ストレート</v>
      </c>
      <c r="O787">
        <f ca="1">VLOOKUP(N787,球種情報!A:B,2,FALSE)</f>
        <v>1</v>
      </c>
      <c r="P787">
        <f ca="1">VLOOKUP(K787,投手データ!B:AI,output!O787+6,FALSE)</f>
        <v>1</v>
      </c>
      <c r="R787">
        <f t="shared" ca="1" si="63"/>
        <v>6.8027210884353739E-3</v>
      </c>
      <c r="S787">
        <f t="shared" si="64"/>
        <v>0.48125000000000001</v>
      </c>
      <c r="T787">
        <f>Prams!B$5/(S787-Prams!B$6)</f>
        <v>146.8654234469652</v>
      </c>
      <c r="U787">
        <f t="shared" ca="1" si="65"/>
        <v>0.56458333333333333</v>
      </c>
      <c r="V787">
        <f ca="1">Prams!C$5/(U787-Prams!C$6)</f>
        <v>146.85379468704224</v>
      </c>
      <c r="W787">
        <f t="shared" ca="1" si="66"/>
        <v>0.99900540603430099</v>
      </c>
    </row>
    <row r="788" spans="1:23" hidden="1" x14ac:dyDescent="0.55000000000000004">
      <c r="A788" s="1" t="s">
        <v>1766</v>
      </c>
      <c r="B788" s="1">
        <v>124</v>
      </c>
      <c r="C788">
        <v>639</v>
      </c>
      <c r="D788">
        <v>601</v>
      </c>
      <c r="E788">
        <v>10.04998</v>
      </c>
      <c r="F788" t="s">
        <v>343</v>
      </c>
      <c r="G788" s="10" t="s">
        <v>2436</v>
      </c>
      <c r="H788">
        <v>98</v>
      </c>
      <c r="I788" t="s">
        <v>1753</v>
      </c>
      <c r="J788">
        <f ca="1">VLOOKUP(G788,INDIRECT("球速変換!A$1:B$" &amp; Prams!$B$8),2,)</f>
        <v>149</v>
      </c>
      <c r="K788" t="str">
        <f ca="1">VLOOKUP(I788,INDIRECT("投手名変換!A$1:B$" &amp; Prams!$B$9),2,)</f>
        <v>DD002</v>
      </c>
      <c r="L788">
        <f t="shared" si="67"/>
        <v>26</v>
      </c>
      <c r="M788">
        <f ca="1">(B788-VLOOKUP(K788,INDIRECT("投手データ!B1:D"&amp;Prams!$B$1),3,FALSE)*2)</f>
        <v>30</v>
      </c>
      <c r="N788" t="str">
        <f ca="1">VLOOKUP(F788,INDIRECT("球種変換表!A$1:B$" &amp; Prams!$B$2),2,)</f>
        <v>全力ストレート</v>
      </c>
      <c r="O788">
        <f ca="1">VLOOKUP(N788,球種情報!A:B,2,FALSE)</f>
        <v>2</v>
      </c>
      <c r="P788">
        <f ca="1">VLOOKUP(K788,投手データ!B:AI,output!O788+6,FALSE)</f>
        <v>1</v>
      </c>
      <c r="R788">
        <f t="shared" ca="1" si="63"/>
        <v>6.7114093959731542E-3</v>
      </c>
      <c r="S788">
        <f t="shared" si="64"/>
        <v>0.43263888888888885</v>
      </c>
      <c r="T788">
        <f>Prams!B$5/(S788-Prams!B$6)</f>
        <v>166.03959952850602</v>
      </c>
      <c r="U788">
        <f t="shared" ca="1" si="65"/>
        <v>0.49930555555555556</v>
      </c>
      <c r="V788">
        <f ca="1">Prams!C$5/(U788-Prams!C$6)</f>
        <v>173.80386399487716</v>
      </c>
      <c r="W788">
        <f t="shared" ca="1" si="66"/>
        <v>1.1664688858716588</v>
      </c>
    </row>
    <row r="789" spans="1:23" hidden="1" x14ac:dyDescent="0.55000000000000004">
      <c r="A789" s="1" t="s">
        <v>1767</v>
      </c>
      <c r="B789" s="1">
        <v>125</v>
      </c>
      <c r="C789">
        <v>642.45239000000004</v>
      </c>
      <c r="D789">
        <v>623.5</v>
      </c>
      <c r="E789">
        <v>10.55955</v>
      </c>
      <c r="F789" t="s">
        <v>343</v>
      </c>
      <c r="G789" s="10" t="s">
        <v>640</v>
      </c>
      <c r="H789">
        <v>98</v>
      </c>
      <c r="I789" t="s">
        <v>1764</v>
      </c>
      <c r="J789">
        <f ca="1">VLOOKUP(G789,INDIRECT("球速変換!A$1:B$" &amp; Prams!$B$8),2,)</f>
        <v>148</v>
      </c>
      <c r="K789" t="str">
        <f ca="1">VLOOKUP(I789,INDIRECT("投手名変換!A$1:B$" &amp; Prams!$B$9),2,)</f>
        <v>DD002</v>
      </c>
      <c r="L789">
        <f t="shared" si="67"/>
        <v>27</v>
      </c>
      <c r="M789">
        <f ca="1">(B789-VLOOKUP(K789,INDIRECT("投手データ!B1:D"&amp;Prams!$B$1),3,FALSE)*2)</f>
        <v>31</v>
      </c>
      <c r="N789" t="str">
        <f ca="1">VLOOKUP(F789,INDIRECT("球種変換表!A$1:B$" &amp; Prams!$B$2),2,)</f>
        <v>全力ストレート</v>
      </c>
      <c r="O789">
        <f ca="1">VLOOKUP(N789,球種情報!A:B,2,FALSE)</f>
        <v>2</v>
      </c>
      <c r="P789">
        <f ca="1">VLOOKUP(K789,投手データ!B:AI,output!O789+6,FALSE)</f>
        <v>1</v>
      </c>
      <c r="R789">
        <f t="shared" ca="1" si="63"/>
        <v>6.7567567567567571E-3</v>
      </c>
      <c r="S789">
        <f t="shared" si="64"/>
        <v>0.43368055555555551</v>
      </c>
      <c r="T789">
        <f>Prams!B$5/(S789-Prams!B$6)</f>
        <v>165.57637798790336</v>
      </c>
      <c r="U789">
        <f t="shared" ca="1" si="65"/>
        <v>0.50034722222222217</v>
      </c>
      <c r="V789">
        <f ca="1">Prams!C$5/(U789-Prams!C$6)</f>
        <v>173.29637387194484</v>
      </c>
      <c r="W789">
        <f t="shared" ca="1" si="66"/>
        <v>1.1709214450807084</v>
      </c>
    </row>
    <row r="790" spans="1:23" hidden="1" x14ac:dyDescent="0.55000000000000004">
      <c r="A790" s="1" t="s">
        <v>1768</v>
      </c>
      <c r="B790" s="1">
        <v>124</v>
      </c>
      <c r="C790">
        <v>638.5</v>
      </c>
      <c r="D790">
        <v>600.5</v>
      </c>
      <c r="E790">
        <v>10.512</v>
      </c>
      <c r="F790" t="s">
        <v>343</v>
      </c>
      <c r="G790" s="10" t="s">
        <v>2436</v>
      </c>
      <c r="H790">
        <v>98</v>
      </c>
      <c r="I790" t="s">
        <v>1760</v>
      </c>
      <c r="J790">
        <f ca="1">VLOOKUP(G790,INDIRECT("球速変換!A$1:B$" &amp; Prams!$B$8),2,)</f>
        <v>149</v>
      </c>
      <c r="K790" t="str">
        <f ca="1">VLOOKUP(I790,INDIRECT("投手名変換!A$1:B$" &amp; Prams!$B$9),2,)</f>
        <v>DD002</v>
      </c>
      <c r="L790">
        <f t="shared" si="67"/>
        <v>26</v>
      </c>
      <c r="M790">
        <f ca="1">(B790-VLOOKUP(K790,INDIRECT("投手データ!B1:D"&amp;Prams!$B$1),3,FALSE)*2)</f>
        <v>30</v>
      </c>
      <c r="N790" t="str">
        <f ca="1">VLOOKUP(F790,INDIRECT("球種変換表!A$1:B$" &amp; Prams!$B$2),2,)</f>
        <v>全力ストレート</v>
      </c>
      <c r="O790">
        <f ca="1">VLOOKUP(N790,球種情報!A:B,2,FALSE)</f>
        <v>2</v>
      </c>
      <c r="P790">
        <f ca="1">VLOOKUP(K790,投手データ!B:AI,output!O790+6,FALSE)</f>
        <v>1</v>
      </c>
      <c r="R790">
        <f t="shared" ca="1" si="63"/>
        <v>6.7114093959731542E-3</v>
      </c>
      <c r="S790">
        <f t="shared" si="64"/>
        <v>0.43298611111111113</v>
      </c>
      <c r="T790">
        <f>Prams!B$5/(S790-Prams!B$6)</f>
        <v>165.88490463377732</v>
      </c>
      <c r="U790">
        <f t="shared" ca="1" si="65"/>
        <v>0.49965277777777778</v>
      </c>
      <c r="V790">
        <f ca="1">Prams!C$5/(U790-Prams!C$6)</f>
        <v>173.63437068474556</v>
      </c>
      <c r="W790">
        <f t="shared" ca="1" si="66"/>
        <v>1.1653313468774871</v>
      </c>
    </row>
    <row r="791" spans="1:23" hidden="1" x14ac:dyDescent="0.55000000000000004">
      <c r="A791" s="1" t="s">
        <v>1769</v>
      </c>
      <c r="B791" s="1">
        <v>125</v>
      </c>
      <c r="C791">
        <v>642.5</v>
      </c>
      <c r="D791">
        <v>625.5</v>
      </c>
      <c r="E791">
        <v>10.6067</v>
      </c>
      <c r="F791" t="s">
        <v>343</v>
      </c>
      <c r="G791" s="10" t="s">
        <v>644</v>
      </c>
      <c r="H791">
        <v>98</v>
      </c>
      <c r="I791" t="s">
        <v>1755</v>
      </c>
      <c r="J791">
        <f ca="1">VLOOKUP(G791,INDIRECT("球速変換!A$1:B$" &amp; Prams!$B$8),2,)</f>
        <v>149</v>
      </c>
      <c r="K791" t="str">
        <f ca="1">VLOOKUP(I791,INDIRECT("投手名変換!A$1:B$" &amp; Prams!$B$9),2,)</f>
        <v>DD002</v>
      </c>
      <c r="L791">
        <f t="shared" si="67"/>
        <v>27</v>
      </c>
      <c r="M791">
        <f ca="1">(B791-VLOOKUP(K791,INDIRECT("投手データ!B1:D"&amp;Prams!$B$1),3,FALSE)*2)</f>
        <v>31</v>
      </c>
      <c r="N791" t="str">
        <f ca="1">VLOOKUP(F791,INDIRECT("球種変換表!A$1:B$" &amp; Prams!$B$2),2,)</f>
        <v>全力ストレート</v>
      </c>
      <c r="O791">
        <f ca="1">VLOOKUP(N791,球種情報!A:B,2,FALSE)</f>
        <v>2</v>
      </c>
      <c r="P791">
        <f ca="1">VLOOKUP(K791,投手データ!B:AI,output!O791+6,FALSE)</f>
        <v>1</v>
      </c>
      <c r="R791">
        <f t="shared" ca="1" si="63"/>
        <v>6.7114093959731542E-3</v>
      </c>
      <c r="S791">
        <f t="shared" si="64"/>
        <v>0.43229166666666669</v>
      </c>
      <c r="T791">
        <f>Prams!B$5/(S791-Prams!B$6)</f>
        <v>166.19458321198951</v>
      </c>
      <c r="U791">
        <f t="shared" ca="1" si="65"/>
        <v>0.49895833333333334</v>
      </c>
      <c r="V791">
        <f ca="1">Prams!C$5/(U791-Prams!C$6)</f>
        <v>173.9736885303567</v>
      </c>
      <c r="W791">
        <f t="shared" ca="1" si="66"/>
        <v>1.1676086478547429</v>
      </c>
    </row>
    <row r="792" spans="1:23" hidden="1" x14ac:dyDescent="0.55000000000000004">
      <c r="A792" s="1" t="s">
        <v>2232</v>
      </c>
      <c r="B792" s="1">
        <v>125</v>
      </c>
      <c r="C792">
        <v>642.45239000000004</v>
      </c>
      <c r="D792">
        <v>625.5</v>
      </c>
      <c r="E792">
        <v>10.55955</v>
      </c>
      <c r="F792" t="s">
        <v>343</v>
      </c>
      <c r="G792" s="10" t="s">
        <v>2435</v>
      </c>
      <c r="H792">
        <v>98</v>
      </c>
      <c r="I792" t="s">
        <v>1760</v>
      </c>
      <c r="J792">
        <f ca="1">VLOOKUP(G792,INDIRECT("球速変換!A$1:B$" &amp; Prams!$B$8),2,)</f>
        <v>148</v>
      </c>
      <c r="K792" t="str">
        <f ca="1">VLOOKUP(I792,INDIRECT("投手名変換!A$1:B$" &amp; Prams!$B$9),2,)</f>
        <v>DD002</v>
      </c>
      <c r="L792">
        <f t="shared" si="67"/>
        <v>27</v>
      </c>
      <c r="M792">
        <f ca="1">(B792-VLOOKUP(K792,INDIRECT("投手データ!B1:D"&amp;Prams!$B$1),3,FALSE)*2)</f>
        <v>31</v>
      </c>
      <c r="N792" t="str">
        <f ca="1">VLOOKUP(F792,INDIRECT("球種変換表!A$1:B$" &amp; Prams!$B$2),2,)</f>
        <v>全力ストレート</v>
      </c>
      <c r="O792">
        <f ca="1">VLOOKUP(N792,球種情報!A:B,2,FALSE)</f>
        <v>2</v>
      </c>
      <c r="P792">
        <f ca="1">VLOOKUP(K792,投手データ!B:AI,output!O792+6,FALSE)</f>
        <v>1</v>
      </c>
      <c r="R792">
        <f t="shared" ca="1" si="63"/>
        <v>6.7567567567567571E-3</v>
      </c>
      <c r="S792">
        <f t="shared" si="64"/>
        <v>0.43229166666666669</v>
      </c>
      <c r="T792">
        <f>Prams!B$5/(S792-Prams!B$6)</f>
        <v>166.19458321198951</v>
      </c>
      <c r="U792">
        <f t="shared" ca="1" si="65"/>
        <v>0.49895833333333334</v>
      </c>
      <c r="V792">
        <f ca="1">Prams!C$5/(U792-Prams!C$6)</f>
        <v>173.9736885303567</v>
      </c>
      <c r="W792">
        <f t="shared" ca="1" si="66"/>
        <v>1.1754978954753832</v>
      </c>
    </row>
    <row r="793" spans="1:23" hidden="1" x14ac:dyDescent="0.55000000000000004">
      <c r="A793" s="1" t="s">
        <v>2233</v>
      </c>
      <c r="B793" s="1">
        <v>125</v>
      </c>
      <c r="C793">
        <v>641</v>
      </c>
      <c r="D793">
        <v>621.5</v>
      </c>
      <c r="E793">
        <v>11.01146</v>
      </c>
      <c r="F793" t="s">
        <v>343</v>
      </c>
      <c r="G793" s="10" t="s">
        <v>931</v>
      </c>
      <c r="H793">
        <v>98</v>
      </c>
      <c r="I793" t="s">
        <v>1762</v>
      </c>
      <c r="J793">
        <f ca="1">VLOOKUP(G793,INDIRECT("球速変換!A$1:B$" &amp; Prams!$B$8),2,)</f>
        <v>147</v>
      </c>
      <c r="K793" t="str">
        <f ca="1">VLOOKUP(I793,INDIRECT("投手名変換!A$1:B$" &amp; Prams!$B$9),2,)</f>
        <v>DD002</v>
      </c>
      <c r="L793">
        <f t="shared" si="67"/>
        <v>27</v>
      </c>
      <c r="M793">
        <f ca="1">(B793-VLOOKUP(K793,INDIRECT("投手データ!B1:D"&amp;Prams!$B$1),3,FALSE)*2)</f>
        <v>31</v>
      </c>
      <c r="N793" t="str">
        <f ca="1">VLOOKUP(F793,INDIRECT("球種変換表!A$1:B$" &amp; Prams!$B$2),2,)</f>
        <v>全力ストレート</v>
      </c>
      <c r="O793">
        <f ca="1">VLOOKUP(N793,球種情報!A:B,2,FALSE)</f>
        <v>2</v>
      </c>
      <c r="P793">
        <f ca="1">VLOOKUP(K793,投手データ!B:AI,output!O793+6,FALSE)</f>
        <v>1</v>
      </c>
      <c r="R793">
        <f t="shared" ca="1" si="63"/>
        <v>6.8027210884353739E-3</v>
      </c>
      <c r="S793">
        <f t="shared" si="64"/>
        <v>0.43506944444444445</v>
      </c>
      <c r="T793">
        <f>Prams!B$5/(S793-Prams!B$6)</f>
        <v>164.96275487892558</v>
      </c>
      <c r="U793">
        <f t="shared" ca="1" si="65"/>
        <v>0.50173611111111116</v>
      </c>
      <c r="V793">
        <f ca="1">Prams!C$5/(U793-Prams!C$6)</f>
        <v>172.62431260616307</v>
      </c>
      <c r="W793">
        <f t="shared" ca="1" si="66"/>
        <v>1.174315051742606</v>
      </c>
    </row>
    <row r="794" spans="1:23" hidden="1" x14ac:dyDescent="0.55000000000000004">
      <c r="A794" s="1" t="s">
        <v>2234</v>
      </c>
      <c r="B794" s="1">
        <v>125</v>
      </c>
      <c r="C794">
        <v>642</v>
      </c>
      <c r="D794">
        <v>624.5</v>
      </c>
      <c r="E794">
        <v>11.01146</v>
      </c>
      <c r="F794" t="s">
        <v>343</v>
      </c>
      <c r="G794" s="10" t="s">
        <v>635</v>
      </c>
      <c r="H794">
        <v>98</v>
      </c>
      <c r="I794" t="s">
        <v>1760</v>
      </c>
      <c r="J794">
        <f ca="1">VLOOKUP(G794,INDIRECT("球速変換!A$1:B$" &amp; Prams!$B$8),2,)</f>
        <v>148</v>
      </c>
      <c r="K794" t="str">
        <f ca="1">VLOOKUP(I794,INDIRECT("投手名変換!A$1:B$" &amp; Prams!$B$9),2,)</f>
        <v>DD002</v>
      </c>
      <c r="L794">
        <f t="shared" si="67"/>
        <v>27</v>
      </c>
      <c r="M794">
        <f ca="1">(B794-VLOOKUP(K794,INDIRECT("投手データ!B1:D"&amp;Prams!$B$1),3,FALSE)*2)</f>
        <v>31</v>
      </c>
      <c r="N794" t="str">
        <f ca="1">VLOOKUP(F794,INDIRECT("球種変換表!A$1:B$" &amp; Prams!$B$2),2,)</f>
        <v>全力ストレート</v>
      </c>
      <c r="O794">
        <f ca="1">VLOOKUP(N794,球種情報!A:B,2,FALSE)</f>
        <v>2</v>
      </c>
      <c r="P794">
        <f ca="1">VLOOKUP(K794,投手データ!B:AI,output!O794+6,FALSE)</f>
        <v>1</v>
      </c>
      <c r="R794">
        <f t="shared" ca="1" si="63"/>
        <v>6.7567567567567571E-3</v>
      </c>
      <c r="S794">
        <f t="shared" si="64"/>
        <v>0.43298611111111113</v>
      </c>
      <c r="T794">
        <f>Prams!B$5/(S794-Prams!B$6)</f>
        <v>165.88490463377732</v>
      </c>
      <c r="U794">
        <f t="shared" ca="1" si="65"/>
        <v>0.49965277777777778</v>
      </c>
      <c r="V794">
        <f ca="1">Prams!C$5/(U794-Prams!C$6)</f>
        <v>173.63437068474556</v>
      </c>
      <c r="W794">
        <f t="shared" ca="1" si="66"/>
        <v>1.173205207329362</v>
      </c>
    </row>
    <row r="795" spans="1:23" hidden="1" x14ac:dyDescent="0.55000000000000004">
      <c r="A795" s="1" t="s">
        <v>2235</v>
      </c>
      <c r="B795" s="1">
        <v>129</v>
      </c>
      <c r="C795">
        <v>635</v>
      </c>
      <c r="D795">
        <v>602</v>
      </c>
      <c r="E795">
        <v>11.0001</v>
      </c>
      <c r="F795" t="s">
        <v>36</v>
      </c>
      <c r="G795" s="10" t="s">
        <v>581</v>
      </c>
      <c r="H795">
        <v>98</v>
      </c>
      <c r="I795" t="s">
        <v>1760</v>
      </c>
      <c r="J795">
        <f ca="1">VLOOKUP(G795,INDIRECT("球速変換!A$1:B$" &amp; Prams!$B$8),2,)</f>
        <v>142</v>
      </c>
      <c r="K795" t="str">
        <f ca="1">VLOOKUP(I795,INDIRECT("投手名変換!A$1:B$" &amp; Prams!$B$9),2,)</f>
        <v>DD002</v>
      </c>
      <c r="L795">
        <f t="shared" si="67"/>
        <v>31</v>
      </c>
      <c r="M795">
        <f ca="1">(B795-VLOOKUP(K795,INDIRECT("投手データ!B1:D"&amp;Prams!$B$1),3,FALSE)*2)</f>
        <v>35</v>
      </c>
      <c r="N795" t="str">
        <f ca="1">VLOOKUP(F795,INDIRECT("球種変換表!A$1:B$" &amp; Prams!$B$2),2,)</f>
        <v>ムービングファスト</v>
      </c>
      <c r="O795">
        <f ca="1">VLOOKUP(N795,球種情報!A:B,2,FALSE)</f>
        <v>4</v>
      </c>
      <c r="P795">
        <f ca="1">VLOOKUP(K795,投手データ!B:AI,output!O795+6,FALSE)</f>
        <v>1</v>
      </c>
      <c r="R795">
        <f t="shared" ca="1" si="63"/>
        <v>7.0422535211267607E-3</v>
      </c>
      <c r="S795">
        <f t="shared" si="64"/>
        <v>0.51527777777777783</v>
      </c>
      <c r="T795">
        <f>Prams!B$5/(S795-Prams!B$6)</f>
        <v>135.88136172706848</v>
      </c>
      <c r="U795">
        <f t="shared" ca="1" si="65"/>
        <v>0.58194444444444438</v>
      </c>
      <c r="V795">
        <f ca="1">Prams!C$5/(U795-Prams!C$6)</f>
        <v>141.03748954399131</v>
      </c>
      <c r="W795">
        <f t="shared" ca="1" si="66"/>
        <v>0.99322175735205154</v>
      </c>
    </row>
    <row r="796" spans="1:23" hidden="1" x14ac:dyDescent="0.55000000000000004">
      <c r="A796" s="1" t="s">
        <v>2236</v>
      </c>
      <c r="B796" s="1">
        <v>130</v>
      </c>
      <c r="C796">
        <v>630.5</v>
      </c>
      <c r="D796">
        <v>606.5</v>
      </c>
      <c r="E796">
        <v>10.512</v>
      </c>
      <c r="F796" t="s">
        <v>36</v>
      </c>
      <c r="G796" s="10" t="s">
        <v>1287</v>
      </c>
      <c r="H796">
        <v>98</v>
      </c>
      <c r="I796" t="s">
        <v>1760</v>
      </c>
      <c r="J796">
        <f ca="1">VLOOKUP(G796,INDIRECT("球速変換!A$1:B$" &amp; Prams!$B$8),2,)</f>
        <v>97</v>
      </c>
      <c r="K796" t="str">
        <f ca="1">VLOOKUP(I796,INDIRECT("投手名変換!A$1:B$" &amp; Prams!$B$9),2,)</f>
        <v>DD002</v>
      </c>
      <c r="L796">
        <f t="shared" si="67"/>
        <v>32</v>
      </c>
      <c r="M796">
        <f ca="1">(B796-VLOOKUP(K796,INDIRECT("投手データ!B1:D"&amp;Prams!$B$1),3,FALSE)*2)</f>
        <v>36</v>
      </c>
      <c r="N796" t="str">
        <f ca="1">VLOOKUP(F796,INDIRECT("球種変換表!A$1:B$" &amp; Prams!$B$2),2,)</f>
        <v>ムービングファスト</v>
      </c>
      <c r="O796">
        <f ca="1">VLOOKUP(N796,球種情報!A:B,2,FALSE)</f>
        <v>4</v>
      </c>
      <c r="P796">
        <f ca="1">VLOOKUP(K796,投手データ!B:AI,output!O796+6,FALSE)</f>
        <v>1</v>
      </c>
      <c r="R796">
        <f t="shared" ca="1" si="63"/>
        <v>1.0309278350515464E-2</v>
      </c>
      <c r="S796">
        <f t="shared" si="64"/>
        <v>0.52881944444444451</v>
      </c>
      <c r="T796">
        <f>Prams!B$5/(S796-Prams!B$6)</f>
        <v>131.95396847041803</v>
      </c>
      <c r="U796">
        <f t="shared" ca="1" si="65"/>
        <v>0.59548611111111105</v>
      </c>
      <c r="V796">
        <f ca="1">Prams!C$5/(U796-Prams!C$6)</f>
        <v>136.81102047590656</v>
      </c>
      <c r="W796">
        <f t="shared" ca="1" si="66"/>
        <v>1.4104228915041914</v>
      </c>
    </row>
    <row r="797" spans="1:23" hidden="1" x14ac:dyDescent="0.55000000000000004">
      <c r="A797" s="1" t="s">
        <v>2237</v>
      </c>
      <c r="B797" s="1">
        <v>130</v>
      </c>
      <c r="C797">
        <v>638.5</v>
      </c>
      <c r="D797">
        <v>618.5</v>
      </c>
      <c r="E797">
        <v>11.510960000000001</v>
      </c>
      <c r="F797" t="s">
        <v>36</v>
      </c>
      <c r="G797" s="10" t="s">
        <v>584</v>
      </c>
      <c r="H797">
        <v>98</v>
      </c>
      <c r="I797" t="s">
        <v>1760</v>
      </c>
      <c r="J797">
        <f ca="1">VLOOKUP(G797,INDIRECT("球速変換!A$1:B$" &amp; Prams!$B$8),2,)</f>
        <v>141</v>
      </c>
      <c r="K797" t="str">
        <f ca="1">VLOOKUP(I797,INDIRECT("投手名変換!A$1:B$" &amp; Prams!$B$9),2,)</f>
        <v>DD002</v>
      </c>
      <c r="L797">
        <f t="shared" si="67"/>
        <v>32</v>
      </c>
      <c r="M797">
        <f ca="1">(B797-VLOOKUP(K797,INDIRECT("投手データ!B1:D"&amp;Prams!$B$1),3,FALSE)*2)</f>
        <v>36</v>
      </c>
      <c r="N797" t="str">
        <f ca="1">VLOOKUP(F797,INDIRECT("球種変換表!A$1:B$" &amp; Prams!$B$2),2,)</f>
        <v>ムービングファスト</v>
      </c>
      <c r="O797">
        <f ca="1">VLOOKUP(N797,球種情報!A:B,2,FALSE)</f>
        <v>4</v>
      </c>
      <c r="P797">
        <f ca="1">VLOOKUP(K797,投手データ!B:AI,output!O797+6,FALSE)</f>
        <v>1</v>
      </c>
      <c r="R797">
        <f t="shared" ca="1" si="63"/>
        <v>7.0921985815602835E-3</v>
      </c>
      <c r="S797">
        <f t="shared" si="64"/>
        <v>0.52048611111111109</v>
      </c>
      <c r="T797">
        <f>Prams!B$5/(S797-Prams!B$6)</f>
        <v>134.34347214593132</v>
      </c>
      <c r="U797">
        <f t="shared" ca="1" si="65"/>
        <v>0.58715277777777775</v>
      </c>
      <c r="V797">
        <f ca="1">Prams!C$5/(U797-Prams!C$6)</f>
        <v>139.3813839014523</v>
      </c>
      <c r="W797">
        <f t="shared" ca="1" si="66"/>
        <v>0.98852045320178938</v>
      </c>
    </row>
    <row r="798" spans="1:23" hidden="1" x14ac:dyDescent="0.55000000000000004">
      <c r="A798" s="1" t="s">
        <v>2238</v>
      </c>
      <c r="B798" s="1">
        <v>130</v>
      </c>
      <c r="C798">
        <v>636.52380000000005</v>
      </c>
      <c r="D798">
        <v>610</v>
      </c>
      <c r="E798">
        <v>10.52392</v>
      </c>
      <c r="F798" t="s">
        <v>36</v>
      </c>
      <c r="G798" s="10" t="s">
        <v>2207</v>
      </c>
      <c r="H798">
        <v>98</v>
      </c>
      <c r="I798" t="s">
        <v>1760</v>
      </c>
      <c r="J798">
        <f ca="1">VLOOKUP(G798,INDIRECT("球速変換!A$1:B$" &amp; Prams!$B$8),2,)</f>
        <v>138</v>
      </c>
      <c r="K798" t="str">
        <f ca="1">VLOOKUP(I798,INDIRECT("投手名変換!A$1:B$" &amp; Prams!$B$9),2,)</f>
        <v>DD002</v>
      </c>
      <c r="L798">
        <f t="shared" si="67"/>
        <v>32</v>
      </c>
      <c r="M798">
        <f ca="1">(B798-VLOOKUP(K798,INDIRECT("投手データ!B1:D"&amp;Prams!$B$1),3,FALSE)*2)</f>
        <v>36</v>
      </c>
      <c r="N798" t="str">
        <f ca="1">VLOOKUP(F798,INDIRECT("球種変換表!A$1:B$" &amp; Prams!$B$2),2,)</f>
        <v>ムービングファスト</v>
      </c>
      <c r="O798">
        <f ca="1">VLOOKUP(N798,球種情報!A:B,2,FALSE)</f>
        <v>4</v>
      </c>
      <c r="P798">
        <f ca="1">VLOOKUP(K798,投手データ!B:AI,output!O798+6,FALSE)</f>
        <v>1</v>
      </c>
      <c r="R798">
        <f t="shared" ca="1" si="63"/>
        <v>7.246376811594203E-3</v>
      </c>
      <c r="S798">
        <f t="shared" si="64"/>
        <v>0.52638888888888891</v>
      </c>
      <c r="T798">
        <f>Prams!B$5/(S798-Prams!B$6)</f>
        <v>132.64208067130733</v>
      </c>
      <c r="U798">
        <f t="shared" ca="1" si="65"/>
        <v>0.59305555555555556</v>
      </c>
      <c r="V798">
        <f ca="1">Prams!C$5/(U798-Prams!C$6)</f>
        <v>137.55086400830635</v>
      </c>
      <c r="W798">
        <f t="shared" ca="1" si="66"/>
        <v>0.99674539136453877</v>
      </c>
    </row>
    <row r="799" spans="1:23" hidden="1" x14ac:dyDescent="0.55000000000000004">
      <c r="A799" s="1" t="s">
        <v>2239</v>
      </c>
      <c r="B799" s="1">
        <v>130</v>
      </c>
      <c r="C799">
        <v>637</v>
      </c>
      <c r="D799">
        <v>613</v>
      </c>
      <c r="E799">
        <v>11.0001</v>
      </c>
      <c r="F799" t="s">
        <v>36</v>
      </c>
      <c r="G799" s="10" t="s">
        <v>2417</v>
      </c>
      <c r="H799">
        <v>98</v>
      </c>
      <c r="I799" t="s">
        <v>1760</v>
      </c>
      <c r="J799">
        <f ca="1">VLOOKUP(G799,INDIRECT("球速変換!A$1:B$" &amp; Prams!$B$8),2,)</f>
        <v>139</v>
      </c>
      <c r="K799" t="str">
        <f ca="1">VLOOKUP(I799,INDIRECT("投手名変換!A$1:B$" &amp; Prams!$B$9),2,)</f>
        <v>DD002</v>
      </c>
      <c r="L799">
        <f t="shared" si="67"/>
        <v>32</v>
      </c>
      <c r="M799">
        <f ca="1">(B799-VLOOKUP(K799,INDIRECT("投手データ!B1:D"&amp;Prams!$B$1),3,FALSE)*2)</f>
        <v>36</v>
      </c>
      <c r="N799" t="str">
        <f ca="1">VLOOKUP(F799,INDIRECT("球種変換表!A$1:B$" &amp; Prams!$B$2),2,)</f>
        <v>ムービングファスト</v>
      </c>
      <c r="O799">
        <f ca="1">VLOOKUP(N799,球種情報!A:B,2,FALSE)</f>
        <v>4</v>
      </c>
      <c r="P799">
        <f ca="1">VLOOKUP(K799,投手データ!B:AI,output!O799+6,FALSE)</f>
        <v>1</v>
      </c>
      <c r="R799">
        <f t="shared" ca="1" si="63"/>
        <v>7.1942446043165471E-3</v>
      </c>
      <c r="S799">
        <f t="shared" si="64"/>
        <v>0.52430555555555558</v>
      </c>
      <c r="T799">
        <f>Prams!B$5/(S799-Prams!B$6)</f>
        <v>133.2376288598077</v>
      </c>
      <c r="U799">
        <f t="shared" ca="1" si="65"/>
        <v>0.59097222222222223</v>
      </c>
      <c r="V799">
        <f ca="1">Prams!C$5/(U799-Prams!C$6)</f>
        <v>138.19141405988054</v>
      </c>
      <c r="W799">
        <f t="shared" ca="1" si="66"/>
        <v>0.99418283496316939</v>
      </c>
    </row>
    <row r="800" spans="1:23" hidden="1" x14ac:dyDescent="0.55000000000000004">
      <c r="A800" s="1" t="s">
        <v>2240</v>
      </c>
      <c r="B800" s="1">
        <v>130</v>
      </c>
      <c r="C800">
        <v>637</v>
      </c>
      <c r="D800">
        <v>612.5</v>
      </c>
      <c r="E800">
        <v>11.01146</v>
      </c>
      <c r="F800" t="s">
        <v>36</v>
      </c>
      <c r="G800" s="10" t="s">
        <v>583</v>
      </c>
      <c r="H800">
        <v>98</v>
      </c>
      <c r="I800" t="s">
        <v>1760</v>
      </c>
      <c r="J800">
        <f ca="1">VLOOKUP(G800,INDIRECT("球速変換!A$1:B$" &amp; Prams!$B$8),2,)</f>
        <v>139</v>
      </c>
      <c r="K800" t="str">
        <f ca="1">VLOOKUP(I800,INDIRECT("投手名変換!A$1:B$" &amp; Prams!$B$9),2,)</f>
        <v>DD002</v>
      </c>
      <c r="L800">
        <f t="shared" si="67"/>
        <v>32</v>
      </c>
      <c r="M800">
        <f ca="1">(B800-VLOOKUP(K800,INDIRECT("投手データ!B1:D"&amp;Prams!$B$1),3,FALSE)*2)</f>
        <v>36</v>
      </c>
      <c r="N800" t="str">
        <f ca="1">VLOOKUP(F800,INDIRECT("球種変換表!A$1:B$" &amp; Prams!$B$2),2,)</f>
        <v>ムービングファスト</v>
      </c>
      <c r="O800">
        <f ca="1">VLOOKUP(N800,球種情報!A:B,2,FALSE)</f>
        <v>4</v>
      </c>
      <c r="P800">
        <f ca="1">VLOOKUP(K800,投手データ!B:AI,output!O800+6,FALSE)</f>
        <v>1</v>
      </c>
      <c r="R800">
        <f t="shared" ca="1" si="63"/>
        <v>7.1942446043165471E-3</v>
      </c>
      <c r="S800">
        <f t="shared" si="64"/>
        <v>0.52465277777777775</v>
      </c>
      <c r="T800">
        <f>Prams!B$5/(S800-Prams!B$6)</f>
        <v>133.1379997248261</v>
      </c>
      <c r="U800">
        <f t="shared" ca="1" si="65"/>
        <v>0.5913194444444444</v>
      </c>
      <c r="V800">
        <f ca="1">Prams!C$5/(U800-Prams!C$6)</f>
        <v>138.08424174365149</v>
      </c>
      <c r="W800">
        <f t="shared" ca="1" si="66"/>
        <v>0.99341181110540644</v>
      </c>
    </row>
    <row r="801" spans="1:23" hidden="1" x14ac:dyDescent="0.55000000000000004">
      <c r="A801" s="1" t="s">
        <v>2242</v>
      </c>
      <c r="B801" s="1">
        <v>130</v>
      </c>
      <c r="C801">
        <v>638.5</v>
      </c>
      <c r="D801">
        <v>615</v>
      </c>
      <c r="E801">
        <v>11.5001</v>
      </c>
      <c r="F801" t="s">
        <v>36</v>
      </c>
      <c r="G801" s="10" t="s">
        <v>619</v>
      </c>
      <c r="H801">
        <v>98</v>
      </c>
      <c r="I801" t="s">
        <v>2241</v>
      </c>
      <c r="J801">
        <f ca="1">VLOOKUP(G801,INDIRECT("球速変換!A$1:B$" &amp; Prams!$B$8),2,)</f>
        <v>146</v>
      </c>
      <c r="K801" t="s">
        <v>1899</v>
      </c>
      <c r="L801">
        <f t="shared" si="67"/>
        <v>32</v>
      </c>
      <c r="M801">
        <f ca="1">(B801-VLOOKUP(K801,INDIRECT("投手データ!B1:D"&amp;Prams!$B$1),3,FALSE)*2)</f>
        <v>36</v>
      </c>
      <c r="N801" t="str">
        <f ca="1">VLOOKUP(F801,INDIRECT("球種変換表!A$1:B$" &amp; Prams!$B$2),2,)</f>
        <v>ムービングファスト</v>
      </c>
      <c r="O801">
        <f ca="1">VLOOKUP(N801,球種情報!A:B,2,FALSE)</f>
        <v>4</v>
      </c>
      <c r="P801">
        <f ca="1">VLOOKUP(K801,投手データ!B:AI,output!O801+6,FALSE)</f>
        <v>1</v>
      </c>
      <c r="R801">
        <f t="shared" ca="1" si="63"/>
        <v>6.8493150684931503E-3</v>
      </c>
      <c r="S801">
        <f t="shared" si="64"/>
        <v>0.5229166666666667</v>
      </c>
      <c r="T801">
        <f>Prams!B$5/(S801-Prams!B$6)</f>
        <v>133.63764095543468</v>
      </c>
      <c r="U801">
        <f t="shared" ca="1" si="65"/>
        <v>0.58958333333333335</v>
      </c>
      <c r="V801">
        <f ca="1">Prams!C$5/(U801-Prams!C$6)</f>
        <v>138.62177211405509</v>
      </c>
      <c r="W801">
        <f t="shared" ca="1" si="66"/>
        <v>0.94946419256202119</v>
      </c>
    </row>
    <row r="802" spans="1:23" hidden="1" x14ac:dyDescent="0.55000000000000004">
      <c r="A802" s="1" t="s">
        <v>1770</v>
      </c>
      <c r="B802" s="1">
        <v>130</v>
      </c>
      <c r="C802">
        <v>648.5</v>
      </c>
      <c r="D802">
        <v>617</v>
      </c>
      <c r="E802">
        <v>11.5001</v>
      </c>
      <c r="F802" t="s">
        <v>36</v>
      </c>
      <c r="G802" s="10" t="s">
        <v>582</v>
      </c>
      <c r="H802">
        <v>98</v>
      </c>
      <c r="I802" t="s">
        <v>1760</v>
      </c>
      <c r="J802">
        <f ca="1">VLOOKUP(G802,INDIRECT("球速変換!A$1:B$" &amp; Prams!$B$8),2,)</f>
        <v>140</v>
      </c>
      <c r="K802" t="str">
        <f ca="1">VLOOKUP(I802,INDIRECT("投手名変換!A$1:B$" &amp; Prams!$B$9),2,)</f>
        <v>DD002</v>
      </c>
      <c r="L802">
        <f t="shared" si="67"/>
        <v>32</v>
      </c>
      <c r="M802">
        <f ca="1">(B802-VLOOKUP(K802,INDIRECT("投手データ!B1:D"&amp;Prams!$B$1),3,FALSE)*2)</f>
        <v>36</v>
      </c>
      <c r="N802" t="str">
        <f ca="1">VLOOKUP(F802,INDIRECT("球種変換表!A$1:B$" &amp; Prams!$B$2),2,)</f>
        <v>ムービングファスト</v>
      </c>
      <c r="O802">
        <f ca="1">VLOOKUP(N802,球種情報!A:B,2,FALSE)</f>
        <v>4</v>
      </c>
      <c r="P802">
        <f ca="1">VLOOKUP(K802,投手データ!B:AI,output!O802+6,FALSE)</f>
        <v>1</v>
      </c>
      <c r="R802">
        <f t="shared" ca="1" si="63"/>
        <v>7.1428571428571426E-3</v>
      </c>
      <c r="S802">
        <f t="shared" si="64"/>
        <v>0.52152777777777781</v>
      </c>
      <c r="T802">
        <f>Prams!B$5/(S802-Prams!B$6)</f>
        <v>134.04006215294925</v>
      </c>
      <c r="U802">
        <f t="shared" ca="1" si="65"/>
        <v>0.58819444444444435</v>
      </c>
      <c r="V802">
        <f ca="1">Prams!C$5/(U802-Prams!C$6)</f>
        <v>139.05481899858802</v>
      </c>
      <c r="W802">
        <f t="shared" ca="1" si="66"/>
        <v>0.99324870713277158</v>
      </c>
    </row>
    <row r="803" spans="1:23" hidden="1" x14ac:dyDescent="0.55000000000000004">
      <c r="A803" s="1" t="s">
        <v>1771</v>
      </c>
      <c r="B803" s="1">
        <v>130</v>
      </c>
      <c r="C803">
        <v>638</v>
      </c>
      <c r="D803">
        <v>611.5</v>
      </c>
      <c r="E803">
        <v>11.01146</v>
      </c>
      <c r="F803" t="s">
        <v>36</v>
      </c>
      <c r="G803" s="10" t="s">
        <v>583</v>
      </c>
      <c r="H803">
        <v>98</v>
      </c>
      <c r="I803" t="s">
        <v>1760</v>
      </c>
      <c r="J803">
        <f ca="1">VLOOKUP(G803,INDIRECT("球速変換!A$1:B$" &amp; Prams!$B$8),2,)</f>
        <v>139</v>
      </c>
      <c r="K803" t="str">
        <f ca="1">VLOOKUP(I803,INDIRECT("投手名変換!A$1:B$" &amp; Prams!$B$9),2,)</f>
        <v>DD002</v>
      </c>
      <c r="L803">
        <f t="shared" si="67"/>
        <v>32</v>
      </c>
      <c r="M803">
        <f ca="1">(B803-VLOOKUP(K803,INDIRECT("投手データ!B1:D"&amp;Prams!$B$1),3,FALSE)*2)</f>
        <v>36</v>
      </c>
      <c r="N803" t="str">
        <f ca="1">VLOOKUP(F803,INDIRECT("球種変換表!A$1:B$" &amp; Prams!$B$2),2,)</f>
        <v>ムービングファスト</v>
      </c>
      <c r="O803">
        <f ca="1">VLOOKUP(N803,球種情報!A:B,2,FALSE)</f>
        <v>4</v>
      </c>
      <c r="P803">
        <f ca="1">VLOOKUP(K803,投手データ!B:AI,output!O803+6,FALSE)</f>
        <v>1</v>
      </c>
      <c r="R803">
        <f t="shared" ca="1" si="63"/>
        <v>7.1942446043165471E-3</v>
      </c>
      <c r="S803">
        <f t="shared" si="64"/>
        <v>0.52534722222222219</v>
      </c>
      <c r="T803">
        <f>Prams!B$5/(S803-Prams!B$6)</f>
        <v>132.93918777662964</v>
      </c>
      <c r="U803">
        <f t="shared" ca="1" si="65"/>
        <v>0.59201388888888895</v>
      </c>
      <c r="V803">
        <f ca="1">Prams!C$5/(U803-Prams!C$6)</f>
        <v>137.87039503434946</v>
      </c>
      <c r="W803">
        <f t="shared" ca="1" si="66"/>
        <v>0.99187334557085938</v>
      </c>
    </row>
    <row r="804" spans="1:23" hidden="1" x14ac:dyDescent="0.55000000000000004">
      <c r="A804" s="1" t="s">
        <v>1772</v>
      </c>
      <c r="B804" s="1">
        <v>130</v>
      </c>
      <c r="C804">
        <v>640</v>
      </c>
      <c r="D804">
        <v>610.5</v>
      </c>
      <c r="E804">
        <v>11.01146</v>
      </c>
      <c r="F804" t="s">
        <v>36</v>
      </c>
      <c r="G804" s="10" t="s">
        <v>1101</v>
      </c>
      <c r="H804">
        <v>98</v>
      </c>
      <c r="I804" t="s">
        <v>1760</v>
      </c>
      <c r="J804">
        <f ca="1">VLOOKUP(G804,INDIRECT("球速変換!A$1:B$" &amp; Prams!$B$8),2,)</f>
        <v>92</v>
      </c>
      <c r="K804" t="str">
        <f ca="1">VLOOKUP(I804,INDIRECT("投手名変換!A$1:B$" &amp; Prams!$B$9),2,)</f>
        <v>DD002</v>
      </c>
      <c r="L804">
        <f t="shared" si="67"/>
        <v>32</v>
      </c>
      <c r="M804">
        <f ca="1">(B804-VLOOKUP(K804,INDIRECT("投手データ!B1:D"&amp;Prams!$B$1),3,FALSE)*2)</f>
        <v>36</v>
      </c>
      <c r="N804" t="str">
        <f ca="1">VLOOKUP(F804,INDIRECT("球種変換表!A$1:B$" &amp; Prams!$B$2),2,)</f>
        <v>ムービングファスト</v>
      </c>
      <c r="O804">
        <f ca="1">VLOOKUP(N804,球種情報!A:B,2,FALSE)</f>
        <v>4</v>
      </c>
      <c r="P804">
        <f ca="1">VLOOKUP(K804,投手データ!B:AI,output!O804+6,FALSE)</f>
        <v>1</v>
      </c>
      <c r="R804">
        <f t="shared" ca="1" si="63"/>
        <v>1.0869565217391304E-2</v>
      </c>
      <c r="S804">
        <f t="shared" si="64"/>
        <v>0.52604166666666663</v>
      </c>
      <c r="T804">
        <f>Prams!B$5/(S804-Prams!B$6)</f>
        <v>132.74096870582764</v>
      </c>
      <c r="U804">
        <f t="shared" ca="1" si="65"/>
        <v>0.59270833333333328</v>
      </c>
      <c r="V804">
        <f ca="1">Prams!C$5/(U804-Prams!C$6)</f>
        <v>137.65720965617058</v>
      </c>
      <c r="W804">
        <f t="shared" ca="1" si="66"/>
        <v>1.4962740180018541</v>
      </c>
    </row>
    <row r="805" spans="1:23" hidden="1" x14ac:dyDescent="0.55000000000000004">
      <c r="A805" s="1" t="s">
        <v>1774</v>
      </c>
      <c r="B805" s="1">
        <v>139</v>
      </c>
      <c r="C805">
        <v>644.54760999999996</v>
      </c>
      <c r="D805">
        <v>608.5</v>
      </c>
      <c r="E805">
        <v>10.55958</v>
      </c>
      <c r="F805" t="s">
        <v>1773</v>
      </c>
      <c r="G805" s="10" t="s">
        <v>623</v>
      </c>
      <c r="H805">
        <v>101</v>
      </c>
      <c r="I805" t="s">
        <v>1760</v>
      </c>
      <c r="J805">
        <f ca="1">VLOOKUP(G805,INDIRECT("球速変換!A$1:B$" &amp; Prams!$B$8),2,)</f>
        <v>120</v>
      </c>
      <c r="K805" t="str">
        <f ca="1">VLOOKUP(I805,INDIRECT("投手名変換!A$1:B$" &amp; Prams!$B$9),2,)</f>
        <v>DD002</v>
      </c>
      <c r="L805">
        <f t="shared" si="67"/>
        <v>38</v>
      </c>
      <c r="M805">
        <f ca="1">(B805-VLOOKUP(K805,INDIRECT("投手データ!B1:D"&amp;Prams!$B$1),3,FALSE)*2)</f>
        <v>45</v>
      </c>
      <c r="N805" t="str">
        <f ca="1">VLOOKUP(F805,INDIRECT("球種変換表!A$1:B$" &amp; Prams!$B$2),2,)</f>
        <v>ドロップカーブ</v>
      </c>
      <c r="O805">
        <f ca="1">VLOOKUP(N805,球種情報!A:B,2,FALSE)</f>
        <v>12</v>
      </c>
      <c r="P805">
        <f ca="1">VLOOKUP(K805,投手データ!B:AI,output!O805+6,FALSE)</f>
        <v>4</v>
      </c>
      <c r="R805">
        <f t="shared" ca="1" si="63"/>
        <v>8.3333333333333332E-3</v>
      </c>
      <c r="S805">
        <f t="shared" si="64"/>
        <v>0.6274305555555556</v>
      </c>
      <c r="T805">
        <f>Prams!B$5/(S805-Prams!B$6)</f>
        <v>109.01017304461543</v>
      </c>
      <c r="U805">
        <f t="shared" ca="1" si="65"/>
        <v>0.7440972222222223</v>
      </c>
      <c r="V805">
        <f ca="1">Prams!C$5/(U805-Prams!C$6)</f>
        <v>102.95301578784247</v>
      </c>
      <c r="W805">
        <f t="shared" ca="1" si="66"/>
        <v>0.85794179823202066</v>
      </c>
    </row>
    <row r="806" spans="1:23" hidden="1" x14ac:dyDescent="0.55000000000000004">
      <c r="A806" s="1" t="s">
        <v>1775</v>
      </c>
      <c r="B806" s="1">
        <v>138</v>
      </c>
      <c r="C806">
        <v>642.47619999999995</v>
      </c>
      <c r="D806">
        <v>601</v>
      </c>
      <c r="E806">
        <v>10.523899999999999</v>
      </c>
      <c r="F806" t="s">
        <v>40</v>
      </c>
      <c r="G806" s="10" t="s">
        <v>2419</v>
      </c>
      <c r="H806">
        <v>101</v>
      </c>
      <c r="I806" t="s">
        <v>1764</v>
      </c>
      <c r="J806">
        <f ca="1">VLOOKUP(G806,INDIRECT("球速変換!A$1:B$" &amp; Prams!$B$8),2,)</f>
        <v>126</v>
      </c>
      <c r="K806" t="str">
        <f ca="1">VLOOKUP(I806,INDIRECT("投手名変換!A$1:B$" &amp; Prams!$B$9),2,)</f>
        <v>DD002</v>
      </c>
      <c r="L806">
        <f t="shared" si="67"/>
        <v>37</v>
      </c>
      <c r="M806">
        <f ca="1">(B806-VLOOKUP(K806,INDIRECT("投手データ!B1:D"&amp;Prams!$B$1),3,FALSE)*2)</f>
        <v>44</v>
      </c>
      <c r="N806" t="str">
        <f ca="1">VLOOKUP(F806,INDIRECT("球種変換表!A$1:B$" &amp; Prams!$B$2),2,)</f>
        <v>ドロップカーブ</v>
      </c>
      <c r="O806">
        <f ca="1">VLOOKUP(N806,球種情報!A:B,2,FALSE)</f>
        <v>12</v>
      </c>
      <c r="P806">
        <f ca="1">VLOOKUP(K806,投手データ!B:AI,output!O806+6,FALSE)</f>
        <v>4</v>
      </c>
      <c r="R806">
        <f t="shared" ca="1" si="63"/>
        <v>7.9365079365079361E-3</v>
      </c>
      <c r="S806">
        <f t="shared" si="64"/>
        <v>0.61597222222222225</v>
      </c>
      <c r="T806">
        <f>Prams!B$5/(S806-Prams!B$6)</f>
        <v>111.25803581247938</v>
      </c>
      <c r="U806">
        <f t="shared" ca="1" si="65"/>
        <v>0.73263888888888895</v>
      </c>
      <c r="V806">
        <f ca="1">Prams!C$5/(U806-Prams!C$6)</f>
        <v>104.95571882633669</v>
      </c>
      <c r="W806">
        <f t="shared" ca="1" si="66"/>
        <v>0.83298189544711665</v>
      </c>
    </row>
    <row r="807" spans="1:23" hidden="1" x14ac:dyDescent="0.55000000000000004">
      <c r="A807" s="1" t="s">
        <v>1776</v>
      </c>
      <c r="B807" s="1">
        <v>139</v>
      </c>
      <c r="C807">
        <v>647</v>
      </c>
      <c r="D807">
        <v>601</v>
      </c>
      <c r="E807">
        <v>10.04998</v>
      </c>
      <c r="F807" t="s">
        <v>40</v>
      </c>
      <c r="G807" s="10" t="s">
        <v>2424</v>
      </c>
      <c r="H807">
        <v>101</v>
      </c>
      <c r="I807" t="s">
        <v>1760</v>
      </c>
      <c r="J807">
        <f ca="1">VLOOKUP(G807,INDIRECT("球速変換!A$1:B$" &amp; Prams!$B$8),2,)</f>
        <v>123</v>
      </c>
      <c r="K807" t="str">
        <f ca="1">VLOOKUP(I807,INDIRECT("投手名変換!A$1:B$" &amp; Prams!$B$9),2,)</f>
        <v>DD002</v>
      </c>
      <c r="L807">
        <f t="shared" si="67"/>
        <v>38</v>
      </c>
      <c r="M807">
        <f ca="1">(B807-VLOOKUP(K807,INDIRECT("投手データ!B1:D"&amp;Prams!$B$1),3,FALSE)*2)</f>
        <v>45</v>
      </c>
      <c r="N807" t="str">
        <f ca="1">VLOOKUP(F807,INDIRECT("球種変換表!A$1:B$" &amp; Prams!$B$2),2,)</f>
        <v>ドロップカーブ</v>
      </c>
      <c r="O807">
        <f ca="1">VLOOKUP(N807,球種情報!A:B,2,FALSE)</f>
        <v>12</v>
      </c>
      <c r="P807">
        <f ca="1">VLOOKUP(K807,投手データ!B:AI,output!O807+6,FALSE)</f>
        <v>4</v>
      </c>
      <c r="R807">
        <f t="shared" ca="1" si="63"/>
        <v>8.130081300813009E-3</v>
      </c>
      <c r="S807">
        <f t="shared" si="64"/>
        <v>0.63263888888888897</v>
      </c>
      <c r="T807">
        <f>Prams!B$5/(S807-Prams!B$6)</f>
        <v>108.01817105250385</v>
      </c>
      <c r="U807">
        <f t="shared" ca="1" si="65"/>
        <v>0.74930555555555556</v>
      </c>
      <c r="V807">
        <f ca="1">Prams!C$5/(U807-Prams!C$6)</f>
        <v>102.06774468709587</v>
      </c>
      <c r="W807">
        <f t="shared" ca="1" si="66"/>
        <v>0.82981906249671433</v>
      </c>
    </row>
    <row r="808" spans="1:23" hidden="1" x14ac:dyDescent="0.55000000000000004">
      <c r="A808" s="1" t="s">
        <v>1777</v>
      </c>
      <c r="B808" s="1">
        <v>140</v>
      </c>
      <c r="C808">
        <v>651.54345999999998</v>
      </c>
      <c r="D808">
        <v>613.5</v>
      </c>
      <c r="E808">
        <v>11.55442</v>
      </c>
      <c r="F808" t="s">
        <v>40</v>
      </c>
      <c r="G808" s="10" t="s">
        <v>2424</v>
      </c>
      <c r="H808">
        <v>101</v>
      </c>
      <c r="I808" t="s">
        <v>1760</v>
      </c>
      <c r="J808">
        <f ca="1">VLOOKUP(G808,INDIRECT("球速変換!A$1:B$" &amp; Prams!$B$8),2,)</f>
        <v>123</v>
      </c>
      <c r="K808" t="str">
        <f ca="1">VLOOKUP(I808,INDIRECT("投手名変換!A$1:B$" &amp; Prams!$B$9),2,)</f>
        <v>DD002</v>
      </c>
      <c r="L808">
        <f t="shared" si="67"/>
        <v>39</v>
      </c>
      <c r="M808">
        <f ca="1">(B808-VLOOKUP(K808,INDIRECT("投手データ!B1:D"&amp;Prams!$B$1),3,FALSE)*2)</f>
        <v>46</v>
      </c>
      <c r="N808" t="str">
        <f ca="1">VLOOKUP(F808,INDIRECT("球種変換表!A$1:B$" &amp; Prams!$B$2),2,)</f>
        <v>ドロップカーブ</v>
      </c>
      <c r="O808">
        <f ca="1">VLOOKUP(N808,球種情報!A:B,2,FALSE)</f>
        <v>12</v>
      </c>
      <c r="P808">
        <f ca="1">VLOOKUP(K808,投手データ!B:AI,output!O808+6,FALSE)</f>
        <v>4</v>
      </c>
      <c r="R808">
        <f t="shared" ca="1" si="63"/>
        <v>8.130081300813009E-3</v>
      </c>
      <c r="S808">
        <f t="shared" si="64"/>
        <v>0.640625</v>
      </c>
      <c r="T808">
        <f>Prams!B$5/(S808-Prams!B$6)</f>
        <v>106.53168483177531</v>
      </c>
      <c r="U808">
        <f t="shared" ca="1" si="65"/>
        <v>0.7572916666666667</v>
      </c>
      <c r="V808">
        <f ca="1">Prams!C$5/(U808-Prams!C$6)</f>
        <v>100.73951359939164</v>
      </c>
      <c r="W808">
        <f t="shared" ca="1" si="66"/>
        <v>0.81902043576741168</v>
      </c>
    </row>
    <row r="809" spans="1:23" hidden="1" x14ac:dyDescent="0.55000000000000004">
      <c r="A809" s="1" t="s">
        <v>1778</v>
      </c>
      <c r="B809" s="1">
        <v>138</v>
      </c>
      <c r="C809">
        <v>643.5</v>
      </c>
      <c r="D809">
        <v>602.5</v>
      </c>
      <c r="E809">
        <v>11.510960000000001</v>
      </c>
      <c r="F809" t="s">
        <v>40</v>
      </c>
      <c r="G809" s="10" t="s">
        <v>2243</v>
      </c>
      <c r="H809">
        <v>101</v>
      </c>
      <c r="I809" t="s">
        <v>1753</v>
      </c>
      <c r="J809">
        <f ca="1">VLOOKUP(G809,INDIRECT("球速変換!A$1:B$" &amp; Prams!$B$8),2,)</f>
        <v>126</v>
      </c>
      <c r="K809" t="str">
        <f ca="1">VLOOKUP(I809,INDIRECT("投手名変換!A$1:B$" &amp; Prams!$B$9),2,)</f>
        <v>DD002</v>
      </c>
      <c r="L809">
        <f t="shared" si="67"/>
        <v>37</v>
      </c>
      <c r="M809">
        <f ca="1">(B809-VLOOKUP(K809,INDIRECT("投手データ!B1:D"&amp;Prams!$B$1),3,FALSE)*2)</f>
        <v>44</v>
      </c>
      <c r="N809" t="str">
        <f ca="1">VLOOKUP(F809,INDIRECT("球種変換表!A$1:B$" &amp; Prams!$B$2),2,)</f>
        <v>ドロップカーブ</v>
      </c>
      <c r="O809">
        <f ca="1">VLOOKUP(N809,球種情報!A:B,2,FALSE)</f>
        <v>12</v>
      </c>
      <c r="P809">
        <f ca="1">VLOOKUP(K809,投手データ!B:AI,output!O809+6,FALSE)</f>
        <v>4</v>
      </c>
      <c r="R809">
        <f t="shared" ca="1" si="63"/>
        <v>7.9365079365079361E-3</v>
      </c>
      <c r="S809">
        <f t="shared" si="64"/>
        <v>0.61493055555555565</v>
      </c>
      <c r="T809">
        <f>Prams!B$5/(S809-Prams!B$6)</f>
        <v>111.46699254258338</v>
      </c>
      <c r="U809">
        <f t="shared" ca="1" si="65"/>
        <v>0.73159722222222223</v>
      </c>
      <c r="V809">
        <f ca="1">Prams!C$5/(U809-Prams!C$6)</f>
        <v>105.14165316351645</v>
      </c>
      <c r="W809">
        <f t="shared" ca="1" si="66"/>
        <v>0.83445756478981314</v>
      </c>
    </row>
    <row r="810" spans="1:23" hidden="1" x14ac:dyDescent="0.55000000000000004">
      <c r="A810" s="1" t="s">
        <v>1780</v>
      </c>
      <c r="B810" s="1">
        <v>139</v>
      </c>
      <c r="C810">
        <v>642.5</v>
      </c>
      <c r="D810">
        <v>609.5</v>
      </c>
      <c r="E810">
        <v>10.6067</v>
      </c>
      <c r="F810" t="s">
        <v>40</v>
      </c>
      <c r="G810" s="10" t="s">
        <v>1779</v>
      </c>
      <c r="H810">
        <v>101</v>
      </c>
      <c r="I810" t="s">
        <v>1764</v>
      </c>
      <c r="J810">
        <f ca="1">VLOOKUP(G810,INDIRECT("球速変換!A$1:B$" &amp; Prams!$B$8),2,)</f>
        <v>125</v>
      </c>
      <c r="K810" t="str">
        <f ca="1">VLOOKUP(I810,INDIRECT("投手名変換!A$1:B$" &amp; Prams!$B$9),2,)</f>
        <v>DD002</v>
      </c>
      <c r="L810">
        <f t="shared" si="67"/>
        <v>38</v>
      </c>
      <c r="M810">
        <f ca="1">(B810-VLOOKUP(K810,INDIRECT("投手データ!B1:D"&amp;Prams!$B$1),3,FALSE)*2)</f>
        <v>45</v>
      </c>
      <c r="N810" t="str">
        <f ca="1">VLOOKUP(F810,INDIRECT("球種変換表!A$1:B$" &amp; Prams!$B$2),2,)</f>
        <v>ドロップカーブ</v>
      </c>
      <c r="O810">
        <f ca="1">VLOOKUP(N810,球種情報!A:B,2,FALSE)</f>
        <v>12</v>
      </c>
      <c r="P810">
        <f ca="1">VLOOKUP(K810,投手データ!B:AI,output!O810+6,FALSE)</f>
        <v>4</v>
      </c>
      <c r="R810">
        <f t="shared" ca="1" si="63"/>
        <v>8.0000000000000002E-3</v>
      </c>
      <c r="S810">
        <f t="shared" si="64"/>
        <v>0.62673611111111105</v>
      </c>
      <c r="T810">
        <f>Prams!B$5/(S810-Prams!B$6)</f>
        <v>109.14381831823734</v>
      </c>
      <c r="U810">
        <f t="shared" ca="1" si="65"/>
        <v>0.74340277777777775</v>
      </c>
      <c r="V810">
        <f ca="1">Prams!C$5/(U810-Prams!C$6)</f>
        <v>103.07221355167673</v>
      </c>
      <c r="W810">
        <f t="shared" ca="1" si="66"/>
        <v>0.82457770841341382</v>
      </c>
    </row>
    <row r="811" spans="1:23" hidden="1" x14ac:dyDescent="0.55000000000000004">
      <c r="A811" s="1" t="s">
        <v>1781</v>
      </c>
      <c r="B811" s="1">
        <v>140</v>
      </c>
      <c r="C811">
        <v>640</v>
      </c>
      <c r="D811">
        <v>614.5</v>
      </c>
      <c r="E811">
        <v>11.01146</v>
      </c>
      <c r="F811" t="s">
        <v>40</v>
      </c>
      <c r="G811" s="10" t="s">
        <v>1097</v>
      </c>
      <c r="H811">
        <v>101</v>
      </c>
      <c r="I811" t="s">
        <v>1760</v>
      </c>
      <c r="J811">
        <f ca="1">VLOOKUP(G811,INDIRECT("球速変換!A$1:B$" &amp; Prams!$B$8),2,)</f>
        <v>123</v>
      </c>
      <c r="K811" t="str">
        <f ca="1">VLOOKUP(I811,INDIRECT("投手名変換!A$1:B$" &amp; Prams!$B$9),2,)</f>
        <v>DD002</v>
      </c>
      <c r="L811">
        <f t="shared" si="67"/>
        <v>39</v>
      </c>
      <c r="M811">
        <f ca="1">(B811-VLOOKUP(K811,INDIRECT("投手データ!B1:D"&amp;Prams!$B$1),3,FALSE)*2)</f>
        <v>46</v>
      </c>
      <c r="N811" t="str">
        <f ca="1">VLOOKUP(F811,INDIRECT("球種変換表!A$1:B$" &amp; Prams!$B$2),2,)</f>
        <v>ドロップカーブ</v>
      </c>
      <c r="O811">
        <f ca="1">VLOOKUP(N811,球種情報!A:B,2,FALSE)</f>
        <v>12</v>
      </c>
      <c r="P811">
        <f ca="1">VLOOKUP(K811,投手データ!B:AI,output!O811+6,FALSE)</f>
        <v>4</v>
      </c>
      <c r="R811">
        <f t="shared" ca="1" si="63"/>
        <v>8.130081300813009E-3</v>
      </c>
      <c r="S811">
        <f t="shared" si="64"/>
        <v>0.63993055555555556</v>
      </c>
      <c r="T811">
        <f>Prams!B$5/(S811-Prams!B$6)</f>
        <v>106.65931843559356</v>
      </c>
      <c r="U811">
        <f t="shared" ca="1" si="65"/>
        <v>0.75659722222222225</v>
      </c>
      <c r="V811">
        <f ca="1">Prams!C$5/(U811-Prams!C$6)</f>
        <v>100.85363808971402</v>
      </c>
      <c r="W811">
        <f t="shared" ca="1" si="66"/>
        <v>0.81994827715214658</v>
      </c>
    </row>
    <row r="812" spans="1:23" hidden="1" x14ac:dyDescent="0.55000000000000004">
      <c r="A812" s="1" t="s">
        <v>1782</v>
      </c>
      <c r="B812" s="1">
        <v>140</v>
      </c>
      <c r="C812">
        <v>642.97729000000004</v>
      </c>
      <c r="D812">
        <v>614</v>
      </c>
      <c r="E812">
        <v>11.02281</v>
      </c>
      <c r="F812" t="s">
        <v>40</v>
      </c>
      <c r="G812" s="10" t="s">
        <v>2424</v>
      </c>
      <c r="H812">
        <v>101</v>
      </c>
      <c r="I812" t="s">
        <v>1764</v>
      </c>
      <c r="J812">
        <f ca="1">VLOOKUP(G812,INDIRECT("球速変換!A$1:B$" &amp; Prams!$B$8),2,)</f>
        <v>123</v>
      </c>
      <c r="K812" t="str">
        <f ca="1">VLOOKUP(I812,INDIRECT("投手名変換!A$1:B$" &amp; Prams!$B$9),2,)</f>
        <v>DD002</v>
      </c>
      <c r="L812">
        <f t="shared" si="67"/>
        <v>39</v>
      </c>
      <c r="M812">
        <f ca="1">(B812-VLOOKUP(K812,INDIRECT("投手データ!B1:D"&amp;Prams!$B$1),3,FALSE)*2)</f>
        <v>46</v>
      </c>
      <c r="N812" t="str">
        <f ca="1">VLOOKUP(F812,INDIRECT("球種変換表!A$1:B$" &amp; Prams!$B$2),2,)</f>
        <v>ドロップカーブ</v>
      </c>
      <c r="O812">
        <f ca="1">VLOOKUP(N812,球種情報!A:B,2,FALSE)</f>
        <v>12</v>
      </c>
      <c r="P812">
        <f ca="1">VLOOKUP(K812,投手データ!B:AI,output!O812+6,FALSE)</f>
        <v>4</v>
      </c>
      <c r="R812">
        <f t="shared" ca="1" si="63"/>
        <v>8.130081300813009E-3</v>
      </c>
      <c r="S812">
        <f t="shared" si="64"/>
        <v>0.64027777777777772</v>
      </c>
      <c r="T812">
        <f>Prams!B$5/(S812-Prams!B$6)</f>
        <v>106.59546342771755</v>
      </c>
      <c r="U812">
        <f t="shared" ca="1" si="65"/>
        <v>0.75694444444444442</v>
      </c>
      <c r="V812">
        <f ca="1">Prams!C$5/(U812-Prams!C$6)</f>
        <v>100.79654354087788</v>
      </c>
      <c r="W812">
        <f t="shared" ca="1" si="66"/>
        <v>0.81948409382827547</v>
      </c>
    </row>
    <row r="813" spans="1:23" hidden="1" x14ac:dyDescent="0.55000000000000004">
      <c r="A813" s="1" t="s">
        <v>1783</v>
      </c>
      <c r="B813" s="1">
        <v>139</v>
      </c>
      <c r="C813">
        <v>639.5</v>
      </c>
      <c r="D813">
        <v>601.5</v>
      </c>
      <c r="E813">
        <v>10.512</v>
      </c>
      <c r="F813" t="s">
        <v>40</v>
      </c>
      <c r="G813" s="10" t="s">
        <v>1097</v>
      </c>
      <c r="H813">
        <v>101</v>
      </c>
      <c r="I813" t="s">
        <v>1760</v>
      </c>
      <c r="J813">
        <f ca="1">VLOOKUP(G813,INDIRECT("球速変換!A$1:B$" &amp; Prams!$B$8),2,)</f>
        <v>123</v>
      </c>
      <c r="K813" t="str">
        <f ca="1">VLOOKUP(I813,INDIRECT("投手名変換!A$1:B$" &amp; Prams!$B$9),2,)</f>
        <v>DD002</v>
      </c>
      <c r="L813">
        <f t="shared" si="67"/>
        <v>38</v>
      </c>
      <c r="M813">
        <f ca="1">(B813-VLOOKUP(K813,INDIRECT("投手データ!B1:D"&amp;Prams!$B$1),3,FALSE)*2)</f>
        <v>45</v>
      </c>
      <c r="N813" t="str">
        <f ca="1">VLOOKUP(F813,INDIRECT("球種変換表!A$1:B$" &amp; Prams!$B$2),2,)</f>
        <v>ドロップカーブ</v>
      </c>
      <c r="O813">
        <f ca="1">VLOOKUP(N813,球種情報!A:B,2,FALSE)</f>
        <v>12</v>
      </c>
      <c r="P813">
        <f ca="1">VLOOKUP(K813,投手データ!B:AI,output!O813+6,FALSE)</f>
        <v>4</v>
      </c>
      <c r="R813">
        <f t="shared" ca="1" si="63"/>
        <v>8.130081300813009E-3</v>
      </c>
      <c r="S813">
        <f t="shared" si="64"/>
        <v>0.6322916666666667</v>
      </c>
      <c r="T813">
        <f>Prams!B$5/(S813-Prams!B$6)</f>
        <v>108.08374247876571</v>
      </c>
      <c r="U813">
        <f t="shared" ca="1" si="65"/>
        <v>0.74895833333333328</v>
      </c>
      <c r="V813">
        <f ca="1">Prams!C$5/(U813-Prams!C$6)</f>
        <v>102.12628883719012</v>
      </c>
      <c r="W813">
        <f t="shared" ca="1" si="66"/>
        <v>0.83029503119666759</v>
      </c>
    </row>
    <row r="814" spans="1:23" hidden="1" x14ac:dyDescent="0.55000000000000004">
      <c r="A814" s="1" t="s">
        <v>1784</v>
      </c>
      <c r="B814" s="1">
        <v>139</v>
      </c>
      <c r="C814">
        <v>637.55260999999996</v>
      </c>
      <c r="D814">
        <v>603.5</v>
      </c>
      <c r="E814">
        <v>9.5658300000000001</v>
      </c>
      <c r="F814" t="s">
        <v>40</v>
      </c>
      <c r="G814" s="10" t="s">
        <v>625</v>
      </c>
      <c r="H814">
        <v>101</v>
      </c>
      <c r="I814" t="s">
        <v>1760</v>
      </c>
      <c r="J814">
        <f ca="1">VLOOKUP(G814,INDIRECT("球速変換!A$1:B$" &amp; Prams!$B$8),2,)</f>
        <v>123</v>
      </c>
      <c r="K814" t="str">
        <f ca="1">VLOOKUP(I814,INDIRECT("投手名変換!A$1:B$" &amp; Prams!$B$9),2,)</f>
        <v>DD002</v>
      </c>
      <c r="L814">
        <f t="shared" si="67"/>
        <v>38</v>
      </c>
      <c r="M814">
        <f ca="1">(B814-VLOOKUP(K814,INDIRECT("投手データ!B1:D"&amp;Prams!$B$1),3,FALSE)*2)</f>
        <v>45</v>
      </c>
      <c r="N814" t="str">
        <f ca="1">VLOOKUP(F814,INDIRECT("球種変換表!A$1:B$" &amp; Prams!$B$2),2,)</f>
        <v>ドロップカーブ</v>
      </c>
      <c r="O814">
        <f ca="1">VLOOKUP(N814,球種情報!A:B,2,FALSE)</f>
        <v>12</v>
      </c>
      <c r="P814">
        <f ca="1">VLOOKUP(K814,投手データ!B:AI,output!O814+6,FALSE)</f>
        <v>4</v>
      </c>
      <c r="R814">
        <f t="shared" ca="1" si="63"/>
        <v>8.130081300813009E-3</v>
      </c>
      <c r="S814">
        <f t="shared" si="64"/>
        <v>0.6309027777777777</v>
      </c>
      <c r="T814">
        <f>Prams!B$5/(S814-Prams!B$6)</f>
        <v>108.34682621204674</v>
      </c>
      <c r="U814">
        <f t="shared" ca="1" si="65"/>
        <v>0.7475694444444444</v>
      </c>
      <c r="V814">
        <f ca="1">Prams!C$5/(U814-Prams!C$6)</f>
        <v>102.36113857857049</v>
      </c>
      <c r="W814">
        <f t="shared" ca="1" si="66"/>
        <v>0.83220437868756492</v>
      </c>
    </row>
    <row r="815" spans="1:23" hidden="1" x14ac:dyDescent="0.55000000000000004">
      <c r="A815" s="1" t="s">
        <v>1787</v>
      </c>
      <c r="B815" s="1">
        <v>130</v>
      </c>
      <c r="C815">
        <v>635.5</v>
      </c>
      <c r="D815">
        <v>619</v>
      </c>
      <c r="E815">
        <v>11.5435</v>
      </c>
      <c r="F815" t="s">
        <v>1785</v>
      </c>
      <c r="G815" s="10" t="s">
        <v>807</v>
      </c>
      <c r="H815">
        <v>98</v>
      </c>
      <c r="I815" t="s">
        <v>1786</v>
      </c>
      <c r="J815">
        <f ca="1">VLOOKUP(G815,INDIRECT("球速変換!A$1:B$" &amp; Prams!$B$8),2,)</f>
        <v>98</v>
      </c>
      <c r="K815" t="s">
        <v>1899</v>
      </c>
      <c r="L815">
        <f t="shared" si="67"/>
        <v>32</v>
      </c>
      <c r="M815">
        <f ca="1">(B815-VLOOKUP(K815,INDIRECT("投手データ!B1:D"&amp;Prams!$B$1),3,FALSE)*2)</f>
        <v>36</v>
      </c>
      <c r="N815" t="str">
        <f ca="1">VLOOKUP(F815,INDIRECT("球種変換表!A$1:B$" &amp; Prams!$B$2),2,)</f>
        <v>SFF</v>
      </c>
      <c r="O815">
        <f ca="1">VLOOKUP(N815,球種情報!A:B,2,FALSE)</f>
        <v>21</v>
      </c>
      <c r="P815">
        <f ca="1">VLOOKUP(K815,投手データ!B:AI,output!O815+6,FALSE)</f>
        <v>4</v>
      </c>
      <c r="R815">
        <f t="shared" ca="1" si="63"/>
        <v>1.020408163265306E-2</v>
      </c>
      <c r="S815">
        <f t="shared" si="64"/>
        <v>0.52013888888888882</v>
      </c>
      <c r="T815">
        <f>Prams!B$5/(S815-Prams!B$6)</f>
        <v>134.44491428157207</v>
      </c>
      <c r="U815">
        <f t="shared" ca="1" si="65"/>
        <v>0.58680555555555558</v>
      </c>
      <c r="V815">
        <f ca="1">Prams!C$5/(U815-Prams!C$6)</f>
        <v>139.49057999172695</v>
      </c>
      <c r="W815">
        <f t="shared" ca="1" si="66"/>
        <v>1.4233732652217035</v>
      </c>
    </row>
    <row r="816" spans="1:23" hidden="1" x14ac:dyDescent="0.55000000000000004">
      <c r="A816" s="1" t="s">
        <v>1788</v>
      </c>
      <c r="B816" s="1">
        <v>130</v>
      </c>
      <c r="C816">
        <v>643.45654000000002</v>
      </c>
      <c r="D816">
        <v>615.5</v>
      </c>
      <c r="E816">
        <v>11.55438</v>
      </c>
      <c r="F816" t="s">
        <v>45</v>
      </c>
      <c r="G816" s="10" t="s">
        <v>1883</v>
      </c>
      <c r="H816">
        <v>98</v>
      </c>
      <c r="I816" t="s">
        <v>1760</v>
      </c>
      <c r="J816">
        <f ca="1">VLOOKUP(G816,INDIRECT("球速変換!A$1:B$" &amp; Prams!$B$8),2,)</f>
        <v>154</v>
      </c>
      <c r="K816" t="str">
        <f ca="1">VLOOKUP(I816,INDIRECT("投手名変換!A$1:B$" &amp; Prams!$B$9),2,)</f>
        <v>DD002</v>
      </c>
      <c r="L816">
        <f t="shared" si="67"/>
        <v>32</v>
      </c>
      <c r="M816">
        <f ca="1">(B816-VLOOKUP(K816,INDIRECT("投手データ!B1:D"&amp;Prams!$B$1),3,FALSE)*2)</f>
        <v>36</v>
      </c>
      <c r="N816" t="str">
        <f ca="1">VLOOKUP(F816,INDIRECT("球種変換表!A$1:B$" &amp; Prams!$B$2),2,)</f>
        <v>SFF</v>
      </c>
      <c r="O816">
        <f ca="1">VLOOKUP(N816,球種情報!A:B,2,FALSE)</f>
        <v>21</v>
      </c>
      <c r="P816">
        <f ca="1">VLOOKUP(K816,投手データ!B:AI,output!O816+6,FALSE)</f>
        <v>4</v>
      </c>
      <c r="R816">
        <f t="shared" ca="1" si="63"/>
        <v>6.4935064935064939E-3</v>
      </c>
      <c r="S816">
        <f t="shared" si="64"/>
        <v>0.52256944444444442</v>
      </c>
      <c r="T816">
        <f>Prams!B$5/(S816-Prams!B$6)</f>
        <v>133.73801955329085</v>
      </c>
      <c r="U816">
        <f t="shared" ca="1" si="65"/>
        <v>0.58923611111111107</v>
      </c>
      <c r="V816">
        <f ca="1">Prams!C$5/(U816-Prams!C$6)</f>
        <v>138.72978077529626</v>
      </c>
      <c r="W816">
        <f t="shared" ca="1" si="66"/>
        <v>0.90084273230711864</v>
      </c>
    </row>
    <row r="817" spans="1:23" hidden="1" x14ac:dyDescent="0.55000000000000004">
      <c r="A817" s="1" t="s">
        <v>1789</v>
      </c>
      <c r="B817" s="1">
        <v>129</v>
      </c>
      <c r="C817">
        <v>637</v>
      </c>
      <c r="D817">
        <v>601</v>
      </c>
      <c r="E817">
        <v>10.04998</v>
      </c>
      <c r="F817" t="s">
        <v>1785</v>
      </c>
      <c r="G817" s="10" t="s">
        <v>2416</v>
      </c>
      <c r="H817">
        <v>98</v>
      </c>
      <c r="I817" t="s">
        <v>1760</v>
      </c>
      <c r="J817">
        <f ca="1">VLOOKUP(G817,INDIRECT("球速変換!A$1:B$" &amp; Prams!$B$8),2,)</f>
        <v>140</v>
      </c>
      <c r="K817" t="str">
        <f ca="1">VLOOKUP(I817,INDIRECT("投手名変換!A$1:B$" &amp; Prams!$B$9),2,)</f>
        <v>DD002</v>
      </c>
      <c r="L817">
        <f t="shared" si="67"/>
        <v>31</v>
      </c>
      <c r="M817">
        <f ca="1">(B817-VLOOKUP(K817,INDIRECT("投手データ!B1:D"&amp;Prams!$B$1),3,FALSE)*2)</f>
        <v>35</v>
      </c>
      <c r="N817" t="str">
        <f ca="1">VLOOKUP(F817,INDIRECT("球種変換表!A$1:B$" &amp; Prams!$B$2),2,)</f>
        <v>SFF</v>
      </c>
      <c r="O817">
        <f ca="1">VLOOKUP(N817,球種情報!A:B,2,FALSE)</f>
        <v>21</v>
      </c>
      <c r="P817">
        <f ca="1">VLOOKUP(K817,投手データ!B:AI,output!O817+6,FALSE)</f>
        <v>4</v>
      </c>
      <c r="R817">
        <f t="shared" ca="1" si="63"/>
        <v>7.1428571428571426E-3</v>
      </c>
      <c r="S817">
        <f t="shared" si="64"/>
        <v>0.51597222222222217</v>
      </c>
      <c r="T817">
        <f>Prams!B$5/(S817-Prams!B$6)</f>
        <v>135.67427853842312</v>
      </c>
      <c r="U817">
        <f t="shared" ca="1" si="65"/>
        <v>0.58263888888888893</v>
      </c>
      <c r="V817">
        <f ca="1">Prams!C$5/(U817-Prams!C$6)</f>
        <v>140.81440520328493</v>
      </c>
      <c r="W817">
        <f t="shared" ca="1" si="66"/>
        <v>1.0058171800234639</v>
      </c>
    </row>
    <row r="818" spans="1:23" hidden="1" x14ac:dyDescent="0.55000000000000004">
      <c r="A818" s="1" t="s">
        <v>1790</v>
      </c>
      <c r="B818" s="1">
        <v>129</v>
      </c>
      <c r="C818">
        <v>645.02502000000004</v>
      </c>
      <c r="D818">
        <v>601</v>
      </c>
      <c r="E818">
        <v>10.025080000000001</v>
      </c>
      <c r="F818" t="s">
        <v>1785</v>
      </c>
      <c r="G818" s="10" t="s">
        <v>2416</v>
      </c>
      <c r="H818">
        <v>98</v>
      </c>
      <c r="I818" t="s">
        <v>1762</v>
      </c>
      <c r="J818">
        <f ca="1">VLOOKUP(G818,INDIRECT("球速変換!A$1:B$" &amp; Prams!$B$8),2,)</f>
        <v>140</v>
      </c>
      <c r="K818" t="str">
        <f ca="1">VLOOKUP(I818,INDIRECT("投手名変換!A$1:B$" &amp; Prams!$B$9),2,)</f>
        <v>DD002</v>
      </c>
      <c r="L818">
        <f t="shared" si="67"/>
        <v>31</v>
      </c>
      <c r="M818">
        <f ca="1">(B818-VLOOKUP(K818,INDIRECT("投手データ!B1:D"&amp;Prams!$B$1),3,FALSE)*2)</f>
        <v>35</v>
      </c>
      <c r="N818" t="str">
        <f ca="1">VLOOKUP(F818,INDIRECT("球種変換表!A$1:B$" &amp; Prams!$B$2),2,)</f>
        <v>SFF</v>
      </c>
      <c r="O818">
        <f ca="1">VLOOKUP(N818,球種情報!A:B,2,FALSE)</f>
        <v>21</v>
      </c>
      <c r="P818">
        <f ca="1">VLOOKUP(K818,投手データ!B:AI,output!O818+6,FALSE)</f>
        <v>4</v>
      </c>
      <c r="R818">
        <f t="shared" ca="1" si="63"/>
        <v>7.1428571428571426E-3</v>
      </c>
      <c r="S818">
        <f t="shared" si="64"/>
        <v>0.51597222222222217</v>
      </c>
      <c r="T818">
        <f>Prams!B$5/(S818-Prams!B$6)</f>
        <v>135.67427853842312</v>
      </c>
      <c r="U818">
        <f t="shared" ca="1" si="65"/>
        <v>0.58263888888888893</v>
      </c>
      <c r="V818">
        <f ca="1">Prams!C$5/(U818-Prams!C$6)</f>
        <v>140.81440520328493</v>
      </c>
      <c r="W818">
        <f t="shared" ca="1" si="66"/>
        <v>1.0058171800234639</v>
      </c>
    </row>
    <row r="819" spans="1:23" hidden="1" x14ac:dyDescent="0.55000000000000004">
      <c r="A819" s="1" t="s">
        <v>1792</v>
      </c>
      <c r="B819" s="1">
        <v>130</v>
      </c>
      <c r="C819">
        <v>634.45239000000004</v>
      </c>
      <c r="D819">
        <v>608.5</v>
      </c>
      <c r="E819">
        <v>10.55955</v>
      </c>
      <c r="F819" t="s">
        <v>45</v>
      </c>
      <c r="G819" s="10" t="s">
        <v>2459</v>
      </c>
      <c r="H819">
        <v>98</v>
      </c>
      <c r="I819" t="s">
        <v>1791</v>
      </c>
      <c r="J819">
        <f ca="1">VLOOKUP(G819,INDIRECT("球速変換!A$1:B$" &amp; Prams!$B$8),2,)</f>
        <v>136</v>
      </c>
      <c r="K819" t="s">
        <v>1899</v>
      </c>
      <c r="L819">
        <f t="shared" si="67"/>
        <v>32</v>
      </c>
      <c r="M819">
        <f ca="1">(B819-VLOOKUP(K819,INDIRECT("投手データ!B1:D"&amp;Prams!$B$1),3,FALSE)*2)</f>
        <v>36</v>
      </c>
      <c r="N819" t="str">
        <f ca="1">VLOOKUP(F819,INDIRECT("球種変換表!A$1:B$" &amp; Prams!$B$2),2,)</f>
        <v>SFF</v>
      </c>
      <c r="O819">
        <f ca="1">VLOOKUP(N819,球種情報!A:B,2,FALSE)</f>
        <v>21</v>
      </c>
      <c r="P819">
        <f ca="1">VLOOKUP(K819,投手データ!B:AI,output!O819+6,FALSE)</f>
        <v>4</v>
      </c>
      <c r="R819">
        <f t="shared" ca="1" si="63"/>
        <v>7.3529411764705881E-3</v>
      </c>
      <c r="S819">
        <f t="shared" si="64"/>
        <v>0.52743055555555551</v>
      </c>
      <c r="T819">
        <f>Prams!B$5/(S819-Prams!B$6)</f>
        <v>132.34629861982435</v>
      </c>
      <c r="U819">
        <f t="shared" ca="1" si="65"/>
        <v>0.59409722222222228</v>
      </c>
      <c r="V819">
        <f ca="1">Prams!C$5/(U819-Prams!C$6)</f>
        <v>137.23281065982647</v>
      </c>
      <c r="W819">
        <f t="shared" ca="1" si="66"/>
        <v>1.0090647842634299</v>
      </c>
    </row>
    <row r="820" spans="1:23" hidden="1" x14ac:dyDescent="0.55000000000000004">
      <c r="A820" s="1" t="s">
        <v>1793</v>
      </c>
      <c r="B820" s="1">
        <v>129</v>
      </c>
      <c r="C820">
        <v>634.5</v>
      </c>
      <c r="D820">
        <v>600.5</v>
      </c>
      <c r="E820">
        <v>10.512</v>
      </c>
      <c r="F820" t="s">
        <v>45</v>
      </c>
      <c r="G820" s="10" t="s">
        <v>2416</v>
      </c>
      <c r="H820">
        <v>98</v>
      </c>
      <c r="I820" t="s">
        <v>1755</v>
      </c>
      <c r="J820">
        <f ca="1">VLOOKUP(G820,INDIRECT("球速変換!A$1:B$" &amp; Prams!$B$8),2,)</f>
        <v>140</v>
      </c>
      <c r="K820" t="str">
        <f ca="1">VLOOKUP(I820,INDIRECT("投手名変換!A$1:B$" &amp; Prams!$B$9),2,)</f>
        <v>DD002</v>
      </c>
      <c r="L820">
        <f t="shared" si="67"/>
        <v>31</v>
      </c>
      <c r="M820">
        <f ca="1">(B820-VLOOKUP(K820,INDIRECT("投手データ!B1:D"&amp;Prams!$B$1),3,FALSE)*2)</f>
        <v>35</v>
      </c>
      <c r="N820" t="str">
        <f ca="1">VLOOKUP(F820,INDIRECT("球種変換表!A$1:B$" &amp; Prams!$B$2),2,)</f>
        <v>SFF</v>
      </c>
      <c r="O820">
        <f ca="1">VLOOKUP(N820,球種情報!A:B,2,FALSE)</f>
        <v>21</v>
      </c>
      <c r="P820">
        <f ca="1">VLOOKUP(K820,投手データ!B:AI,output!O820+6,FALSE)</f>
        <v>4</v>
      </c>
      <c r="R820">
        <f t="shared" ca="1" si="63"/>
        <v>7.1428571428571426E-3</v>
      </c>
      <c r="S820">
        <f t="shared" si="64"/>
        <v>0.51631944444444444</v>
      </c>
      <c r="T820">
        <f>Prams!B$5/(S820-Prams!B$6)</f>
        <v>135.57097345995237</v>
      </c>
      <c r="U820">
        <f t="shared" ca="1" si="65"/>
        <v>0.58298611111111109</v>
      </c>
      <c r="V820">
        <f ca="1">Prams!C$5/(U820-Prams!C$6)</f>
        <v>140.7031274695124</v>
      </c>
      <c r="W820">
        <f t="shared" ca="1" si="66"/>
        <v>1.0050223390679456</v>
      </c>
    </row>
    <row r="821" spans="1:23" hidden="1" x14ac:dyDescent="0.55000000000000004">
      <c r="A821" s="1" t="s">
        <v>1794</v>
      </c>
      <c r="B821" s="1">
        <v>130</v>
      </c>
      <c r="C821">
        <v>646.02270999999996</v>
      </c>
      <c r="D821">
        <v>617</v>
      </c>
      <c r="E821">
        <v>11.02285</v>
      </c>
      <c r="F821" t="s">
        <v>45</v>
      </c>
      <c r="G821" s="10" t="s">
        <v>1286</v>
      </c>
      <c r="H821">
        <v>98</v>
      </c>
      <c r="I821" t="s">
        <v>1764</v>
      </c>
      <c r="J821">
        <f ca="1">VLOOKUP(G821,INDIRECT("球速変換!A$1:B$" &amp; Prams!$B$8),2,)</f>
        <v>96</v>
      </c>
      <c r="K821" t="str">
        <f ca="1">VLOOKUP(I821,INDIRECT("投手名変換!A$1:B$" &amp; Prams!$B$9),2,)</f>
        <v>DD002</v>
      </c>
      <c r="L821">
        <f t="shared" si="67"/>
        <v>32</v>
      </c>
      <c r="M821">
        <f ca="1">(B821-VLOOKUP(K821,INDIRECT("投手データ!B1:D"&amp;Prams!$B$1),3,FALSE)*2)</f>
        <v>36</v>
      </c>
      <c r="N821" t="str">
        <f ca="1">VLOOKUP(F821,INDIRECT("球種変換表!A$1:B$" &amp; Prams!$B$2),2,)</f>
        <v>SFF</v>
      </c>
      <c r="O821">
        <f ca="1">VLOOKUP(N821,球種情報!A:B,2,FALSE)</f>
        <v>21</v>
      </c>
      <c r="P821">
        <f ca="1">VLOOKUP(K821,投手データ!B:AI,output!O821+6,FALSE)</f>
        <v>4</v>
      </c>
      <c r="R821">
        <f t="shared" ca="1" si="63"/>
        <v>1.0416666666666666E-2</v>
      </c>
      <c r="S821">
        <f t="shared" si="64"/>
        <v>0.52152777777777781</v>
      </c>
      <c r="T821">
        <f>Prams!B$5/(S821-Prams!B$6)</f>
        <v>134.04006215294925</v>
      </c>
      <c r="U821">
        <f t="shared" ca="1" si="65"/>
        <v>0.58819444444444435</v>
      </c>
      <c r="V821">
        <f ca="1">Prams!C$5/(U821-Prams!C$6)</f>
        <v>139.05481899858802</v>
      </c>
      <c r="W821">
        <f t="shared" ca="1" si="66"/>
        <v>1.4484876979019585</v>
      </c>
    </row>
    <row r="822" spans="1:23" hidden="1" x14ac:dyDescent="0.55000000000000004">
      <c r="A822" s="1" t="s">
        <v>1795</v>
      </c>
      <c r="B822" s="1">
        <v>130</v>
      </c>
      <c r="C822">
        <v>638.5</v>
      </c>
      <c r="D822">
        <v>607</v>
      </c>
      <c r="E822">
        <v>11.5001</v>
      </c>
      <c r="F822" t="s">
        <v>45</v>
      </c>
      <c r="G822" s="10" t="s">
        <v>2459</v>
      </c>
      <c r="H822">
        <v>98</v>
      </c>
      <c r="I822" t="s">
        <v>1755</v>
      </c>
      <c r="J822">
        <f ca="1">VLOOKUP(G822,INDIRECT("球速変換!A$1:B$" &amp; Prams!$B$8),2,)</f>
        <v>136</v>
      </c>
      <c r="K822" t="str">
        <f ca="1">VLOOKUP(I822,INDIRECT("投手名変換!A$1:B$" &amp; Prams!$B$9),2,)</f>
        <v>DD002</v>
      </c>
      <c r="L822">
        <f t="shared" si="67"/>
        <v>32</v>
      </c>
      <c r="M822">
        <f ca="1">(B822-VLOOKUP(K822,INDIRECT("投手データ!B1:D"&amp;Prams!$B$1),3,FALSE)*2)</f>
        <v>36</v>
      </c>
      <c r="N822" t="str">
        <f ca="1">VLOOKUP(F822,INDIRECT("球種変換表!A$1:B$" &amp; Prams!$B$2),2,)</f>
        <v>SFF</v>
      </c>
      <c r="O822">
        <f ca="1">VLOOKUP(N822,球種情報!A:B,2,FALSE)</f>
        <v>21</v>
      </c>
      <c r="P822">
        <f ca="1">VLOOKUP(K822,投手データ!B:AI,output!O822+6,FALSE)</f>
        <v>4</v>
      </c>
      <c r="R822">
        <f t="shared" ca="1" si="63"/>
        <v>7.3529411764705881E-3</v>
      </c>
      <c r="S822">
        <f t="shared" si="64"/>
        <v>0.52847222222222223</v>
      </c>
      <c r="T822">
        <f>Prams!B$5/(S822-Prams!B$6)</f>
        <v>132.05183277758661</v>
      </c>
      <c r="U822">
        <f t="shared" ca="1" si="65"/>
        <v>0.59513888888888888</v>
      </c>
      <c r="V822">
        <f ca="1">Prams!C$5/(U822-Prams!C$6)</f>
        <v>136.91622476223287</v>
      </c>
      <c r="W822">
        <f t="shared" ca="1" si="66"/>
        <v>1.006736946781124</v>
      </c>
    </row>
    <row r="823" spans="1:23" hidden="1" x14ac:dyDescent="0.55000000000000004">
      <c r="A823" s="1" t="s">
        <v>1796</v>
      </c>
      <c r="B823" s="1">
        <v>130</v>
      </c>
      <c r="C823">
        <v>637.5</v>
      </c>
      <c r="D823">
        <v>606</v>
      </c>
      <c r="E823">
        <v>10.547610000000001</v>
      </c>
      <c r="F823" t="s">
        <v>1785</v>
      </c>
      <c r="G823" s="10" t="s">
        <v>2459</v>
      </c>
      <c r="H823">
        <v>98</v>
      </c>
      <c r="I823" t="s">
        <v>1760</v>
      </c>
      <c r="J823">
        <f ca="1">VLOOKUP(G823,INDIRECT("球速変換!A$1:B$" &amp; Prams!$B$8),2,)</f>
        <v>136</v>
      </c>
      <c r="K823" t="str">
        <f ca="1">VLOOKUP(I823,INDIRECT("投手名変換!A$1:B$" &amp; Prams!$B$9),2,)</f>
        <v>DD002</v>
      </c>
      <c r="L823">
        <f t="shared" si="67"/>
        <v>32</v>
      </c>
      <c r="M823">
        <f ca="1">(B823-VLOOKUP(K823,INDIRECT("投手データ!B1:D"&amp;Prams!$B$1),3,FALSE)*2)</f>
        <v>36</v>
      </c>
      <c r="N823" t="str">
        <f ca="1">VLOOKUP(F823,INDIRECT("球種変換表!A$1:B$" &amp; Prams!$B$2),2,)</f>
        <v>SFF</v>
      </c>
      <c r="O823">
        <f ca="1">VLOOKUP(N823,球種情報!A:B,2,FALSE)</f>
        <v>21</v>
      </c>
      <c r="P823">
        <f ca="1">VLOOKUP(K823,投手データ!B:AI,output!O823+6,FALSE)</f>
        <v>4</v>
      </c>
      <c r="R823">
        <f t="shared" ca="1" si="63"/>
        <v>7.3529411764705881E-3</v>
      </c>
      <c r="S823">
        <f t="shared" si="64"/>
        <v>0.52916666666666667</v>
      </c>
      <c r="T823">
        <f>Prams!B$5/(S823-Prams!B$6)</f>
        <v>131.85624911133229</v>
      </c>
      <c r="U823">
        <f t="shared" ca="1" si="65"/>
        <v>0.59583333333333333</v>
      </c>
      <c r="V823">
        <f ca="1">Prams!C$5/(U823-Prams!C$6)</f>
        <v>136.70597774010466</v>
      </c>
      <c r="W823">
        <f t="shared" ca="1" si="66"/>
        <v>1.0051910127948871</v>
      </c>
    </row>
    <row r="824" spans="1:23" hidden="1" x14ac:dyDescent="0.55000000000000004">
      <c r="A824" s="1" t="s">
        <v>1797</v>
      </c>
      <c r="B824" s="1">
        <v>129</v>
      </c>
      <c r="C824">
        <v>632</v>
      </c>
      <c r="D824">
        <v>601</v>
      </c>
      <c r="E824">
        <v>10.04998</v>
      </c>
      <c r="F824" t="s">
        <v>45</v>
      </c>
      <c r="G824" s="10" t="s">
        <v>582</v>
      </c>
      <c r="H824">
        <v>98</v>
      </c>
      <c r="I824" t="s">
        <v>1753</v>
      </c>
      <c r="J824">
        <f ca="1">VLOOKUP(G824,INDIRECT("球速変換!A$1:B$" &amp; Prams!$B$8),2,)</f>
        <v>140</v>
      </c>
      <c r="K824" t="str">
        <f ca="1">VLOOKUP(I824,INDIRECT("投手名変換!A$1:B$" &amp; Prams!$B$9),2,)</f>
        <v>DD002</v>
      </c>
      <c r="L824">
        <f t="shared" si="67"/>
        <v>31</v>
      </c>
      <c r="M824">
        <f ca="1">(B824-VLOOKUP(K824,INDIRECT("投手データ!B1:D"&amp;Prams!$B$1),3,FALSE)*2)</f>
        <v>35</v>
      </c>
      <c r="N824" t="str">
        <f ca="1">VLOOKUP(F824,INDIRECT("球種変換表!A$1:B$" &amp; Prams!$B$2),2,)</f>
        <v>SFF</v>
      </c>
      <c r="O824">
        <f ca="1">VLOOKUP(N824,球種情報!A:B,2,FALSE)</f>
        <v>21</v>
      </c>
      <c r="P824">
        <f ca="1">VLOOKUP(K824,投手データ!B:AI,output!O824+6,FALSE)</f>
        <v>4</v>
      </c>
      <c r="R824">
        <f t="shared" ca="1" si="63"/>
        <v>7.1428571428571426E-3</v>
      </c>
      <c r="S824">
        <f t="shared" si="64"/>
        <v>0.51597222222222217</v>
      </c>
      <c r="T824">
        <f>Prams!B$5/(S824-Prams!B$6)</f>
        <v>135.67427853842312</v>
      </c>
      <c r="U824">
        <f t="shared" ca="1" si="65"/>
        <v>0.58263888888888893</v>
      </c>
      <c r="V824">
        <f ca="1">Prams!C$5/(U824-Prams!C$6)</f>
        <v>140.81440520328493</v>
      </c>
      <c r="W824">
        <f t="shared" ca="1" si="66"/>
        <v>1.0058171800234639</v>
      </c>
    </row>
    <row r="825" spans="1:23" hidden="1" x14ac:dyDescent="0.55000000000000004">
      <c r="A825" s="1" t="s">
        <v>1799</v>
      </c>
      <c r="B825" s="1">
        <v>128</v>
      </c>
      <c r="C825">
        <v>639</v>
      </c>
      <c r="D825">
        <v>606</v>
      </c>
      <c r="E825">
        <v>10.04998</v>
      </c>
      <c r="F825" t="s">
        <v>0</v>
      </c>
      <c r="G825" s="10" t="s">
        <v>2435</v>
      </c>
      <c r="H825">
        <v>99</v>
      </c>
      <c r="I825" t="s">
        <v>1798</v>
      </c>
      <c r="J825">
        <f ca="1">VLOOKUP(G825,INDIRECT("球速変換!A$1:B$" &amp; Prams!$B$8),2,)</f>
        <v>148</v>
      </c>
      <c r="K825" t="str">
        <f ca="1">VLOOKUP(I825,INDIRECT("投手名変換!A$1:B$" &amp; Prams!$B$9),2,)</f>
        <v>DD017</v>
      </c>
      <c r="L825">
        <f t="shared" si="67"/>
        <v>29</v>
      </c>
      <c r="M825">
        <f ca="1">(B825-VLOOKUP(K825,INDIRECT("投手データ!B1:D"&amp;Prams!$B$1),3,FALSE)*2)</f>
        <v>34</v>
      </c>
      <c r="N825" t="str">
        <f ca="1">VLOOKUP(F825,INDIRECT("球種変換表!A$1:B$" &amp; Prams!$B$2),2,)</f>
        <v>ストレート</v>
      </c>
      <c r="O825">
        <f ca="1">VLOOKUP(N825,球種情報!A:B,2,FALSE)</f>
        <v>1</v>
      </c>
      <c r="P825">
        <f ca="1">VLOOKUP(K825,投手データ!B:AI,output!O825+6,FALSE)</f>
        <v>1</v>
      </c>
      <c r="R825">
        <f t="shared" ca="1" si="63"/>
        <v>6.7567567567567571E-3</v>
      </c>
      <c r="S825">
        <f t="shared" si="64"/>
        <v>0.47916666666666669</v>
      </c>
      <c r="T825">
        <f>Prams!B$5/(S825-Prams!B$6)</f>
        <v>147.59589368136241</v>
      </c>
      <c r="U825">
        <f t="shared" ca="1" si="65"/>
        <v>0.5625</v>
      </c>
      <c r="V825">
        <f ca="1">Prams!C$5/(U825-Prams!C$6)</f>
        <v>147.584148961566</v>
      </c>
      <c r="W825">
        <f t="shared" ca="1" si="66"/>
        <v>0.99719019568625678</v>
      </c>
    </row>
    <row r="826" spans="1:23" hidden="1" x14ac:dyDescent="0.55000000000000004">
      <c r="A826" s="1" t="s">
        <v>1800</v>
      </c>
      <c r="B826" s="1">
        <v>128</v>
      </c>
      <c r="C826">
        <v>639</v>
      </c>
      <c r="D826">
        <v>606</v>
      </c>
      <c r="E826">
        <v>10.04998</v>
      </c>
      <c r="F826" t="s">
        <v>0</v>
      </c>
      <c r="G826" s="10" t="s">
        <v>640</v>
      </c>
      <c r="H826">
        <v>99</v>
      </c>
      <c r="I826" t="s">
        <v>1798</v>
      </c>
      <c r="J826">
        <f ca="1">VLOOKUP(G826,INDIRECT("球速変換!A$1:B$" &amp; Prams!$B$8),2,)</f>
        <v>148</v>
      </c>
      <c r="K826" t="str">
        <f ca="1">VLOOKUP(I826,INDIRECT("投手名変換!A$1:B$" &amp; Prams!$B$9),2,)</f>
        <v>DD017</v>
      </c>
      <c r="L826">
        <f t="shared" si="67"/>
        <v>29</v>
      </c>
      <c r="M826">
        <f ca="1">(B826-VLOOKUP(K826,INDIRECT("投手データ!B1:D"&amp;Prams!$B$1),3,FALSE)*2)</f>
        <v>34</v>
      </c>
      <c r="N826" t="str">
        <f ca="1">VLOOKUP(F826,INDIRECT("球種変換表!A$1:B$" &amp; Prams!$B$2),2,)</f>
        <v>ストレート</v>
      </c>
      <c r="O826">
        <f ca="1">VLOOKUP(N826,球種情報!A:B,2,FALSE)</f>
        <v>1</v>
      </c>
      <c r="P826">
        <f ca="1">VLOOKUP(K826,投手データ!B:AI,output!O826+6,FALSE)</f>
        <v>1</v>
      </c>
      <c r="R826">
        <f t="shared" ca="1" si="63"/>
        <v>6.7567567567567571E-3</v>
      </c>
      <c r="S826">
        <f t="shared" si="64"/>
        <v>0.47916666666666669</v>
      </c>
      <c r="T826">
        <f>Prams!B$5/(S826-Prams!B$6)</f>
        <v>147.59589368136241</v>
      </c>
      <c r="U826">
        <f t="shared" ca="1" si="65"/>
        <v>0.5625</v>
      </c>
      <c r="V826">
        <f ca="1">Prams!C$5/(U826-Prams!C$6)</f>
        <v>147.584148961566</v>
      </c>
      <c r="W826">
        <f t="shared" ca="1" si="66"/>
        <v>0.99719019568625678</v>
      </c>
    </row>
    <row r="827" spans="1:23" hidden="1" x14ac:dyDescent="0.55000000000000004">
      <c r="A827" s="1" t="s">
        <v>1801</v>
      </c>
      <c r="B827" s="1">
        <v>129</v>
      </c>
      <c r="C827">
        <v>641</v>
      </c>
      <c r="D827">
        <v>614.5</v>
      </c>
      <c r="E827">
        <v>11.01146</v>
      </c>
      <c r="F827" t="s">
        <v>0</v>
      </c>
      <c r="G827" s="10" t="s">
        <v>1170</v>
      </c>
      <c r="H827">
        <v>99</v>
      </c>
      <c r="I827" t="s">
        <v>1798</v>
      </c>
      <c r="J827">
        <f ca="1">VLOOKUP(G827,INDIRECT("球速変換!A$1:B$" &amp; Prams!$B$8),2,)</f>
        <v>145</v>
      </c>
      <c r="K827" t="str">
        <f ca="1">VLOOKUP(I827,INDIRECT("投手名変換!A$1:B$" &amp; Prams!$B$9),2,)</f>
        <v>DD017</v>
      </c>
      <c r="L827">
        <f t="shared" si="67"/>
        <v>30</v>
      </c>
      <c r="M827">
        <f ca="1">(B827-VLOOKUP(K827,INDIRECT("投手データ!B1:D"&amp;Prams!$B$1),3,FALSE)*2)</f>
        <v>35</v>
      </c>
      <c r="N827" t="str">
        <f ca="1">VLOOKUP(F827,INDIRECT("球種変換表!A$1:B$" &amp; Prams!$B$2),2,)</f>
        <v>ストレート</v>
      </c>
      <c r="O827">
        <f ca="1">VLOOKUP(N827,球種情報!A:B,2,FALSE)</f>
        <v>1</v>
      </c>
      <c r="P827">
        <f ca="1">VLOOKUP(K827,投手データ!B:AI,output!O827+6,FALSE)</f>
        <v>1</v>
      </c>
      <c r="R827">
        <f t="shared" ca="1" si="63"/>
        <v>6.8965517241379309E-3</v>
      </c>
      <c r="S827">
        <f t="shared" si="64"/>
        <v>0.48993055555555554</v>
      </c>
      <c r="T827">
        <f>Prams!B$5/(S827-Prams!B$6)</f>
        <v>143.89805194385357</v>
      </c>
      <c r="U827">
        <f t="shared" ca="1" si="65"/>
        <v>0.57326388888888891</v>
      </c>
      <c r="V827">
        <f ca="1">Prams!C$5/(U827-Prams!C$6)</f>
        <v>143.88688833002541</v>
      </c>
      <c r="W827">
        <f t="shared" ca="1" si="66"/>
        <v>0.99232336779327868</v>
      </c>
    </row>
    <row r="828" spans="1:23" hidden="1" x14ac:dyDescent="0.55000000000000004">
      <c r="A828" s="1" t="s">
        <v>1802</v>
      </c>
      <c r="B828" s="1">
        <v>128</v>
      </c>
      <c r="C828">
        <v>642.5</v>
      </c>
      <c r="D828">
        <v>606</v>
      </c>
      <c r="E828">
        <v>10.547610000000001</v>
      </c>
      <c r="F828" t="s">
        <v>0</v>
      </c>
      <c r="G828" s="10" t="s">
        <v>640</v>
      </c>
      <c r="H828">
        <v>99</v>
      </c>
      <c r="I828" t="s">
        <v>1798</v>
      </c>
      <c r="J828">
        <f ca="1">VLOOKUP(G828,INDIRECT("球速変換!A$1:B$" &amp; Prams!$B$8),2,)</f>
        <v>148</v>
      </c>
      <c r="K828" t="str">
        <f ca="1">VLOOKUP(I828,INDIRECT("投手名変換!A$1:B$" &amp; Prams!$B$9),2,)</f>
        <v>DD017</v>
      </c>
      <c r="L828">
        <f t="shared" si="67"/>
        <v>29</v>
      </c>
      <c r="M828">
        <f ca="1">(B828-VLOOKUP(K828,INDIRECT("投手データ!B1:D"&amp;Prams!$B$1),3,FALSE)*2)</f>
        <v>34</v>
      </c>
      <c r="N828" t="str">
        <f ca="1">VLOOKUP(F828,INDIRECT("球種変換表!A$1:B$" &amp; Prams!$B$2),2,)</f>
        <v>ストレート</v>
      </c>
      <c r="O828">
        <f ca="1">VLOOKUP(N828,球種情報!A:B,2,FALSE)</f>
        <v>1</v>
      </c>
      <c r="P828">
        <f ca="1">VLOOKUP(K828,投手データ!B:AI,output!O828+6,FALSE)</f>
        <v>1</v>
      </c>
      <c r="R828">
        <f t="shared" ca="1" si="63"/>
        <v>6.7567567567567571E-3</v>
      </c>
      <c r="S828">
        <f t="shared" si="64"/>
        <v>0.47916666666666669</v>
      </c>
      <c r="T828">
        <f>Prams!B$5/(S828-Prams!B$6)</f>
        <v>147.59589368136241</v>
      </c>
      <c r="U828">
        <f t="shared" ca="1" si="65"/>
        <v>0.5625</v>
      </c>
      <c r="V828">
        <f ca="1">Prams!C$5/(U828-Prams!C$6)</f>
        <v>147.584148961566</v>
      </c>
      <c r="W828">
        <f t="shared" ca="1" si="66"/>
        <v>0.99719019568625678</v>
      </c>
    </row>
    <row r="829" spans="1:23" hidden="1" x14ac:dyDescent="0.55000000000000004">
      <c r="A829" s="1" t="s">
        <v>1803</v>
      </c>
      <c r="B829" s="1">
        <v>128</v>
      </c>
      <c r="C829">
        <v>641.44739000000004</v>
      </c>
      <c r="D829">
        <v>601.5</v>
      </c>
      <c r="E829">
        <v>9.5657899999999998</v>
      </c>
      <c r="F829" t="s">
        <v>656</v>
      </c>
      <c r="G829" s="10" t="s">
        <v>2433</v>
      </c>
      <c r="H829">
        <v>99</v>
      </c>
      <c r="I829" t="s">
        <v>1798</v>
      </c>
      <c r="J829">
        <f ca="1">VLOOKUP(G829,INDIRECT("球速変換!A$1:B$" &amp; Prams!$B$8),2,)</f>
        <v>146</v>
      </c>
      <c r="K829" t="str">
        <f ca="1">VLOOKUP(I829,INDIRECT("投手名変換!A$1:B$" &amp; Prams!$B$9),2,)</f>
        <v>DD017</v>
      </c>
      <c r="L829">
        <f t="shared" si="67"/>
        <v>29</v>
      </c>
      <c r="M829">
        <f ca="1">(B829-VLOOKUP(K829,INDIRECT("投手データ!B1:D"&amp;Prams!$B$1),3,FALSE)*2)</f>
        <v>34</v>
      </c>
      <c r="N829" t="str">
        <f ca="1">VLOOKUP(F829,INDIRECT("球種変換表!A$1:B$" &amp; Prams!$B$2),2,)</f>
        <v>ストレート</v>
      </c>
      <c r="O829">
        <f ca="1">VLOOKUP(N829,球種情報!A:B,2,FALSE)</f>
        <v>1</v>
      </c>
      <c r="P829">
        <f ca="1">VLOOKUP(K829,投手データ!B:AI,output!O829+6,FALSE)</f>
        <v>1</v>
      </c>
      <c r="R829">
        <f t="shared" ca="1" si="63"/>
        <v>6.8493150684931503E-3</v>
      </c>
      <c r="S829">
        <f t="shared" si="64"/>
        <v>0.48229166666666667</v>
      </c>
      <c r="T829">
        <f>Prams!B$5/(S829-Prams!B$6)</f>
        <v>146.50289302711349</v>
      </c>
      <c r="U829">
        <f t="shared" ca="1" si="65"/>
        <v>0.56562500000000004</v>
      </c>
      <c r="V829">
        <f ca="1">Prams!C$5/(U829-Prams!C$6)</f>
        <v>146.49132160417037</v>
      </c>
      <c r="W829">
        <f t="shared" ca="1" si="66"/>
        <v>1.0033652164669202</v>
      </c>
    </row>
    <row r="830" spans="1:23" hidden="1" x14ac:dyDescent="0.55000000000000004">
      <c r="A830" s="1" t="s">
        <v>1804</v>
      </c>
      <c r="B830" s="1">
        <v>128</v>
      </c>
      <c r="C830">
        <v>642</v>
      </c>
      <c r="D830">
        <v>605.5</v>
      </c>
      <c r="E830">
        <v>10.111969999999999</v>
      </c>
      <c r="F830" t="s">
        <v>0</v>
      </c>
      <c r="G830" s="10" t="s">
        <v>967</v>
      </c>
      <c r="H830">
        <v>99</v>
      </c>
      <c r="I830" t="s">
        <v>1798</v>
      </c>
      <c r="J830">
        <f ca="1">VLOOKUP(G830,INDIRECT("球速変換!A$1:B$" &amp; Prams!$B$8),2,)</f>
        <v>148</v>
      </c>
      <c r="K830" t="str">
        <f ca="1">VLOOKUP(I830,INDIRECT("投手名変換!A$1:B$" &amp; Prams!$B$9),2,)</f>
        <v>DD017</v>
      </c>
      <c r="L830">
        <f t="shared" si="67"/>
        <v>29</v>
      </c>
      <c r="M830">
        <f ca="1">(B830-VLOOKUP(K830,INDIRECT("投手データ!B1:D"&amp;Prams!$B$1),3,FALSE)*2)</f>
        <v>34</v>
      </c>
      <c r="N830" t="str">
        <f ca="1">VLOOKUP(F830,INDIRECT("球種変換表!A$1:B$" &amp; Prams!$B$2),2,)</f>
        <v>ストレート</v>
      </c>
      <c r="O830">
        <f ca="1">VLOOKUP(N830,球種情報!A:B,2,FALSE)</f>
        <v>1</v>
      </c>
      <c r="P830">
        <f ca="1">VLOOKUP(K830,投手データ!B:AI,output!O830+6,FALSE)</f>
        <v>1</v>
      </c>
      <c r="R830">
        <f t="shared" ca="1" si="63"/>
        <v>6.7567567567567571E-3</v>
      </c>
      <c r="S830">
        <f t="shared" si="64"/>
        <v>0.47951388888888885</v>
      </c>
      <c r="T830">
        <f>Prams!B$5/(S830-Prams!B$6)</f>
        <v>147.47364445357385</v>
      </c>
      <c r="U830">
        <f t="shared" ca="1" si="65"/>
        <v>0.56284722222222228</v>
      </c>
      <c r="V830">
        <f ca="1">Prams!C$5/(U830-Prams!C$6)</f>
        <v>147.46191918054183</v>
      </c>
      <c r="W830">
        <f t="shared" ca="1" si="66"/>
        <v>0.9963643187874448</v>
      </c>
    </row>
    <row r="831" spans="1:23" hidden="1" x14ac:dyDescent="0.55000000000000004">
      <c r="A831" s="1" t="s">
        <v>2245</v>
      </c>
      <c r="B831" s="1">
        <v>128</v>
      </c>
      <c r="C831">
        <v>635</v>
      </c>
      <c r="D831">
        <v>600.5</v>
      </c>
      <c r="E831">
        <v>10.012589999999999</v>
      </c>
      <c r="F831" t="s">
        <v>0</v>
      </c>
      <c r="G831" s="10" t="s">
        <v>611</v>
      </c>
      <c r="H831">
        <v>99</v>
      </c>
      <c r="I831" t="s">
        <v>2244</v>
      </c>
      <c r="J831">
        <f ca="1">VLOOKUP(G831,INDIRECT("球速変換!A$1:B$" &amp; Prams!$B$8),2,)</f>
        <v>146</v>
      </c>
      <c r="K831" t="str">
        <f ca="1">VLOOKUP(I831,INDIRECT("投手名変換!A$1:B$" &amp; Prams!$B$9),2,)</f>
        <v>DD017</v>
      </c>
      <c r="L831">
        <f t="shared" si="67"/>
        <v>29</v>
      </c>
      <c r="M831">
        <f ca="1">(B831-VLOOKUP(K831,INDIRECT("投手データ!B1:D"&amp;Prams!$B$1),3,FALSE)*2)</f>
        <v>34</v>
      </c>
      <c r="N831" t="str">
        <f ca="1">VLOOKUP(F831,INDIRECT("球種変換表!A$1:B$" &amp; Prams!$B$2),2,)</f>
        <v>ストレート</v>
      </c>
      <c r="O831">
        <f ca="1">VLOOKUP(N831,球種情報!A:B,2,FALSE)</f>
        <v>1</v>
      </c>
      <c r="P831">
        <f ca="1">VLOOKUP(K831,投手データ!B:AI,output!O831+6,FALSE)</f>
        <v>1</v>
      </c>
      <c r="R831">
        <f t="shared" ca="1" si="63"/>
        <v>6.8493150684931503E-3</v>
      </c>
      <c r="S831">
        <f t="shared" si="64"/>
        <v>0.48298611111111112</v>
      </c>
      <c r="T831">
        <f>Prams!B$5/(S831-Prams!B$6)</f>
        <v>146.26219876845835</v>
      </c>
      <c r="U831">
        <f t="shared" ca="1" si="65"/>
        <v>0.56631944444444438</v>
      </c>
      <c r="V831">
        <f ca="1">Prams!C$5/(U831-Prams!C$6)</f>
        <v>146.2506653349017</v>
      </c>
      <c r="W831">
        <f t="shared" ca="1" si="66"/>
        <v>1.001716885855491</v>
      </c>
    </row>
    <row r="832" spans="1:23" hidden="1" x14ac:dyDescent="0.55000000000000004">
      <c r="A832" s="1" t="s">
        <v>2246</v>
      </c>
      <c r="B832" s="1">
        <v>128</v>
      </c>
      <c r="C832">
        <v>641</v>
      </c>
      <c r="D832">
        <v>606</v>
      </c>
      <c r="E832">
        <v>10.04998</v>
      </c>
      <c r="F832" t="s">
        <v>0</v>
      </c>
      <c r="G832" s="10" t="s">
        <v>640</v>
      </c>
      <c r="H832">
        <v>99</v>
      </c>
      <c r="I832" t="s">
        <v>1798</v>
      </c>
      <c r="J832">
        <f ca="1">VLOOKUP(G832,INDIRECT("球速変換!A$1:B$" &amp; Prams!$B$8),2,)</f>
        <v>148</v>
      </c>
      <c r="K832" t="str">
        <f ca="1">VLOOKUP(I832,INDIRECT("投手名変換!A$1:B$" &amp; Prams!$B$9),2,)</f>
        <v>DD017</v>
      </c>
      <c r="L832">
        <f t="shared" si="67"/>
        <v>29</v>
      </c>
      <c r="M832">
        <f ca="1">(B832-VLOOKUP(K832,INDIRECT("投手データ!B1:D"&amp;Prams!$B$1),3,FALSE)*2)</f>
        <v>34</v>
      </c>
      <c r="N832" t="str">
        <f ca="1">VLOOKUP(F832,INDIRECT("球種変換表!A$1:B$" &amp; Prams!$B$2),2,)</f>
        <v>ストレート</v>
      </c>
      <c r="O832">
        <f ca="1">VLOOKUP(N832,球種情報!A:B,2,FALSE)</f>
        <v>1</v>
      </c>
      <c r="P832">
        <f ca="1">VLOOKUP(K832,投手データ!B:AI,output!O832+6,FALSE)</f>
        <v>1</v>
      </c>
      <c r="R832">
        <f t="shared" ca="1" si="63"/>
        <v>6.7567567567567571E-3</v>
      </c>
      <c r="S832">
        <f t="shared" si="64"/>
        <v>0.47916666666666669</v>
      </c>
      <c r="T832">
        <f>Prams!B$5/(S832-Prams!B$6)</f>
        <v>147.59589368136241</v>
      </c>
      <c r="U832">
        <f t="shared" ca="1" si="65"/>
        <v>0.5625</v>
      </c>
      <c r="V832">
        <f ca="1">Prams!C$5/(U832-Prams!C$6)</f>
        <v>147.584148961566</v>
      </c>
      <c r="W832">
        <f t="shared" ca="1" si="66"/>
        <v>0.99719019568625678</v>
      </c>
    </row>
    <row r="833" spans="1:23" hidden="1" x14ac:dyDescent="0.55000000000000004">
      <c r="A833" s="1" t="s">
        <v>2247</v>
      </c>
      <c r="B833" s="1">
        <v>128</v>
      </c>
      <c r="C833">
        <v>639</v>
      </c>
      <c r="D833">
        <v>602</v>
      </c>
      <c r="E833">
        <v>11.0001</v>
      </c>
      <c r="F833" t="s">
        <v>0</v>
      </c>
      <c r="G833" s="10" t="s">
        <v>638</v>
      </c>
      <c r="H833">
        <v>99</v>
      </c>
      <c r="I833" t="s">
        <v>1798</v>
      </c>
      <c r="J833">
        <f ca="1">VLOOKUP(G833,INDIRECT("球速変換!A$1:B$" &amp; Prams!$B$8),2,)</f>
        <v>147</v>
      </c>
      <c r="K833" t="str">
        <f ca="1">VLOOKUP(I833,INDIRECT("投手名変換!A$1:B$" &amp; Prams!$B$9),2,)</f>
        <v>DD017</v>
      </c>
      <c r="L833">
        <f t="shared" si="67"/>
        <v>29</v>
      </c>
      <c r="M833">
        <f ca="1">(B833-VLOOKUP(K833,INDIRECT("投手データ!B1:D"&amp;Prams!$B$1),3,FALSE)*2)</f>
        <v>34</v>
      </c>
      <c r="N833" t="str">
        <f ca="1">VLOOKUP(F833,INDIRECT("球種変換表!A$1:B$" &amp; Prams!$B$2),2,)</f>
        <v>ストレート</v>
      </c>
      <c r="O833">
        <f ca="1">VLOOKUP(N833,球種情報!A:B,2,FALSE)</f>
        <v>1</v>
      </c>
      <c r="P833">
        <f ca="1">VLOOKUP(K833,投手データ!B:AI,output!O833+6,FALSE)</f>
        <v>1</v>
      </c>
      <c r="R833">
        <f t="shared" ca="1" si="63"/>
        <v>6.8027210884353739E-3</v>
      </c>
      <c r="S833">
        <f t="shared" si="64"/>
        <v>0.48194444444444445</v>
      </c>
      <c r="T833">
        <f>Prams!B$5/(S833-Prams!B$6)</f>
        <v>146.62353747233055</v>
      </c>
      <c r="U833">
        <f t="shared" ca="1" si="65"/>
        <v>0.56527777777777777</v>
      </c>
      <c r="V833">
        <f ca="1">Prams!C$5/(U833-Prams!C$6)</f>
        <v>146.6119469842692</v>
      </c>
      <c r="W833">
        <f t="shared" ca="1" si="66"/>
        <v>0.99736018356645706</v>
      </c>
    </row>
    <row r="834" spans="1:23" hidden="1" x14ac:dyDescent="0.55000000000000004">
      <c r="A834" s="1" t="s">
        <v>2248</v>
      </c>
      <c r="B834" s="1">
        <v>129</v>
      </c>
      <c r="C834">
        <v>645</v>
      </c>
      <c r="D834">
        <v>619.5</v>
      </c>
      <c r="E834">
        <v>11.01146</v>
      </c>
      <c r="F834" t="s">
        <v>656</v>
      </c>
      <c r="G834" s="10" t="s">
        <v>2462</v>
      </c>
      <c r="H834">
        <v>99</v>
      </c>
      <c r="I834" t="s">
        <v>1798</v>
      </c>
      <c r="J834">
        <f ca="1">VLOOKUP(G834,INDIRECT("球速変換!A$1:B$" &amp; Prams!$B$8),2,)</f>
        <v>145</v>
      </c>
      <c r="K834" t="str">
        <f ca="1">VLOOKUP(I834,INDIRECT("投手名変換!A$1:B$" &amp; Prams!$B$9),2,)</f>
        <v>DD017</v>
      </c>
      <c r="L834">
        <f t="shared" si="67"/>
        <v>30</v>
      </c>
      <c r="M834">
        <f ca="1">(B834-VLOOKUP(K834,INDIRECT("投手データ!B1:D"&amp;Prams!$B$1),3,FALSE)*2)</f>
        <v>35</v>
      </c>
      <c r="N834" t="str">
        <f ca="1">VLOOKUP(F834,INDIRECT("球種変換表!A$1:B$" &amp; Prams!$B$2),2,)</f>
        <v>ストレート</v>
      </c>
      <c r="O834">
        <f ca="1">VLOOKUP(N834,球種情報!A:B,2,FALSE)</f>
        <v>1</v>
      </c>
      <c r="P834">
        <f ca="1">VLOOKUP(K834,投手データ!B:AI,output!O834+6,FALSE)</f>
        <v>1</v>
      </c>
      <c r="R834">
        <f t="shared" ca="1" si="63"/>
        <v>6.8965517241379309E-3</v>
      </c>
      <c r="S834">
        <f t="shared" si="64"/>
        <v>0.48645833333333333</v>
      </c>
      <c r="T834">
        <f>Prams!B$5/(S834-Prams!B$6)</f>
        <v>145.07049414341307</v>
      </c>
      <c r="U834">
        <f t="shared" ca="1" si="65"/>
        <v>0.5697916666666667</v>
      </c>
      <c r="V834">
        <f ca="1">Prams!C$5/(U834-Prams!C$6)</f>
        <v>145.05914787947518</v>
      </c>
      <c r="W834">
        <f t="shared" ca="1" si="66"/>
        <v>1.0004079164101736</v>
      </c>
    </row>
    <row r="835" spans="1:23" hidden="1" x14ac:dyDescent="0.55000000000000004">
      <c r="A835" s="1" t="s">
        <v>2249</v>
      </c>
      <c r="B835" s="1">
        <v>125</v>
      </c>
      <c r="C835">
        <v>640.5</v>
      </c>
      <c r="D835">
        <v>614.5</v>
      </c>
      <c r="E835">
        <v>10.512</v>
      </c>
      <c r="F835" t="s">
        <v>343</v>
      </c>
      <c r="G835" s="10" t="s">
        <v>635</v>
      </c>
      <c r="H835">
        <v>98</v>
      </c>
      <c r="I835" t="s">
        <v>1798</v>
      </c>
      <c r="J835">
        <v>145</v>
      </c>
      <c r="K835" t="str">
        <f ca="1">VLOOKUP(I835,INDIRECT("投手名変換!A$1:B$" &amp; Prams!$B$9),2,)</f>
        <v>DD017</v>
      </c>
      <c r="L835">
        <f t="shared" si="67"/>
        <v>27</v>
      </c>
      <c r="M835">
        <f ca="1">(B835-VLOOKUP(K835,INDIRECT("投手データ!B1:D"&amp;Prams!$B$1),3,FALSE)*2)</f>
        <v>31</v>
      </c>
      <c r="N835" t="str">
        <f ca="1">VLOOKUP(F835,INDIRECT("球種変換表!A$1:B$" &amp; Prams!$B$2),2,)</f>
        <v>全力ストレート</v>
      </c>
      <c r="O835">
        <f ca="1">VLOOKUP(N835,球種情報!A:B,2,FALSE)</f>
        <v>2</v>
      </c>
      <c r="P835">
        <f ca="1">VLOOKUP(K835,投手データ!B:AI,output!O835+6,FALSE)</f>
        <v>1</v>
      </c>
      <c r="R835">
        <f t="shared" si="63"/>
        <v>6.8965517241379309E-3</v>
      </c>
      <c r="S835">
        <f t="shared" si="64"/>
        <v>0.43993055555555555</v>
      </c>
      <c r="T835">
        <f>Prams!B$5/(S835-Prams!B$6)</f>
        <v>162.85043207211692</v>
      </c>
      <c r="U835">
        <f t="shared" ca="1" si="65"/>
        <v>0.50659722222222225</v>
      </c>
      <c r="V835">
        <f ca="1">Prams!C$5/(U835-Prams!C$6)</f>
        <v>170.31259804559264</v>
      </c>
      <c r="W835">
        <f t="shared" ca="1" si="66"/>
        <v>1.1745696416937423</v>
      </c>
    </row>
    <row r="836" spans="1:23" hidden="1" x14ac:dyDescent="0.55000000000000004">
      <c r="A836" s="1" t="s">
        <v>2250</v>
      </c>
      <c r="B836" s="1">
        <v>125</v>
      </c>
      <c r="C836">
        <v>641</v>
      </c>
      <c r="D836">
        <v>621.5</v>
      </c>
      <c r="E836">
        <v>11.01146</v>
      </c>
      <c r="F836" t="s">
        <v>343</v>
      </c>
      <c r="G836" s="10" t="s">
        <v>638</v>
      </c>
      <c r="H836">
        <v>98</v>
      </c>
      <c r="I836" t="s">
        <v>1798</v>
      </c>
      <c r="J836">
        <f ca="1">VLOOKUP(G836,INDIRECT("球速変換!A$1:B$" &amp; Prams!$B$8),2,)</f>
        <v>147</v>
      </c>
      <c r="K836" t="str">
        <f ca="1">VLOOKUP(I836,INDIRECT("投手名変換!A$1:B$" &amp; Prams!$B$9),2,)</f>
        <v>DD017</v>
      </c>
      <c r="L836">
        <f t="shared" si="67"/>
        <v>27</v>
      </c>
      <c r="M836">
        <f ca="1">(B836-VLOOKUP(K836,INDIRECT("投手データ!B1:D"&amp;Prams!$B$1),3,FALSE)*2)</f>
        <v>31</v>
      </c>
      <c r="N836" t="str">
        <f ca="1">VLOOKUP(F836,INDIRECT("球種変換表!A$1:B$" &amp; Prams!$B$2),2,)</f>
        <v>全力ストレート</v>
      </c>
      <c r="O836">
        <f ca="1">VLOOKUP(N836,球種情報!A:B,2,FALSE)</f>
        <v>2</v>
      </c>
      <c r="P836">
        <f ca="1">VLOOKUP(K836,投手データ!B:AI,output!O836+6,FALSE)</f>
        <v>1</v>
      </c>
      <c r="R836">
        <f t="shared" ca="1" si="63"/>
        <v>6.8027210884353739E-3</v>
      </c>
      <c r="S836">
        <f t="shared" si="64"/>
        <v>0.43506944444444445</v>
      </c>
      <c r="T836">
        <f>Prams!B$5/(S836-Prams!B$6)</f>
        <v>164.96275487892558</v>
      </c>
      <c r="U836">
        <f t="shared" ca="1" si="65"/>
        <v>0.50173611111111116</v>
      </c>
      <c r="V836">
        <f ca="1">Prams!C$5/(U836-Prams!C$6)</f>
        <v>172.62431260616307</v>
      </c>
      <c r="W836">
        <f t="shared" ca="1" si="66"/>
        <v>1.174315051742606</v>
      </c>
    </row>
    <row r="837" spans="1:23" hidden="1" x14ac:dyDescent="0.55000000000000004">
      <c r="A837" s="1" t="s">
        <v>2251</v>
      </c>
      <c r="B837" s="1">
        <v>125</v>
      </c>
      <c r="C837">
        <v>640</v>
      </c>
      <c r="D837">
        <v>608.5</v>
      </c>
      <c r="E837">
        <v>11.01146</v>
      </c>
      <c r="F837" t="s">
        <v>343</v>
      </c>
      <c r="G837" s="10" t="s">
        <v>1098</v>
      </c>
      <c r="H837">
        <v>98</v>
      </c>
      <c r="I837" t="s">
        <v>1798</v>
      </c>
      <c r="J837">
        <f ca="1">VLOOKUP(G837,INDIRECT("球速変換!A$1:B$" &amp; Prams!$B$8),2,)</f>
        <v>143</v>
      </c>
      <c r="K837" t="str">
        <f ca="1">VLOOKUP(I837,INDIRECT("投手名変換!A$1:B$" &amp; Prams!$B$9),2,)</f>
        <v>DD017</v>
      </c>
      <c r="L837">
        <f t="shared" si="67"/>
        <v>27</v>
      </c>
      <c r="M837">
        <f ca="1">(B837-VLOOKUP(K837,INDIRECT("投手データ!B1:D"&amp;Prams!$B$1),3,FALSE)*2)</f>
        <v>31</v>
      </c>
      <c r="N837" t="str">
        <f ca="1">VLOOKUP(F837,INDIRECT("球種変換表!A$1:B$" &amp; Prams!$B$2),2,)</f>
        <v>全力ストレート</v>
      </c>
      <c r="O837">
        <f ca="1">VLOOKUP(N837,球種情報!A:B,2,FALSE)</f>
        <v>2</v>
      </c>
      <c r="P837">
        <f ca="1">VLOOKUP(K837,投手データ!B:AI,output!O837+6,FALSE)</f>
        <v>1</v>
      </c>
      <c r="R837">
        <f t="shared" ref="R837:R900" ca="1" si="68">1/J837</f>
        <v>6.993006993006993E-3</v>
      </c>
      <c r="S837">
        <f t="shared" ref="S837:S900" si="69">(L837-(D837-600)/24)*2/120</f>
        <v>0.4440972222222222</v>
      </c>
      <c r="T837">
        <f>Prams!B$5/(S837-Prams!B$6)</f>
        <v>161.08245818466062</v>
      </c>
      <c r="U837">
        <f t="shared" ref="U837:U900" ca="1" si="70">(M837-(D837-600)/24)*2/120</f>
        <v>0.51076388888888891</v>
      </c>
      <c r="V837">
        <f ca="1">Prams!C$5/(U837-Prams!C$6)</f>
        <v>168.37984853872399</v>
      </c>
      <c r="W837">
        <f t="shared" ref="W837:W900" ca="1" si="71">V837/J837</f>
        <v>1.1774814583127551</v>
      </c>
    </row>
    <row r="838" spans="1:23" hidden="1" x14ac:dyDescent="0.55000000000000004">
      <c r="A838" s="1" t="s">
        <v>2252</v>
      </c>
      <c r="B838" s="1">
        <v>125</v>
      </c>
      <c r="C838">
        <v>639.5</v>
      </c>
      <c r="D838">
        <v>610.5</v>
      </c>
      <c r="E838">
        <v>10.512</v>
      </c>
      <c r="F838" t="s">
        <v>343</v>
      </c>
      <c r="G838" s="10" t="s">
        <v>1165</v>
      </c>
      <c r="H838">
        <v>98</v>
      </c>
      <c r="I838" t="s">
        <v>1798</v>
      </c>
      <c r="J838">
        <f ca="1">VLOOKUP(G838,INDIRECT("球速変換!A$1:B$" &amp; Prams!$B$8),2,)</f>
        <v>143</v>
      </c>
      <c r="K838" t="str">
        <f ca="1">VLOOKUP(I838,INDIRECT("投手名変換!A$1:B$" &amp; Prams!$B$9),2,)</f>
        <v>DD017</v>
      </c>
      <c r="L838">
        <f t="shared" si="67"/>
        <v>27</v>
      </c>
      <c r="M838">
        <f ca="1">(B838-VLOOKUP(K838,INDIRECT("投手データ!B1:D"&amp;Prams!$B$1),3,FALSE)*2)</f>
        <v>31</v>
      </c>
      <c r="N838" t="str">
        <f ca="1">VLOOKUP(F838,INDIRECT("球種変換表!A$1:B$" &amp; Prams!$B$2),2,)</f>
        <v>全力ストレート</v>
      </c>
      <c r="O838">
        <f ca="1">VLOOKUP(N838,球種情報!A:B,2,FALSE)</f>
        <v>2</v>
      </c>
      <c r="P838">
        <f ca="1">VLOOKUP(K838,投手データ!B:AI,output!O838+6,FALSE)</f>
        <v>1</v>
      </c>
      <c r="R838">
        <f t="shared" ca="1" si="68"/>
        <v>6.993006993006993E-3</v>
      </c>
      <c r="S838">
        <f t="shared" si="69"/>
        <v>0.44270833333333331</v>
      </c>
      <c r="T838">
        <f>Prams!B$5/(S838-Prams!B$6)</f>
        <v>161.66750201573365</v>
      </c>
      <c r="U838">
        <f t="shared" ca="1" si="70"/>
        <v>0.50937500000000002</v>
      </c>
      <c r="V838">
        <f ca="1">Prams!C$5/(U838-Prams!C$6)</f>
        <v>169.01920579591277</v>
      </c>
      <c r="W838">
        <f t="shared" ca="1" si="71"/>
        <v>1.1819524880833061</v>
      </c>
    </row>
    <row r="839" spans="1:23" hidden="1" x14ac:dyDescent="0.55000000000000004">
      <c r="A839" s="1" t="s">
        <v>2254</v>
      </c>
      <c r="B839" s="1">
        <v>125</v>
      </c>
      <c r="C839">
        <v>642</v>
      </c>
      <c r="D839">
        <v>623</v>
      </c>
      <c r="E839">
        <v>11.0001</v>
      </c>
      <c r="F839" t="s">
        <v>2253</v>
      </c>
      <c r="G839" s="10" t="s">
        <v>640</v>
      </c>
      <c r="H839">
        <v>98</v>
      </c>
      <c r="I839" t="s">
        <v>2244</v>
      </c>
      <c r="J839">
        <f ca="1">VLOOKUP(G839,INDIRECT("球速変換!A$1:B$" &amp; Prams!$B$8),2,)</f>
        <v>148</v>
      </c>
      <c r="K839" t="str">
        <f ca="1">VLOOKUP(I839,INDIRECT("投手名変換!A$1:B$" &amp; Prams!$B$9),2,)</f>
        <v>DD017</v>
      </c>
      <c r="L839">
        <f t="shared" si="67"/>
        <v>27</v>
      </c>
      <c r="M839">
        <f ca="1">(B839-VLOOKUP(K839,INDIRECT("投手データ!B1:D"&amp;Prams!$B$1),3,FALSE)*2)</f>
        <v>31</v>
      </c>
      <c r="N839" t="str">
        <f ca="1">VLOOKUP(F839,INDIRECT("球種変換表!A$1:B$" &amp; Prams!$B$2),2,)</f>
        <v>全力ストレート</v>
      </c>
      <c r="O839">
        <f ca="1">VLOOKUP(N839,球種情報!A:B,2,FALSE)</f>
        <v>2</v>
      </c>
      <c r="P839">
        <f ca="1">VLOOKUP(K839,投手データ!B:AI,output!O839+6,FALSE)</f>
        <v>1</v>
      </c>
      <c r="R839">
        <f t="shared" ca="1" si="68"/>
        <v>6.7567567567567571E-3</v>
      </c>
      <c r="S839">
        <f t="shared" si="69"/>
        <v>0.43402777777777779</v>
      </c>
      <c r="T839">
        <f>Prams!B$5/(S839-Prams!B$6)</f>
        <v>165.42254463290274</v>
      </c>
      <c r="U839">
        <f t="shared" ca="1" si="70"/>
        <v>0.50069444444444444</v>
      </c>
      <c r="V839">
        <f ca="1">Prams!C$5/(U839-Prams!C$6)</f>
        <v>173.12786844438912</v>
      </c>
      <c r="W839">
        <f t="shared" ca="1" si="71"/>
        <v>1.169782894894521</v>
      </c>
    </row>
    <row r="840" spans="1:23" hidden="1" x14ac:dyDescent="0.55000000000000004">
      <c r="A840" s="1" t="s">
        <v>2255</v>
      </c>
      <c r="B840" s="1">
        <v>125</v>
      </c>
      <c r="C840">
        <v>641.42107999999996</v>
      </c>
      <c r="D840">
        <v>622</v>
      </c>
      <c r="E840">
        <v>9.6310699999999994</v>
      </c>
      <c r="F840" t="s">
        <v>343</v>
      </c>
      <c r="G840" s="10" t="s">
        <v>613</v>
      </c>
      <c r="H840">
        <v>98</v>
      </c>
      <c r="I840" t="s">
        <v>1798</v>
      </c>
      <c r="J840">
        <f ca="1">VLOOKUP(G840,INDIRECT("球速変換!A$1:B$" &amp; Prams!$B$8),2,)</f>
        <v>147</v>
      </c>
      <c r="K840" t="str">
        <f ca="1">VLOOKUP(I840,INDIRECT("投手名変換!A$1:B$" &amp; Prams!$B$9),2,)</f>
        <v>DD017</v>
      </c>
      <c r="L840">
        <f t="shared" si="67"/>
        <v>27</v>
      </c>
      <c r="M840">
        <f ca="1">(B840-VLOOKUP(K840,INDIRECT("投手データ!B1:D"&amp;Prams!$B$1),3,FALSE)*2)</f>
        <v>31</v>
      </c>
      <c r="N840" t="str">
        <f ca="1">VLOOKUP(F840,INDIRECT("球種変換表!A$1:B$" &amp; Prams!$B$2),2,)</f>
        <v>全力ストレート</v>
      </c>
      <c r="O840">
        <f ca="1">VLOOKUP(N840,球種情報!A:B,2,FALSE)</f>
        <v>2</v>
      </c>
      <c r="P840">
        <f ca="1">VLOOKUP(K840,投手データ!B:AI,output!O840+6,FALSE)</f>
        <v>1</v>
      </c>
      <c r="R840">
        <f t="shared" ca="1" si="68"/>
        <v>6.8027210884353739E-3</v>
      </c>
      <c r="S840">
        <f t="shared" si="69"/>
        <v>0.43472222222222218</v>
      </c>
      <c r="T840">
        <f>Prams!B$5/(S840-Prams!B$6)</f>
        <v>165.11573387144639</v>
      </c>
      <c r="U840">
        <f t="shared" ca="1" si="70"/>
        <v>0.50138888888888888</v>
      </c>
      <c r="V840">
        <f ca="1">Prams!C$5/(U840-Prams!C$6)</f>
        <v>172.79183876277136</v>
      </c>
      <c r="W840">
        <f t="shared" ca="1" si="71"/>
        <v>1.1754546854610297</v>
      </c>
    </row>
    <row r="841" spans="1:23" hidden="1" x14ac:dyDescent="0.55000000000000004">
      <c r="A841" s="1" t="s">
        <v>1807</v>
      </c>
      <c r="B841" s="1">
        <v>125</v>
      </c>
      <c r="C841">
        <v>641.95001000000002</v>
      </c>
      <c r="D841">
        <v>622.5</v>
      </c>
      <c r="E841">
        <v>10.062519999999999</v>
      </c>
      <c r="F841" t="s">
        <v>1806</v>
      </c>
      <c r="G841" s="10" t="s">
        <v>635</v>
      </c>
      <c r="H841">
        <v>98</v>
      </c>
      <c r="I841" t="s">
        <v>1798</v>
      </c>
      <c r="J841">
        <f ca="1">VLOOKUP(G841,INDIRECT("球速変換!A$1:B$" &amp; Prams!$B$8),2,)</f>
        <v>148</v>
      </c>
      <c r="K841" t="str">
        <f ca="1">VLOOKUP(I841,INDIRECT("投手名変換!A$1:B$" &amp; Prams!$B$9),2,)</f>
        <v>DD017</v>
      </c>
      <c r="L841">
        <f t="shared" ref="L841:L904" si="72">B841-H841</f>
        <v>27</v>
      </c>
      <c r="M841">
        <f ca="1">(B841-VLOOKUP(K841,INDIRECT("投手データ!B1:D"&amp;Prams!$B$1),3,FALSE)*2)</f>
        <v>31</v>
      </c>
      <c r="N841" t="str">
        <f ca="1">VLOOKUP(F841,INDIRECT("球種変換表!A$1:B$" &amp; Prams!$B$2),2,)</f>
        <v>全力ストレート</v>
      </c>
      <c r="O841">
        <f ca="1">VLOOKUP(N841,球種情報!A:B,2,FALSE)</f>
        <v>2</v>
      </c>
      <c r="P841">
        <f ca="1">VLOOKUP(K841,投手データ!B:AI,output!O841+6,FALSE)</f>
        <v>1</v>
      </c>
      <c r="R841">
        <f t="shared" ca="1" si="68"/>
        <v>6.7567567567567571E-3</v>
      </c>
      <c r="S841">
        <f t="shared" si="69"/>
        <v>0.43437500000000001</v>
      </c>
      <c r="T841">
        <f>Prams!B$5/(S841-Prams!B$6)</f>
        <v>165.26899685891868</v>
      </c>
      <c r="U841">
        <f t="shared" ca="1" si="70"/>
        <v>0.50104166666666672</v>
      </c>
      <c r="V841">
        <f ca="1">Prams!C$5/(U841-Prams!C$6)</f>
        <v>172.9596903923717</v>
      </c>
      <c r="W841">
        <f t="shared" ca="1" si="71"/>
        <v>1.1686465567052142</v>
      </c>
    </row>
    <row r="842" spans="1:23" hidden="1" x14ac:dyDescent="0.55000000000000004">
      <c r="A842" s="1" t="s">
        <v>1808</v>
      </c>
      <c r="B842" s="1">
        <v>125</v>
      </c>
      <c r="C842">
        <v>640.5</v>
      </c>
      <c r="D842">
        <v>613.5</v>
      </c>
      <c r="E842">
        <v>11.510960000000001</v>
      </c>
      <c r="F842" t="s">
        <v>343</v>
      </c>
      <c r="G842" s="10" t="s">
        <v>1264</v>
      </c>
      <c r="H842">
        <v>98</v>
      </c>
      <c r="I842" t="s">
        <v>1798</v>
      </c>
      <c r="J842">
        <f ca="1">VLOOKUP(G842,INDIRECT("球速変換!A$1:B$" &amp; Prams!$B$8),2,)</f>
        <v>144</v>
      </c>
      <c r="K842" t="str">
        <f ca="1">VLOOKUP(I842,INDIRECT("投手名変換!A$1:B$" &amp; Prams!$B$9),2,)</f>
        <v>DD017</v>
      </c>
      <c r="L842">
        <f t="shared" si="72"/>
        <v>27</v>
      </c>
      <c r="M842">
        <f ca="1">(B842-VLOOKUP(K842,INDIRECT("投手データ!B1:D"&amp;Prams!$B$1),3,FALSE)*2)</f>
        <v>31</v>
      </c>
      <c r="N842" t="str">
        <f ca="1">VLOOKUP(F842,INDIRECT("球種変換表!A$1:B$" &amp; Prams!$B$2),2,)</f>
        <v>全力ストレート</v>
      </c>
      <c r="O842">
        <f ca="1">VLOOKUP(N842,球種情報!A:B,2,FALSE)</f>
        <v>2</v>
      </c>
      <c r="P842">
        <f ca="1">VLOOKUP(K842,投手データ!B:AI,output!O842+6,FALSE)</f>
        <v>1</v>
      </c>
      <c r="R842">
        <f t="shared" ca="1" si="68"/>
        <v>6.9444444444444441E-3</v>
      </c>
      <c r="S842">
        <f t="shared" si="69"/>
        <v>0.44062499999999999</v>
      </c>
      <c r="T842">
        <f>Prams!B$5/(S842-Prams!B$6)</f>
        <v>162.55307960297117</v>
      </c>
      <c r="U842">
        <f t="shared" ca="1" si="70"/>
        <v>0.5072916666666667</v>
      </c>
      <c r="V842">
        <f ca="1">Prams!C$5/(U842-Prams!C$6)</f>
        <v>169.98739774992552</v>
      </c>
      <c r="W842">
        <f t="shared" ca="1" si="71"/>
        <v>1.1804680399300382</v>
      </c>
    </row>
    <row r="843" spans="1:23" hidden="1" x14ac:dyDescent="0.55000000000000004">
      <c r="A843" s="1" t="s">
        <v>1809</v>
      </c>
      <c r="B843" s="1">
        <v>125</v>
      </c>
      <c r="C843">
        <v>640.5</v>
      </c>
      <c r="D843">
        <v>610</v>
      </c>
      <c r="E843">
        <v>10.5001</v>
      </c>
      <c r="F843" t="s">
        <v>343</v>
      </c>
      <c r="G843" s="10" t="s">
        <v>972</v>
      </c>
      <c r="H843">
        <v>98</v>
      </c>
      <c r="I843" t="s">
        <v>1798</v>
      </c>
      <c r="J843">
        <f ca="1">VLOOKUP(G843,INDIRECT("球速変換!A$1:B$" &amp; Prams!$B$8),2,)</f>
        <v>144</v>
      </c>
      <c r="K843" t="str">
        <f ca="1">VLOOKUP(I843,INDIRECT("投手名変換!A$1:B$" &amp; Prams!$B$9),2,)</f>
        <v>DD017</v>
      </c>
      <c r="L843">
        <f t="shared" si="72"/>
        <v>27</v>
      </c>
      <c r="M843">
        <f ca="1">(B843-VLOOKUP(K843,INDIRECT("投手データ!B1:D"&amp;Prams!$B$1),3,FALSE)*2)</f>
        <v>31</v>
      </c>
      <c r="N843" t="str">
        <f ca="1">VLOOKUP(F843,INDIRECT("球種変換表!A$1:B$" &amp; Prams!$B$2),2,)</f>
        <v>全力ストレート</v>
      </c>
      <c r="O843">
        <f ca="1">VLOOKUP(N843,球種情報!A:B,2,FALSE)</f>
        <v>2</v>
      </c>
      <c r="P843">
        <f ca="1">VLOOKUP(K843,投手データ!B:AI,output!O843+6,FALSE)</f>
        <v>1</v>
      </c>
      <c r="R843">
        <f t="shared" ca="1" si="68"/>
        <v>6.9444444444444441E-3</v>
      </c>
      <c r="S843">
        <f t="shared" si="69"/>
        <v>0.44305555555555554</v>
      </c>
      <c r="T843">
        <f>Prams!B$5/(S843-Prams!B$6)</f>
        <v>161.52084300975386</v>
      </c>
      <c r="U843">
        <f t="shared" ca="1" si="70"/>
        <v>0.50972222222222219</v>
      </c>
      <c r="V843">
        <f ca="1">Prams!C$5/(U843-Prams!C$6)</f>
        <v>168.85891171739857</v>
      </c>
      <c r="W843">
        <f t="shared" ca="1" si="71"/>
        <v>1.1726313313708234</v>
      </c>
    </row>
    <row r="844" spans="1:23" hidden="1" x14ac:dyDescent="0.55000000000000004">
      <c r="A844" s="1" t="s">
        <v>1810</v>
      </c>
      <c r="B844" s="1">
        <v>125</v>
      </c>
      <c r="C844">
        <v>639.5</v>
      </c>
      <c r="D844">
        <v>609</v>
      </c>
      <c r="E844">
        <v>10.547610000000001</v>
      </c>
      <c r="F844" t="s">
        <v>343</v>
      </c>
      <c r="G844" s="10" t="s">
        <v>584</v>
      </c>
      <c r="H844">
        <v>98</v>
      </c>
      <c r="I844" t="s">
        <v>1798</v>
      </c>
      <c r="J844">
        <f ca="1">VLOOKUP(G844,INDIRECT("球速変換!A$1:B$" &amp; Prams!$B$8),2,)</f>
        <v>141</v>
      </c>
      <c r="K844" t="str">
        <f ca="1">VLOOKUP(I844,INDIRECT("投手名変換!A$1:B$" &amp; Prams!$B$9),2,)</f>
        <v>DD017</v>
      </c>
      <c r="L844">
        <f t="shared" si="72"/>
        <v>27</v>
      </c>
      <c r="M844">
        <f ca="1">(B844-VLOOKUP(K844,INDIRECT("投手データ!B1:D"&amp;Prams!$B$1),3,FALSE)*2)</f>
        <v>31</v>
      </c>
      <c r="N844" t="str">
        <f ca="1">VLOOKUP(F844,INDIRECT("球種変換表!A$1:B$" &amp; Prams!$B$2),2,)</f>
        <v>全力ストレート</v>
      </c>
      <c r="O844">
        <f ca="1">VLOOKUP(N844,球種情報!A:B,2,FALSE)</f>
        <v>2</v>
      </c>
      <c r="P844">
        <f ca="1">VLOOKUP(K844,投手データ!B:AI,output!O844+6,FALSE)</f>
        <v>1</v>
      </c>
      <c r="R844">
        <f t="shared" ca="1" si="68"/>
        <v>7.0921985815602835E-3</v>
      </c>
      <c r="S844">
        <f t="shared" si="69"/>
        <v>0.44374999999999998</v>
      </c>
      <c r="T844">
        <f>Prams!B$5/(S844-Prams!B$6)</f>
        <v>161.22832181509978</v>
      </c>
      <c r="U844">
        <f t="shared" ca="1" si="70"/>
        <v>0.51041666666666663</v>
      </c>
      <c r="V844">
        <f ca="1">Prams!C$5/(U844-Prams!C$6)</f>
        <v>168.53923394974785</v>
      </c>
      <c r="W844">
        <f t="shared" ca="1" si="71"/>
        <v>1.1953137159556586</v>
      </c>
    </row>
    <row r="845" spans="1:23" hidden="1" x14ac:dyDescent="0.55000000000000004">
      <c r="A845" s="1" t="s">
        <v>1811</v>
      </c>
      <c r="B845" s="1">
        <v>133</v>
      </c>
      <c r="C845">
        <v>653.5</v>
      </c>
      <c r="D845">
        <v>611.5</v>
      </c>
      <c r="E845">
        <v>10.512</v>
      </c>
      <c r="F845" t="s">
        <v>1411</v>
      </c>
      <c r="G845" s="10" t="s">
        <v>1123</v>
      </c>
      <c r="H845">
        <v>101</v>
      </c>
      <c r="I845" t="s">
        <v>1798</v>
      </c>
      <c r="J845">
        <f ca="1">VLOOKUP(G845,INDIRECT("球速変換!A$1:B$" &amp; Prams!$B$8),2,)</f>
        <v>135</v>
      </c>
      <c r="K845" t="str">
        <f ca="1">VLOOKUP(I845,INDIRECT("投手名変換!A$1:B$" &amp; Prams!$B$9),2,)</f>
        <v>DD017</v>
      </c>
      <c r="L845">
        <f t="shared" si="72"/>
        <v>32</v>
      </c>
      <c r="M845">
        <f ca="1">(B845-VLOOKUP(K845,INDIRECT("投手データ!B1:D"&amp;Prams!$B$1),3,FALSE)*2)</f>
        <v>39</v>
      </c>
      <c r="N845" t="str">
        <f ca="1">VLOOKUP(F845,INDIRECT("球種変換表!A$1:B$" &amp; Prams!$B$2),2,)</f>
        <v>Hスライダー</v>
      </c>
      <c r="O845">
        <f ca="1">VLOOKUP(N845,球種情報!A:B,2,FALSE)</f>
        <v>7</v>
      </c>
      <c r="P845">
        <f ca="1">VLOOKUP(K845,投手データ!B:AI,output!O845+6,FALSE)</f>
        <v>3</v>
      </c>
      <c r="R845">
        <f t="shared" ca="1" si="68"/>
        <v>7.4074074074074077E-3</v>
      </c>
      <c r="S845">
        <f t="shared" si="69"/>
        <v>0.52534722222222219</v>
      </c>
      <c r="T845">
        <f>Prams!B$5/(S845-Prams!B$6)</f>
        <v>132.93918777662964</v>
      </c>
      <c r="U845">
        <f t="shared" ca="1" si="70"/>
        <v>0.64201388888888888</v>
      </c>
      <c r="V845">
        <f ca="1">Prams!C$5/(U845-Prams!C$6)</f>
        <v>124.03948079741848</v>
      </c>
      <c r="W845">
        <f t="shared" ca="1" si="71"/>
        <v>0.91881096886976654</v>
      </c>
    </row>
    <row r="846" spans="1:23" hidden="1" x14ac:dyDescent="0.55000000000000004">
      <c r="A846" s="1" t="s">
        <v>1812</v>
      </c>
      <c r="B846" s="1">
        <v>133</v>
      </c>
      <c r="C846">
        <v>659.47826999999995</v>
      </c>
      <c r="D846">
        <v>607</v>
      </c>
      <c r="E846">
        <v>11.52183</v>
      </c>
      <c r="F846" t="s">
        <v>1733</v>
      </c>
      <c r="G846" s="10" t="s">
        <v>2459</v>
      </c>
      <c r="H846">
        <v>101</v>
      </c>
      <c r="I846" t="s">
        <v>1798</v>
      </c>
      <c r="J846">
        <f ca="1">VLOOKUP(G846,INDIRECT("球速変換!A$1:B$" &amp; Prams!$B$8),2,)</f>
        <v>136</v>
      </c>
      <c r="K846" t="str">
        <f ca="1">VLOOKUP(I846,INDIRECT("投手名変換!A$1:B$" &amp; Prams!$B$9),2,)</f>
        <v>DD017</v>
      </c>
      <c r="L846">
        <f t="shared" si="72"/>
        <v>32</v>
      </c>
      <c r="M846">
        <f ca="1">(B846-VLOOKUP(K846,INDIRECT("投手データ!B1:D"&amp;Prams!$B$1),3,FALSE)*2)</f>
        <v>39</v>
      </c>
      <c r="N846" t="str">
        <f ca="1">VLOOKUP(F846,INDIRECT("球種変換表!A$1:B$" &amp; Prams!$B$2),2,)</f>
        <v>Hスライダー</v>
      </c>
      <c r="O846">
        <f ca="1">VLOOKUP(N846,球種情報!A:B,2,FALSE)</f>
        <v>7</v>
      </c>
      <c r="P846">
        <f ca="1">VLOOKUP(K846,投手データ!B:AI,output!O846+6,FALSE)</f>
        <v>3</v>
      </c>
      <c r="R846">
        <f t="shared" ca="1" si="68"/>
        <v>7.3529411764705881E-3</v>
      </c>
      <c r="S846">
        <f t="shared" si="69"/>
        <v>0.52847222222222223</v>
      </c>
      <c r="T846">
        <f>Prams!B$5/(S846-Prams!B$6)</f>
        <v>132.05183277758661</v>
      </c>
      <c r="U846">
        <f t="shared" ca="1" si="70"/>
        <v>0.64513888888888893</v>
      </c>
      <c r="V846">
        <f ca="1">Prams!C$5/(U846-Prams!C$6)</f>
        <v>123.26661275850989</v>
      </c>
      <c r="W846">
        <f t="shared" ca="1" si="71"/>
        <v>0.90637215263610216</v>
      </c>
    </row>
    <row r="847" spans="1:23" hidden="1" x14ac:dyDescent="0.55000000000000004">
      <c r="A847" s="1" t="s">
        <v>1813</v>
      </c>
      <c r="B847" s="1">
        <v>132</v>
      </c>
      <c r="C847">
        <v>650</v>
      </c>
      <c r="D847">
        <v>600.5</v>
      </c>
      <c r="E847">
        <v>10.012589999999999</v>
      </c>
      <c r="F847" t="s">
        <v>38</v>
      </c>
      <c r="G847" s="10" t="s">
        <v>2416</v>
      </c>
      <c r="H847">
        <v>101</v>
      </c>
      <c r="I847" t="s">
        <v>1798</v>
      </c>
      <c r="J847">
        <f ca="1">VLOOKUP(G847,INDIRECT("球速変換!A$1:B$" &amp; Prams!$B$8),2,)</f>
        <v>140</v>
      </c>
      <c r="K847" t="str">
        <f ca="1">VLOOKUP(I847,INDIRECT("投手名変換!A$1:B$" &amp; Prams!$B$9),2,)</f>
        <v>DD017</v>
      </c>
      <c r="L847">
        <f t="shared" si="72"/>
        <v>31</v>
      </c>
      <c r="M847">
        <f ca="1">(B847-VLOOKUP(K847,INDIRECT("投手データ!B1:D"&amp;Prams!$B$1),3,FALSE)*2)</f>
        <v>38</v>
      </c>
      <c r="N847" t="str">
        <f ca="1">VLOOKUP(F847,INDIRECT("球種変換表!A$1:B$" &amp; Prams!$B$2),2,)</f>
        <v>Hスライダー</v>
      </c>
      <c r="O847">
        <f ca="1">VLOOKUP(N847,球種情報!A:B,2,FALSE)</f>
        <v>7</v>
      </c>
      <c r="P847">
        <f ca="1">VLOOKUP(K847,投手データ!B:AI,output!O847+6,FALSE)</f>
        <v>3</v>
      </c>
      <c r="R847">
        <f t="shared" ca="1" si="68"/>
        <v>7.1428571428571426E-3</v>
      </c>
      <c r="S847">
        <f t="shared" si="69"/>
        <v>0.51631944444444444</v>
      </c>
      <c r="T847">
        <f>Prams!B$5/(S847-Prams!B$6)</f>
        <v>135.57097345995237</v>
      </c>
      <c r="U847">
        <f t="shared" ca="1" si="70"/>
        <v>0.63298611111111103</v>
      </c>
      <c r="V847">
        <f ca="1">Prams!C$5/(U847-Prams!C$6)</f>
        <v>126.32765539593257</v>
      </c>
      <c r="W847">
        <f t="shared" ca="1" si="71"/>
        <v>0.90234039568523261</v>
      </c>
    </row>
    <row r="848" spans="1:23" hidden="1" x14ac:dyDescent="0.55000000000000004">
      <c r="A848" s="1" t="s">
        <v>1814</v>
      </c>
      <c r="B848" s="1">
        <v>133</v>
      </c>
      <c r="C848">
        <v>656</v>
      </c>
      <c r="D848">
        <v>613.5</v>
      </c>
      <c r="E848">
        <v>11.01146</v>
      </c>
      <c r="F848" t="s">
        <v>1411</v>
      </c>
      <c r="G848" s="10" t="s">
        <v>1125</v>
      </c>
      <c r="H848">
        <v>101</v>
      </c>
      <c r="I848" t="s">
        <v>1798</v>
      </c>
      <c r="J848">
        <f ca="1">VLOOKUP(G848,INDIRECT("球速変換!A$1:B$" &amp; Prams!$B$8),2,)</f>
        <v>92</v>
      </c>
      <c r="K848" t="str">
        <f ca="1">VLOOKUP(I848,INDIRECT("投手名変換!A$1:B$" &amp; Prams!$B$9),2,)</f>
        <v>DD017</v>
      </c>
      <c r="L848">
        <f t="shared" si="72"/>
        <v>32</v>
      </c>
      <c r="M848">
        <f ca="1">(B848-VLOOKUP(K848,INDIRECT("投手データ!B1:D"&amp;Prams!$B$1),3,FALSE)*2)</f>
        <v>39</v>
      </c>
      <c r="N848" t="str">
        <f ca="1">VLOOKUP(F848,INDIRECT("球種変換表!A$1:B$" &amp; Prams!$B$2),2,)</f>
        <v>Hスライダー</v>
      </c>
      <c r="O848">
        <f ca="1">VLOOKUP(N848,球種情報!A:B,2,FALSE)</f>
        <v>7</v>
      </c>
      <c r="P848">
        <f ca="1">VLOOKUP(K848,投手データ!B:AI,output!O848+6,FALSE)</f>
        <v>3</v>
      </c>
      <c r="R848">
        <f t="shared" ca="1" si="68"/>
        <v>1.0869565217391304E-2</v>
      </c>
      <c r="S848">
        <f t="shared" si="69"/>
        <v>0.5239583333333333</v>
      </c>
      <c r="T848">
        <f>Prams!B$5/(S848-Prams!B$6)</f>
        <v>133.33740721436405</v>
      </c>
      <c r="U848">
        <f t="shared" ca="1" si="70"/>
        <v>0.640625</v>
      </c>
      <c r="V848">
        <f ca="1">Prams!C$5/(U848-Prams!C$6)</f>
        <v>124.38609727880892</v>
      </c>
      <c r="W848">
        <f t="shared" ca="1" si="71"/>
        <v>1.3520227965087925</v>
      </c>
    </row>
    <row r="849" spans="1:24" hidden="1" x14ac:dyDescent="0.55000000000000004">
      <c r="A849" s="1" t="s">
        <v>1816</v>
      </c>
      <c r="B849" s="1">
        <v>133</v>
      </c>
      <c r="C849">
        <v>649.95001000000002</v>
      </c>
      <c r="D849">
        <v>612.5</v>
      </c>
      <c r="E849">
        <v>10.062519999999999</v>
      </c>
      <c r="F849" t="s">
        <v>1815</v>
      </c>
      <c r="G849" s="10" t="s">
        <v>1101</v>
      </c>
      <c r="H849">
        <v>101</v>
      </c>
      <c r="I849" t="s">
        <v>1798</v>
      </c>
      <c r="J849">
        <f ca="1">VLOOKUP(G849,INDIRECT("球速変換!A$1:B$" &amp; Prams!$B$8),2,)</f>
        <v>92</v>
      </c>
      <c r="K849" t="str">
        <f ca="1">VLOOKUP(I849,INDIRECT("投手名変換!A$1:B$" &amp; Prams!$B$9),2,)</f>
        <v>DD017</v>
      </c>
      <c r="L849">
        <f t="shared" si="72"/>
        <v>32</v>
      </c>
      <c r="M849">
        <f ca="1">(B849-VLOOKUP(K849,INDIRECT("投手データ!B1:D"&amp;Prams!$B$1),3,FALSE)*2)</f>
        <v>39</v>
      </c>
      <c r="N849" t="str">
        <f ca="1">VLOOKUP(F849,INDIRECT("球種変換表!A$1:B$" &amp; Prams!$B$2),2,)</f>
        <v>Hスライダー</v>
      </c>
      <c r="O849">
        <f ca="1">VLOOKUP(N849,球種情報!A:B,2,FALSE)</f>
        <v>7</v>
      </c>
      <c r="P849">
        <f ca="1">VLOOKUP(K849,投手データ!B:AI,output!O849+6,FALSE)</f>
        <v>3</v>
      </c>
      <c r="R849">
        <f t="shared" ca="1" si="68"/>
        <v>1.0869565217391304E-2</v>
      </c>
      <c r="S849">
        <f t="shared" si="69"/>
        <v>0.52465277777777775</v>
      </c>
      <c r="T849">
        <f>Prams!B$5/(S849-Prams!B$6)</f>
        <v>133.1379997248261</v>
      </c>
      <c r="U849">
        <f t="shared" ca="1" si="70"/>
        <v>0.64131944444444444</v>
      </c>
      <c r="V849">
        <f ca="1">Prams!C$5/(U849-Prams!C$6)</f>
        <v>124.21254722930701</v>
      </c>
      <c r="W849">
        <f t="shared" ca="1" si="71"/>
        <v>1.3501363829272501</v>
      </c>
    </row>
    <row r="850" spans="1:24" hidden="1" x14ac:dyDescent="0.55000000000000004">
      <c r="A850" s="1" t="s">
        <v>1817</v>
      </c>
      <c r="B850" s="1">
        <v>133</v>
      </c>
      <c r="C850">
        <v>664.5</v>
      </c>
      <c r="D850">
        <v>618.5</v>
      </c>
      <c r="E850">
        <v>10.512</v>
      </c>
      <c r="F850" t="s">
        <v>38</v>
      </c>
      <c r="G850" s="10" t="s">
        <v>2417</v>
      </c>
      <c r="H850">
        <v>101</v>
      </c>
      <c r="I850" t="s">
        <v>1798</v>
      </c>
      <c r="J850">
        <f ca="1">VLOOKUP(G850,INDIRECT("球速変換!A$1:B$" &amp; Prams!$B$8),2,)</f>
        <v>139</v>
      </c>
      <c r="K850" t="str">
        <f ca="1">VLOOKUP(I850,INDIRECT("投手名変換!A$1:B$" &amp; Prams!$B$9),2,)</f>
        <v>DD017</v>
      </c>
      <c r="L850">
        <f t="shared" si="72"/>
        <v>32</v>
      </c>
      <c r="M850">
        <f ca="1">(B850-VLOOKUP(K850,INDIRECT("投手データ!B1:D"&amp;Prams!$B$1),3,FALSE)*2)</f>
        <v>39</v>
      </c>
      <c r="N850" t="str">
        <f ca="1">VLOOKUP(F850,INDIRECT("球種変換表!A$1:B$" &amp; Prams!$B$2),2,)</f>
        <v>Hスライダー</v>
      </c>
      <c r="O850">
        <f ca="1">VLOOKUP(N850,球種情報!A:B,2,FALSE)</f>
        <v>7</v>
      </c>
      <c r="P850">
        <f ca="1">VLOOKUP(K850,投手データ!B:AI,output!O850+6,FALSE)</f>
        <v>3</v>
      </c>
      <c r="R850">
        <f t="shared" ca="1" si="68"/>
        <v>7.1942446043165471E-3</v>
      </c>
      <c r="S850">
        <f t="shared" si="69"/>
        <v>0.52048611111111109</v>
      </c>
      <c r="T850">
        <f>Prams!B$5/(S850-Prams!B$6)</f>
        <v>134.34347214593132</v>
      </c>
      <c r="U850">
        <f t="shared" ca="1" si="70"/>
        <v>0.63715277777777779</v>
      </c>
      <c r="V850">
        <f ca="1">Prams!C$5/(U850-Prams!C$6)</f>
        <v>125.26117323938114</v>
      </c>
      <c r="W850">
        <f t="shared" ca="1" si="71"/>
        <v>0.90115951970777797</v>
      </c>
    </row>
    <row r="851" spans="1:24" hidden="1" x14ac:dyDescent="0.55000000000000004">
      <c r="A851" s="1" t="s">
        <v>1819</v>
      </c>
      <c r="B851" s="1">
        <v>133</v>
      </c>
      <c r="C851">
        <v>657.5</v>
      </c>
      <c r="D851">
        <v>616</v>
      </c>
      <c r="E851">
        <v>10.5001</v>
      </c>
      <c r="F851" t="s">
        <v>1818</v>
      </c>
      <c r="G851" s="10" t="s">
        <v>587</v>
      </c>
      <c r="H851">
        <v>101</v>
      </c>
      <c r="I851" t="s">
        <v>1798</v>
      </c>
      <c r="J851">
        <f ca="1">VLOOKUP(G851,INDIRECT("球速変換!A$1:B$" &amp; Prams!$B$8),2,)</f>
        <v>139</v>
      </c>
      <c r="K851" t="str">
        <f ca="1">VLOOKUP(I851,INDIRECT("投手名変換!A$1:B$" &amp; Prams!$B$9),2,)</f>
        <v>DD017</v>
      </c>
      <c r="L851">
        <f t="shared" si="72"/>
        <v>32</v>
      </c>
      <c r="M851">
        <f ca="1">(B851-VLOOKUP(K851,INDIRECT("投手データ!B1:D"&amp;Prams!$B$1),3,FALSE)*2)</f>
        <v>39</v>
      </c>
      <c r="N851" t="str">
        <f ca="1">VLOOKUP(F851,INDIRECT("球種変換表!A$1:B$" &amp; Prams!$B$2),2,)</f>
        <v>Hスライダー</v>
      </c>
      <c r="O851">
        <f ca="1">VLOOKUP(N851,球種情報!A:B,2,FALSE)</f>
        <v>7</v>
      </c>
      <c r="P851">
        <f ca="1">VLOOKUP(K851,投手データ!B:AI,output!O851+6,FALSE)</f>
        <v>3</v>
      </c>
      <c r="R851">
        <f t="shared" ca="1" si="68"/>
        <v>7.1942446043165471E-3</v>
      </c>
      <c r="S851">
        <f t="shared" si="69"/>
        <v>0.52222222222222225</v>
      </c>
      <c r="T851">
        <f>Prams!B$5/(S851-Prams!B$6)</f>
        <v>133.83854905828301</v>
      </c>
      <c r="U851">
        <f t="shared" ca="1" si="70"/>
        <v>0.63888888888888895</v>
      </c>
      <c r="V851">
        <f ca="1">Prams!C$5/(U851-Prams!C$6)</f>
        <v>124.82210157932518</v>
      </c>
      <c r="W851">
        <f t="shared" ca="1" si="71"/>
        <v>0.8980007307865121</v>
      </c>
    </row>
    <row r="852" spans="1:24" hidden="1" x14ac:dyDescent="0.55000000000000004">
      <c r="A852" s="1" t="s">
        <v>1821</v>
      </c>
      <c r="B852" s="1">
        <v>133</v>
      </c>
      <c r="C852">
        <v>662.5</v>
      </c>
      <c r="D852">
        <v>607.5</v>
      </c>
      <c r="E852">
        <v>10.512</v>
      </c>
      <c r="F852" t="s">
        <v>1820</v>
      </c>
      <c r="G852" s="10" t="s">
        <v>1287</v>
      </c>
      <c r="H852">
        <v>101</v>
      </c>
      <c r="I852" t="s">
        <v>1798</v>
      </c>
      <c r="J852">
        <f ca="1">VLOOKUP(G852,INDIRECT("球速変換!A$1:B$" &amp; Prams!$B$8),2,)</f>
        <v>97</v>
      </c>
      <c r="K852" t="str">
        <f ca="1">VLOOKUP(I852,INDIRECT("投手名変換!A$1:B$" &amp; Prams!$B$9),2,)</f>
        <v>DD017</v>
      </c>
      <c r="L852">
        <f t="shared" si="72"/>
        <v>32</v>
      </c>
      <c r="M852">
        <f ca="1">(B852-VLOOKUP(K852,INDIRECT("投手データ!B1:D"&amp;Prams!$B$1),3,FALSE)*2)</f>
        <v>39</v>
      </c>
      <c r="N852" t="str">
        <f ca="1">VLOOKUP(F852,INDIRECT("球種変換表!A$1:B$" &amp; Prams!$B$2),2,)</f>
        <v>Hスライダー</v>
      </c>
      <c r="O852">
        <f ca="1">VLOOKUP(N852,球種情報!A:B,2,FALSE)</f>
        <v>7</v>
      </c>
      <c r="P852">
        <f ca="1">VLOOKUP(K852,投手データ!B:AI,output!O852+6,FALSE)</f>
        <v>3</v>
      </c>
      <c r="R852">
        <f t="shared" ca="1" si="68"/>
        <v>1.0309278350515464E-2</v>
      </c>
      <c r="S852">
        <f t="shared" si="69"/>
        <v>0.52812499999999996</v>
      </c>
      <c r="T852">
        <f>Prams!B$5/(S852-Prams!B$6)</f>
        <v>132.14984235558171</v>
      </c>
      <c r="U852">
        <f t="shared" ca="1" si="70"/>
        <v>0.64479166666666665</v>
      </c>
      <c r="V852">
        <f ca="1">Prams!C$5/(U852-Prams!C$6)</f>
        <v>123.35201104035382</v>
      </c>
      <c r="W852">
        <f t="shared" ca="1" si="71"/>
        <v>1.271670216910864</v>
      </c>
    </row>
    <row r="853" spans="1:24" hidden="1" x14ac:dyDescent="0.55000000000000004">
      <c r="A853" s="1" t="s">
        <v>1822</v>
      </c>
      <c r="B853" s="1">
        <v>133</v>
      </c>
      <c r="C853">
        <v>656</v>
      </c>
      <c r="D853">
        <v>613</v>
      </c>
      <c r="E853">
        <v>11.0001</v>
      </c>
      <c r="F853" t="s">
        <v>1733</v>
      </c>
      <c r="G853" s="10" t="s">
        <v>2460</v>
      </c>
      <c r="H853">
        <v>101</v>
      </c>
      <c r="I853" t="s">
        <v>1798</v>
      </c>
      <c r="J853">
        <f ca="1">VLOOKUP(G853,INDIRECT("球速変換!A$1:B$" &amp; Prams!$B$8),2,)</f>
        <v>138</v>
      </c>
      <c r="K853" t="str">
        <f ca="1">VLOOKUP(I853,INDIRECT("投手名変換!A$1:B$" &amp; Prams!$B$9),2,)</f>
        <v>DD017</v>
      </c>
      <c r="L853">
        <f t="shared" si="72"/>
        <v>32</v>
      </c>
      <c r="M853">
        <f ca="1">(B853-VLOOKUP(K853,INDIRECT("投手データ!B1:D"&amp;Prams!$B$1),3,FALSE)*2)</f>
        <v>39</v>
      </c>
      <c r="N853" t="str">
        <f ca="1">VLOOKUP(F853,INDIRECT("球種変換表!A$1:B$" &amp; Prams!$B$2),2,)</f>
        <v>Hスライダー</v>
      </c>
      <c r="O853">
        <f ca="1">VLOOKUP(N853,球種情報!A:B,2,FALSE)</f>
        <v>7</v>
      </c>
      <c r="P853">
        <f ca="1">VLOOKUP(K853,投手データ!B:AI,output!O853+6,FALSE)</f>
        <v>3</v>
      </c>
      <c r="R853">
        <f t="shared" ca="1" si="68"/>
        <v>7.246376811594203E-3</v>
      </c>
      <c r="S853">
        <f t="shared" si="69"/>
        <v>0.52430555555555558</v>
      </c>
      <c r="T853">
        <f>Prams!B$5/(S853-Prams!B$6)</f>
        <v>133.2376288598077</v>
      </c>
      <c r="U853">
        <f t="shared" ca="1" si="70"/>
        <v>0.64097222222222228</v>
      </c>
      <c r="V853">
        <f ca="1">Prams!C$5/(U853-Prams!C$6)</f>
        <v>124.2992616752488</v>
      </c>
      <c r="W853">
        <f t="shared" ca="1" si="71"/>
        <v>0.90071928750180286</v>
      </c>
    </row>
    <row r="854" spans="1:24" hidden="1" x14ac:dyDescent="0.55000000000000004">
      <c r="A854" s="1" t="s">
        <v>1823</v>
      </c>
      <c r="B854" s="1">
        <v>141</v>
      </c>
      <c r="C854">
        <v>634.5</v>
      </c>
      <c r="D854">
        <v>607.5</v>
      </c>
      <c r="E854">
        <v>10.512</v>
      </c>
      <c r="F854" t="s">
        <v>506</v>
      </c>
      <c r="G854" s="10" t="s">
        <v>603</v>
      </c>
      <c r="H854">
        <v>101</v>
      </c>
      <c r="I854" t="s">
        <v>1798</v>
      </c>
      <c r="J854">
        <f ca="1">VLOOKUP(G854,INDIRECT("球速変換!A$1:B$" &amp; Prams!$B$8),2,)</f>
        <v>120</v>
      </c>
      <c r="K854" t="str">
        <f ca="1">VLOOKUP(I854,INDIRECT("投手名変換!A$1:B$" &amp; Prams!$B$9),2,)</f>
        <v>DD017</v>
      </c>
      <c r="L854">
        <f t="shared" si="72"/>
        <v>40</v>
      </c>
      <c r="M854">
        <f ca="1">(B854-VLOOKUP(K854,INDIRECT("投手データ!B1:D"&amp;Prams!$B$1),3,FALSE)*2)</f>
        <v>47</v>
      </c>
      <c r="N854" t="str">
        <f ca="1">VLOOKUP(F854,INDIRECT("球種変換表!A$1:B$" &amp; Prams!$B$2),2,)</f>
        <v>パーム</v>
      </c>
      <c r="O854">
        <f ca="1">VLOOKUP(N854,球種情報!A:B,2,FALSE)</f>
        <v>17</v>
      </c>
      <c r="P854">
        <f ca="1">VLOOKUP(K854,投手データ!B:AI,output!O854+6,FALSE)</f>
        <v>2</v>
      </c>
      <c r="R854">
        <f t="shared" ca="1" si="68"/>
        <v>8.3333333333333332E-3</v>
      </c>
      <c r="S854">
        <f t="shared" si="69"/>
        <v>0.66145833333333337</v>
      </c>
      <c r="T854">
        <f>Prams!B$5/(S854-Prams!B$6)</f>
        <v>102.83979539500132</v>
      </c>
      <c r="U854">
        <f t="shared" ca="1" si="70"/>
        <v>0.77812499999999996</v>
      </c>
      <c r="V854">
        <f ca="1">Prams!C$5/(U854-Prams!C$6)</f>
        <v>97.431937275915061</v>
      </c>
      <c r="W854">
        <f t="shared" ca="1" si="71"/>
        <v>0.81193281063262546</v>
      </c>
    </row>
    <row r="855" spans="1:24" hidden="1" x14ac:dyDescent="0.55000000000000004">
      <c r="A855" s="1" t="s">
        <v>1825</v>
      </c>
      <c r="B855" s="1">
        <v>140</v>
      </c>
      <c r="C855">
        <v>644.5</v>
      </c>
      <c r="D855">
        <v>602.5</v>
      </c>
      <c r="E855">
        <v>10.512</v>
      </c>
      <c r="F855" t="s">
        <v>1824</v>
      </c>
      <c r="G855" s="10" t="s">
        <v>1186</v>
      </c>
      <c r="H855">
        <v>101</v>
      </c>
      <c r="I855" t="s">
        <v>1798</v>
      </c>
      <c r="J855">
        <f ca="1">VLOOKUP(G855,INDIRECT("球速変換!A$1:B$" &amp; Prams!$B$8),2,)</f>
        <v>123</v>
      </c>
      <c r="K855" t="str">
        <f ca="1">VLOOKUP(I855,INDIRECT("投手名変換!A$1:B$" &amp; Prams!$B$9),2,)</f>
        <v>DD017</v>
      </c>
      <c r="L855">
        <f t="shared" si="72"/>
        <v>39</v>
      </c>
      <c r="M855">
        <f ca="1">(B855-VLOOKUP(K855,INDIRECT("投手データ!B1:D"&amp;Prams!$B$1),3,FALSE)*2)</f>
        <v>46</v>
      </c>
      <c r="N855" t="str">
        <f ca="1">VLOOKUP(F855,INDIRECT("球種変換表!A$1:B$" &amp; Prams!$B$2),2,)</f>
        <v>パーム</v>
      </c>
      <c r="O855">
        <f ca="1">VLOOKUP(N855,球種情報!A:B,2,FALSE)</f>
        <v>17</v>
      </c>
      <c r="P855">
        <f ca="1">VLOOKUP(K855,投手データ!B:AI,output!O855+6,FALSE)</f>
        <v>2</v>
      </c>
      <c r="R855">
        <f t="shared" ca="1" si="68"/>
        <v>8.130081300813009E-3</v>
      </c>
      <c r="S855">
        <f t="shared" si="69"/>
        <v>0.64826388888888897</v>
      </c>
      <c r="T855">
        <f>Prams!B$5/(S855-Prams!B$6)</f>
        <v>105.14761394076544</v>
      </c>
      <c r="U855">
        <f t="shared" ca="1" si="70"/>
        <v>0.76493055555555556</v>
      </c>
      <c r="V855">
        <f ca="1">Prams!C$5/(U855-Prams!C$6)</f>
        <v>99.500981316976564</v>
      </c>
      <c r="W855">
        <f t="shared" ca="1" si="71"/>
        <v>0.80895106761769564</v>
      </c>
    </row>
    <row r="856" spans="1:24" hidden="1" x14ac:dyDescent="0.55000000000000004">
      <c r="A856" s="1" t="s">
        <v>1826</v>
      </c>
      <c r="B856" s="1">
        <v>140</v>
      </c>
      <c r="C856">
        <v>636</v>
      </c>
      <c r="D856">
        <v>601.5</v>
      </c>
      <c r="E856">
        <v>11.01146</v>
      </c>
      <c r="F856" t="s">
        <v>42</v>
      </c>
      <c r="G856" s="10" t="s">
        <v>2424</v>
      </c>
      <c r="H856">
        <v>101</v>
      </c>
      <c r="I856" t="s">
        <v>1798</v>
      </c>
      <c r="J856">
        <f ca="1">VLOOKUP(G856,INDIRECT("球速変換!A$1:B$" &amp; Prams!$B$8),2,)</f>
        <v>123</v>
      </c>
      <c r="K856" t="str">
        <f ca="1">VLOOKUP(I856,INDIRECT("投手名変換!A$1:B$" &amp; Prams!$B$9),2,)</f>
        <v>DD017</v>
      </c>
      <c r="L856">
        <f t="shared" si="72"/>
        <v>39</v>
      </c>
      <c r="M856">
        <f ca="1">(B856-VLOOKUP(K856,INDIRECT("投手データ!B1:D"&amp;Prams!$B$1),3,FALSE)*2)</f>
        <v>46</v>
      </c>
      <c r="N856" t="str">
        <f ca="1">VLOOKUP(F856,INDIRECT("球種変換表!A$1:B$" &amp; Prams!$B$2),2,)</f>
        <v>パーム</v>
      </c>
      <c r="O856">
        <f ca="1">VLOOKUP(N856,球種情報!A:B,2,FALSE)</f>
        <v>17</v>
      </c>
      <c r="P856">
        <f ca="1">VLOOKUP(K856,投手データ!B:AI,output!O856+6,FALSE)</f>
        <v>2</v>
      </c>
      <c r="R856">
        <f t="shared" ca="1" si="68"/>
        <v>8.130081300813009E-3</v>
      </c>
      <c r="S856">
        <f t="shared" si="69"/>
        <v>0.6489583333333333</v>
      </c>
      <c r="T856">
        <f>Prams!B$5/(S856-Prams!B$6)</f>
        <v>105.02357054884696</v>
      </c>
      <c r="U856">
        <f t="shared" ca="1" si="70"/>
        <v>0.765625</v>
      </c>
      <c r="V856">
        <f ca="1">Prams!C$5/(U856-Prams!C$6)</f>
        <v>99.389895904505437</v>
      </c>
      <c r="W856">
        <f t="shared" ca="1" si="71"/>
        <v>0.80804793418297105</v>
      </c>
    </row>
    <row r="857" spans="1:24" hidden="1" x14ac:dyDescent="0.55000000000000004">
      <c r="A857" s="1" t="s">
        <v>1827</v>
      </c>
      <c r="B857" s="1">
        <v>141</v>
      </c>
      <c r="C857">
        <v>639</v>
      </c>
      <c r="D857">
        <v>611.5</v>
      </c>
      <c r="E857">
        <v>11.01146</v>
      </c>
      <c r="F857" t="s">
        <v>506</v>
      </c>
      <c r="G857" s="10" t="s">
        <v>629</v>
      </c>
      <c r="H857">
        <v>101</v>
      </c>
      <c r="I857" t="s">
        <v>1798</v>
      </c>
      <c r="J857">
        <f ca="1">VLOOKUP(G857,INDIRECT("球速変換!A$1:B$" &amp; Prams!$B$8),2,)</f>
        <v>121</v>
      </c>
      <c r="K857" t="str">
        <f ca="1">VLOOKUP(I857,INDIRECT("投手名変換!A$1:B$" &amp; Prams!$B$9),2,)</f>
        <v>DD017</v>
      </c>
      <c r="L857">
        <f t="shared" si="72"/>
        <v>40</v>
      </c>
      <c r="M857">
        <f ca="1">(B857-VLOOKUP(K857,INDIRECT("投手データ!B1:D"&amp;Prams!$B$1),3,FALSE)*2)</f>
        <v>47</v>
      </c>
      <c r="N857" t="str">
        <f ca="1">VLOOKUP(F857,INDIRECT("球種変換表!A$1:B$" &amp; Prams!$B$2),2,)</f>
        <v>パーム</v>
      </c>
      <c r="O857">
        <f ca="1">VLOOKUP(N857,球種情報!A:B,2,FALSE)</f>
        <v>17</v>
      </c>
      <c r="P857">
        <f ca="1">VLOOKUP(K857,投手データ!B:AI,output!O857+6,FALSE)</f>
        <v>2</v>
      </c>
      <c r="R857">
        <f t="shared" ca="1" si="68"/>
        <v>8.2644628099173556E-3</v>
      </c>
      <c r="S857">
        <f t="shared" si="69"/>
        <v>0.6586805555555556</v>
      </c>
      <c r="T857">
        <f>Prams!B$5/(S857-Prams!B$6)</f>
        <v>103.31719409331669</v>
      </c>
      <c r="U857">
        <f t="shared" ca="1" si="70"/>
        <v>0.7753472222222223</v>
      </c>
      <c r="V857">
        <f ca="1">Prams!C$5/(U857-Prams!C$6)</f>
        <v>97.860343227996424</v>
      </c>
      <c r="W857">
        <f t="shared" ca="1" si="71"/>
        <v>0.80876316717352414</v>
      </c>
    </row>
    <row r="858" spans="1:24" hidden="1" x14ac:dyDescent="0.55000000000000004">
      <c r="A858" s="1" t="s">
        <v>1828</v>
      </c>
      <c r="B858" s="1">
        <v>141</v>
      </c>
      <c r="C858">
        <v>639</v>
      </c>
      <c r="D858">
        <v>609.5</v>
      </c>
      <c r="E858">
        <v>11.01146</v>
      </c>
      <c r="F858" t="s">
        <v>506</v>
      </c>
      <c r="G858" s="10" t="s">
        <v>629</v>
      </c>
      <c r="H858">
        <v>101</v>
      </c>
      <c r="I858" t="s">
        <v>1798</v>
      </c>
      <c r="J858">
        <f ca="1">VLOOKUP(G858,INDIRECT("球速変換!A$1:B$" &amp; Prams!$B$8),2,)</f>
        <v>121</v>
      </c>
      <c r="K858" t="str">
        <f ca="1">VLOOKUP(I858,INDIRECT("投手名変換!A$1:B$" &amp; Prams!$B$9),2,)</f>
        <v>DD017</v>
      </c>
      <c r="L858">
        <f t="shared" si="72"/>
        <v>40</v>
      </c>
      <c r="M858">
        <f ca="1">(B858-VLOOKUP(K858,INDIRECT("投手データ!B1:D"&amp;Prams!$B$1),3,FALSE)*2)</f>
        <v>47</v>
      </c>
      <c r="N858" t="str">
        <f ca="1">VLOOKUP(F858,INDIRECT("球種変換表!A$1:B$" &amp; Prams!$B$2),2,)</f>
        <v>パーム</v>
      </c>
      <c r="O858">
        <f ca="1">VLOOKUP(N858,球種情報!A:B,2,FALSE)</f>
        <v>17</v>
      </c>
      <c r="P858">
        <f ca="1">VLOOKUP(K858,投手データ!B:AI,output!O858+6,FALSE)</f>
        <v>2</v>
      </c>
      <c r="R858">
        <f t="shared" ca="1" si="68"/>
        <v>8.2644628099173556E-3</v>
      </c>
      <c r="S858">
        <f t="shared" si="69"/>
        <v>0.66006944444444438</v>
      </c>
      <c r="T858">
        <f>Prams!B$5/(S858-Prams!B$6)</f>
        <v>103.07794198696723</v>
      </c>
      <c r="U858">
        <f t="shared" ca="1" si="70"/>
        <v>0.77673611111111107</v>
      </c>
      <c r="V858">
        <f ca="1">Prams!C$5/(U858-Prams!C$6)</f>
        <v>97.645670362261924</v>
      </c>
      <c r="W858">
        <f t="shared" ca="1" si="71"/>
        <v>0.80698901125836298</v>
      </c>
    </row>
    <row r="859" spans="1:24" hidden="1" x14ac:dyDescent="0.55000000000000004">
      <c r="A859" s="1" t="s">
        <v>1829</v>
      </c>
      <c r="B859" s="1">
        <v>140</v>
      </c>
      <c r="C859">
        <v>637</v>
      </c>
      <c r="D859">
        <v>602</v>
      </c>
      <c r="E859">
        <v>10.04998</v>
      </c>
      <c r="F859" t="s">
        <v>42</v>
      </c>
      <c r="G859" s="10" t="s">
        <v>2424</v>
      </c>
      <c r="H859">
        <v>101</v>
      </c>
      <c r="I859" t="s">
        <v>1798</v>
      </c>
      <c r="J859">
        <f ca="1">VLOOKUP(G859,INDIRECT("球速変換!A$1:B$" &amp; Prams!$B$8),2,)</f>
        <v>123</v>
      </c>
      <c r="K859" t="str">
        <f ca="1">VLOOKUP(I859,INDIRECT("投手名変換!A$1:B$" &amp; Prams!$B$9),2,)</f>
        <v>DD017</v>
      </c>
      <c r="L859">
        <f t="shared" si="72"/>
        <v>39</v>
      </c>
      <c r="M859">
        <f ca="1">(B859-VLOOKUP(K859,INDIRECT("投手データ!B1:D"&amp;Prams!$B$1),3,FALSE)*2)</f>
        <v>46</v>
      </c>
      <c r="N859" t="str">
        <f ca="1">VLOOKUP(F859,INDIRECT("球種変換表!A$1:B$" &amp; Prams!$B$2),2,)</f>
        <v>パーム</v>
      </c>
      <c r="O859">
        <f ca="1">VLOOKUP(N859,球種情報!A:B,2,FALSE)</f>
        <v>17</v>
      </c>
      <c r="P859">
        <f ca="1">VLOOKUP(K859,投手データ!B:AI,output!O859+6,FALSE)</f>
        <v>2</v>
      </c>
      <c r="R859">
        <f t="shared" ca="1" si="68"/>
        <v>8.130081300813009E-3</v>
      </c>
      <c r="S859">
        <f t="shared" si="69"/>
        <v>0.64861111111111103</v>
      </c>
      <c r="T859">
        <f>Prams!B$5/(S859-Prams!B$6)</f>
        <v>105.08555563949537</v>
      </c>
      <c r="U859">
        <f t="shared" ca="1" si="70"/>
        <v>0.76527777777777772</v>
      </c>
      <c r="V859">
        <f ca="1">Prams!C$5/(U859-Prams!C$6)</f>
        <v>99.445407588783041</v>
      </c>
      <c r="W859">
        <f t="shared" ca="1" si="71"/>
        <v>0.80849924868929302</v>
      </c>
    </row>
    <row r="860" spans="1:24" hidden="1" x14ac:dyDescent="0.55000000000000004">
      <c r="A860" s="1" t="s">
        <v>1831</v>
      </c>
      <c r="B860" s="1">
        <v>141</v>
      </c>
      <c r="C860">
        <v>635.47826999999995</v>
      </c>
      <c r="D860">
        <v>612</v>
      </c>
      <c r="E860">
        <v>11.52183</v>
      </c>
      <c r="F860" t="s">
        <v>1830</v>
      </c>
      <c r="G860" s="10" t="s">
        <v>629</v>
      </c>
      <c r="H860">
        <v>101</v>
      </c>
      <c r="I860" t="s">
        <v>1798</v>
      </c>
      <c r="J860">
        <f ca="1">VLOOKUP(G860,INDIRECT("球速変換!A$1:B$" &amp; Prams!$B$8),2,)</f>
        <v>121</v>
      </c>
      <c r="K860" t="str">
        <f ca="1">VLOOKUP(I860,INDIRECT("投手名変換!A$1:B$" &amp; Prams!$B$9),2,)</f>
        <v>DD017</v>
      </c>
      <c r="L860">
        <f t="shared" si="72"/>
        <v>40</v>
      </c>
      <c r="M860">
        <f ca="1">(B860-VLOOKUP(K860,INDIRECT("投手データ!B1:D"&amp;Prams!$B$1),3,FALSE)*2)</f>
        <v>47</v>
      </c>
      <c r="N860" t="str">
        <f ca="1">VLOOKUP(F860,INDIRECT("球種変換表!A$1:B$" &amp; Prams!$B$2),2,)</f>
        <v>パーム</v>
      </c>
      <c r="O860">
        <f ca="1">VLOOKUP(N860,球種情報!A:B,2,FALSE)</f>
        <v>17</v>
      </c>
      <c r="P860">
        <f ca="1">VLOOKUP(K860,投手データ!B:AI,output!O860+6,FALSE)</f>
        <v>2</v>
      </c>
      <c r="R860">
        <f t="shared" ca="1" si="68"/>
        <v>8.2644628099173556E-3</v>
      </c>
      <c r="S860">
        <f t="shared" si="69"/>
        <v>0.65833333333333333</v>
      </c>
      <c r="T860">
        <f>Prams!B$5/(S860-Prams!B$6)</f>
        <v>103.37718075915501</v>
      </c>
      <c r="U860">
        <f t="shared" ca="1" si="70"/>
        <v>0.77500000000000002</v>
      </c>
      <c r="V860">
        <f ca="1">Prams!C$5/(U860-Prams!C$6)</f>
        <v>97.914159011719988</v>
      </c>
      <c r="W860">
        <f t="shared" ca="1" si="71"/>
        <v>0.80920792571669409</v>
      </c>
    </row>
    <row r="861" spans="1:24" hidden="1" x14ac:dyDescent="0.55000000000000004">
      <c r="A861" s="1" t="s">
        <v>1832</v>
      </c>
      <c r="B861" s="1">
        <v>141</v>
      </c>
      <c r="C861">
        <v>641.95001000000002</v>
      </c>
      <c r="D861">
        <v>610.5</v>
      </c>
      <c r="E861">
        <v>10.062519999999999</v>
      </c>
      <c r="F861" t="s">
        <v>42</v>
      </c>
      <c r="G861" s="10" t="s">
        <v>629</v>
      </c>
      <c r="H861">
        <v>101</v>
      </c>
      <c r="I861" t="s">
        <v>1798</v>
      </c>
      <c r="J861">
        <f ca="1">VLOOKUP(G861,INDIRECT("球速変換!A$1:B$" &amp; Prams!$B$8),2,)</f>
        <v>121</v>
      </c>
      <c r="K861" t="str">
        <f ca="1">VLOOKUP(I861,INDIRECT("投手名変換!A$1:B$" &amp; Prams!$B$9),2,)</f>
        <v>DD017</v>
      </c>
      <c r="L861">
        <f t="shared" si="72"/>
        <v>40</v>
      </c>
      <c r="M861">
        <f ca="1">(B861-VLOOKUP(K861,INDIRECT("投手データ!B1:D"&amp;Prams!$B$1),3,FALSE)*2)</f>
        <v>47</v>
      </c>
      <c r="N861" t="str">
        <f ca="1">VLOOKUP(F861,INDIRECT("球種変換表!A$1:B$" &amp; Prams!$B$2),2,)</f>
        <v>パーム</v>
      </c>
      <c r="O861">
        <f ca="1">VLOOKUP(N861,球種情報!A:B,2,FALSE)</f>
        <v>17</v>
      </c>
      <c r="P861">
        <f ca="1">VLOOKUP(K861,投手データ!B:AI,output!O861+6,FALSE)</f>
        <v>2</v>
      </c>
      <c r="R861">
        <f t="shared" ca="1" si="68"/>
        <v>8.2644628099173556E-3</v>
      </c>
      <c r="S861">
        <f t="shared" si="69"/>
        <v>0.65937500000000004</v>
      </c>
      <c r="T861">
        <f>Prams!B$5/(S861-Prams!B$6)</f>
        <v>103.19742937027918</v>
      </c>
      <c r="U861">
        <f t="shared" ca="1" si="70"/>
        <v>0.77604166666666663</v>
      </c>
      <c r="V861">
        <f ca="1">Prams!C$5/(U861-Prams!C$6)</f>
        <v>97.752888935738483</v>
      </c>
      <c r="W861">
        <f t="shared" ca="1" si="71"/>
        <v>0.80787511517139243</v>
      </c>
    </row>
    <row r="862" spans="1:24" hidden="1" x14ac:dyDescent="0.55000000000000004">
      <c r="A862" s="1" t="s">
        <v>1833</v>
      </c>
      <c r="B862" s="1">
        <v>140</v>
      </c>
      <c r="C862">
        <v>630.5</v>
      </c>
      <c r="D862">
        <v>602.5</v>
      </c>
      <c r="E862">
        <v>10.512</v>
      </c>
      <c r="F862" t="s">
        <v>506</v>
      </c>
      <c r="G862" s="10" t="s">
        <v>1097</v>
      </c>
      <c r="H862">
        <v>101</v>
      </c>
      <c r="I862" t="s">
        <v>1798</v>
      </c>
      <c r="J862">
        <f ca="1">VLOOKUP(G862,INDIRECT("球速変換!A$1:B$" &amp; Prams!$B$8),2,)</f>
        <v>123</v>
      </c>
      <c r="K862" t="str">
        <f ca="1">VLOOKUP(I862,INDIRECT("投手名変換!A$1:B$" &amp; Prams!$B$9),2,)</f>
        <v>DD017</v>
      </c>
      <c r="L862">
        <f t="shared" si="72"/>
        <v>39</v>
      </c>
      <c r="M862">
        <f ca="1">(B862-VLOOKUP(K862,INDIRECT("投手データ!B1:D"&amp;Prams!$B$1),3,FALSE)*2)</f>
        <v>46</v>
      </c>
      <c r="N862" t="str">
        <f ca="1">VLOOKUP(F862,INDIRECT("球種変換表!A$1:B$" &amp; Prams!$B$2),2,)</f>
        <v>パーム</v>
      </c>
      <c r="O862">
        <f ca="1">VLOOKUP(N862,球種情報!A:B,2,FALSE)</f>
        <v>17</v>
      </c>
      <c r="P862">
        <f ca="1">VLOOKUP(K862,投手データ!B:AI,output!O862+6,FALSE)</f>
        <v>2</v>
      </c>
      <c r="R862">
        <f t="shared" ca="1" si="68"/>
        <v>8.130081300813009E-3</v>
      </c>
      <c r="S862">
        <f t="shared" si="69"/>
        <v>0.64826388888888897</v>
      </c>
      <c r="T862">
        <f>Prams!B$5/(S862-Prams!B$6)</f>
        <v>105.14761394076544</v>
      </c>
      <c r="U862">
        <f t="shared" ca="1" si="70"/>
        <v>0.76493055555555556</v>
      </c>
      <c r="V862">
        <f ca="1">Prams!C$5/(U862-Prams!C$6)</f>
        <v>99.500981316976564</v>
      </c>
      <c r="W862">
        <f t="shared" ca="1" si="71"/>
        <v>0.80895106761769564</v>
      </c>
      <c r="X862" t="s">
        <v>1502</v>
      </c>
    </row>
    <row r="863" spans="1:24" hidden="1" x14ac:dyDescent="0.55000000000000004">
      <c r="A863" s="1" t="s">
        <v>1834</v>
      </c>
      <c r="B863" s="1">
        <v>141</v>
      </c>
      <c r="C863">
        <v>647</v>
      </c>
      <c r="D863">
        <v>610.5</v>
      </c>
      <c r="E863">
        <v>11.01146</v>
      </c>
      <c r="F863" t="s">
        <v>506</v>
      </c>
      <c r="G863" s="10" t="s">
        <v>629</v>
      </c>
      <c r="H863">
        <v>101</v>
      </c>
      <c r="I863" t="s">
        <v>1798</v>
      </c>
      <c r="J863">
        <f ca="1">VLOOKUP(G863,INDIRECT("球速変換!A$1:B$" &amp; Prams!$B$8),2,)</f>
        <v>121</v>
      </c>
      <c r="K863" t="str">
        <f ca="1">VLOOKUP(I863,INDIRECT("投手名変換!A$1:B$" &amp; Prams!$B$9),2,)</f>
        <v>DD017</v>
      </c>
      <c r="L863">
        <f t="shared" si="72"/>
        <v>40</v>
      </c>
      <c r="M863">
        <f ca="1">(B863-VLOOKUP(K863,INDIRECT("投手データ!B1:D"&amp;Prams!$B$1),3,FALSE)*2)</f>
        <v>47</v>
      </c>
      <c r="N863" t="str">
        <f ca="1">VLOOKUP(F863,INDIRECT("球種変換表!A$1:B$" &amp; Prams!$B$2),2,)</f>
        <v>パーム</v>
      </c>
      <c r="O863">
        <f ca="1">VLOOKUP(N863,球種情報!A:B,2,FALSE)</f>
        <v>17</v>
      </c>
      <c r="P863">
        <f ca="1">VLOOKUP(K863,投手データ!B:AI,output!O863+6,FALSE)</f>
        <v>2</v>
      </c>
      <c r="R863">
        <f t="shared" ca="1" si="68"/>
        <v>8.2644628099173556E-3</v>
      </c>
      <c r="S863">
        <f t="shared" si="69"/>
        <v>0.65937500000000004</v>
      </c>
      <c r="T863">
        <f>Prams!B$5/(S863-Prams!B$6)</f>
        <v>103.19742937027918</v>
      </c>
      <c r="U863">
        <f t="shared" ca="1" si="70"/>
        <v>0.77604166666666663</v>
      </c>
      <c r="V863">
        <f ca="1">Prams!C$5/(U863-Prams!C$6)</f>
        <v>97.752888935738483</v>
      </c>
      <c r="W863">
        <f t="shared" ca="1" si="71"/>
        <v>0.80787511517139243</v>
      </c>
    </row>
    <row r="864" spans="1:24" hidden="1" x14ac:dyDescent="0.55000000000000004">
      <c r="A864" s="1" t="s">
        <v>1836</v>
      </c>
      <c r="B864" s="1">
        <v>129</v>
      </c>
      <c r="C864">
        <v>642.5</v>
      </c>
      <c r="D864">
        <v>616</v>
      </c>
      <c r="E864">
        <v>10.547610000000001</v>
      </c>
      <c r="F864" t="s">
        <v>0</v>
      </c>
      <c r="G864" s="10" t="s">
        <v>615</v>
      </c>
      <c r="H864">
        <v>99</v>
      </c>
      <c r="I864" t="s">
        <v>1835</v>
      </c>
      <c r="J864">
        <f ca="1">VLOOKUP(G864,INDIRECT("球速変換!A$1:B$" &amp; Prams!$B$8),2,)</f>
        <v>144</v>
      </c>
      <c r="K864" t="str">
        <f ca="1">VLOOKUP(I864,INDIRECT("投手名変換!A$1:B$" &amp; Prams!$B$9),2,)</f>
        <v>DD019</v>
      </c>
      <c r="L864">
        <f t="shared" si="72"/>
        <v>30</v>
      </c>
      <c r="M864">
        <f ca="1">(B864-VLOOKUP(K864,INDIRECT("投手データ!B1:D"&amp;Prams!$B$1),3,FALSE)*2)</f>
        <v>35</v>
      </c>
      <c r="N864" t="str">
        <f ca="1">VLOOKUP(F864,INDIRECT("球種変換表!A$1:B$" &amp; Prams!$B$2),2,)</f>
        <v>ストレート</v>
      </c>
      <c r="O864">
        <f ca="1">VLOOKUP(N864,球種情報!A:B,2,FALSE)</f>
        <v>1</v>
      </c>
      <c r="P864">
        <f ca="1">VLOOKUP(K864,投手データ!B:AI,output!O864+6,FALSE)</f>
        <v>1</v>
      </c>
      <c r="R864">
        <f t="shared" ca="1" si="68"/>
        <v>6.9444444444444441E-3</v>
      </c>
      <c r="S864">
        <f t="shared" si="69"/>
        <v>0.48888888888888887</v>
      </c>
      <c r="T864">
        <f>Prams!B$5/(S864-Prams!B$6)</f>
        <v>144.24778990485575</v>
      </c>
      <c r="U864">
        <f t="shared" ca="1" si="70"/>
        <v>0.5722222222222223</v>
      </c>
      <c r="V864">
        <f ca="1">Prams!C$5/(U864-Prams!C$6)</f>
        <v>144.23657196184155</v>
      </c>
      <c r="W864">
        <f t="shared" ca="1" si="71"/>
        <v>1.0016428608461219</v>
      </c>
    </row>
    <row r="865" spans="1:23" hidden="1" x14ac:dyDescent="0.55000000000000004">
      <c r="A865" s="1" t="s">
        <v>1837</v>
      </c>
      <c r="B865" s="1">
        <v>129</v>
      </c>
      <c r="C865">
        <v>639.5</v>
      </c>
      <c r="D865">
        <v>622</v>
      </c>
      <c r="E865">
        <v>10.547610000000001</v>
      </c>
      <c r="F865" t="s">
        <v>0</v>
      </c>
      <c r="G865" s="10" t="s">
        <v>1722</v>
      </c>
      <c r="H865">
        <v>99</v>
      </c>
      <c r="I865" t="s">
        <v>1835</v>
      </c>
      <c r="J865">
        <f ca="1">VLOOKUP(G865,INDIRECT("球速変換!A$1:B$" &amp; Prams!$B$8),2,)</f>
        <v>145</v>
      </c>
      <c r="K865" t="str">
        <f ca="1">VLOOKUP(I865,INDIRECT("投手名変換!A$1:B$" &amp; Prams!$B$9),2,)</f>
        <v>DD019</v>
      </c>
      <c r="L865">
        <f t="shared" si="72"/>
        <v>30</v>
      </c>
      <c r="M865">
        <f ca="1">(B865-VLOOKUP(K865,INDIRECT("投手データ!B1:D"&amp;Prams!$B$1),3,FALSE)*2)</f>
        <v>35</v>
      </c>
      <c r="N865" t="str">
        <f ca="1">VLOOKUP(F865,INDIRECT("球種変換表!A$1:B$" &amp; Prams!$B$2),2,)</f>
        <v>ストレート</v>
      </c>
      <c r="O865">
        <f ca="1">VLOOKUP(N865,球種情報!A:B,2,FALSE)</f>
        <v>1</v>
      </c>
      <c r="P865">
        <f ca="1">VLOOKUP(K865,投手データ!B:AI,output!O865+6,FALSE)</f>
        <v>1</v>
      </c>
      <c r="R865">
        <f t="shared" ca="1" si="68"/>
        <v>6.8965517241379309E-3</v>
      </c>
      <c r="S865">
        <f t="shared" si="69"/>
        <v>0.48472222222222222</v>
      </c>
      <c r="T865">
        <f>Prams!B$5/(S865-Prams!B$6)</f>
        <v>145.66390910518876</v>
      </c>
      <c r="U865">
        <f t="shared" ca="1" si="70"/>
        <v>0.56805555555555565</v>
      </c>
      <c r="V865">
        <f ca="1">Prams!C$5/(U865-Prams!C$6)</f>
        <v>145.65246983063267</v>
      </c>
      <c r="W865">
        <f t="shared" ca="1" si="71"/>
        <v>1.0044997919353977</v>
      </c>
    </row>
    <row r="866" spans="1:23" hidden="1" x14ac:dyDescent="0.55000000000000004">
      <c r="A866" s="1" t="s">
        <v>1839</v>
      </c>
      <c r="B866" s="1">
        <v>129</v>
      </c>
      <c r="C866">
        <v>640.5</v>
      </c>
      <c r="D866">
        <v>622</v>
      </c>
      <c r="E866">
        <v>10.547610000000001</v>
      </c>
      <c r="F866" t="s">
        <v>0</v>
      </c>
      <c r="G866" s="10" t="s">
        <v>2433</v>
      </c>
      <c r="H866">
        <v>99</v>
      </c>
      <c r="I866" t="s">
        <v>1838</v>
      </c>
      <c r="J866">
        <f ca="1">VLOOKUP(G866,INDIRECT("球速変換!A$1:B$" &amp; Prams!$B$8),2,)</f>
        <v>146</v>
      </c>
      <c r="K866" t="str">
        <f ca="1">VLOOKUP(I866,INDIRECT("投手名変換!A$1:B$" &amp; Prams!$B$9),2,)</f>
        <v>DD019</v>
      </c>
      <c r="L866">
        <f t="shared" si="72"/>
        <v>30</v>
      </c>
      <c r="M866">
        <f ca="1">(B866-VLOOKUP(K866,INDIRECT("投手データ!B1:D"&amp;Prams!$B$1),3,FALSE)*2)</f>
        <v>35</v>
      </c>
      <c r="N866" t="str">
        <f ca="1">VLOOKUP(F866,INDIRECT("球種変換表!A$1:B$" &amp; Prams!$B$2),2,)</f>
        <v>ストレート</v>
      </c>
      <c r="O866">
        <f ca="1">VLOOKUP(N866,球種情報!A:B,2,FALSE)</f>
        <v>1</v>
      </c>
      <c r="P866">
        <f ca="1">VLOOKUP(K866,投手データ!B:AI,output!O866+6,FALSE)</f>
        <v>1</v>
      </c>
      <c r="R866">
        <f t="shared" ca="1" si="68"/>
        <v>6.8493150684931503E-3</v>
      </c>
      <c r="S866">
        <f t="shared" si="69"/>
        <v>0.48472222222222222</v>
      </c>
      <c r="T866">
        <f>Prams!B$5/(S866-Prams!B$6)</f>
        <v>145.66390910518876</v>
      </c>
      <c r="U866">
        <f t="shared" ca="1" si="70"/>
        <v>0.56805555555555565</v>
      </c>
      <c r="V866">
        <f ca="1">Prams!C$5/(U866-Prams!C$6)</f>
        <v>145.65246983063267</v>
      </c>
      <c r="W866">
        <f t="shared" ca="1" si="71"/>
        <v>0.99761965637419636</v>
      </c>
    </row>
    <row r="867" spans="1:23" hidden="1" x14ac:dyDescent="0.55000000000000004">
      <c r="A867" s="1" t="s">
        <v>1841</v>
      </c>
      <c r="B867" s="1">
        <v>128</v>
      </c>
      <c r="C867">
        <v>643</v>
      </c>
      <c r="D867">
        <v>605.5</v>
      </c>
      <c r="E867">
        <v>11.01146</v>
      </c>
      <c r="F867" t="s">
        <v>0</v>
      </c>
      <c r="G867" s="10" t="s">
        <v>635</v>
      </c>
      <c r="H867">
        <v>99</v>
      </c>
      <c r="I867" t="s">
        <v>1840</v>
      </c>
      <c r="J867">
        <f ca="1">VLOOKUP(G867,INDIRECT("球速変換!A$1:B$" &amp; Prams!$B$8),2,)</f>
        <v>148</v>
      </c>
      <c r="K867" t="str">
        <f ca="1">VLOOKUP(I867,INDIRECT("投手名変換!A$1:B$" &amp; Prams!$B$9),2,)</f>
        <v>DD019</v>
      </c>
      <c r="L867">
        <f t="shared" si="72"/>
        <v>29</v>
      </c>
      <c r="M867">
        <f ca="1">(B867-VLOOKUP(K867,INDIRECT("投手データ!B1:D"&amp;Prams!$B$1),3,FALSE)*2)</f>
        <v>34</v>
      </c>
      <c r="N867" t="str">
        <f ca="1">VLOOKUP(F867,INDIRECT("球種変換表!A$1:B$" &amp; Prams!$B$2),2,)</f>
        <v>ストレート</v>
      </c>
      <c r="O867">
        <f ca="1">VLOOKUP(N867,球種情報!A:B,2,FALSE)</f>
        <v>1</v>
      </c>
      <c r="P867">
        <f ca="1">VLOOKUP(K867,投手データ!B:AI,output!O867+6,FALSE)</f>
        <v>1</v>
      </c>
      <c r="R867">
        <f t="shared" ca="1" si="68"/>
        <v>6.7567567567567571E-3</v>
      </c>
      <c r="S867">
        <f t="shared" si="69"/>
        <v>0.47951388888888885</v>
      </c>
      <c r="T867">
        <f>Prams!B$5/(S867-Prams!B$6)</f>
        <v>147.47364445357385</v>
      </c>
      <c r="U867">
        <f t="shared" ca="1" si="70"/>
        <v>0.56284722222222228</v>
      </c>
      <c r="V867">
        <f ca="1">Prams!C$5/(U867-Prams!C$6)</f>
        <v>147.46191918054183</v>
      </c>
      <c r="W867">
        <f t="shared" ca="1" si="71"/>
        <v>0.9963643187874448</v>
      </c>
    </row>
    <row r="868" spans="1:23" hidden="1" x14ac:dyDescent="0.55000000000000004">
      <c r="A868" s="1" t="s">
        <v>1843</v>
      </c>
      <c r="B868" s="1">
        <v>128</v>
      </c>
      <c r="C868">
        <v>635</v>
      </c>
      <c r="D868">
        <v>604.5</v>
      </c>
      <c r="E868">
        <v>11.01146</v>
      </c>
      <c r="F868" t="s">
        <v>0</v>
      </c>
      <c r="G868" s="10" t="s">
        <v>613</v>
      </c>
      <c r="H868">
        <v>99</v>
      </c>
      <c r="I868" t="s">
        <v>1842</v>
      </c>
      <c r="J868">
        <f ca="1">VLOOKUP(G868,INDIRECT("球速変換!A$1:B$" &amp; Prams!$B$8),2,)</f>
        <v>147</v>
      </c>
      <c r="K868" t="str">
        <f ca="1">VLOOKUP(I868,INDIRECT("投手名変換!A$1:B$" &amp; Prams!$B$9),2,)</f>
        <v>DD019</v>
      </c>
      <c r="L868">
        <f t="shared" si="72"/>
        <v>29</v>
      </c>
      <c r="M868">
        <f ca="1">(B868-VLOOKUP(K868,INDIRECT("投手データ!B1:D"&amp;Prams!$B$1),3,FALSE)*2)</f>
        <v>34</v>
      </c>
      <c r="N868" t="str">
        <f ca="1">VLOOKUP(F868,INDIRECT("球種変換表!A$1:B$" &amp; Prams!$B$2),2,)</f>
        <v>ストレート</v>
      </c>
      <c r="O868">
        <f ca="1">VLOOKUP(N868,球種情報!A:B,2,FALSE)</f>
        <v>1</v>
      </c>
      <c r="P868">
        <f ca="1">VLOOKUP(K868,投手データ!B:AI,output!O868+6,FALSE)</f>
        <v>1</v>
      </c>
      <c r="R868">
        <f t="shared" ca="1" si="68"/>
        <v>6.8027210884353739E-3</v>
      </c>
      <c r="S868">
        <f t="shared" si="69"/>
        <v>0.48020833333333335</v>
      </c>
      <c r="T868">
        <f>Prams!B$5/(S868-Prams!B$6)</f>
        <v>147.22975252535275</v>
      </c>
      <c r="U868">
        <f t="shared" ca="1" si="70"/>
        <v>0.56354166666666672</v>
      </c>
      <c r="V868">
        <f ca="1">Prams!C$5/(U868-Prams!C$6)</f>
        <v>147.21806600123031</v>
      </c>
      <c r="W868">
        <f t="shared" ca="1" si="71"/>
        <v>1.0014834421852403</v>
      </c>
    </row>
    <row r="869" spans="1:23" hidden="1" x14ac:dyDescent="0.55000000000000004">
      <c r="A869" s="1" t="s">
        <v>1845</v>
      </c>
      <c r="B869" s="1">
        <v>129</v>
      </c>
      <c r="C869">
        <v>640.5</v>
      </c>
      <c r="D869">
        <v>616.5</v>
      </c>
      <c r="E869">
        <v>11.510960000000001</v>
      </c>
      <c r="F869" t="s">
        <v>0</v>
      </c>
      <c r="G869" s="10" t="s">
        <v>1844</v>
      </c>
      <c r="H869">
        <v>99</v>
      </c>
      <c r="I869" t="s">
        <v>1835</v>
      </c>
      <c r="J869">
        <f ca="1">VLOOKUP(G869,INDIRECT("球速変換!A$1:B$" &amp; Prams!$B$8),2,)</f>
        <v>144</v>
      </c>
      <c r="K869" t="str">
        <f ca="1">VLOOKUP(I869,INDIRECT("投手名変換!A$1:B$" &amp; Prams!$B$9),2,)</f>
        <v>DD019</v>
      </c>
      <c r="L869">
        <f t="shared" si="72"/>
        <v>30</v>
      </c>
      <c r="M869">
        <f ca="1">(B869-VLOOKUP(K869,INDIRECT("投手データ!B1:D"&amp;Prams!$B$1),3,FALSE)*2)</f>
        <v>35</v>
      </c>
      <c r="N869" t="str">
        <f ca="1">VLOOKUP(F869,INDIRECT("球種変換表!A$1:B$" &amp; Prams!$B$2),2,)</f>
        <v>ストレート</v>
      </c>
      <c r="O869">
        <f ca="1">VLOOKUP(N869,球種情報!A:B,2,FALSE)</f>
        <v>1</v>
      </c>
      <c r="P869">
        <f ca="1">VLOOKUP(K869,投手データ!B:AI,output!O869+6,FALSE)</f>
        <v>1</v>
      </c>
      <c r="R869">
        <f t="shared" ca="1" si="68"/>
        <v>6.9444444444444441E-3</v>
      </c>
      <c r="S869">
        <f t="shared" si="69"/>
        <v>0.48854166666666665</v>
      </c>
      <c r="T869">
        <f>Prams!B$5/(S869-Prams!B$6)</f>
        <v>144.36474731946527</v>
      </c>
      <c r="U869">
        <f t="shared" ca="1" si="70"/>
        <v>0.57187500000000002</v>
      </c>
      <c r="V869">
        <f ca="1">Prams!C$5/(U869-Prams!C$6)</f>
        <v>144.35351117856516</v>
      </c>
      <c r="W869">
        <f t="shared" ca="1" si="71"/>
        <v>1.0024549387400359</v>
      </c>
    </row>
    <row r="870" spans="1:23" hidden="1" x14ac:dyDescent="0.55000000000000004">
      <c r="A870" s="1" t="s">
        <v>1847</v>
      </c>
      <c r="B870" s="1">
        <v>128</v>
      </c>
      <c r="C870">
        <v>637.04998999999998</v>
      </c>
      <c r="D870">
        <v>604.5</v>
      </c>
      <c r="E870">
        <v>10.06254</v>
      </c>
      <c r="F870" t="s">
        <v>0</v>
      </c>
      <c r="G870" s="10" t="s">
        <v>638</v>
      </c>
      <c r="H870">
        <v>99</v>
      </c>
      <c r="I870" t="s">
        <v>1846</v>
      </c>
      <c r="J870">
        <f ca="1">VLOOKUP(G870,INDIRECT("球速変換!A$1:B$" &amp; Prams!$B$8),2,)</f>
        <v>147</v>
      </c>
      <c r="K870" t="str">
        <f ca="1">VLOOKUP(I870,INDIRECT("投手名変換!A$1:B$" &amp; Prams!$B$9),2,)</f>
        <v>DD019</v>
      </c>
      <c r="L870">
        <f t="shared" si="72"/>
        <v>29</v>
      </c>
      <c r="M870">
        <f ca="1">(B870-VLOOKUP(K870,INDIRECT("投手データ!B1:D"&amp;Prams!$B$1),3,FALSE)*2)</f>
        <v>34</v>
      </c>
      <c r="N870" t="str">
        <f ca="1">VLOOKUP(F870,INDIRECT("球種変換表!A$1:B$" &amp; Prams!$B$2),2,)</f>
        <v>ストレート</v>
      </c>
      <c r="O870">
        <f ca="1">VLOOKUP(N870,球種情報!A:B,2,FALSE)</f>
        <v>1</v>
      </c>
      <c r="P870">
        <f ca="1">VLOOKUP(K870,投手データ!B:AI,output!O870+6,FALSE)</f>
        <v>1</v>
      </c>
      <c r="R870">
        <f t="shared" ca="1" si="68"/>
        <v>6.8027210884353739E-3</v>
      </c>
      <c r="S870">
        <f t="shared" si="69"/>
        <v>0.48020833333333335</v>
      </c>
      <c r="T870">
        <f>Prams!B$5/(S870-Prams!B$6)</f>
        <v>147.22975252535275</v>
      </c>
      <c r="U870">
        <f t="shared" ca="1" si="70"/>
        <v>0.56354166666666672</v>
      </c>
      <c r="V870">
        <f ca="1">Prams!C$5/(U870-Prams!C$6)</f>
        <v>147.21806600123031</v>
      </c>
      <c r="W870">
        <f t="shared" ca="1" si="71"/>
        <v>1.0014834421852403</v>
      </c>
    </row>
    <row r="871" spans="1:23" hidden="1" x14ac:dyDescent="0.55000000000000004">
      <c r="A871" s="1" t="s">
        <v>2257</v>
      </c>
      <c r="B871" s="1">
        <v>128</v>
      </c>
      <c r="C871">
        <v>637.04998999999998</v>
      </c>
      <c r="D871">
        <v>604.5</v>
      </c>
      <c r="E871">
        <v>10.06254</v>
      </c>
      <c r="F871" t="s">
        <v>0</v>
      </c>
      <c r="G871" s="10" t="s">
        <v>638</v>
      </c>
      <c r="H871">
        <v>99</v>
      </c>
      <c r="I871" t="s">
        <v>2256</v>
      </c>
      <c r="J871">
        <f ca="1">VLOOKUP(G871,INDIRECT("球速変換!A$1:B$" &amp; Prams!$B$8),2,)</f>
        <v>147</v>
      </c>
      <c r="K871" t="s">
        <v>236</v>
      </c>
      <c r="L871">
        <f t="shared" si="72"/>
        <v>29</v>
      </c>
      <c r="M871">
        <f ca="1">(B871-VLOOKUP(K871,INDIRECT("投手データ!B1:D"&amp;Prams!$B$1),3,FALSE)*2)</f>
        <v>34</v>
      </c>
      <c r="N871" t="str">
        <f ca="1">VLOOKUP(F871,INDIRECT("球種変換表!A$1:B$" &amp; Prams!$B$2),2,)</f>
        <v>ストレート</v>
      </c>
      <c r="O871">
        <f ca="1">VLOOKUP(N871,球種情報!A:B,2,FALSE)</f>
        <v>1</v>
      </c>
      <c r="P871">
        <f ca="1">VLOOKUP(K871,投手データ!B:AI,output!O871+6,FALSE)</f>
        <v>1</v>
      </c>
      <c r="R871">
        <f t="shared" ca="1" si="68"/>
        <v>6.8027210884353739E-3</v>
      </c>
      <c r="S871">
        <f t="shared" si="69"/>
        <v>0.48020833333333335</v>
      </c>
      <c r="T871">
        <f>Prams!B$5/(S871-Prams!B$6)</f>
        <v>147.22975252535275</v>
      </c>
      <c r="U871">
        <f t="shared" ca="1" si="70"/>
        <v>0.56354166666666672</v>
      </c>
      <c r="V871">
        <f ca="1">Prams!C$5/(U871-Prams!C$6)</f>
        <v>147.21806600123031</v>
      </c>
      <c r="W871">
        <f t="shared" ca="1" si="71"/>
        <v>1.0014834421852403</v>
      </c>
    </row>
    <row r="872" spans="1:23" hidden="1" x14ac:dyDescent="0.55000000000000004">
      <c r="A872" s="1" t="s">
        <v>2258</v>
      </c>
      <c r="B872" s="1">
        <v>128</v>
      </c>
      <c r="C872">
        <v>636.5</v>
      </c>
      <c r="D872">
        <v>602.5</v>
      </c>
      <c r="E872">
        <v>10.512</v>
      </c>
      <c r="F872" t="s">
        <v>0</v>
      </c>
      <c r="G872" s="10" t="s">
        <v>613</v>
      </c>
      <c r="H872">
        <v>99</v>
      </c>
      <c r="I872" t="s">
        <v>1852</v>
      </c>
      <c r="J872">
        <f ca="1">VLOOKUP(G872,INDIRECT("球速変換!A$1:B$" &amp; Prams!$B$8),2,)</f>
        <v>147</v>
      </c>
      <c r="K872" t="str">
        <f ca="1">VLOOKUP(I872,INDIRECT("投手名変換!A$1:B$" &amp; Prams!$B$9),2,)</f>
        <v>DD019</v>
      </c>
      <c r="L872">
        <f t="shared" si="72"/>
        <v>29</v>
      </c>
      <c r="M872">
        <f ca="1">(B872-VLOOKUP(K872,INDIRECT("投手データ!B1:D"&amp;Prams!$B$1),3,FALSE)*2)</f>
        <v>34</v>
      </c>
      <c r="N872" t="str">
        <f ca="1">VLOOKUP(F872,INDIRECT("球種変換表!A$1:B$" &amp; Prams!$B$2),2,)</f>
        <v>ストレート</v>
      </c>
      <c r="O872">
        <f ca="1">VLOOKUP(N872,球種情報!A:B,2,FALSE)</f>
        <v>1</v>
      </c>
      <c r="P872">
        <f ca="1">VLOOKUP(K872,投手データ!B:AI,output!O872+6,FALSE)</f>
        <v>1</v>
      </c>
      <c r="R872">
        <f t="shared" ca="1" si="68"/>
        <v>6.8027210884353739E-3</v>
      </c>
      <c r="S872">
        <f t="shared" si="69"/>
        <v>0.48159722222222218</v>
      </c>
      <c r="T872">
        <f>Prams!B$5/(S872-Prams!B$6)</f>
        <v>146.74438078158073</v>
      </c>
      <c r="U872">
        <f t="shared" ca="1" si="70"/>
        <v>0.5649305555555556</v>
      </c>
      <c r="V872">
        <f ca="1">Prams!C$5/(U872-Prams!C$6)</f>
        <v>146.7327711812446</v>
      </c>
      <c r="W872">
        <f t="shared" ca="1" si="71"/>
        <v>0.99818211687921499</v>
      </c>
    </row>
    <row r="873" spans="1:23" hidden="1" x14ac:dyDescent="0.55000000000000004">
      <c r="A873" s="1" t="s">
        <v>2259</v>
      </c>
      <c r="B873" s="1">
        <v>128</v>
      </c>
      <c r="C873">
        <v>639.5</v>
      </c>
      <c r="D873">
        <v>604.5</v>
      </c>
      <c r="E873">
        <v>10.512</v>
      </c>
      <c r="F873" t="s">
        <v>0</v>
      </c>
      <c r="G873" s="10" t="s">
        <v>638</v>
      </c>
      <c r="H873">
        <v>99</v>
      </c>
      <c r="I873" t="s">
        <v>1852</v>
      </c>
      <c r="J873">
        <f ca="1">VLOOKUP(G873,INDIRECT("球速変換!A$1:B$" &amp; Prams!$B$8),2,)</f>
        <v>147</v>
      </c>
      <c r="K873" t="str">
        <f ca="1">VLOOKUP(I873,INDIRECT("投手名変換!A$1:B$" &amp; Prams!$B$9),2,)</f>
        <v>DD019</v>
      </c>
      <c r="L873">
        <f t="shared" si="72"/>
        <v>29</v>
      </c>
      <c r="M873">
        <f ca="1">(B873-VLOOKUP(K873,INDIRECT("投手データ!B1:D"&amp;Prams!$B$1),3,FALSE)*2)</f>
        <v>34</v>
      </c>
      <c r="N873" t="str">
        <f ca="1">VLOOKUP(F873,INDIRECT("球種変換表!A$1:B$" &amp; Prams!$B$2),2,)</f>
        <v>ストレート</v>
      </c>
      <c r="O873">
        <f ca="1">VLOOKUP(N873,球種情報!A:B,2,FALSE)</f>
        <v>1</v>
      </c>
      <c r="P873">
        <f ca="1">VLOOKUP(K873,投手データ!B:AI,output!O873+6,FALSE)</f>
        <v>1</v>
      </c>
      <c r="R873">
        <f t="shared" ca="1" si="68"/>
        <v>6.8027210884353739E-3</v>
      </c>
      <c r="S873">
        <f t="shared" si="69"/>
        <v>0.48020833333333335</v>
      </c>
      <c r="T873">
        <f>Prams!B$5/(S873-Prams!B$6)</f>
        <v>147.22975252535275</v>
      </c>
      <c r="U873">
        <f t="shared" ca="1" si="70"/>
        <v>0.56354166666666672</v>
      </c>
      <c r="V873">
        <f ca="1">Prams!C$5/(U873-Prams!C$6)</f>
        <v>147.21806600123031</v>
      </c>
      <c r="W873">
        <f t="shared" ca="1" si="71"/>
        <v>1.0014834421852403</v>
      </c>
    </row>
    <row r="874" spans="1:23" hidden="1" x14ac:dyDescent="0.55000000000000004">
      <c r="A874" s="1" t="s">
        <v>2260</v>
      </c>
      <c r="B874" s="1">
        <v>125</v>
      </c>
      <c r="C874">
        <v>642</v>
      </c>
      <c r="D874">
        <v>619.5</v>
      </c>
      <c r="E874">
        <v>11.01146</v>
      </c>
      <c r="F874" t="s">
        <v>531</v>
      </c>
      <c r="G874" s="10" t="s">
        <v>638</v>
      </c>
      <c r="H874">
        <v>98</v>
      </c>
      <c r="I874" t="s">
        <v>1846</v>
      </c>
      <c r="J874">
        <f ca="1">VLOOKUP(G874,INDIRECT("球速変換!A$1:B$" &amp; Prams!$B$8),2,)</f>
        <v>147</v>
      </c>
      <c r="K874" t="str">
        <f ca="1">VLOOKUP(I874,INDIRECT("投手名変換!A$1:B$" &amp; Prams!$B$9),2,)</f>
        <v>DD019</v>
      </c>
      <c r="L874">
        <f t="shared" si="72"/>
        <v>27</v>
      </c>
      <c r="M874">
        <f ca="1">(B874-VLOOKUP(K874,INDIRECT("投手データ!B1:D"&amp;Prams!$B$1),3,FALSE)*2)</f>
        <v>31</v>
      </c>
      <c r="N874" t="str">
        <f ca="1">VLOOKUP(F874,INDIRECT("球種変換表!A$1:B$" &amp; Prams!$B$2),2,)</f>
        <v>全力ストレート</v>
      </c>
      <c r="O874">
        <f ca="1">VLOOKUP(N874,球種情報!A:B,2,FALSE)</f>
        <v>2</v>
      </c>
      <c r="P874">
        <f ca="1">VLOOKUP(K874,投手データ!B:AI,output!O874+6,FALSE)</f>
        <v>1</v>
      </c>
      <c r="R874">
        <f t="shared" ca="1" si="68"/>
        <v>6.8027210884353739E-3</v>
      </c>
      <c r="S874">
        <f t="shared" si="69"/>
        <v>0.43645833333333334</v>
      </c>
      <c r="T874">
        <f>Prams!B$5/(S874-Prams!B$6)</f>
        <v>164.35366312944461</v>
      </c>
      <c r="U874">
        <f t="shared" ca="1" si="70"/>
        <v>0.50312500000000004</v>
      </c>
      <c r="V874">
        <f ca="1">Prams!C$5/(U874-Prams!C$6)</f>
        <v>171.95744384952366</v>
      </c>
      <c r="W874">
        <f t="shared" ca="1" si="71"/>
        <v>1.1697785295885963</v>
      </c>
    </row>
    <row r="875" spans="1:23" hidden="1" x14ac:dyDescent="0.55000000000000004">
      <c r="A875" s="1" t="s">
        <v>2261</v>
      </c>
      <c r="B875" s="1">
        <v>125</v>
      </c>
      <c r="C875">
        <v>641.5</v>
      </c>
      <c r="D875">
        <v>620.5</v>
      </c>
      <c r="E875">
        <v>10.512</v>
      </c>
      <c r="F875" t="s">
        <v>343</v>
      </c>
      <c r="G875" s="10" t="s">
        <v>613</v>
      </c>
      <c r="H875">
        <v>98</v>
      </c>
      <c r="I875" t="s">
        <v>1842</v>
      </c>
      <c r="J875">
        <f ca="1">VLOOKUP(G875,INDIRECT("球速変換!A$1:B$" &amp; Prams!$B$8),2,)</f>
        <v>147</v>
      </c>
      <c r="K875" t="str">
        <f ca="1">VLOOKUP(I875,INDIRECT("投手名変換!A$1:B$" &amp; Prams!$B$9),2,)</f>
        <v>DD019</v>
      </c>
      <c r="L875">
        <f t="shared" si="72"/>
        <v>27</v>
      </c>
      <c r="M875">
        <f ca="1">(B875-VLOOKUP(K875,INDIRECT("投手データ!B1:D"&amp;Prams!$B$1),3,FALSE)*2)</f>
        <v>31</v>
      </c>
      <c r="N875" t="str">
        <f ca="1">VLOOKUP(F875,INDIRECT("球種変換表!A$1:B$" &amp; Prams!$B$2),2,)</f>
        <v>全力ストレート</v>
      </c>
      <c r="O875">
        <f ca="1">VLOOKUP(N875,球種情報!A:B,2,FALSE)</f>
        <v>2</v>
      </c>
      <c r="P875">
        <f ca="1">VLOOKUP(K875,投手データ!B:AI,output!O875+6,FALSE)</f>
        <v>1</v>
      </c>
      <c r="R875">
        <f t="shared" ca="1" si="68"/>
        <v>6.8027210884353739E-3</v>
      </c>
      <c r="S875">
        <f t="shared" si="69"/>
        <v>0.4357638888888889</v>
      </c>
      <c r="T875">
        <f>Prams!B$5/(S875-Prams!B$6)</f>
        <v>164.65764572713755</v>
      </c>
      <c r="U875">
        <f t="shared" ca="1" si="70"/>
        <v>0.50243055555555549</v>
      </c>
      <c r="V875">
        <f ca="1">Prams!C$5/(U875-Prams!C$6)</f>
        <v>172.29023293259743</v>
      </c>
      <c r="W875">
        <f t="shared" ca="1" si="71"/>
        <v>1.1720424009020234</v>
      </c>
    </row>
    <row r="876" spans="1:23" hidden="1" x14ac:dyDescent="0.55000000000000004">
      <c r="A876" s="1" t="s">
        <v>2262</v>
      </c>
      <c r="B876" s="1">
        <v>125</v>
      </c>
      <c r="C876">
        <v>640.5</v>
      </c>
      <c r="D876">
        <v>622</v>
      </c>
      <c r="E876">
        <v>10.547610000000001</v>
      </c>
      <c r="F876" t="s">
        <v>343</v>
      </c>
      <c r="G876" s="10" t="s">
        <v>638</v>
      </c>
      <c r="H876">
        <v>98</v>
      </c>
      <c r="I876" t="s">
        <v>1835</v>
      </c>
      <c r="J876">
        <f ca="1">VLOOKUP(G876,INDIRECT("球速変換!A$1:B$" &amp; Prams!$B$8),2,)</f>
        <v>147</v>
      </c>
      <c r="K876" t="str">
        <f ca="1">VLOOKUP(I876,INDIRECT("投手名変換!A$1:B$" &amp; Prams!$B$9),2,)</f>
        <v>DD019</v>
      </c>
      <c r="L876">
        <f t="shared" si="72"/>
        <v>27</v>
      </c>
      <c r="M876">
        <f ca="1">(B876-VLOOKUP(K876,INDIRECT("投手データ!B1:D"&amp;Prams!$B$1),3,FALSE)*2)</f>
        <v>31</v>
      </c>
      <c r="N876" t="str">
        <f ca="1">VLOOKUP(F876,INDIRECT("球種変換表!A$1:B$" &amp; Prams!$B$2),2,)</f>
        <v>全力ストレート</v>
      </c>
      <c r="O876">
        <f ca="1">VLOOKUP(N876,球種情報!A:B,2,FALSE)</f>
        <v>2</v>
      </c>
      <c r="P876">
        <f ca="1">VLOOKUP(K876,投手データ!B:AI,output!O876+6,FALSE)</f>
        <v>1</v>
      </c>
      <c r="R876">
        <f t="shared" ca="1" si="68"/>
        <v>6.8027210884353739E-3</v>
      </c>
      <c r="S876">
        <f t="shared" si="69"/>
        <v>0.43472222222222218</v>
      </c>
      <c r="T876">
        <f>Prams!B$5/(S876-Prams!B$6)</f>
        <v>165.11573387144639</v>
      </c>
      <c r="U876">
        <f t="shared" ca="1" si="70"/>
        <v>0.50138888888888888</v>
      </c>
      <c r="V876">
        <f ca="1">Prams!C$5/(U876-Prams!C$6)</f>
        <v>172.79183876277136</v>
      </c>
      <c r="W876">
        <f t="shared" ca="1" si="71"/>
        <v>1.1754546854610297</v>
      </c>
    </row>
    <row r="877" spans="1:23" hidden="1" x14ac:dyDescent="0.55000000000000004">
      <c r="A877" s="1" t="s">
        <v>2263</v>
      </c>
      <c r="B877" s="1">
        <v>125</v>
      </c>
      <c r="C877">
        <v>641.44739000000004</v>
      </c>
      <c r="D877">
        <v>618.5</v>
      </c>
      <c r="E877">
        <v>9.5657899999999998</v>
      </c>
      <c r="F877" t="s">
        <v>343</v>
      </c>
      <c r="G877" s="10" t="s">
        <v>620</v>
      </c>
      <c r="H877">
        <v>98</v>
      </c>
      <c r="I877" t="s">
        <v>1846</v>
      </c>
      <c r="J877">
        <f ca="1">VLOOKUP(G877,INDIRECT("球速変換!A$1:B$" &amp; Prams!$B$8),2,)</f>
        <v>146</v>
      </c>
      <c r="K877" t="str">
        <f ca="1">VLOOKUP(I877,INDIRECT("投手名変換!A$1:B$" &amp; Prams!$B$9),2,)</f>
        <v>DD019</v>
      </c>
      <c r="L877">
        <f t="shared" si="72"/>
        <v>27</v>
      </c>
      <c r="M877">
        <f ca="1">(B877-VLOOKUP(K877,INDIRECT("投手データ!B1:D"&amp;Prams!$B$1),3,FALSE)*2)</f>
        <v>31</v>
      </c>
      <c r="N877" t="str">
        <f ca="1">VLOOKUP(F877,INDIRECT("球種変換表!A$1:B$" &amp; Prams!$B$2),2,)</f>
        <v>全力ストレート</v>
      </c>
      <c r="O877">
        <f ca="1">VLOOKUP(N877,球種情報!A:B,2,FALSE)</f>
        <v>2</v>
      </c>
      <c r="P877">
        <f ca="1">VLOOKUP(K877,投手データ!B:AI,output!O877+6,FALSE)</f>
        <v>1</v>
      </c>
      <c r="R877">
        <f t="shared" ca="1" si="68"/>
        <v>6.8493150684931503E-3</v>
      </c>
      <c r="S877">
        <f t="shared" si="69"/>
        <v>0.43715277777777778</v>
      </c>
      <c r="T877">
        <f>Prams!B$5/(S877-Prams!B$6)</f>
        <v>164.05080085798315</v>
      </c>
      <c r="U877">
        <f t="shared" ca="1" si="70"/>
        <v>0.50381944444444449</v>
      </c>
      <c r="V877">
        <f ca="1">Prams!C$5/(U877-Prams!C$6)</f>
        <v>171.6259378927968</v>
      </c>
      <c r="W877">
        <f t="shared" ca="1" si="71"/>
        <v>1.1755201225534027</v>
      </c>
    </row>
    <row r="878" spans="1:23" hidden="1" x14ac:dyDescent="0.55000000000000004">
      <c r="A878" s="1" t="s">
        <v>2264</v>
      </c>
      <c r="B878" s="1">
        <v>125</v>
      </c>
      <c r="C878">
        <v>640.5</v>
      </c>
      <c r="D878">
        <v>614.5</v>
      </c>
      <c r="E878">
        <v>10.512</v>
      </c>
      <c r="F878" t="s">
        <v>343</v>
      </c>
      <c r="G878" s="10" t="s">
        <v>2462</v>
      </c>
      <c r="H878">
        <v>98</v>
      </c>
      <c r="I878" t="s">
        <v>1857</v>
      </c>
      <c r="J878">
        <f ca="1">VLOOKUP(G878,INDIRECT("球速変換!A$1:B$" &amp; Prams!$B$8),2,)</f>
        <v>145</v>
      </c>
      <c r="K878" t="s">
        <v>236</v>
      </c>
      <c r="L878">
        <f t="shared" si="72"/>
        <v>27</v>
      </c>
      <c r="M878">
        <f ca="1">(B878-VLOOKUP(K878,INDIRECT("投手データ!B1:D"&amp;Prams!$B$1),3,FALSE)*2)</f>
        <v>31</v>
      </c>
      <c r="N878" t="str">
        <f ca="1">VLOOKUP(F878,INDIRECT("球種変換表!A$1:B$" &amp; Prams!$B$2),2,)</f>
        <v>全力ストレート</v>
      </c>
      <c r="O878">
        <f ca="1">VLOOKUP(N878,球種情報!A:B,2,FALSE)</f>
        <v>2</v>
      </c>
      <c r="P878">
        <f ca="1">VLOOKUP(K878,投手データ!B:AI,output!O878+6,FALSE)</f>
        <v>1</v>
      </c>
      <c r="R878">
        <f t="shared" ca="1" si="68"/>
        <v>6.8965517241379309E-3</v>
      </c>
      <c r="S878">
        <f t="shared" si="69"/>
        <v>0.43993055555555555</v>
      </c>
      <c r="T878">
        <f>Prams!B$5/(S878-Prams!B$6)</f>
        <v>162.85043207211692</v>
      </c>
      <c r="U878">
        <f t="shared" ca="1" si="70"/>
        <v>0.50659722222222225</v>
      </c>
      <c r="V878">
        <f ca="1">Prams!C$5/(U878-Prams!C$6)</f>
        <v>170.31259804559264</v>
      </c>
      <c r="W878">
        <f t="shared" ca="1" si="71"/>
        <v>1.1745696416937423</v>
      </c>
    </row>
    <row r="879" spans="1:23" hidden="1" x14ac:dyDescent="0.55000000000000004">
      <c r="A879" s="1" t="s">
        <v>2265</v>
      </c>
      <c r="B879" s="1">
        <v>125</v>
      </c>
      <c r="C879">
        <v>641</v>
      </c>
      <c r="D879">
        <v>617.5</v>
      </c>
      <c r="E879">
        <v>11.01146</v>
      </c>
      <c r="F879" t="s">
        <v>874</v>
      </c>
      <c r="G879" s="10" t="s">
        <v>619</v>
      </c>
      <c r="H879">
        <v>98</v>
      </c>
      <c r="I879" t="s">
        <v>1846</v>
      </c>
      <c r="J879">
        <f ca="1">VLOOKUP(G879,INDIRECT("球速変換!A$1:B$" &amp; Prams!$B$8),2,)</f>
        <v>146</v>
      </c>
      <c r="K879" t="str">
        <f ca="1">VLOOKUP(I879,INDIRECT("投手名変換!A$1:B$" &amp; Prams!$B$9),2,)</f>
        <v>DD019</v>
      </c>
      <c r="L879">
        <f t="shared" si="72"/>
        <v>27</v>
      </c>
      <c r="M879">
        <f ca="1">(B879-VLOOKUP(K879,INDIRECT("投手データ!B1:D"&amp;Prams!$B$1),3,FALSE)*2)</f>
        <v>31</v>
      </c>
      <c r="N879" t="str">
        <f ca="1">VLOOKUP(F879,INDIRECT("球種変換表!A$1:B$" &amp; Prams!$B$2),2,)</f>
        <v>全力ストレート</v>
      </c>
      <c r="O879">
        <f ca="1">VLOOKUP(N879,球種情報!A:B,2,FALSE)</f>
        <v>2</v>
      </c>
      <c r="P879">
        <f ca="1">VLOOKUP(K879,投手データ!B:AI,output!O879+6,FALSE)</f>
        <v>1</v>
      </c>
      <c r="R879">
        <f t="shared" ca="1" si="68"/>
        <v>6.8493150684931503E-3</v>
      </c>
      <c r="S879">
        <f t="shared" si="69"/>
        <v>0.43784722222222222</v>
      </c>
      <c r="T879">
        <f>Prams!B$5/(S879-Prams!B$6)</f>
        <v>163.74905273071067</v>
      </c>
      <c r="U879">
        <f t="shared" ca="1" si="70"/>
        <v>0.50451388888888882</v>
      </c>
      <c r="V879">
        <f ca="1">Prams!C$5/(U879-Prams!C$6)</f>
        <v>171.2957076557197</v>
      </c>
      <c r="W879">
        <f t="shared" ca="1" si="71"/>
        <v>1.1732582716145186</v>
      </c>
    </row>
    <row r="880" spans="1:23" hidden="1" x14ac:dyDescent="0.55000000000000004">
      <c r="A880" s="1" t="s">
        <v>2266</v>
      </c>
      <c r="B880" s="1">
        <v>125</v>
      </c>
      <c r="C880">
        <v>640.5</v>
      </c>
      <c r="D880">
        <v>614</v>
      </c>
      <c r="E880">
        <v>10.547610000000001</v>
      </c>
      <c r="F880" t="s">
        <v>92</v>
      </c>
      <c r="G880" s="10" t="s">
        <v>1034</v>
      </c>
      <c r="H880">
        <v>98</v>
      </c>
      <c r="I880" t="s">
        <v>1857</v>
      </c>
      <c r="J880">
        <f ca="1">VLOOKUP(G880,INDIRECT("球速変換!A$1:B$" &amp; Prams!$B$8),2,)</f>
        <v>145</v>
      </c>
      <c r="K880" t="s">
        <v>236</v>
      </c>
      <c r="L880">
        <f t="shared" si="72"/>
        <v>27</v>
      </c>
      <c r="M880">
        <f ca="1">(B880-VLOOKUP(K880,INDIRECT("投手データ!B1:D"&amp;Prams!$B$1),3,FALSE)*2)</f>
        <v>31</v>
      </c>
      <c r="N880" t="str">
        <f ca="1">VLOOKUP(F880,INDIRECT("球種変換表!A$1:B$" &amp; Prams!$B$2),2,)</f>
        <v>全力ストレート</v>
      </c>
      <c r="O880">
        <f ca="1">VLOOKUP(N880,球種情報!A:B,2,FALSE)</f>
        <v>2</v>
      </c>
      <c r="P880">
        <f ca="1">VLOOKUP(K880,投手データ!B:AI,output!O880+6,FALSE)</f>
        <v>1</v>
      </c>
      <c r="R880">
        <f t="shared" ca="1" si="68"/>
        <v>6.8965517241379309E-3</v>
      </c>
      <c r="S880">
        <f t="shared" si="69"/>
        <v>0.44027777777777782</v>
      </c>
      <c r="T880">
        <f>Prams!B$5/(S880-Prams!B$6)</f>
        <v>162.70161997777646</v>
      </c>
      <c r="U880">
        <f t="shared" ca="1" si="70"/>
        <v>0.50694444444444442</v>
      </c>
      <c r="V880">
        <f ca="1">Prams!C$5/(U880-Prams!C$6)</f>
        <v>170.14984251246142</v>
      </c>
      <c r="W880">
        <f t="shared" ca="1" si="71"/>
        <v>1.1734471897411132</v>
      </c>
    </row>
    <row r="881" spans="1:24" hidden="1" x14ac:dyDescent="0.55000000000000004">
      <c r="A881" s="1" t="s">
        <v>1849</v>
      </c>
      <c r="B881" s="1">
        <v>125</v>
      </c>
      <c r="C881">
        <v>641</v>
      </c>
      <c r="D881">
        <v>622.5</v>
      </c>
      <c r="E881">
        <v>11.01146</v>
      </c>
      <c r="F881" t="s">
        <v>494</v>
      </c>
      <c r="G881" s="10" t="s">
        <v>640</v>
      </c>
      <c r="H881">
        <v>98</v>
      </c>
      <c r="I881" t="s">
        <v>1848</v>
      </c>
      <c r="J881">
        <f ca="1">VLOOKUP(G881,INDIRECT("球速変換!A$1:B$" &amp; Prams!$B$8),2,)</f>
        <v>148</v>
      </c>
      <c r="K881" t="str">
        <f ca="1">VLOOKUP(I881,INDIRECT("投手名変換!A$1:B$" &amp; Prams!$B$9),2,)</f>
        <v>DD019</v>
      </c>
      <c r="L881">
        <f t="shared" si="72"/>
        <v>27</v>
      </c>
      <c r="M881">
        <f ca="1">(B881-VLOOKUP(K881,INDIRECT("投手データ!B1:D"&amp;Prams!$B$1),3,FALSE)*2)</f>
        <v>31</v>
      </c>
      <c r="N881" t="str">
        <f ca="1">VLOOKUP(F881,INDIRECT("球種変換表!A$1:B$" &amp; Prams!$B$2),2,)</f>
        <v>全力ストレート</v>
      </c>
      <c r="O881">
        <f ca="1">VLOOKUP(N881,球種情報!A:B,2,FALSE)</f>
        <v>2</v>
      </c>
      <c r="P881">
        <f ca="1">VLOOKUP(K881,投手データ!B:AI,output!O881+6,FALSE)</f>
        <v>1</v>
      </c>
      <c r="R881">
        <f t="shared" ca="1" si="68"/>
        <v>6.7567567567567571E-3</v>
      </c>
      <c r="S881">
        <f t="shared" si="69"/>
        <v>0.43437500000000001</v>
      </c>
      <c r="T881">
        <f>Prams!B$5/(S881-Prams!B$6)</f>
        <v>165.26899685891868</v>
      </c>
      <c r="U881">
        <f t="shared" ca="1" si="70"/>
        <v>0.50104166666666672</v>
      </c>
      <c r="V881">
        <f ca="1">Prams!C$5/(U881-Prams!C$6)</f>
        <v>172.9596903923717</v>
      </c>
      <c r="W881">
        <f t="shared" ca="1" si="71"/>
        <v>1.1686465567052142</v>
      </c>
    </row>
    <row r="882" spans="1:24" hidden="1" x14ac:dyDescent="0.55000000000000004">
      <c r="A882" s="1" t="s">
        <v>1851</v>
      </c>
      <c r="B882" s="1">
        <v>125</v>
      </c>
      <c r="C882">
        <v>641</v>
      </c>
      <c r="D882">
        <v>614.5</v>
      </c>
      <c r="E882">
        <v>11.01146</v>
      </c>
      <c r="F882" t="s">
        <v>343</v>
      </c>
      <c r="G882" s="10" t="s">
        <v>2462</v>
      </c>
      <c r="H882">
        <v>98</v>
      </c>
      <c r="I882" t="s">
        <v>1850</v>
      </c>
      <c r="J882">
        <f ca="1">VLOOKUP(G882,INDIRECT("球速変換!A$1:B$" &amp; Prams!$B$8),2,)</f>
        <v>145</v>
      </c>
      <c r="K882" t="str">
        <f ca="1">VLOOKUP(I882,INDIRECT("投手名変換!A$1:B$" &amp; Prams!$B$9),2,)</f>
        <v>DD019</v>
      </c>
      <c r="L882">
        <f t="shared" si="72"/>
        <v>27</v>
      </c>
      <c r="M882">
        <f ca="1">(B882-VLOOKUP(K882,INDIRECT("投手データ!B1:D"&amp;Prams!$B$1),3,FALSE)*2)</f>
        <v>31</v>
      </c>
      <c r="N882" t="str">
        <f ca="1">VLOOKUP(F882,INDIRECT("球種変換表!A$1:B$" &amp; Prams!$B$2),2,)</f>
        <v>全力ストレート</v>
      </c>
      <c r="O882">
        <f ca="1">VLOOKUP(N882,球種情報!A:B,2,FALSE)</f>
        <v>2</v>
      </c>
      <c r="P882">
        <f ca="1">VLOOKUP(K882,投手データ!B:AI,output!O882+6,FALSE)</f>
        <v>1</v>
      </c>
      <c r="R882">
        <f t="shared" ca="1" si="68"/>
        <v>6.8965517241379309E-3</v>
      </c>
      <c r="S882">
        <f t="shared" si="69"/>
        <v>0.43993055555555555</v>
      </c>
      <c r="T882">
        <f>Prams!B$5/(S882-Prams!B$6)</f>
        <v>162.85043207211692</v>
      </c>
      <c r="U882">
        <f t="shared" ca="1" si="70"/>
        <v>0.50659722222222225</v>
      </c>
      <c r="V882">
        <f ca="1">Prams!C$5/(U882-Prams!C$6)</f>
        <v>170.31259804559264</v>
      </c>
      <c r="W882">
        <f t="shared" ca="1" si="71"/>
        <v>1.1745696416937423</v>
      </c>
    </row>
    <row r="883" spans="1:24" hidden="1" x14ac:dyDescent="0.55000000000000004">
      <c r="A883" s="1" t="s">
        <v>1853</v>
      </c>
      <c r="B883" s="1">
        <v>125</v>
      </c>
      <c r="C883">
        <v>640.5</v>
      </c>
      <c r="D883">
        <v>615.5</v>
      </c>
      <c r="E883">
        <v>10.512</v>
      </c>
      <c r="F883" t="s">
        <v>343</v>
      </c>
      <c r="G883" s="10" t="s">
        <v>611</v>
      </c>
      <c r="H883">
        <v>98</v>
      </c>
      <c r="I883" t="s">
        <v>1852</v>
      </c>
      <c r="J883">
        <f ca="1">VLOOKUP(G883,INDIRECT("球速変換!A$1:B$" &amp; Prams!$B$8),2,)</f>
        <v>146</v>
      </c>
      <c r="K883" t="str">
        <f ca="1">VLOOKUP(I883,INDIRECT("投手名変換!A$1:B$" &amp; Prams!$B$9),2,)</f>
        <v>DD019</v>
      </c>
      <c r="L883">
        <f t="shared" si="72"/>
        <v>27</v>
      </c>
      <c r="M883">
        <f ca="1">(B883-VLOOKUP(K883,INDIRECT("投手データ!B1:D"&amp;Prams!$B$1),3,FALSE)*2)</f>
        <v>31</v>
      </c>
      <c r="N883" t="str">
        <f ca="1">VLOOKUP(F883,INDIRECT("球種変換表!A$1:B$" &amp; Prams!$B$2),2,)</f>
        <v>全力ストレート</v>
      </c>
      <c r="O883">
        <f ca="1">VLOOKUP(N883,球種情報!A:B,2,FALSE)</f>
        <v>2</v>
      </c>
      <c r="P883">
        <f ca="1">VLOOKUP(K883,投手データ!B:AI,output!O883+6,FALSE)</f>
        <v>1</v>
      </c>
      <c r="R883">
        <f t="shared" ca="1" si="68"/>
        <v>6.8493150684931503E-3</v>
      </c>
      <c r="S883">
        <f t="shared" si="69"/>
        <v>0.4392361111111111</v>
      </c>
      <c r="T883">
        <f>Prams!B$5/(S883-Prams!B$6)</f>
        <v>163.14887440714867</v>
      </c>
      <c r="U883">
        <f t="shared" ca="1" si="70"/>
        <v>0.50590277777777781</v>
      </c>
      <c r="V883">
        <f ca="1">Prams!C$5/(U883-Prams!C$6)</f>
        <v>170.63904499766156</v>
      </c>
      <c r="W883">
        <f t="shared" ca="1" si="71"/>
        <v>1.1687605821757641</v>
      </c>
    </row>
    <row r="884" spans="1:24" hidden="1" x14ac:dyDescent="0.55000000000000004">
      <c r="A884" s="1" t="s">
        <v>1854</v>
      </c>
      <c r="B884" s="1" t="s">
        <v>17</v>
      </c>
      <c r="C884" t="s">
        <v>17</v>
      </c>
      <c r="D884" t="s">
        <v>17</v>
      </c>
      <c r="E884" t="s">
        <v>17</v>
      </c>
      <c r="F884" t="s">
        <v>1281</v>
      </c>
      <c r="G884" s="10" t="s">
        <v>1281</v>
      </c>
      <c r="H884">
        <v>98</v>
      </c>
      <c r="I884" t="s">
        <v>1281</v>
      </c>
      <c r="J884" t="e">
        <f ca="1">VLOOKUP(G884,INDIRECT("球速変換!A$1:B$" &amp; Prams!$B$8),2,)</f>
        <v>#N/A</v>
      </c>
      <c r="K884" t="s">
        <v>236</v>
      </c>
      <c r="L884" t="e">
        <f t="shared" si="72"/>
        <v>#VALUE!</v>
      </c>
      <c r="M884" t="e">
        <f ca="1">(B884-VLOOKUP(K884,INDIRECT("投手データ!B1:D"&amp;Prams!$B$1),3,FALSE)*2)</f>
        <v>#VALUE!</v>
      </c>
      <c r="N884" t="e">
        <f ca="1">VLOOKUP(F884,INDIRECT("球種変換表!A$1:B$" &amp; Prams!$B$2),2,)</f>
        <v>#N/A</v>
      </c>
      <c r="O884" t="e">
        <f ca="1">VLOOKUP(N884,球種情報!A:B,2,FALSE)</f>
        <v>#N/A</v>
      </c>
      <c r="P884" t="e">
        <f ca="1">VLOOKUP(K884,投手データ!B:AI,output!O884+6,FALSE)</f>
        <v>#N/A</v>
      </c>
      <c r="R884" t="e">
        <f t="shared" ca="1" si="68"/>
        <v>#N/A</v>
      </c>
      <c r="S884" t="e">
        <f t="shared" si="69"/>
        <v>#VALUE!</v>
      </c>
      <c r="T884" t="e">
        <f>Prams!B$5/(S884-Prams!B$6)</f>
        <v>#VALUE!</v>
      </c>
      <c r="U884" t="e">
        <f t="shared" ca="1" si="70"/>
        <v>#VALUE!</v>
      </c>
      <c r="V884" t="e">
        <f ca="1">Prams!C$5/(U884-Prams!C$6)</f>
        <v>#VALUE!</v>
      </c>
      <c r="W884" t="e">
        <f t="shared" ca="1" si="71"/>
        <v>#VALUE!</v>
      </c>
      <c r="X884" t="s">
        <v>1888</v>
      </c>
    </row>
    <row r="885" spans="1:24" hidden="1" x14ac:dyDescent="0.55000000000000004">
      <c r="A885" s="1" t="s">
        <v>1855</v>
      </c>
      <c r="B885" s="1">
        <v>133</v>
      </c>
      <c r="C885">
        <v>648.97729000000004</v>
      </c>
      <c r="D885">
        <v>620</v>
      </c>
      <c r="E885">
        <v>11.02281</v>
      </c>
      <c r="F885" t="s">
        <v>15</v>
      </c>
      <c r="G885" s="10" t="s">
        <v>2460</v>
      </c>
      <c r="H885">
        <v>101</v>
      </c>
      <c r="I885" t="s">
        <v>1848</v>
      </c>
      <c r="J885">
        <f ca="1">VLOOKUP(G885,INDIRECT("球速変換!A$1:B$" &amp; Prams!$B$8),2,)</f>
        <v>138</v>
      </c>
      <c r="K885" t="str">
        <f ca="1">VLOOKUP(I885,INDIRECT("投手名変換!A$1:B$" &amp; Prams!$B$9),2,)</f>
        <v>DD019</v>
      </c>
      <c r="L885">
        <f t="shared" si="72"/>
        <v>32</v>
      </c>
      <c r="M885">
        <f ca="1">(B885-VLOOKUP(K885,INDIRECT("投手データ!B1:D"&amp;Prams!$B$1),3,FALSE)*2)</f>
        <v>39</v>
      </c>
      <c r="N885" t="str">
        <f ca="1">VLOOKUP(F885,INDIRECT("球種変換表!A$1:B$" &amp; Prams!$B$2),2,)</f>
        <v>カットボール</v>
      </c>
      <c r="O885">
        <f ca="1">VLOOKUP(N885,球種情報!A:B,2,FALSE)</f>
        <v>8</v>
      </c>
      <c r="P885">
        <f ca="1">VLOOKUP(K885,投手データ!B:AI,output!O885+6,FALSE)</f>
        <v>4</v>
      </c>
      <c r="R885">
        <f t="shared" ca="1" si="68"/>
        <v>7.246376811594203E-3</v>
      </c>
      <c r="S885">
        <f t="shared" si="69"/>
        <v>0.51944444444444449</v>
      </c>
      <c r="T885">
        <f>Prams!B$5/(S885-Prams!B$6)</f>
        <v>134.64825883890327</v>
      </c>
      <c r="U885">
        <f t="shared" ca="1" si="70"/>
        <v>0.63611111111111107</v>
      </c>
      <c r="V885">
        <f ca="1">Prams!C$5/(U885-Prams!C$6)</f>
        <v>125.52610206199523</v>
      </c>
      <c r="W885">
        <f t="shared" ca="1" si="71"/>
        <v>0.90960943523184956</v>
      </c>
    </row>
    <row r="886" spans="1:24" hidden="1" x14ac:dyDescent="0.55000000000000004">
      <c r="A886" s="1" t="s">
        <v>1856</v>
      </c>
      <c r="B886" s="1">
        <v>133</v>
      </c>
      <c r="C886">
        <v>648.5</v>
      </c>
      <c r="D886">
        <v>613</v>
      </c>
      <c r="E886">
        <v>10.547610000000001</v>
      </c>
      <c r="F886" t="s">
        <v>15</v>
      </c>
      <c r="G886" s="10" t="s">
        <v>2459</v>
      </c>
      <c r="H886">
        <v>101</v>
      </c>
      <c r="I886" t="s">
        <v>1835</v>
      </c>
      <c r="J886">
        <f ca="1">VLOOKUP(G886,INDIRECT("球速変換!A$1:B$" &amp; Prams!$B$8),2,)</f>
        <v>136</v>
      </c>
      <c r="K886" t="str">
        <f ca="1">VLOOKUP(I886,INDIRECT("投手名変換!A$1:B$" &amp; Prams!$B$9),2,)</f>
        <v>DD019</v>
      </c>
      <c r="L886">
        <f t="shared" si="72"/>
        <v>32</v>
      </c>
      <c r="M886">
        <f ca="1">(B886-VLOOKUP(K886,INDIRECT("投手データ!B1:D"&amp;Prams!$B$1),3,FALSE)*2)</f>
        <v>39</v>
      </c>
      <c r="N886" t="str">
        <f ca="1">VLOOKUP(F886,INDIRECT("球種変換表!A$1:B$" &amp; Prams!$B$2),2,)</f>
        <v>カットボール</v>
      </c>
      <c r="O886">
        <f ca="1">VLOOKUP(N886,球種情報!A:B,2,FALSE)</f>
        <v>8</v>
      </c>
      <c r="P886">
        <f ca="1">VLOOKUP(K886,投手データ!B:AI,output!O886+6,FALSE)</f>
        <v>4</v>
      </c>
      <c r="R886">
        <f t="shared" ca="1" si="68"/>
        <v>7.3529411764705881E-3</v>
      </c>
      <c r="S886">
        <f t="shared" si="69"/>
        <v>0.52430555555555558</v>
      </c>
      <c r="T886">
        <f>Prams!B$5/(S886-Prams!B$6)</f>
        <v>133.2376288598077</v>
      </c>
      <c r="U886">
        <f t="shared" ca="1" si="70"/>
        <v>0.64097222222222228</v>
      </c>
      <c r="V886">
        <f ca="1">Prams!C$5/(U886-Prams!C$6)</f>
        <v>124.2992616752488</v>
      </c>
      <c r="W886">
        <f t="shared" ca="1" si="71"/>
        <v>0.91396515937682943</v>
      </c>
    </row>
    <row r="887" spans="1:24" hidden="1" x14ac:dyDescent="0.55000000000000004">
      <c r="A887" s="1" t="s">
        <v>1858</v>
      </c>
      <c r="B887" s="1">
        <v>132</v>
      </c>
      <c r="C887">
        <v>647.5</v>
      </c>
      <c r="D887">
        <v>604.5</v>
      </c>
      <c r="E887">
        <v>10.512</v>
      </c>
      <c r="F887" t="s">
        <v>15</v>
      </c>
      <c r="G887" s="10" t="s">
        <v>2417</v>
      </c>
      <c r="H887">
        <v>101</v>
      </c>
      <c r="I887" t="s">
        <v>1857</v>
      </c>
      <c r="J887">
        <f ca="1">VLOOKUP(G887,INDIRECT("球速変換!A$1:B$" &amp; Prams!$B$8),2,)</f>
        <v>139</v>
      </c>
      <c r="K887" t="s">
        <v>236</v>
      </c>
      <c r="L887">
        <f t="shared" si="72"/>
        <v>31</v>
      </c>
      <c r="M887">
        <f ca="1">(B887-VLOOKUP(K887,INDIRECT("投手データ!B1:D"&amp;Prams!$B$1),3,FALSE)*2)</f>
        <v>38</v>
      </c>
      <c r="N887" t="str">
        <f ca="1">VLOOKUP(F887,INDIRECT("球種変換表!A$1:B$" &amp; Prams!$B$2),2,)</f>
        <v>カットボール</v>
      </c>
      <c r="O887">
        <f ca="1">VLOOKUP(N887,球種情報!A:B,2,FALSE)</f>
        <v>8</v>
      </c>
      <c r="P887">
        <f ca="1">VLOOKUP(K887,投手データ!B:AI,output!O887+6,FALSE)</f>
        <v>4</v>
      </c>
      <c r="R887">
        <f t="shared" ca="1" si="68"/>
        <v>7.1942446043165471E-3</v>
      </c>
      <c r="S887">
        <f t="shared" si="69"/>
        <v>0.51354166666666667</v>
      </c>
      <c r="T887">
        <f>Prams!B$5/(S887-Prams!B$6)</f>
        <v>136.40184596149956</v>
      </c>
      <c r="U887">
        <f t="shared" ca="1" si="70"/>
        <v>0.63020833333333337</v>
      </c>
      <c r="V887">
        <f ca="1">Prams!C$5/(U887-Prams!C$6)</f>
        <v>127.04879009470312</v>
      </c>
      <c r="W887">
        <f t="shared" ca="1" si="71"/>
        <v>0.9140200726237635</v>
      </c>
    </row>
    <row r="888" spans="1:24" hidden="1" x14ac:dyDescent="0.55000000000000004">
      <c r="A888" s="1" t="s">
        <v>1859</v>
      </c>
      <c r="B888" s="1">
        <v>132</v>
      </c>
      <c r="C888">
        <v>650</v>
      </c>
      <c r="D888">
        <v>600.5</v>
      </c>
      <c r="E888">
        <v>10.012589999999999</v>
      </c>
      <c r="F888" t="s">
        <v>15</v>
      </c>
      <c r="G888" s="10" t="s">
        <v>2460</v>
      </c>
      <c r="H888">
        <v>101</v>
      </c>
      <c r="I888" t="s">
        <v>1838</v>
      </c>
      <c r="J888">
        <f ca="1">VLOOKUP(G888,INDIRECT("球速変換!A$1:B$" &amp; Prams!$B$8),2,)</f>
        <v>138</v>
      </c>
      <c r="K888" t="str">
        <f ca="1">VLOOKUP(I888,INDIRECT("投手名変換!A$1:B$" &amp; Prams!$B$9),2,)</f>
        <v>DD019</v>
      </c>
      <c r="L888">
        <f t="shared" si="72"/>
        <v>31</v>
      </c>
      <c r="M888">
        <f ca="1">(B888-VLOOKUP(K888,INDIRECT("投手データ!B1:D"&amp;Prams!$B$1),3,FALSE)*2)</f>
        <v>38</v>
      </c>
      <c r="N888" t="str">
        <f ca="1">VLOOKUP(F888,INDIRECT("球種変換表!A$1:B$" &amp; Prams!$B$2),2,)</f>
        <v>カットボール</v>
      </c>
      <c r="O888">
        <f ca="1">VLOOKUP(N888,球種情報!A:B,2,FALSE)</f>
        <v>8</v>
      </c>
      <c r="P888">
        <f ca="1">VLOOKUP(K888,投手データ!B:AI,output!O888+6,FALSE)</f>
        <v>4</v>
      </c>
      <c r="R888">
        <f t="shared" ca="1" si="68"/>
        <v>7.246376811594203E-3</v>
      </c>
      <c r="S888">
        <f t="shared" si="69"/>
        <v>0.51631944444444444</v>
      </c>
      <c r="T888">
        <f>Prams!B$5/(S888-Prams!B$6)</f>
        <v>135.57097345995237</v>
      </c>
      <c r="U888">
        <f t="shared" ca="1" si="70"/>
        <v>0.63298611111111103</v>
      </c>
      <c r="V888">
        <f ca="1">Prams!C$5/(U888-Prams!C$6)</f>
        <v>126.32765539593257</v>
      </c>
      <c r="W888">
        <f t="shared" ca="1" si="71"/>
        <v>0.91541779272414903</v>
      </c>
    </row>
    <row r="889" spans="1:24" hidden="1" x14ac:dyDescent="0.55000000000000004">
      <c r="A889" s="1" t="s">
        <v>1860</v>
      </c>
      <c r="B889" s="1">
        <v>132</v>
      </c>
      <c r="C889">
        <v>651.45654000000002</v>
      </c>
      <c r="D889">
        <v>607.5</v>
      </c>
      <c r="E889">
        <v>11.55438</v>
      </c>
      <c r="F889" t="s">
        <v>15</v>
      </c>
      <c r="G889" s="10" t="s">
        <v>2416</v>
      </c>
      <c r="H889">
        <v>101</v>
      </c>
      <c r="I889" t="s">
        <v>1846</v>
      </c>
      <c r="J889">
        <f ca="1">VLOOKUP(G889,INDIRECT("球速変換!A$1:B$" &amp; Prams!$B$8),2,)</f>
        <v>140</v>
      </c>
      <c r="K889" t="str">
        <f ca="1">VLOOKUP(I889,INDIRECT("投手名変換!A$1:B$" &amp; Prams!$B$9),2,)</f>
        <v>DD019</v>
      </c>
      <c r="L889">
        <f t="shared" si="72"/>
        <v>31</v>
      </c>
      <c r="M889">
        <f ca="1">(B889-VLOOKUP(K889,INDIRECT("投手データ!B1:D"&amp;Prams!$B$1),3,FALSE)*2)</f>
        <v>38</v>
      </c>
      <c r="N889" t="str">
        <f ca="1">VLOOKUP(F889,INDIRECT("球種変換表!A$1:B$" &amp; Prams!$B$2),2,)</f>
        <v>カットボール</v>
      </c>
      <c r="O889">
        <f ca="1">VLOOKUP(N889,球種情報!A:B,2,FALSE)</f>
        <v>8</v>
      </c>
      <c r="P889">
        <f ca="1">VLOOKUP(K889,投手データ!B:AI,output!O889+6,FALSE)</f>
        <v>4</v>
      </c>
      <c r="R889">
        <f t="shared" ca="1" si="68"/>
        <v>7.1428571428571426E-3</v>
      </c>
      <c r="S889">
        <f t="shared" si="69"/>
        <v>0.51145833333333335</v>
      </c>
      <c r="T889">
        <f>Prams!B$5/(S889-Prams!B$6)</f>
        <v>137.03171466041115</v>
      </c>
      <c r="U889">
        <f t="shared" ca="1" si="70"/>
        <v>0.62812500000000004</v>
      </c>
      <c r="V889">
        <f ca="1">Prams!C$5/(U889-Prams!C$6)</f>
        <v>127.59506733398689</v>
      </c>
      <c r="W889">
        <f t="shared" ca="1" si="71"/>
        <v>0.9113933380999063</v>
      </c>
    </row>
    <row r="890" spans="1:24" hidden="1" x14ac:dyDescent="0.55000000000000004">
      <c r="A890" s="1" t="s">
        <v>1861</v>
      </c>
      <c r="B890" s="1">
        <v>132</v>
      </c>
      <c r="C890">
        <v>641.90002000000004</v>
      </c>
      <c r="D890">
        <v>608</v>
      </c>
      <c r="E890">
        <v>10.10008</v>
      </c>
      <c r="F890" t="s">
        <v>15</v>
      </c>
      <c r="G890" s="10" t="s">
        <v>619</v>
      </c>
      <c r="H890">
        <v>101</v>
      </c>
      <c r="I890" t="s">
        <v>1840</v>
      </c>
      <c r="J890">
        <f ca="1">VLOOKUP(G890,INDIRECT("球速変換!A$1:B$" &amp; Prams!$B$8),2,)</f>
        <v>146</v>
      </c>
      <c r="K890" t="str">
        <f ca="1">VLOOKUP(I890,INDIRECT("投手名変換!A$1:B$" &amp; Prams!$B$9),2,)</f>
        <v>DD019</v>
      </c>
      <c r="L890">
        <f t="shared" si="72"/>
        <v>31</v>
      </c>
      <c r="M890">
        <f ca="1">(B890-VLOOKUP(K890,INDIRECT("投手データ!B1:D"&amp;Prams!$B$1),3,FALSE)*2)</f>
        <v>38</v>
      </c>
      <c r="N890" t="str">
        <f ca="1">VLOOKUP(F890,INDIRECT("球種変換表!A$1:B$" &amp; Prams!$B$2),2,)</f>
        <v>カットボール</v>
      </c>
      <c r="O890">
        <f ca="1">VLOOKUP(N890,球種情報!A:B,2,FALSE)</f>
        <v>8</v>
      </c>
      <c r="P890">
        <f ca="1">VLOOKUP(K890,投手データ!B:AI,output!O890+6,FALSE)</f>
        <v>4</v>
      </c>
      <c r="R890">
        <f t="shared" ca="1" si="68"/>
        <v>6.8493150684931503E-3</v>
      </c>
      <c r="S890">
        <f t="shared" si="69"/>
        <v>0.51111111111111118</v>
      </c>
      <c r="T890">
        <f>Prams!B$5/(S890-Prams!B$6)</f>
        <v>137.1372587681463</v>
      </c>
      <c r="U890">
        <f t="shared" ca="1" si="70"/>
        <v>0.62777777777777777</v>
      </c>
      <c r="V890">
        <f ca="1">Prams!C$5/(U890-Prams!C$6)</f>
        <v>127.68657058931522</v>
      </c>
      <c r="W890">
        <f t="shared" ca="1" si="71"/>
        <v>0.87456555198161112</v>
      </c>
    </row>
    <row r="891" spans="1:24" hidden="1" x14ac:dyDescent="0.55000000000000004">
      <c r="A891" s="1" t="s">
        <v>1862</v>
      </c>
      <c r="B891" s="1">
        <v>132</v>
      </c>
      <c r="C891">
        <v>653</v>
      </c>
      <c r="D891">
        <v>603</v>
      </c>
      <c r="E891">
        <v>10.04998</v>
      </c>
      <c r="F891" t="s">
        <v>15</v>
      </c>
      <c r="G891" s="10" t="s">
        <v>2267</v>
      </c>
      <c r="H891">
        <v>101</v>
      </c>
      <c r="I891" t="s">
        <v>1852</v>
      </c>
      <c r="J891">
        <f ca="1">VLOOKUP(G891,INDIRECT("球速変換!A$1:B$" &amp; Prams!$B$8),2,)</f>
        <v>135</v>
      </c>
      <c r="K891" t="str">
        <f ca="1">VLOOKUP(I891,INDIRECT("投手名変換!A$1:B$" &amp; Prams!$B$9),2,)</f>
        <v>DD019</v>
      </c>
      <c r="L891">
        <f t="shared" si="72"/>
        <v>31</v>
      </c>
      <c r="M891">
        <f ca="1">(B891-VLOOKUP(K891,INDIRECT("投手データ!B1:D"&amp;Prams!$B$1),3,FALSE)*2)</f>
        <v>38</v>
      </c>
      <c r="N891" t="str">
        <f ca="1">VLOOKUP(F891,INDIRECT("球種変換表!A$1:B$" &amp; Prams!$B$2),2,)</f>
        <v>カットボール</v>
      </c>
      <c r="O891">
        <f ca="1">VLOOKUP(N891,球種情報!A:B,2,FALSE)</f>
        <v>8</v>
      </c>
      <c r="P891">
        <f ca="1">VLOOKUP(K891,投手データ!B:AI,output!O891+6,FALSE)</f>
        <v>4</v>
      </c>
      <c r="R891">
        <f t="shared" ca="1" si="68"/>
        <v>7.4074074074074077E-3</v>
      </c>
      <c r="S891">
        <f t="shared" si="69"/>
        <v>0.51458333333333328</v>
      </c>
      <c r="T891">
        <f>Prams!B$5/(S891-Prams!B$6)</f>
        <v>136.0890780350002</v>
      </c>
      <c r="U891">
        <f t="shared" ca="1" si="70"/>
        <v>0.63124999999999998</v>
      </c>
      <c r="V891">
        <f ca="1">Prams!C$5/(U891-Prams!C$6)</f>
        <v>126.77740182507947</v>
      </c>
      <c r="W891">
        <f t="shared" ca="1" si="71"/>
        <v>0.93909186537095901</v>
      </c>
    </row>
    <row r="892" spans="1:24" hidden="1" x14ac:dyDescent="0.55000000000000004">
      <c r="A892" s="1" t="s">
        <v>1863</v>
      </c>
      <c r="B892" s="1">
        <v>132</v>
      </c>
      <c r="C892">
        <v>652.5</v>
      </c>
      <c r="D892">
        <v>602.5</v>
      </c>
      <c r="E892">
        <v>10.512</v>
      </c>
      <c r="F892" t="s">
        <v>15</v>
      </c>
      <c r="G892" s="10" t="s">
        <v>583</v>
      </c>
      <c r="H892">
        <v>101</v>
      </c>
      <c r="I892" t="s">
        <v>1852</v>
      </c>
      <c r="J892">
        <f ca="1">VLOOKUP(G892,INDIRECT("球速変換!A$1:B$" &amp; Prams!$B$8),2,)</f>
        <v>139</v>
      </c>
      <c r="K892" t="str">
        <f ca="1">VLOOKUP(I892,INDIRECT("投手名変換!A$1:B$" &amp; Prams!$B$9),2,)</f>
        <v>DD019</v>
      </c>
      <c r="L892">
        <f t="shared" si="72"/>
        <v>31</v>
      </c>
      <c r="M892">
        <f ca="1">(B892-VLOOKUP(K892,INDIRECT("投手データ!B1:D"&amp;Prams!$B$1),3,FALSE)*2)</f>
        <v>38</v>
      </c>
      <c r="N892" t="str">
        <f ca="1">VLOOKUP(F892,INDIRECT("球種変換表!A$1:B$" &amp; Prams!$B$2),2,)</f>
        <v>カットボール</v>
      </c>
      <c r="O892">
        <f ca="1">VLOOKUP(N892,球種情報!A:B,2,FALSE)</f>
        <v>8</v>
      </c>
      <c r="P892">
        <f ca="1">VLOOKUP(K892,投手データ!B:AI,output!O892+6,FALSE)</f>
        <v>4</v>
      </c>
      <c r="R892">
        <f t="shared" ca="1" si="68"/>
        <v>7.1942446043165471E-3</v>
      </c>
      <c r="S892">
        <f t="shared" si="69"/>
        <v>0.51493055555555556</v>
      </c>
      <c r="T892">
        <f>Prams!B$5/(S892-Prams!B$6)</f>
        <v>135.98514055979521</v>
      </c>
      <c r="U892">
        <f t="shared" ca="1" si="70"/>
        <v>0.63159722222222225</v>
      </c>
      <c r="V892">
        <f ca="1">Prams!C$5/(U892-Prams!C$6)</f>
        <v>126.68719653458865</v>
      </c>
      <c r="W892">
        <f t="shared" ca="1" si="71"/>
        <v>0.9114186801049543</v>
      </c>
    </row>
    <row r="893" spans="1:24" hidden="1" x14ac:dyDescent="0.55000000000000004">
      <c r="A893" s="1" t="s">
        <v>1864</v>
      </c>
      <c r="B893" s="1">
        <v>133</v>
      </c>
      <c r="C893">
        <v>657</v>
      </c>
      <c r="D893">
        <v>615.5</v>
      </c>
      <c r="E893">
        <v>10.012589999999999</v>
      </c>
      <c r="F893" t="s">
        <v>15</v>
      </c>
      <c r="G893" s="10" t="s">
        <v>775</v>
      </c>
      <c r="H893">
        <v>101</v>
      </c>
      <c r="I893" t="s">
        <v>1852</v>
      </c>
      <c r="J893">
        <f ca="1">VLOOKUP(G893,INDIRECT("球速変換!A$1:B$" &amp; Prams!$B$8),2,)</f>
        <v>97</v>
      </c>
      <c r="K893" t="str">
        <f ca="1">VLOOKUP(I893,INDIRECT("投手名変換!A$1:B$" &amp; Prams!$B$9),2,)</f>
        <v>DD019</v>
      </c>
      <c r="L893">
        <f t="shared" si="72"/>
        <v>32</v>
      </c>
      <c r="M893">
        <f ca="1">(B893-VLOOKUP(K893,INDIRECT("投手データ!B1:D"&amp;Prams!$B$1),3,FALSE)*2)</f>
        <v>39</v>
      </c>
      <c r="N893" t="str">
        <f ca="1">VLOOKUP(F893,INDIRECT("球種変換表!A$1:B$" &amp; Prams!$B$2),2,)</f>
        <v>カットボール</v>
      </c>
      <c r="O893">
        <f ca="1">VLOOKUP(N893,球種情報!A:B,2,FALSE)</f>
        <v>8</v>
      </c>
      <c r="P893">
        <f ca="1">VLOOKUP(K893,投手データ!B:AI,output!O893+6,FALSE)</f>
        <v>4</v>
      </c>
      <c r="R893">
        <f t="shared" ca="1" si="68"/>
        <v>1.0309278350515464E-2</v>
      </c>
      <c r="S893">
        <f t="shared" si="69"/>
        <v>0.52256944444444442</v>
      </c>
      <c r="T893">
        <f>Prams!B$5/(S893-Prams!B$6)</f>
        <v>133.73801955329085</v>
      </c>
      <c r="U893">
        <f t="shared" ca="1" si="70"/>
        <v>0.63923611111111112</v>
      </c>
      <c r="V893">
        <f ca="1">Prams!C$5/(U893-Prams!C$6)</f>
        <v>124.73465636191426</v>
      </c>
      <c r="W893">
        <f t="shared" ca="1" si="71"/>
        <v>1.2859242923908687</v>
      </c>
    </row>
    <row r="894" spans="1:24" hidden="1" x14ac:dyDescent="0.55000000000000004">
      <c r="A894" s="1" t="s">
        <v>1866</v>
      </c>
      <c r="B894" s="1">
        <v>141</v>
      </c>
      <c r="C894">
        <v>641</v>
      </c>
      <c r="D894">
        <v>614</v>
      </c>
      <c r="E894">
        <v>11.04546</v>
      </c>
      <c r="F894" t="s">
        <v>42</v>
      </c>
      <c r="G894" s="10" t="s">
        <v>1056</v>
      </c>
      <c r="H894">
        <v>101</v>
      </c>
      <c r="I894" t="s">
        <v>1865</v>
      </c>
      <c r="J894">
        <f ca="1">VLOOKUP(G894,INDIRECT("球速変換!A$1:B$" &amp; Prams!$B$8),2,)</f>
        <v>122</v>
      </c>
      <c r="K894" t="s">
        <v>236</v>
      </c>
      <c r="L894">
        <f t="shared" si="72"/>
        <v>40</v>
      </c>
      <c r="M894">
        <f ca="1">(B894-VLOOKUP(K894,INDIRECT("投手データ!B1:D"&amp;Prams!$B$1),3,FALSE)*2)</f>
        <v>47</v>
      </c>
      <c r="N894" t="str">
        <f ca="1">VLOOKUP(F894,INDIRECT("球種変換表!A$1:B$" &amp; Prams!$B$2),2,)</f>
        <v>パーム</v>
      </c>
      <c r="O894">
        <f ca="1">VLOOKUP(N894,球種情報!A:B,2,FALSE)</f>
        <v>17</v>
      </c>
      <c r="P894">
        <f ca="1">VLOOKUP(K894,投手データ!B:AI,output!O894+6,FALSE)</f>
        <v>5</v>
      </c>
      <c r="R894">
        <f t="shared" ca="1" si="68"/>
        <v>8.1967213114754103E-3</v>
      </c>
      <c r="S894">
        <f t="shared" si="69"/>
        <v>0.65694444444444444</v>
      </c>
      <c r="T894">
        <f>Prams!B$5/(S894-Prams!B$6)</f>
        <v>103.61782561734144</v>
      </c>
      <c r="U894">
        <f t="shared" ca="1" si="70"/>
        <v>0.77361111111111103</v>
      </c>
      <c r="V894">
        <f ca="1">Prams!C$5/(U894-Prams!C$6)</f>
        <v>98.130015343644743</v>
      </c>
      <c r="W894">
        <f t="shared" ca="1" si="71"/>
        <v>0.80434438806266184</v>
      </c>
    </row>
    <row r="895" spans="1:24" hidden="1" x14ac:dyDescent="0.55000000000000004">
      <c r="A895" s="1" t="s">
        <v>1867</v>
      </c>
      <c r="B895" s="1">
        <v>140</v>
      </c>
      <c r="C895">
        <v>642.97729000000004</v>
      </c>
      <c r="D895">
        <v>602</v>
      </c>
      <c r="E895">
        <v>11.02281</v>
      </c>
      <c r="F895" t="s">
        <v>506</v>
      </c>
      <c r="G895" s="10" t="s">
        <v>591</v>
      </c>
      <c r="H895">
        <v>101</v>
      </c>
      <c r="I895" t="s">
        <v>1838</v>
      </c>
      <c r="J895">
        <f ca="1">VLOOKUP(G895,INDIRECT("球速変換!A$1:B$" &amp; Prams!$B$8),2,)</f>
        <v>128</v>
      </c>
      <c r="K895" t="str">
        <f ca="1">VLOOKUP(I895,INDIRECT("投手名変換!A$1:B$" &amp; Prams!$B$9),2,)</f>
        <v>DD019</v>
      </c>
      <c r="L895">
        <f t="shared" si="72"/>
        <v>39</v>
      </c>
      <c r="M895">
        <f ca="1">(B895-VLOOKUP(K895,INDIRECT("投手データ!B1:D"&amp;Prams!$B$1),3,FALSE)*2)</f>
        <v>46</v>
      </c>
      <c r="N895" t="str">
        <f ca="1">VLOOKUP(F895,INDIRECT("球種変換表!A$1:B$" &amp; Prams!$B$2),2,)</f>
        <v>パーム</v>
      </c>
      <c r="O895">
        <f ca="1">VLOOKUP(N895,球種情報!A:B,2,FALSE)</f>
        <v>17</v>
      </c>
      <c r="P895">
        <f ca="1">VLOOKUP(K895,投手データ!B:AI,output!O895+6,FALSE)</f>
        <v>5</v>
      </c>
      <c r="R895">
        <f t="shared" ca="1" si="68"/>
        <v>7.8125E-3</v>
      </c>
      <c r="S895">
        <f t="shared" si="69"/>
        <v>0.64861111111111103</v>
      </c>
      <c r="T895">
        <f>Prams!B$5/(S895-Prams!B$6)</f>
        <v>105.08555563949537</v>
      </c>
      <c r="U895">
        <f t="shared" ca="1" si="70"/>
        <v>0.76527777777777772</v>
      </c>
      <c r="V895">
        <f ca="1">Prams!C$5/(U895-Prams!C$6)</f>
        <v>99.445407588783041</v>
      </c>
      <c r="W895">
        <f t="shared" ca="1" si="71"/>
        <v>0.77691724678736751</v>
      </c>
    </row>
    <row r="896" spans="1:24" hidden="1" x14ac:dyDescent="0.55000000000000004">
      <c r="A896" s="1" t="s">
        <v>1868</v>
      </c>
      <c r="B896" s="1">
        <v>141</v>
      </c>
      <c r="C896">
        <v>634</v>
      </c>
      <c r="D896">
        <v>613.5</v>
      </c>
      <c r="E896">
        <v>10.111969999999999</v>
      </c>
      <c r="F896" t="s">
        <v>506</v>
      </c>
      <c r="G896" s="10" t="s">
        <v>1056</v>
      </c>
      <c r="H896">
        <v>101</v>
      </c>
      <c r="I896" t="s">
        <v>1835</v>
      </c>
      <c r="J896">
        <f ca="1">VLOOKUP(G896,INDIRECT("球速変換!A$1:B$" &amp; Prams!$B$8),2,)</f>
        <v>122</v>
      </c>
      <c r="K896" t="str">
        <f ca="1">VLOOKUP(I896,INDIRECT("投手名変換!A$1:B$" &amp; Prams!$B$9),2,)</f>
        <v>DD019</v>
      </c>
      <c r="L896">
        <f t="shared" si="72"/>
        <v>40</v>
      </c>
      <c r="M896">
        <f ca="1">(B896-VLOOKUP(K896,INDIRECT("投手データ!B1:D"&amp;Prams!$B$1),3,FALSE)*2)</f>
        <v>47</v>
      </c>
      <c r="N896" t="str">
        <f ca="1">VLOOKUP(F896,INDIRECT("球種変換表!A$1:B$" &amp; Prams!$B$2),2,)</f>
        <v>パーム</v>
      </c>
      <c r="O896">
        <f ca="1">VLOOKUP(N896,球種情報!A:B,2,FALSE)</f>
        <v>17</v>
      </c>
      <c r="P896">
        <f ca="1">VLOOKUP(K896,投手データ!B:AI,output!O896+6,FALSE)</f>
        <v>5</v>
      </c>
      <c r="R896">
        <f t="shared" ca="1" si="68"/>
        <v>8.1967213114754103E-3</v>
      </c>
      <c r="S896">
        <f t="shared" si="69"/>
        <v>0.65729166666666672</v>
      </c>
      <c r="T896">
        <f>Prams!B$5/(S896-Prams!B$6)</f>
        <v>103.55755942991945</v>
      </c>
      <c r="U896">
        <f t="shared" ca="1" si="70"/>
        <v>0.7739583333333333</v>
      </c>
      <c r="V896">
        <f ca="1">Prams!C$5/(U896-Prams!C$6)</f>
        <v>98.075962085057441</v>
      </c>
      <c r="W896">
        <f t="shared" ca="1" si="71"/>
        <v>0.80390132856604457</v>
      </c>
    </row>
    <row r="897" spans="1:24" hidden="1" x14ac:dyDescent="0.55000000000000004">
      <c r="A897" s="1" t="s">
        <v>1869</v>
      </c>
      <c r="B897" s="1">
        <v>141</v>
      </c>
      <c r="C897">
        <v>641.90002000000004</v>
      </c>
      <c r="D897">
        <v>608</v>
      </c>
      <c r="E897">
        <v>10.10008</v>
      </c>
      <c r="F897" t="s">
        <v>42</v>
      </c>
      <c r="G897" s="10" t="s">
        <v>629</v>
      </c>
      <c r="H897">
        <v>101</v>
      </c>
      <c r="I897" t="s">
        <v>1842</v>
      </c>
      <c r="J897">
        <f ca="1">VLOOKUP(G897,INDIRECT("球速変換!A$1:B$" &amp; Prams!$B$8),2,)</f>
        <v>121</v>
      </c>
      <c r="K897" t="str">
        <f ca="1">VLOOKUP(I897,INDIRECT("投手名変換!A$1:B$" &amp; Prams!$B$9),2,)</f>
        <v>DD019</v>
      </c>
      <c r="L897">
        <f t="shared" si="72"/>
        <v>40</v>
      </c>
      <c r="M897">
        <f ca="1">(B897-VLOOKUP(K897,INDIRECT("投手データ!B1:D"&amp;Prams!$B$1),3,FALSE)*2)</f>
        <v>47</v>
      </c>
      <c r="N897" t="str">
        <f ca="1">VLOOKUP(F897,INDIRECT("球種変換表!A$1:B$" &amp; Prams!$B$2),2,)</f>
        <v>パーム</v>
      </c>
      <c r="O897">
        <f ca="1">VLOOKUP(N897,球種情報!A:B,2,FALSE)</f>
        <v>17</v>
      </c>
      <c r="P897">
        <f ca="1">VLOOKUP(K897,投手データ!B:AI,output!O897+6,FALSE)</f>
        <v>5</v>
      </c>
      <c r="R897">
        <f t="shared" ca="1" si="68"/>
        <v>8.2644628099173556E-3</v>
      </c>
      <c r="S897">
        <f t="shared" si="69"/>
        <v>0.66111111111111109</v>
      </c>
      <c r="T897">
        <f>Prams!B$5/(S897-Prams!B$6)</f>
        <v>102.89922882029849</v>
      </c>
      <c r="U897">
        <f t="shared" ca="1" si="70"/>
        <v>0.77777777777777779</v>
      </c>
      <c r="V897">
        <f ca="1">Prams!C$5/(U897-Prams!C$6)</f>
        <v>97.485282780853609</v>
      </c>
      <c r="W897">
        <f t="shared" ca="1" si="71"/>
        <v>0.80566349405664139</v>
      </c>
    </row>
    <row r="898" spans="1:24" hidden="1" x14ac:dyDescent="0.55000000000000004">
      <c r="A898" s="1" t="s">
        <v>1870</v>
      </c>
      <c r="B898" s="1">
        <v>140</v>
      </c>
      <c r="C898">
        <v>644.5</v>
      </c>
      <c r="D898">
        <v>602</v>
      </c>
      <c r="E898">
        <v>10.547610000000001</v>
      </c>
      <c r="F898" t="s">
        <v>42</v>
      </c>
      <c r="G898" s="10" t="s">
        <v>1097</v>
      </c>
      <c r="H898">
        <v>101</v>
      </c>
      <c r="I898" t="s">
        <v>1842</v>
      </c>
      <c r="J898">
        <f ca="1">VLOOKUP(G898,INDIRECT("球速変換!A$1:B$" &amp; Prams!$B$8),2,)</f>
        <v>123</v>
      </c>
      <c r="K898" t="str">
        <f ca="1">VLOOKUP(I898,INDIRECT("投手名変換!A$1:B$" &amp; Prams!$B$9),2,)</f>
        <v>DD019</v>
      </c>
      <c r="L898">
        <f t="shared" si="72"/>
        <v>39</v>
      </c>
      <c r="M898">
        <f ca="1">(B898-VLOOKUP(K898,INDIRECT("投手データ!B1:D"&amp;Prams!$B$1),3,FALSE)*2)</f>
        <v>46</v>
      </c>
      <c r="N898" t="str">
        <f ca="1">VLOOKUP(F898,INDIRECT("球種変換表!A$1:B$" &amp; Prams!$B$2),2,)</f>
        <v>パーム</v>
      </c>
      <c r="O898">
        <f ca="1">VLOOKUP(N898,球種情報!A:B,2,FALSE)</f>
        <v>17</v>
      </c>
      <c r="P898">
        <f ca="1">VLOOKUP(K898,投手データ!B:AI,output!O898+6,FALSE)</f>
        <v>5</v>
      </c>
      <c r="R898">
        <f t="shared" ca="1" si="68"/>
        <v>8.130081300813009E-3</v>
      </c>
      <c r="S898">
        <f t="shared" si="69"/>
        <v>0.64861111111111103</v>
      </c>
      <c r="T898">
        <f>Prams!B$5/(S898-Prams!B$6)</f>
        <v>105.08555563949537</v>
      </c>
      <c r="U898">
        <f t="shared" ca="1" si="70"/>
        <v>0.76527777777777772</v>
      </c>
      <c r="V898">
        <f ca="1">Prams!C$5/(U898-Prams!C$6)</f>
        <v>99.445407588783041</v>
      </c>
      <c r="W898">
        <f t="shared" ca="1" si="71"/>
        <v>0.80849924868929302</v>
      </c>
    </row>
    <row r="899" spans="1:24" hidden="1" x14ac:dyDescent="0.55000000000000004">
      <c r="A899" s="1" t="s">
        <v>1872</v>
      </c>
      <c r="B899" s="1">
        <v>141</v>
      </c>
      <c r="C899">
        <v>643.5</v>
      </c>
      <c r="D899">
        <v>609</v>
      </c>
      <c r="E899">
        <v>11.5435</v>
      </c>
      <c r="F899" t="s">
        <v>42</v>
      </c>
      <c r="G899" s="10" t="s">
        <v>589</v>
      </c>
      <c r="H899">
        <v>101</v>
      </c>
      <c r="I899" t="s">
        <v>1871</v>
      </c>
      <c r="J899">
        <f ca="1">VLOOKUP(G899,INDIRECT("球速変換!A$1:B$" &amp; Prams!$B$8),2,)</f>
        <v>127</v>
      </c>
      <c r="K899" t="str">
        <f ca="1">VLOOKUP(I899,INDIRECT("投手名変換!A$1:B$" &amp; Prams!$B$9),2,)</f>
        <v>DD019</v>
      </c>
      <c r="L899">
        <f t="shared" si="72"/>
        <v>40</v>
      </c>
      <c r="M899">
        <f ca="1">(B899-VLOOKUP(K899,INDIRECT("投手データ!B1:D"&amp;Prams!$B$1),3,FALSE)*2)</f>
        <v>47</v>
      </c>
      <c r="N899" t="str">
        <f ca="1">VLOOKUP(F899,INDIRECT("球種変換表!A$1:B$" &amp; Prams!$B$2),2,)</f>
        <v>パーム</v>
      </c>
      <c r="O899">
        <f ca="1">VLOOKUP(N899,球種情報!A:B,2,FALSE)</f>
        <v>17</v>
      </c>
      <c r="P899">
        <f ca="1">VLOOKUP(K899,投手データ!B:AI,output!O899+6,FALSE)</f>
        <v>5</v>
      </c>
      <c r="R899">
        <f t="shared" ca="1" si="68"/>
        <v>7.874015748031496E-3</v>
      </c>
      <c r="S899">
        <f t="shared" si="69"/>
        <v>0.66041666666666665</v>
      </c>
      <c r="T899">
        <f>Prams!B$5/(S899-Prams!B$6)</f>
        <v>103.01830199683396</v>
      </c>
      <c r="U899">
        <f t="shared" ca="1" si="70"/>
        <v>0.77708333333333335</v>
      </c>
      <c r="V899">
        <f ca="1">Prams!C$5/(U899-Prams!C$6)</f>
        <v>97.59214922781446</v>
      </c>
      <c r="W899">
        <f t="shared" ca="1" si="71"/>
        <v>0.76844211990405087</v>
      </c>
    </row>
    <row r="900" spans="1:24" hidden="1" x14ac:dyDescent="0.55000000000000004">
      <c r="A900" s="1" t="s">
        <v>1873</v>
      </c>
      <c r="B900" s="1">
        <v>141</v>
      </c>
      <c r="C900">
        <v>634.97729000000004</v>
      </c>
      <c r="D900">
        <v>614</v>
      </c>
      <c r="E900">
        <v>11.02281</v>
      </c>
      <c r="F900" t="s">
        <v>42</v>
      </c>
      <c r="G900" s="10" t="s">
        <v>1544</v>
      </c>
      <c r="H900">
        <v>101</v>
      </c>
      <c r="I900" t="s">
        <v>1842</v>
      </c>
      <c r="J900">
        <f ca="1">VLOOKUP(G900,INDIRECT("球速変換!A$1:B$" &amp; Prams!$B$8),2,)</f>
        <v>122</v>
      </c>
      <c r="K900" t="str">
        <f ca="1">VLOOKUP(I900,INDIRECT("投手名変換!A$1:B$" &amp; Prams!$B$9),2,)</f>
        <v>DD019</v>
      </c>
      <c r="L900">
        <f t="shared" si="72"/>
        <v>40</v>
      </c>
      <c r="M900">
        <f ca="1">(B900-VLOOKUP(K900,INDIRECT("投手データ!B1:D"&amp;Prams!$B$1),3,FALSE)*2)</f>
        <v>47</v>
      </c>
      <c r="N900" t="str">
        <f ca="1">VLOOKUP(F900,INDIRECT("球種変換表!A$1:B$" &amp; Prams!$B$2),2,)</f>
        <v>パーム</v>
      </c>
      <c r="O900">
        <f ca="1">VLOOKUP(N900,球種情報!A:B,2,FALSE)</f>
        <v>17</v>
      </c>
      <c r="P900">
        <f ca="1">VLOOKUP(K900,投手データ!B:AI,output!O900+6,FALSE)</f>
        <v>5</v>
      </c>
      <c r="R900">
        <f t="shared" ca="1" si="68"/>
        <v>8.1967213114754103E-3</v>
      </c>
      <c r="S900">
        <f t="shared" si="69"/>
        <v>0.65694444444444444</v>
      </c>
      <c r="T900">
        <f>Prams!B$5/(S900-Prams!B$6)</f>
        <v>103.61782561734144</v>
      </c>
      <c r="U900">
        <f t="shared" ca="1" si="70"/>
        <v>0.77361111111111103</v>
      </c>
      <c r="V900">
        <f ca="1">Prams!C$5/(U900-Prams!C$6)</f>
        <v>98.130015343644743</v>
      </c>
      <c r="W900">
        <f t="shared" ca="1" si="71"/>
        <v>0.80434438806266184</v>
      </c>
    </row>
    <row r="901" spans="1:24" hidden="1" x14ac:dyDescent="0.55000000000000004">
      <c r="A901" s="1" t="s">
        <v>1874</v>
      </c>
      <c r="B901" s="1">
        <v>140</v>
      </c>
      <c r="C901">
        <v>641.95001000000002</v>
      </c>
      <c r="D901">
        <v>600.5</v>
      </c>
      <c r="E901">
        <v>10.062519999999999</v>
      </c>
      <c r="F901" t="s">
        <v>42</v>
      </c>
      <c r="G901" s="10" t="s">
        <v>1097</v>
      </c>
      <c r="H901">
        <v>101</v>
      </c>
      <c r="I901" t="s">
        <v>1835</v>
      </c>
      <c r="J901">
        <f ca="1">VLOOKUP(G901,INDIRECT("球速変換!A$1:B$" &amp; Prams!$B$8),2,)</f>
        <v>123</v>
      </c>
      <c r="K901" t="str">
        <f ca="1">VLOOKUP(I901,INDIRECT("投手名変換!A$1:B$" &amp; Prams!$B$9),2,)</f>
        <v>DD019</v>
      </c>
      <c r="L901">
        <f t="shared" si="72"/>
        <v>39</v>
      </c>
      <c r="M901">
        <f ca="1">(B901-VLOOKUP(K901,INDIRECT("投手データ!B1:D"&amp;Prams!$B$1),3,FALSE)*2)</f>
        <v>46</v>
      </c>
      <c r="N901" t="str">
        <f ca="1">VLOOKUP(F901,INDIRECT("球種変換表!A$1:B$" &amp; Prams!$B$2),2,)</f>
        <v>パーム</v>
      </c>
      <c r="O901">
        <f ca="1">VLOOKUP(N901,球種情報!A:B,2,FALSE)</f>
        <v>17</v>
      </c>
      <c r="P901">
        <f ca="1">VLOOKUP(K901,投手データ!B:AI,output!O901+6,FALSE)</f>
        <v>5</v>
      </c>
      <c r="R901">
        <f t="shared" ref="R901:R945" ca="1" si="73">1/J901</f>
        <v>8.130081300813009E-3</v>
      </c>
      <c r="S901">
        <f t="shared" ref="S901:S945" si="74">(L901-(D901-600)/24)*2/120</f>
        <v>0.64965277777777775</v>
      </c>
      <c r="T901">
        <f>Prams!B$5/(S901-Prams!B$6)</f>
        <v>104.89981948182329</v>
      </c>
      <c r="U901">
        <f t="shared" ref="U901:U945" ca="1" si="75">(M901-(D901-600)/24)*2/120</f>
        <v>0.76631944444444444</v>
      </c>
      <c r="V901">
        <f ca="1">Prams!C$5/(U901-Prams!C$6)</f>
        <v>99.279058252557121</v>
      </c>
      <c r="W901">
        <f t="shared" ref="W901:W945" ca="1" si="76">V901/J901</f>
        <v>0.80714681506144004</v>
      </c>
    </row>
    <row r="902" spans="1:24" hidden="1" x14ac:dyDescent="0.55000000000000004">
      <c r="A902" s="1" t="s">
        <v>1875</v>
      </c>
      <c r="B902" s="1">
        <v>141</v>
      </c>
      <c r="C902">
        <v>635.47826999999995</v>
      </c>
      <c r="D902">
        <v>613</v>
      </c>
      <c r="E902">
        <v>11.52183</v>
      </c>
      <c r="F902" t="s">
        <v>42</v>
      </c>
      <c r="G902" s="10" t="s">
        <v>1056</v>
      </c>
      <c r="H902">
        <v>101</v>
      </c>
      <c r="I902" t="s">
        <v>1850</v>
      </c>
      <c r="J902">
        <f ca="1">VLOOKUP(G902,INDIRECT("球速変換!A$1:B$" &amp; Prams!$B$8),2,)</f>
        <v>122</v>
      </c>
      <c r="K902" t="str">
        <f ca="1">VLOOKUP(I902,INDIRECT("投手名変換!A$1:B$" &amp; Prams!$B$9),2,)</f>
        <v>DD019</v>
      </c>
      <c r="L902">
        <f t="shared" si="72"/>
        <v>40</v>
      </c>
      <c r="M902">
        <f ca="1">(B902-VLOOKUP(K902,INDIRECT("投手データ!B1:D"&amp;Prams!$B$1),3,FALSE)*2)</f>
        <v>47</v>
      </c>
      <c r="N902" t="str">
        <f ca="1">VLOOKUP(F902,INDIRECT("球種変換表!A$1:B$" &amp; Prams!$B$2),2,)</f>
        <v>パーム</v>
      </c>
      <c r="O902">
        <f ca="1">VLOOKUP(N902,球種情報!A:B,2,FALSE)</f>
        <v>17</v>
      </c>
      <c r="P902">
        <f ca="1">VLOOKUP(K902,投手データ!B:AI,output!O902+6,FALSE)</f>
        <v>5</v>
      </c>
      <c r="R902">
        <f t="shared" ca="1" si="73"/>
        <v>8.1967213114754103E-3</v>
      </c>
      <c r="S902">
        <f t="shared" si="74"/>
        <v>0.65763888888888888</v>
      </c>
      <c r="T902">
        <f>Prams!B$5/(S902-Prams!B$6)</f>
        <v>103.49736330577284</v>
      </c>
      <c r="U902">
        <f t="shared" ca="1" si="75"/>
        <v>0.77430555555555558</v>
      </c>
      <c r="V902">
        <f ca="1">Prams!C$5/(U902-Prams!C$6)</f>
        <v>98.021968342332656</v>
      </c>
      <c r="W902">
        <f t="shared" ca="1" si="76"/>
        <v>0.80345875690436608</v>
      </c>
    </row>
    <row r="903" spans="1:24" hidden="1" x14ac:dyDescent="0.55000000000000004">
      <c r="A903" s="1" t="s">
        <v>1876</v>
      </c>
      <c r="B903" s="1">
        <v>141</v>
      </c>
      <c r="C903">
        <v>642.54760999999996</v>
      </c>
      <c r="D903">
        <v>611.5</v>
      </c>
      <c r="E903">
        <v>10.55958</v>
      </c>
      <c r="F903" s="10" t="s">
        <v>2268</v>
      </c>
      <c r="G903" t="s">
        <v>42</v>
      </c>
      <c r="H903">
        <v>101</v>
      </c>
      <c r="I903" t="s">
        <v>589</v>
      </c>
      <c r="J903" t="e">
        <f ca="1">VLOOKUP(F903,INDIRECT("球速変換!A$1:B$" &amp; Prams!$B$8),2,)</f>
        <v>#N/A</v>
      </c>
      <c r="K903" t="s">
        <v>236</v>
      </c>
      <c r="L903">
        <f t="shared" si="72"/>
        <v>40</v>
      </c>
      <c r="M903">
        <f ca="1">(B903-VLOOKUP(K903,INDIRECT("投手データ!B1:D"&amp;Prams!$B$1),3,FALSE)*2)</f>
        <v>47</v>
      </c>
      <c r="N903" t="e">
        <f ca="1">VLOOKUP(#REF!,INDIRECT("球種変換表!A$1:B$" &amp; Prams!$B$2),2,)</f>
        <v>#REF!</v>
      </c>
      <c r="O903" t="e">
        <f ca="1">VLOOKUP(N903,球種情報!A:B,2,FALSE)</f>
        <v>#REF!</v>
      </c>
      <c r="P903" t="e">
        <f ca="1">VLOOKUP(K903,投手データ!B:AI,output!O903+6,FALSE)</f>
        <v>#REF!</v>
      </c>
      <c r="R903" t="e">
        <f t="shared" ca="1" si="73"/>
        <v>#N/A</v>
      </c>
      <c r="S903">
        <f t="shared" si="74"/>
        <v>0.6586805555555556</v>
      </c>
      <c r="T903">
        <f>Prams!B$5/(S903-Prams!B$6)</f>
        <v>103.31719409331669</v>
      </c>
      <c r="U903">
        <f t="shared" ca="1" si="75"/>
        <v>0.7753472222222223</v>
      </c>
      <c r="V903">
        <f ca="1">Prams!C$5/(U903-Prams!C$6)</f>
        <v>97.860343227996424</v>
      </c>
      <c r="W903" t="e">
        <f t="shared" ca="1" si="76"/>
        <v>#N/A</v>
      </c>
      <c r="X903" t="s">
        <v>1888</v>
      </c>
    </row>
    <row r="904" spans="1:24" hidden="1" x14ac:dyDescent="0.55000000000000004">
      <c r="A904" s="1" t="s">
        <v>1877</v>
      </c>
      <c r="B904" s="1">
        <v>140</v>
      </c>
      <c r="C904">
        <v>629.5</v>
      </c>
      <c r="D904">
        <v>602</v>
      </c>
      <c r="E904">
        <v>10.5001</v>
      </c>
      <c r="F904" t="s">
        <v>506</v>
      </c>
      <c r="G904" s="10" t="s">
        <v>2424</v>
      </c>
      <c r="H904">
        <v>101</v>
      </c>
      <c r="I904" t="s">
        <v>1842</v>
      </c>
      <c r="J904">
        <f ca="1">VLOOKUP(G904,INDIRECT("球速変換!A$1:B$" &amp; Prams!$B$8),2,)</f>
        <v>123</v>
      </c>
      <c r="K904" t="str">
        <f ca="1">VLOOKUP(I904,INDIRECT("投手名変換!A$1:B$" &amp; Prams!$B$9),2,)</f>
        <v>DD019</v>
      </c>
      <c r="L904">
        <f t="shared" si="72"/>
        <v>39</v>
      </c>
      <c r="M904">
        <f ca="1">(B904-VLOOKUP(K904,INDIRECT("投手データ!B1:D"&amp;Prams!$B$1),3,FALSE)*2)</f>
        <v>46</v>
      </c>
      <c r="N904" t="str">
        <f ca="1">VLOOKUP(F904,INDIRECT("球種変換表!A$1:B$" &amp; Prams!$B$2),2,)</f>
        <v>パーム</v>
      </c>
      <c r="O904">
        <f ca="1">VLOOKUP(N904,球種情報!A:B,2,FALSE)</f>
        <v>17</v>
      </c>
      <c r="P904">
        <f ca="1">VLOOKUP(K904,投手データ!B:AI,output!O904+6,FALSE)</f>
        <v>5</v>
      </c>
      <c r="R904">
        <f t="shared" ca="1" si="73"/>
        <v>8.130081300813009E-3</v>
      </c>
      <c r="S904">
        <f t="shared" si="74"/>
        <v>0.64861111111111103</v>
      </c>
      <c r="T904">
        <f>Prams!B$5/(S904-Prams!B$6)</f>
        <v>105.08555563949537</v>
      </c>
      <c r="U904">
        <f t="shared" ca="1" si="75"/>
        <v>0.76527777777777772</v>
      </c>
      <c r="V904">
        <f ca="1">Prams!C$5/(U904-Prams!C$6)</f>
        <v>99.445407588783041</v>
      </c>
      <c r="W904">
        <f t="shared" ca="1" si="76"/>
        <v>0.80849924868929302</v>
      </c>
    </row>
    <row r="905" spans="1:24" hidden="1" x14ac:dyDescent="0.55000000000000004">
      <c r="A905" s="1" t="s">
        <v>1879</v>
      </c>
      <c r="B905" s="1">
        <v>141</v>
      </c>
      <c r="C905">
        <v>634.40479000000005</v>
      </c>
      <c r="D905">
        <v>615</v>
      </c>
      <c r="E905">
        <v>10.59531</v>
      </c>
      <c r="F905" t="s">
        <v>42</v>
      </c>
      <c r="G905" s="10" t="s">
        <v>1056</v>
      </c>
      <c r="H905">
        <v>101</v>
      </c>
      <c r="I905" t="s">
        <v>1878</v>
      </c>
      <c r="J905">
        <f ca="1">VLOOKUP(G905,INDIRECT("球速変換!A$1:B$" &amp; Prams!$B$8),2,)</f>
        <v>122</v>
      </c>
      <c r="K905" t="e">
        <f ca="1">VLOOKUP(I905,INDIRECT("投手名変換!A$1:B$" &amp; Prams!$B$9),2,)</f>
        <v>#N/A</v>
      </c>
      <c r="L905">
        <f>B905-H905</f>
        <v>40</v>
      </c>
      <c r="M905" t="e">
        <f ca="1">(B905-VLOOKUP(K905,INDIRECT("投手データ!B1:D"&amp;Prams!$B$1),3,FALSE)*2)</f>
        <v>#N/A</v>
      </c>
      <c r="N905" t="str">
        <f ca="1">VLOOKUP(F905,INDIRECT("球種変換表!A$1:B$" &amp; Prams!$B$2),2,)</f>
        <v>パーム</v>
      </c>
      <c r="O905">
        <f ca="1">VLOOKUP(N905,球種情報!A:B,2,FALSE)</f>
        <v>17</v>
      </c>
      <c r="P905" t="e">
        <f ca="1">VLOOKUP(K905,投手データ!B:AI,output!O905+6,FALSE)</f>
        <v>#N/A</v>
      </c>
      <c r="R905">
        <f t="shared" ca="1" si="73"/>
        <v>8.1967213114754103E-3</v>
      </c>
      <c r="S905">
        <f t="shared" si="74"/>
        <v>0.65625</v>
      </c>
      <c r="T905">
        <f>Prams!B$5/(S905-Prams!B$6)</f>
        <v>103.73856867186845</v>
      </c>
      <c r="U905" t="e">
        <f t="shared" ca="1" si="75"/>
        <v>#N/A</v>
      </c>
      <c r="V905" t="e">
        <f ca="1">Prams!C$5/(U905-Prams!C$6)</f>
        <v>#N/A</v>
      </c>
      <c r="W905" t="e">
        <f t="shared" ca="1" si="76"/>
        <v>#N/A</v>
      </c>
    </row>
    <row r="906" spans="1:24" hidden="1" x14ac:dyDescent="0.55000000000000004">
      <c r="A906" s="1" t="s">
        <v>1880</v>
      </c>
      <c r="B906" s="1">
        <v>140</v>
      </c>
      <c r="C906">
        <v>629.5</v>
      </c>
      <c r="D906">
        <v>602</v>
      </c>
      <c r="E906">
        <v>10.5001</v>
      </c>
      <c r="F906" t="s">
        <v>506</v>
      </c>
      <c r="G906" s="10" t="s">
        <v>1186</v>
      </c>
      <c r="H906">
        <v>101</v>
      </c>
      <c r="I906" t="s">
        <v>1835</v>
      </c>
      <c r="J906">
        <f ca="1">VLOOKUP(G906,INDIRECT("球速変換!A$1:B$" &amp; Prams!$B$8),2,)</f>
        <v>123</v>
      </c>
      <c r="K906" t="str">
        <f ca="1">VLOOKUP(I906,INDIRECT("投手名変換!A$1:B$" &amp; Prams!$B$9),2,)</f>
        <v>DD019</v>
      </c>
      <c r="L906">
        <f>B906-H906</f>
        <v>39</v>
      </c>
      <c r="M906">
        <f ca="1">(B906-VLOOKUP(K906,INDIRECT("投手データ!B1:D"&amp;Prams!$B$1),3,FALSE)*2)</f>
        <v>46</v>
      </c>
      <c r="N906" t="str">
        <f ca="1">VLOOKUP(F906,INDIRECT("球種変換表!A$1:B$" &amp; Prams!$B$2),2,)</f>
        <v>パーム</v>
      </c>
      <c r="O906">
        <f ca="1">VLOOKUP(N906,球種情報!A:B,2,FALSE)</f>
        <v>17</v>
      </c>
      <c r="P906">
        <f ca="1">VLOOKUP(K906,投手データ!B:AI,output!O906+6,FALSE)</f>
        <v>5</v>
      </c>
      <c r="R906">
        <f t="shared" ca="1" si="73"/>
        <v>8.130081300813009E-3</v>
      </c>
      <c r="S906">
        <f t="shared" si="74"/>
        <v>0.64861111111111103</v>
      </c>
      <c r="T906">
        <f>Prams!B$5/(S906-Prams!B$6)</f>
        <v>105.08555563949537</v>
      </c>
      <c r="U906">
        <f t="shared" ca="1" si="75"/>
        <v>0.76527777777777772</v>
      </c>
      <c r="V906">
        <f ca="1">Prams!C$5/(U906-Prams!C$6)</f>
        <v>99.445407588783041</v>
      </c>
      <c r="W906">
        <f t="shared" ca="1" si="76"/>
        <v>0.80849924868929302</v>
      </c>
    </row>
    <row r="907" spans="1:24" hidden="1" x14ac:dyDescent="0.55000000000000004">
      <c r="A907" s="1" t="s">
        <v>1882</v>
      </c>
      <c r="B907" s="1">
        <v>127</v>
      </c>
      <c r="C907">
        <v>635.5</v>
      </c>
      <c r="D907">
        <v>611</v>
      </c>
      <c r="E907">
        <v>11.5001</v>
      </c>
      <c r="F907" t="s">
        <v>0</v>
      </c>
      <c r="G907" s="10" t="s">
        <v>729</v>
      </c>
      <c r="H907">
        <v>99</v>
      </c>
      <c r="I907" t="s">
        <v>1881</v>
      </c>
      <c r="J907">
        <v>155</v>
      </c>
      <c r="K907" t="str">
        <f ca="1">VLOOKUP(I907,INDIRECT("投手名変換!A$1:B$" &amp; Prams!$B$9),2,)</f>
        <v>DD006</v>
      </c>
      <c r="L907">
        <f>B907-H907</f>
        <v>28</v>
      </c>
      <c r="M907">
        <f ca="1">(B907-VLOOKUP(K907,INDIRECT("投手データ!B1:D"&amp;Prams!$B$1),3,FALSE)*2)</f>
        <v>33</v>
      </c>
      <c r="N907" t="str">
        <f ca="1">VLOOKUP(F907,INDIRECT("球種変換表!A$1:B$" &amp; Prams!$B$2),2,)</f>
        <v>ストレート</v>
      </c>
      <c r="O907">
        <f ca="1">VLOOKUP(N907,球種情報!A:B,2,FALSE)</f>
        <v>1</v>
      </c>
      <c r="P907">
        <f ca="1">VLOOKUP(K907,投手データ!B:AI,output!O907+6,FALSE)</f>
        <v>1</v>
      </c>
      <c r="R907">
        <f t="shared" si="73"/>
        <v>6.4516129032258064E-3</v>
      </c>
      <c r="S907">
        <f t="shared" si="74"/>
        <v>0.45902777777777781</v>
      </c>
      <c r="T907">
        <f>Prams!B$5/(S907-Prams!B$6)</f>
        <v>155.05064719733596</v>
      </c>
      <c r="U907">
        <f t="shared" ca="1" si="75"/>
        <v>0.54236111111111107</v>
      </c>
      <c r="V907">
        <f ca="1">Prams!C$5/(U907-Prams!C$6)</f>
        <v>155.03768616687799</v>
      </c>
      <c r="W907">
        <f t="shared" ca="1" si="76"/>
        <v>1.0002431365605031</v>
      </c>
    </row>
    <row r="908" spans="1:24" hidden="1" x14ac:dyDescent="0.55000000000000004">
      <c r="A908" s="1" t="s">
        <v>1884</v>
      </c>
      <c r="B908" s="1">
        <v>127</v>
      </c>
      <c r="C908">
        <v>642.47619999999995</v>
      </c>
      <c r="D908">
        <v>607</v>
      </c>
      <c r="E908">
        <v>10.523899999999999</v>
      </c>
      <c r="F908" t="s">
        <v>0</v>
      </c>
      <c r="G908" s="10" t="s">
        <v>1883</v>
      </c>
      <c r="H908">
        <v>99</v>
      </c>
      <c r="I908" t="s">
        <v>1881</v>
      </c>
      <c r="J908">
        <f ca="1">VLOOKUP(G908,INDIRECT("球速変換!A$1:B$" &amp; Prams!$B$8),2,)</f>
        <v>154</v>
      </c>
      <c r="K908" t="str">
        <f ca="1">VLOOKUP(I908,INDIRECT("投手名変換!A$1:B$" &amp; Prams!$B$9),2,)</f>
        <v>DD006</v>
      </c>
      <c r="L908">
        <f>B908-H908</f>
        <v>28</v>
      </c>
      <c r="M908">
        <f ca="1">(B908-VLOOKUP(K908,INDIRECT("投手データ!B1:D"&amp;Prams!$B$1),3,FALSE)*2)</f>
        <v>33</v>
      </c>
      <c r="N908" t="str">
        <f ca="1">VLOOKUP(F908,INDIRECT("球種変換表!A$1:B$" &amp; Prams!$B$2),2,)</f>
        <v>ストレート</v>
      </c>
      <c r="O908">
        <f ca="1">VLOOKUP(N908,球種情報!A:B,2,FALSE)</f>
        <v>1</v>
      </c>
      <c r="P908">
        <f ca="1">VLOOKUP(K908,投手データ!B:AI,output!O908+6,FALSE)</f>
        <v>1</v>
      </c>
      <c r="R908">
        <f t="shared" ca="1" si="73"/>
        <v>6.4935064935064939E-3</v>
      </c>
      <c r="S908">
        <f t="shared" si="74"/>
        <v>0.46180555555555552</v>
      </c>
      <c r="T908">
        <f>Prams!B$5/(S908-Prams!B$6)</f>
        <v>153.97794412696658</v>
      </c>
      <c r="U908">
        <f t="shared" ca="1" si="75"/>
        <v>0.54513888888888895</v>
      </c>
      <c r="V908">
        <f ca="1">Prams!C$5/(U908-Prams!C$6)</f>
        <v>153.96516180804403</v>
      </c>
      <c r="W908">
        <f t="shared" ca="1" si="76"/>
        <v>0.99977377797431188</v>
      </c>
    </row>
    <row r="909" spans="1:24" hidden="1" x14ac:dyDescent="0.55000000000000004">
      <c r="A909" s="1" t="s">
        <v>1885</v>
      </c>
      <c r="B909" s="1">
        <v>127</v>
      </c>
      <c r="C909">
        <v>639.5</v>
      </c>
      <c r="D909">
        <v>610.5</v>
      </c>
      <c r="E909">
        <v>10.512</v>
      </c>
      <c r="F909" t="s">
        <v>0</v>
      </c>
      <c r="G909" s="10" t="s">
        <v>2467</v>
      </c>
      <c r="H909">
        <v>99</v>
      </c>
      <c r="I909" t="s">
        <v>1881</v>
      </c>
      <c r="J909">
        <f ca="1">VLOOKUP(G909,INDIRECT("球速変換!A$1:B$" &amp; Prams!$B$8),2,)</f>
        <v>155</v>
      </c>
      <c r="K909" t="str">
        <f ca="1">VLOOKUP(I909,INDIRECT("投手名変換!A$1:B$" &amp; Prams!$B$9),2,)</f>
        <v>DD006</v>
      </c>
      <c r="L909">
        <f>B909-H909</f>
        <v>28</v>
      </c>
      <c r="M909">
        <f ca="1">(B909-VLOOKUP(K909,INDIRECT("投手データ!B1:D"&amp;Prams!$B$1),3,FALSE)*2)</f>
        <v>33</v>
      </c>
      <c r="N909" t="str">
        <f ca="1">VLOOKUP(F909,INDIRECT("球種変換表!A$1:B$" &amp; Prams!$B$2),2,)</f>
        <v>ストレート</v>
      </c>
      <c r="O909">
        <f ca="1">VLOOKUP(N909,球種情報!A:B,2,FALSE)</f>
        <v>1</v>
      </c>
      <c r="P909">
        <f ca="1">VLOOKUP(K909,投手データ!B:AI,output!O909+6,FALSE)</f>
        <v>1</v>
      </c>
      <c r="R909">
        <f t="shared" ca="1" si="73"/>
        <v>6.4516129032258064E-3</v>
      </c>
      <c r="S909">
        <f t="shared" si="74"/>
        <v>0.45937499999999998</v>
      </c>
      <c r="T909">
        <f>Prams!B$5/(S909-Prams!B$6)</f>
        <v>154.91574265488944</v>
      </c>
      <c r="U909">
        <f t="shared" ca="1" si="75"/>
        <v>0.54270833333333335</v>
      </c>
      <c r="V909">
        <f ca="1">Prams!C$5/(U909-Prams!C$6)</f>
        <v>154.90280416762366</v>
      </c>
      <c r="W909">
        <f t="shared" ca="1" si="76"/>
        <v>0.99937293011370099</v>
      </c>
    </row>
    <row r="910" spans="1:24" hidden="1" x14ac:dyDescent="0.55000000000000004">
      <c r="A910" s="1" t="s">
        <v>2270</v>
      </c>
      <c r="B910" s="1">
        <v>127</v>
      </c>
      <c r="C910">
        <v>637.55260999999996</v>
      </c>
      <c r="D910">
        <v>600.5</v>
      </c>
      <c r="E910">
        <v>9.5658300000000001</v>
      </c>
      <c r="F910" t="s">
        <v>0</v>
      </c>
      <c r="G910" s="10" t="s">
        <v>2456</v>
      </c>
      <c r="H910">
        <v>99</v>
      </c>
      <c r="I910" t="s">
        <v>1881</v>
      </c>
      <c r="J910">
        <f ca="1">VLOOKUP(G910,INDIRECT("球速変換!A$1:B$" &amp; Prams!$B$8),2,)</f>
        <v>152</v>
      </c>
      <c r="K910" t="str">
        <f ca="1">VLOOKUP(I910,INDIRECT("投手名変換!A$1:B$" &amp; Prams!$B$9),2,)</f>
        <v>DD006</v>
      </c>
      <c r="L910">
        <f t="shared" ref="L910:L945" si="77">B910-H910</f>
        <v>28</v>
      </c>
      <c r="M910">
        <f ca="1">(B910-VLOOKUP(K910,INDIRECT("投手データ!B1:D"&amp;Prams!$B$1),3,FALSE)*2)</f>
        <v>33</v>
      </c>
      <c r="N910" t="str">
        <f ca="1">VLOOKUP(F910,INDIRECT("球種変換表!A$1:B$" &amp; Prams!$B$2),2,)</f>
        <v>ストレート</v>
      </c>
      <c r="O910">
        <f ca="1">VLOOKUP(N910,球種情報!A:B,2,FALSE)</f>
        <v>1</v>
      </c>
      <c r="P910">
        <f ca="1">VLOOKUP(K910,投手データ!B:AI,output!O910+6,FALSE)</f>
        <v>1</v>
      </c>
      <c r="R910">
        <f t="shared" ca="1" si="73"/>
        <v>6.5789473684210523E-3</v>
      </c>
      <c r="S910">
        <f t="shared" si="74"/>
        <v>0.46631944444444445</v>
      </c>
      <c r="T910">
        <f>Prams!B$5/(S910-Prams!B$6)</f>
        <v>152.2661065767239</v>
      </c>
      <c r="U910">
        <f t="shared" ca="1" si="75"/>
        <v>0.54965277777777777</v>
      </c>
      <c r="V910">
        <f ca="1">Prams!C$5/(U910-Prams!C$6)</f>
        <v>152.25360687923711</v>
      </c>
      <c r="W910">
        <f t="shared" ca="1" si="76"/>
        <v>1.0016684663107704</v>
      </c>
    </row>
    <row r="911" spans="1:24" hidden="1" x14ac:dyDescent="0.55000000000000004">
      <c r="A911" s="1" t="s">
        <v>2272</v>
      </c>
      <c r="B911" s="1">
        <v>127</v>
      </c>
      <c r="C911">
        <v>635.5</v>
      </c>
      <c r="D911">
        <v>616</v>
      </c>
      <c r="E911">
        <v>11.5435</v>
      </c>
      <c r="F911" t="s">
        <v>0</v>
      </c>
      <c r="G911" s="10" t="s">
        <v>2271</v>
      </c>
      <c r="H911">
        <v>99</v>
      </c>
      <c r="I911" t="s">
        <v>1881</v>
      </c>
      <c r="J911">
        <f ca="1">VLOOKUP(G911,INDIRECT("球速変換!A$1:B$" &amp; Prams!$B$8),2,)</f>
        <v>157</v>
      </c>
      <c r="K911" t="str">
        <f ca="1">VLOOKUP(I911,INDIRECT("投手名変換!A$1:B$" &amp; Prams!$B$9),2,)</f>
        <v>DD006</v>
      </c>
      <c r="L911">
        <f t="shared" si="77"/>
        <v>28</v>
      </c>
      <c r="M911">
        <f ca="1">(B911-VLOOKUP(K911,INDIRECT("投手データ!B1:D"&amp;Prams!$B$1),3,FALSE)*2)</f>
        <v>33</v>
      </c>
      <c r="N911" t="str">
        <f ca="1">VLOOKUP(F911,INDIRECT("球種変換表!A$1:B$" &amp; Prams!$B$2),2,)</f>
        <v>ストレート</v>
      </c>
      <c r="O911">
        <f ca="1">VLOOKUP(N911,球種情報!A:B,2,FALSE)</f>
        <v>1</v>
      </c>
      <c r="P911">
        <f ca="1">VLOOKUP(K911,投手データ!B:AI,output!O911+6,FALSE)</f>
        <v>1</v>
      </c>
      <c r="R911">
        <f t="shared" ca="1" si="73"/>
        <v>6.369426751592357E-3</v>
      </c>
      <c r="S911">
        <f t="shared" si="74"/>
        <v>0.45555555555555555</v>
      </c>
      <c r="T911">
        <f>Prams!B$5/(S911-Prams!B$6)</f>
        <v>156.4127287549546</v>
      </c>
      <c r="U911">
        <f t="shared" ca="1" si="75"/>
        <v>0.53888888888888897</v>
      </c>
      <c r="V911">
        <f ca="1">Prams!C$5/(U911-Prams!C$6)</f>
        <v>156.3995390150663</v>
      </c>
      <c r="W911">
        <f t="shared" ca="1" si="76"/>
        <v>0.99617540773927582</v>
      </c>
    </row>
    <row r="912" spans="1:24" hidden="1" x14ac:dyDescent="0.55000000000000004">
      <c r="A912" s="1" t="s">
        <v>2273</v>
      </c>
      <c r="B912" s="1">
        <v>127</v>
      </c>
      <c r="C912">
        <v>637</v>
      </c>
      <c r="D912">
        <v>603</v>
      </c>
      <c r="E912">
        <v>10.04998</v>
      </c>
      <c r="F912" t="s">
        <v>0</v>
      </c>
      <c r="G912" s="10" t="s">
        <v>2457</v>
      </c>
      <c r="H912">
        <v>99</v>
      </c>
      <c r="I912" t="s">
        <v>1881</v>
      </c>
      <c r="J912">
        <f ca="1">VLOOKUP(G912,INDIRECT("球速変換!A$1:B$" &amp; Prams!$B$8),2,)</f>
        <v>153</v>
      </c>
      <c r="K912" t="str">
        <f ca="1">VLOOKUP(I912,INDIRECT("投手名変換!A$1:B$" &amp; Prams!$B$9),2,)</f>
        <v>DD006</v>
      </c>
      <c r="L912">
        <f t="shared" si="77"/>
        <v>28</v>
      </c>
      <c r="M912">
        <f ca="1">(B912-VLOOKUP(K912,INDIRECT("投手データ!B1:D"&amp;Prams!$B$1),3,FALSE)*2)</f>
        <v>33</v>
      </c>
      <c r="N912" t="str">
        <f ca="1">VLOOKUP(F912,INDIRECT("球種変換表!A$1:B$" &amp; Prams!$B$2),2,)</f>
        <v>ストレート</v>
      </c>
      <c r="O912">
        <f ca="1">VLOOKUP(N912,球種情報!A:B,2,FALSE)</f>
        <v>1</v>
      </c>
      <c r="P912">
        <f ca="1">VLOOKUP(K912,投手データ!B:AI,output!O912+6,FALSE)</f>
        <v>1</v>
      </c>
      <c r="R912">
        <f t="shared" ca="1" si="73"/>
        <v>6.5359477124183009E-3</v>
      </c>
      <c r="S912">
        <f t="shared" si="74"/>
        <v>0.46458333333333335</v>
      </c>
      <c r="T912">
        <f>Prams!B$5/(S912-Prams!B$6)</f>
        <v>152.91998186090612</v>
      </c>
      <c r="U912">
        <f t="shared" ca="1" si="75"/>
        <v>0.54791666666666672</v>
      </c>
      <c r="V912">
        <f ca="1">Prams!C$5/(U912-Prams!C$6)</f>
        <v>152.9073745826291</v>
      </c>
      <c r="W912">
        <f t="shared" ca="1" si="76"/>
        <v>0.99939460511522293</v>
      </c>
    </row>
    <row r="913" spans="1:23" hidden="1" x14ac:dyDescent="0.55000000000000004">
      <c r="A913" s="1" t="s">
        <v>2274</v>
      </c>
      <c r="B913" s="1">
        <v>127</v>
      </c>
      <c r="C913">
        <v>634.47619999999995</v>
      </c>
      <c r="D913">
        <v>601</v>
      </c>
      <c r="E913">
        <v>10.523899999999999</v>
      </c>
      <c r="F913" t="s">
        <v>0</v>
      </c>
      <c r="G913" s="10" t="s">
        <v>2456</v>
      </c>
      <c r="H913">
        <v>99</v>
      </c>
      <c r="I913" t="s">
        <v>1881</v>
      </c>
      <c r="J913">
        <f ca="1">VLOOKUP(G913,INDIRECT("球速変換!A$1:B$" &amp; Prams!$B$8),2,)</f>
        <v>152</v>
      </c>
      <c r="K913" t="str">
        <f ca="1">VLOOKUP(I913,INDIRECT("投手名変換!A$1:B$" &amp; Prams!$B$9),2,)</f>
        <v>DD006</v>
      </c>
      <c r="L913">
        <f t="shared" si="77"/>
        <v>28</v>
      </c>
      <c r="M913">
        <f ca="1">(B913-VLOOKUP(K913,INDIRECT("投手データ!B1:D"&amp;Prams!$B$1),3,FALSE)*2)</f>
        <v>33</v>
      </c>
      <c r="N913" t="str">
        <f ca="1">VLOOKUP(F913,INDIRECT("球種変換表!A$1:B$" &amp; Prams!$B$2),2,)</f>
        <v>ストレート</v>
      </c>
      <c r="O913">
        <f ca="1">VLOOKUP(N913,球種情報!A:B,2,FALSE)</f>
        <v>1</v>
      </c>
      <c r="P913">
        <f ca="1">VLOOKUP(K913,投手データ!B:AI,output!O913+6,FALSE)</f>
        <v>1</v>
      </c>
      <c r="R913">
        <f t="shared" ca="1" si="73"/>
        <v>6.5789473684210523E-3</v>
      </c>
      <c r="S913">
        <f t="shared" si="74"/>
        <v>0.46597222222222218</v>
      </c>
      <c r="T913">
        <f>Prams!B$5/(S913-Prams!B$6)</f>
        <v>152.39643390257601</v>
      </c>
      <c r="U913">
        <f t="shared" ca="1" si="75"/>
        <v>0.5493055555555556</v>
      </c>
      <c r="V913">
        <f ca="1">Prams!C$5/(U913-Prams!C$6)</f>
        <v>152.38391279937557</v>
      </c>
      <c r="W913">
        <f t="shared" ca="1" si="76"/>
        <v>1.0025257421011551</v>
      </c>
    </row>
    <row r="914" spans="1:23" hidden="1" x14ac:dyDescent="0.55000000000000004">
      <c r="A914" s="1" t="s">
        <v>2275</v>
      </c>
      <c r="B914" s="1">
        <v>127</v>
      </c>
      <c r="C914">
        <v>642.47619999999995</v>
      </c>
      <c r="D914">
        <v>603</v>
      </c>
      <c r="E914">
        <v>10.523899999999999</v>
      </c>
      <c r="F914" t="s">
        <v>0</v>
      </c>
      <c r="G914" s="10" t="s">
        <v>2457</v>
      </c>
      <c r="H914">
        <v>99</v>
      </c>
      <c r="I914" t="s">
        <v>1881</v>
      </c>
      <c r="J914">
        <f ca="1">VLOOKUP(G914,INDIRECT("球速変換!A$1:B$" &amp; Prams!$B$8),2,)</f>
        <v>153</v>
      </c>
      <c r="K914" t="str">
        <f ca="1">VLOOKUP(I914,INDIRECT("投手名変換!A$1:B$" &amp; Prams!$B$9),2,)</f>
        <v>DD006</v>
      </c>
      <c r="L914">
        <f t="shared" si="77"/>
        <v>28</v>
      </c>
      <c r="M914">
        <f ca="1">(B914-VLOOKUP(K914,INDIRECT("投手データ!B1:D"&amp;Prams!$B$1),3,FALSE)*2)</f>
        <v>33</v>
      </c>
      <c r="N914" t="str">
        <f ca="1">VLOOKUP(F914,INDIRECT("球種変換表!A$1:B$" &amp; Prams!$B$2),2,)</f>
        <v>ストレート</v>
      </c>
      <c r="O914">
        <f ca="1">VLOOKUP(N914,球種情報!A:B,2,FALSE)</f>
        <v>1</v>
      </c>
      <c r="P914">
        <f ca="1">VLOOKUP(K914,投手データ!B:AI,output!O914+6,FALSE)</f>
        <v>1</v>
      </c>
      <c r="R914">
        <f t="shared" ca="1" si="73"/>
        <v>6.5359477124183009E-3</v>
      </c>
      <c r="S914">
        <f t="shared" si="74"/>
        <v>0.46458333333333335</v>
      </c>
      <c r="T914">
        <f>Prams!B$5/(S914-Prams!B$6)</f>
        <v>152.91998186090612</v>
      </c>
      <c r="U914">
        <f t="shared" ca="1" si="75"/>
        <v>0.54791666666666672</v>
      </c>
      <c r="V914">
        <f ca="1">Prams!C$5/(U914-Prams!C$6)</f>
        <v>152.9073745826291</v>
      </c>
      <c r="W914">
        <f t="shared" ca="1" si="76"/>
        <v>0.99939460511522293</v>
      </c>
    </row>
    <row r="915" spans="1:23" hidden="1" x14ac:dyDescent="0.55000000000000004">
      <c r="A915" s="1" t="s">
        <v>2277</v>
      </c>
      <c r="B915" s="1">
        <v>127</v>
      </c>
      <c r="C915">
        <v>641</v>
      </c>
      <c r="D915">
        <v>613.5</v>
      </c>
      <c r="E915">
        <v>11.01146</v>
      </c>
      <c r="F915" t="s">
        <v>656</v>
      </c>
      <c r="G915" s="10" t="s">
        <v>2468</v>
      </c>
      <c r="H915">
        <v>99</v>
      </c>
      <c r="I915" t="s">
        <v>1881</v>
      </c>
      <c r="J915">
        <f ca="1">VLOOKUP(G915,INDIRECT("球速変換!A$1:B$" &amp; Prams!$B$8),2,)</f>
        <v>156</v>
      </c>
      <c r="K915" t="str">
        <f ca="1">VLOOKUP(I915,INDIRECT("投手名変換!A$1:B$" &amp; Prams!$B$9),2,)</f>
        <v>DD006</v>
      </c>
      <c r="L915">
        <f t="shared" si="77"/>
        <v>28</v>
      </c>
      <c r="M915">
        <f ca="1">(B915-VLOOKUP(K915,INDIRECT("投手データ!B1:D"&amp;Prams!$B$1),3,FALSE)*2)</f>
        <v>33</v>
      </c>
      <c r="N915" t="str">
        <f ca="1">VLOOKUP(F915,INDIRECT("球種変換表!A$1:B$" &amp; Prams!$B$2),2,)</f>
        <v>ストレート</v>
      </c>
      <c r="O915">
        <f ca="1">VLOOKUP(N915,球種情報!A:B,2,FALSE)</f>
        <v>1</v>
      </c>
      <c r="P915">
        <f ca="1">VLOOKUP(K915,投手データ!B:AI,output!O915+6,FALSE)</f>
        <v>1</v>
      </c>
      <c r="R915">
        <f t="shared" ca="1" si="73"/>
        <v>6.41025641025641E-3</v>
      </c>
      <c r="S915">
        <f t="shared" si="74"/>
        <v>0.45729166666666665</v>
      </c>
      <c r="T915">
        <f>Prams!B$5/(S915-Prams!B$6)</f>
        <v>155.72870967064802</v>
      </c>
      <c r="U915">
        <f t="shared" ca="1" si="75"/>
        <v>0.54062500000000002</v>
      </c>
      <c r="V915">
        <f ca="1">Prams!C$5/(U915-Prams!C$6)</f>
        <v>155.71563503557709</v>
      </c>
      <c r="W915">
        <f t="shared" ca="1" si="76"/>
        <v>0.99817714766395571</v>
      </c>
    </row>
    <row r="916" spans="1:23" hidden="1" x14ac:dyDescent="0.55000000000000004">
      <c r="A916" s="1" t="s">
        <v>2278</v>
      </c>
      <c r="B916" s="1">
        <v>127</v>
      </c>
      <c r="C916">
        <v>637</v>
      </c>
      <c r="D916">
        <v>603</v>
      </c>
      <c r="E916">
        <v>10.04998</v>
      </c>
      <c r="F916" t="s">
        <v>0</v>
      </c>
      <c r="G916" s="10" t="s">
        <v>762</v>
      </c>
      <c r="H916">
        <v>99</v>
      </c>
      <c r="I916" t="s">
        <v>1881</v>
      </c>
      <c r="J916">
        <v>153</v>
      </c>
      <c r="K916" t="str">
        <f ca="1">VLOOKUP(I916,INDIRECT("投手名変換!A$1:B$" &amp; Prams!$B$9),2,)</f>
        <v>DD006</v>
      </c>
      <c r="L916">
        <f t="shared" si="77"/>
        <v>28</v>
      </c>
      <c r="M916">
        <f ca="1">(B916-VLOOKUP(K916,INDIRECT("投手データ!B1:D"&amp;Prams!$B$1),3,FALSE)*2)</f>
        <v>33</v>
      </c>
      <c r="N916" t="str">
        <f ca="1">VLOOKUP(F916,INDIRECT("球種変換表!A$1:B$" &amp; Prams!$B$2),2,)</f>
        <v>ストレート</v>
      </c>
      <c r="O916">
        <f ca="1">VLOOKUP(N916,球種情報!A:B,2,FALSE)</f>
        <v>1</v>
      </c>
      <c r="P916">
        <f ca="1">VLOOKUP(K916,投手データ!B:AI,output!O916+6,FALSE)</f>
        <v>1</v>
      </c>
      <c r="R916">
        <f t="shared" si="73"/>
        <v>6.5359477124183009E-3</v>
      </c>
      <c r="S916">
        <f t="shared" si="74"/>
        <v>0.46458333333333335</v>
      </c>
      <c r="T916">
        <f>Prams!B$5/(S916-Prams!B$6)</f>
        <v>152.91998186090612</v>
      </c>
      <c r="U916">
        <f t="shared" ca="1" si="75"/>
        <v>0.54791666666666672</v>
      </c>
      <c r="V916">
        <f ca="1">Prams!C$5/(U916-Prams!C$6)</f>
        <v>152.9073745826291</v>
      </c>
      <c r="W916">
        <f t="shared" ca="1" si="76"/>
        <v>0.99939460511522293</v>
      </c>
    </row>
    <row r="917" spans="1:23" hidden="1" x14ac:dyDescent="0.55000000000000004">
      <c r="A917" s="1" t="s">
        <v>2280</v>
      </c>
      <c r="B917" s="1">
        <v>124</v>
      </c>
      <c r="C917">
        <v>641.95001000000002</v>
      </c>
      <c r="D917">
        <v>620.5</v>
      </c>
      <c r="E917">
        <v>10.062519999999999</v>
      </c>
      <c r="F917" t="s">
        <v>343</v>
      </c>
      <c r="G917" s="10" t="s">
        <v>2468</v>
      </c>
      <c r="H917">
        <v>98</v>
      </c>
      <c r="I917" t="s">
        <v>2279</v>
      </c>
      <c r="J917">
        <f ca="1">VLOOKUP(G917,INDIRECT("球速変換!A$1:B$" &amp; Prams!$B$8),2,)</f>
        <v>156</v>
      </c>
      <c r="K917" t="str">
        <f ca="1">VLOOKUP(I917,INDIRECT("投手名変換!A$1:B$" &amp; Prams!$B$9),2,)</f>
        <v>DD006</v>
      </c>
      <c r="L917">
        <f t="shared" si="77"/>
        <v>26</v>
      </c>
      <c r="M917">
        <f ca="1">(B917-VLOOKUP(K917,INDIRECT("投手データ!B1:D"&amp;Prams!$B$1),3,FALSE)*2)</f>
        <v>30</v>
      </c>
      <c r="N917" t="str">
        <f ca="1">VLOOKUP(F917,INDIRECT("球種変換表!A$1:B$" &amp; Prams!$B$2),2,)</f>
        <v>全力ストレート</v>
      </c>
      <c r="O917">
        <f ca="1">VLOOKUP(N917,球種情報!A:B,2,FALSE)</f>
        <v>2</v>
      </c>
      <c r="P917">
        <f ca="1">VLOOKUP(K917,投手データ!B:AI,output!O917+6,FALSE)</f>
        <v>1</v>
      </c>
      <c r="R917">
        <f t="shared" ca="1" si="73"/>
        <v>6.41025641025641E-3</v>
      </c>
      <c r="S917">
        <f t="shared" si="74"/>
        <v>0.41909722222222218</v>
      </c>
      <c r="T917">
        <f>Prams!B$5/(S917-Prams!B$6)</f>
        <v>172.3062392097053</v>
      </c>
      <c r="U917">
        <f t="shared" ca="1" si="75"/>
        <v>0.48576388888888888</v>
      </c>
      <c r="V917">
        <f ca="1">Prams!C$5/(U917-Prams!C$6)</f>
        <v>180.68242151665464</v>
      </c>
      <c r="W917">
        <f t="shared" ca="1" si="76"/>
        <v>1.1582206507477861</v>
      </c>
    </row>
    <row r="918" spans="1:23" hidden="1" x14ac:dyDescent="0.55000000000000004">
      <c r="A918" s="1" t="s">
        <v>2281</v>
      </c>
      <c r="B918" s="1">
        <v>124</v>
      </c>
      <c r="C918">
        <v>642</v>
      </c>
      <c r="D918">
        <v>621.5</v>
      </c>
      <c r="E918">
        <v>10.111969999999999</v>
      </c>
      <c r="F918" t="s">
        <v>343</v>
      </c>
      <c r="G918" s="10" t="s">
        <v>931</v>
      </c>
      <c r="H918">
        <v>98</v>
      </c>
      <c r="I918" t="s">
        <v>1881</v>
      </c>
      <c r="J918">
        <v>157</v>
      </c>
      <c r="K918" t="str">
        <f ca="1">VLOOKUP(I918,INDIRECT("投手名変換!A$1:B$" &amp; Prams!$B$9),2,)</f>
        <v>DD006</v>
      </c>
      <c r="L918">
        <f t="shared" si="77"/>
        <v>26</v>
      </c>
      <c r="M918">
        <f ca="1">(B918-VLOOKUP(K918,INDIRECT("投手データ!B1:D"&amp;Prams!$B$1),3,FALSE)*2)</f>
        <v>30</v>
      </c>
      <c r="N918" t="str">
        <f ca="1">VLOOKUP(F918,INDIRECT("球種変換表!A$1:B$" &amp; Prams!$B$2),2,)</f>
        <v>全力ストレート</v>
      </c>
      <c r="O918">
        <f ca="1">VLOOKUP(N918,球種情報!A:B,2,FALSE)</f>
        <v>2</v>
      </c>
      <c r="P918">
        <f ca="1">VLOOKUP(K918,投手データ!B:AI,output!O918+6,FALSE)</f>
        <v>1</v>
      </c>
      <c r="R918">
        <f t="shared" si="73"/>
        <v>6.369426751592357E-3</v>
      </c>
      <c r="S918">
        <f t="shared" si="74"/>
        <v>0.41840277777777779</v>
      </c>
      <c r="T918">
        <f>Prams!B$5/(S918-Prams!B$6)</f>
        <v>172.64038102034644</v>
      </c>
      <c r="U918">
        <f t="shared" ca="1" si="75"/>
        <v>0.48506944444444444</v>
      </c>
      <c r="V918">
        <f ca="1">Prams!C$5/(U918-Prams!C$6)</f>
        <v>181.04987431769558</v>
      </c>
      <c r="W918">
        <f t="shared" ca="1" si="76"/>
        <v>1.1531839128515642</v>
      </c>
    </row>
    <row r="919" spans="1:23" hidden="1" x14ac:dyDescent="0.55000000000000004">
      <c r="A919" s="1" t="s">
        <v>2282</v>
      </c>
      <c r="B919" s="1">
        <v>124</v>
      </c>
      <c r="C919">
        <v>641.95001000000002</v>
      </c>
      <c r="D919">
        <v>622.5</v>
      </c>
      <c r="E919">
        <v>10.062519999999999</v>
      </c>
      <c r="F919" t="s">
        <v>343</v>
      </c>
      <c r="G919" s="10" t="s">
        <v>931</v>
      </c>
      <c r="H919">
        <v>98</v>
      </c>
      <c r="I919" t="s">
        <v>1881</v>
      </c>
      <c r="J919">
        <v>157</v>
      </c>
      <c r="K919" t="str">
        <f ca="1">VLOOKUP(I919,INDIRECT("投手名変換!A$1:B$" &amp; Prams!$B$9),2,)</f>
        <v>DD006</v>
      </c>
      <c r="L919">
        <f t="shared" si="77"/>
        <v>26</v>
      </c>
      <c r="M919">
        <f ca="1">(B919-VLOOKUP(K919,INDIRECT("投手データ!B1:D"&amp;Prams!$B$1),3,FALSE)*2)</f>
        <v>30</v>
      </c>
      <c r="N919" t="str">
        <f ca="1">VLOOKUP(F919,INDIRECT("球種変換表!A$1:B$" &amp; Prams!$B$2),2,)</f>
        <v>全力ストレート</v>
      </c>
      <c r="O919">
        <f ca="1">VLOOKUP(N919,球種情報!A:B,2,FALSE)</f>
        <v>2</v>
      </c>
      <c r="P919">
        <f ca="1">VLOOKUP(K919,投手データ!B:AI,output!O919+6,FALSE)</f>
        <v>1</v>
      </c>
      <c r="R919">
        <f t="shared" si="73"/>
        <v>6.369426751592357E-3</v>
      </c>
      <c r="S919">
        <f t="shared" si="74"/>
        <v>0.41770833333333335</v>
      </c>
      <c r="T919">
        <f>Prams!B$5/(S919-Prams!B$6)</f>
        <v>172.97582130616243</v>
      </c>
      <c r="U919">
        <f t="shared" ca="1" si="75"/>
        <v>0.484375</v>
      </c>
      <c r="V919">
        <f ca="1">Prams!C$5/(U919-Prams!C$6)</f>
        <v>181.41882473773018</v>
      </c>
      <c r="W919">
        <f t="shared" ca="1" si="76"/>
        <v>1.1555339155269437</v>
      </c>
    </row>
    <row r="920" spans="1:23" hidden="1" x14ac:dyDescent="0.55000000000000004">
      <c r="A920" s="1" t="s">
        <v>2283</v>
      </c>
      <c r="B920" s="1">
        <v>124</v>
      </c>
      <c r="C920">
        <v>640.5</v>
      </c>
      <c r="D920">
        <v>611.5</v>
      </c>
      <c r="E920">
        <v>10.512</v>
      </c>
      <c r="F920" t="s">
        <v>343</v>
      </c>
      <c r="G920" s="10" t="s">
        <v>762</v>
      </c>
      <c r="H920">
        <v>98</v>
      </c>
      <c r="I920" t="s">
        <v>1881</v>
      </c>
      <c r="J920">
        <v>153</v>
      </c>
      <c r="K920" t="str">
        <f ca="1">VLOOKUP(I920,INDIRECT("投手名変換!A$1:B$" &amp; Prams!$B$9),2,)</f>
        <v>DD006</v>
      </c>
      <c r="L920">
        <f t="shared" si="77"/>
        <v>26</v>
      </c>
      <c r="M920">
        <f ca="1">(B920-VLOOKUP(K920,INDIRECT("投手データ!B1:D"&amp;Prams!$B$1),3,FALSE)*2)</f>
        <v>30</v>
      </c>
      <c r="N920" t="str">
        <f ca="1">VLOOKUP(F920,INDIRECT("球種変換表!A$1:B$" &amp; Prams!$B$2),2,)</f>
        <v>全力ストレート</v>
      </c>
      <c r="O920">
        <f ca="1">VLOOKUP(N920,球種情報!A:B,2,FALSE)</f>
        <v>2</v>
      </c>
      <c r="P920">
        <f ca="1">VLOOKUP(K920,投手データ!B:AI,output!O920+6,FALSE)</f>
        <v>1</v>
      </c>
      <c r="R920">
        <f t="shared" si="73"/>
        <v>6.5359477124183009E-3</v>
      </c>
      <c r="S920">
        <f t="shared" si="74"/>
        <v>0.42534722222222221</v>
      </c>
      <c r="T920">
        <f>Prams!B$5/(S920-Prams!B$6)</f>
        <v>169.35617157597574</v>
      </c>
      <c r="U920">
        <f t="shared" ca="1" si="75"/>
        <v>0.49201388888888886</v>
      </c>
      <c r="V920">
        <f ca="1">Prams!C$5/(U920-Prams!C$6)</f>
        <v>177.44126159022238</v>
      </c>
      <c r="W920">
        <f t="shared" ca="1" si="76"/>
        <v>1.1597468077792312</v>
      </c>
    </row>
    <row r="921" spans="1:23" hidden="1" x14ac:dyDescent="0.55000000000000004">
      <c r="A921" s="1" t="s">
        <v>2285</v>
      </c>
      <c r="B921" s="1">
        <v>124</v>
      </c>
      <c r="C921">
        <v>640.5</v>
      </c>
      <c r="D921">
        <v>612.5</v>
      </c>
      <c r="E921">
        <v>11.510960000000001</v>
      </c>
      <c r="F921" t="s">
        <v>343</v>
      </c>
      <c r="G921" s="10" t="s">
        <v>2457</v>
      </c>
      <c r="H921">
        <v>98</v>
      </c>
      <c r="I921" t="s">
        <v>2284</v>
      </c>
      <c r="J921">
        <f ca="1">VLOOKUP(G921,INDIRECT("球速変換!A$1:B$" &amp; Prams!$B$8),2,)</f>
        <v>153</v>
      </c>
      <c r="K921" t="s">
        <v>1900</v>
      </c>
      <c r="L921">
        <f t="shared" si="77"/>
        <v>26</v>
      </c>
      <c r="M921">
        <f ca="1">(B921-VLOOKUP(K921,INDIRECT("投手データ!B1:D"&amp;Prams!$B$1),3,FALSE)*2)</f>
        <v>30</v>
      </c>
      <c r="N921" t="str">
        <f ca="1">VLOOKUP(F921,INDIRECT("球種変換表!A$1:B$" &amp; Prams!$B$2),2,)</f>
        <v>全力ストレート</v>
      </c>
      <c r="O921">
        <f ca="1">VLOOKUP(N921,球種情報!A:B,2,FALSE)</f>
        <v>2</v>
      </c>
      <c r="P921">
        <f ca="1">VLOOKUP(K921,投手データ!B:AI,output!O921+6,FALSE)</f>
        <v>1</v>
      </c>
      <c r="R921">
        <f t="shared" ca="1" si="73"/>
        <v>6.5359477124183009E-3</v>
      </c>
      <c r="S921">
        <f t="shared" si="74"/>
        <v>0.42465277777777782</v>
      </c>
      <c r="T921">
        <f>Prams!B$5/(S921-Prams!B$6)</f>
        <v>169.67895888447549</v>
      </c>
      <c r="U921">
        <f t="shared" ca="1" si="75"/>
        <v>0.49131944444444448</v>
      </c>
      <c r="V921">
        <f ca="1">Prams!C$5/(U921-Prams!C$6)</f>
        <v>177.7956366483196</v>
      </c>
      <c r="W921">
        <f t="shared" ca="1" si="76"/>
        <v>1.1620629846295398</v>
      </c>
    </row>
    <row r="922" spans="1:23" hidden="1" x14ac:dyDescent="0.55000000000000004">
      <c r="A922" s="1" t="s">
        <v>2286</v>
      </c>
      <c r="B922" s="1">
        <v>124</v>
      </c>
      <c r="C922">
        <v>641.5</v>
      </c>
      <c r="D922">
        <v>618.5</v>
      </c>
      <c r="E922">
        <v>10.512</v>
      </c>
      <c r="F922" t="s">
        <v>343</v>
      </c>
      <c r="G922" s="10" t="s">
        <v>729</v>
      </c>
      <c r="H922">
        <v>98</v>
      </c>
      <c r="I922" t="s">
        <v>1881</v>
      </c>
      <c r="J922">
        <v>155</v>
      </c>
      <c r="K922" t="str">
        <f ca="1">VLOOKUP(I922,INDIRECT("投手名変換!A$1:B$" &amp; Prams!$B$9),2,)</f>
        <v>DD006</v>
      </c>
      <c r="L922">
        <f t="shared" si="77"/>
        <v>26</v>
      </c>
      <c r="M922">
        <f ca="1">(B922-VLOOKUP(K922,INDIRECT("投手データ!B1:D"&amp;Prams!$B$1),3,FALSE)*2)</f>
        <v>30</v>
      </c>
      <c r="N922" t="str">
        <f ca="1">VLOOKUP(F922,INDIRECT("球種変換表!A$1:B$" &amp; Prams!$B$2),2,)</f>
        <v>全力ストレート</v>
      </c>
      <c r="O922">
        <f ca="1">VLOOKUP(N922,球種情報!A:B,2,FALSE)</f>
        <v>2</v>
      </c>
      <c r="P922">
        <f ca="1">VLOOKUP(K922,投手データ!B:AI,output!O922+6,FALSE)</f>
        <v>1</v>
      </c>
      <c r="R922">
        <f t="shared" si="73"/>
        <v>6.4516129032258064E-3</v>
      </c>
      <c r="S922">
        <f t="shared" si="74"/>
        <v>0.42048611111111112</v>
      </c>
      <c r="T922">
        <f>Prams!B$5/(S922-Prams!B$6)</f>
        <v>171.64182097218259</v>
      </c>
      <c r="U922">
        <f t="shared" ca="1" si="75"/>
        <v>0.48715277777777782</v>
      </c>
      <c r="V922">
        <f ca="1">Prams!C$5/(U922-Prams!C$6)</f>
        <v>179.95197244479658</v>
      </c>
      <c r="W922">
        <f t="shared" ca="1" si="76"/>
        <v>1.1609804673857844</v>
      </c>
    </row>
    <row r="923" spans="1:23" hidden="1" x14ac:dyDescent="0.55000000000000004">
      <c r="A923" s="1" t="s">
        <v>2288</v>
      </c>
      <c r="B923" s="1">
        <v>124</v>
      </c>
      <c r="C923">
        <v>640</v>
      </c>
      <c r="D923">
        <v>609.5</v>
      </c>
      <c r="E923">
        <v>10.012589999999999</v>
      </c>
      <c r="F923" t="s">
        <v>2287</v>
      </c>
      <c r="G923" s="10" t="s">
        <v>2456</v>
      </c>
      <c r="H923">
        <v>98</v>
      </c>
      <c r="I923" t="s">
        <v>1881</v>
      </c>
      <c r="J923">
        <f ca="1">VLOOKUP(G923,INDIRECT("球速変換!A$1:B$" &amp; Prams!$B$8),2,)</f>
        <v>152</v>
      </c>
      <c r="K923" t="str">
        <f ca="1">VLOOKUP(I923,INDIRECT("投手名変換!A$1:B$" &amp; Prams!$B$9),2,)</f>
        <v>DD006</v>
      </c>
      <c r="L923">
        <f t="shared" si="77"/>
        <v>26</v>
      </c>
      <c r="M923">
        <f ca="1">(B923-VLOOKUP(K923,INDIRECT("投手データ!B1:D"&amp;Prams!$B$1),3,FALSE)*2)</f>
        <v>30</v>
      </c>
      <c r="N923" t="str">
        <f ca="1">VLOOKUP(F923,INDIRECT("球種変換表!A$1:B$" &amp; Prams!$B$2),2,)</f>
        <v>全力ストレート</v>
      </c>
      <c r="O923">
        <f ca="1">VLOOKUP(N923,球種情報!A:B,2,FALSE)</f>
        <v>2</v>
      </c>
      <c r="P923">
        <f ca="1">VLOOKUP(K923,投手データ!B:AI,output!O923+6,FALSE)</f>
        <v>1</v>
      </c>
      <c r="R923">
        <f t="shared" ca="1" si="73"/>
        <v>6.5789473684210523E-3</v>
      </c>
      <c r="S923">
        <f t="shared" si="74"/>
        <v>0.42673611111111115</v>
      </c>
      <c r="T923">
        <f>Prams!B$5/(S923-Prams!B$6)</f>
        <v>168.71426730444142</v>
      </c>
      <c r="U923">
        <f t="shared" ca="1" si="75"/>
        <v>0.4934027777777778</v>
      </c>
      <c r="V923">
        <f ca="1">Prams!C$5/(U923-Prams!C$6)</f>
        <v>176.73673260329232</v>
      </c>
      <c r="W923">
        <f t="shared" ca="1" si="76"/>
        <v>1.1627416618637654</v>
      </c>
    </row>
    <row r="924" spans="1:23" hidden="1" x14ac:dyDescent="0.55000000000000004">
      <c r="A924" s="1" t="s">
        <v>2289</v>
      </c>
      <c r="B924" s="1">
        <v>124</v>
      </c>
      <c r="C924">
        <v>642</v>
      </c>
      <c r="D924">
        <v>622</v>
      </c>
      <c r="E924">
        <v>10.04998</v>
      </c>
      <c r="F924" t="s">
        <v>1625</v>
      </c>
      <c r="G924" s="10" t="s">
        <v>2468</v>
      </c>
      <c r="H924">
        <v>98</v>
      </c>
      <c r="I924" t="s">
        <v>2279</v>
      </c>
      <c r="J924">
        <f ca="1">VLOOKUP(G924,INDIRECT("球速変換!A$1:B$" &amp; Prams!$B$8),2,)</f>
        <v>156</v>
      </c>
      <c r="K924" t="str">
        <f ca="1">VLOOKUP(I924,INDIRECT("投手名変換!A$1:B$" &amp; Prams!$B$9),2,)</f>
        <v>DD006</v>
      </c>
      <c r="L924">
        <f t="shared" si="77"/>
        <v>26</v>
      </c>
      <c r="M924">
        <f ca="1">(B924-VLOOKUP(K924,INDIRECT("投手データ!B1:D"&amp;Prams!$B$1),3,FALSE)*2)</f>
        <v>30</v>
      </c>
      <c r="N924" t="str">
        <f ca="1">VLOOKUP(F924,INDIRECT("球種変換表!A$1:B$" &amp; Prams!$B$2),2,)</f>
        <v>全力ストレート</v>
      </c>
      <c r="O924">
        <f ca="1">VLOOKUP(N924,球種情報!A:B,2,FALSE)</f>
        <v>2</v>
      </c>
      <c r="P924">
        <f ca="1">VLOOKUP(K924,投手データ!B:AI,output!O924+6,FALSE)</f>
        <v>1</v>
      </c>
      <c r="R924">
        <f t="shared" ca="1" si="73"/>
        <v>6.41025641025641E-3</v>
      </c>
      <c r="S924">
        <f t="shared" si="74"/>
        <v>0.41805555555555551</v>
      </c>
      <c r="T924">
        <f>Prams!B$5/(S924-Prams!B$6)</f>
        <v>172.80793838126596</v>
      </c>
      <c r="U924">
        <f t="shared" ca="1" si="75"/>
        <v>0.48472222222222222</v>
      </c>
      <c r="V924">
        <f ca="1">Prams!C$5/(U924-Prams!C$6)</f>
        <v>181.23416175368882</v>
      </c>
      <c r="W924">
        <f t="shared" ca="1" si="76"/>
        <v>1.1617574471390308</v>
      </c>
    </row>
    <row r="925" spans="1:23" hidden="1" x14ac:dyDescent="0.55000000000000004">
      <c r="A925" s="1" t="s">
        <v>2290</v>
      </c>
      <c r="B925" s="1">
        <v>124</v>
      </c>
      <c r="C925">
        <v>641.92498999999998</v>
      </c>
      <c r="D925">
        <v>622</v>
      </c>
      <c r="E925">
        <v>10.12462</v>
      </c>
      <c r="F925" t="s">
        <v>343</v>
      </c>
      <c r="G925" s="10" t="s">
        <v>2271</v>
      </c>
      <c r="H925">
        <v>98</v>
      </c>
      <c r="I925" t="s">
        <v>1881</v>
      </c>
      <c r="J925">
        <f ca="1">VLOOKUP(G925,INDIRECT("球速変換!A$1:B$" &amp; Prams!$B$8),2,)</f>
        <v>157</v>
      </c>
      <c r="K925" t="str">
        <f ca="1">VLOOKUP(I925,INDIRECT("投手名変換!A$1:B$" &amp; Prams!$B$9),2,)</f>
        <v>DD006</v>
      </c>
      <c r="L925">
        <f t="shared" si="77"/>
        <v>26</v>
      </c>
      <c r="M925">
        <f ca="1">(B925-VLOOKUP(K925,INDIRECT("投手データ!B1:D"&amp;Prams!$B$1),3,FALSE)*2)</f>
        <v>30</v>
      </c>
      <c r="N925" t="str">
        <f ca="1">VLOOKUP(F925,INDIRECT("球種変換表!A$1:B$" &amp; Prams!$B$2),2,)</f>
        <v>全力ストレート</v>
      </c>
      <c r="O925">
        <f ca="1">VLOOKUP(N925,球種情報!A:B,2,FALSE)</f>
        <v>2</v>
      </c>
      <c r="P925">
        <f ca="1">VLOOKUP(K925,投手データ!B:AI,output!O925+6,FALSE)</f>
        <v>1</v>
      </c>
      <c r="R925">
        <f t="shared" ca="1" si="73"/>
        <v>6.369426751592357E-3</v>
      </c>
      <c r="S925">
        <f t="shared" si="74"/>
        <v>0.41805555555555551</v>
      </c>
      <c r="T925">
        <f>Prams!B$5/(S925-Prams!B$6)</f>
        <v>172.80793838126596</v>
      </c>
      <c r="U925">
        <f t="shared" ca="1" si="75"/>
        <v>0.48472222222222222</v>
      </c>
      <c r="V925">
        <f ca="1">Prams!C$5/(U925-Prams!C$6)</f>
        <v>181.23416175368882</v>
      </c>
      <c r="W925">
        <f t="shared" ca="1" si="76"/>
        <v>1.154357718176362</v>
      </c>
    </row>
    <row r="926" spans="1:23" hidden="1" x14ac:dyDescent="0.55000000000000004">
      <c r="A926" s="1" t="s">
        <v>2291</v>
      </c>
      <c r="B926" s="1">
        <v>142</v>
      </c>
      <c r="C926">
        <v>653.04998999999998</v>
      </c>
      <c r="D926">
        <v>610.5</v>
      </c>
      <c r="E926">
        <v>10.06254</v>
      </c>
      <c r="F926" t="s">
        <v>346</v>
      </c>
      <c r="G926" s="10" t="s">
        <v>629</v>
      </c>
      <c r="H926">
        <v>101</v>
      </c>
      <c r="I926" t="s">
        <v>1881</v>
      </c>
      <c r="J926">
        <f ca="1">VLOOKUP(G926,INDIRECT("球速変換!A$1:B$" &amp; Prams!$B$8),2,)</f>
        <v>121</v>
      </c>
      <c r="K926" t="str">
        <f ca="1">VLOOKUP(I926,INDIRECT("投手名変換!A$1:B$" &amp; Prams!$B$9),2,)</f>
        <v>DD006</v>
      </c>
      <c r="L926">
        <f t="shared" si="77"/>
        <v>41</v>
      </c>
      <c r="M926">
        <f ca="1">(B926-VLOOKUP(K926,INDIRECT("投手データ!B1:D"&amp;Prams!$B$1),3,FALSE)*2)</f>
        <v>48</v>
      </c>
      <c r="N926" t="str">
        <f ca="1">VLOOKUP(F926,INDIRECT("球種変換表!A$1:B$" &amp; Prams!$B$2),2,)</f>
        <v>カーブ</v>
      </c>
      <c r="O926">
        <f ca="1">VLOOKUP(N926,球種情報!A:B,2,FALSE)</f>
        <v>9</v>
      </c>
      <c r="P926">
        <f ca="1">VLOOKUP(K926,投手データ!B:AI,output!O926+6,FALSE)</f>
        <v>4</v>
      </c>
      <c r="R926">
        <f t="shared" ca="1" si="73"/>
        <v>8.2644628099173556E-3</v>
      </c>
      <c r="S926">
        <f t="shared" si="74"/>
        <v>0.67604166666666665</v>
      </c>
      <c r="T926">
        <f>Prams!B$5/(S926-Prams!B$6)</f>
        <v>100.4041196930531</v>
      </c>
      <c r="U926">
        <f t="shared" ca="1" si="75"/>
        <v>0.79270833333333335</v>
      </c>
      <c r="V926">
        <f ca="1">Prams!C$5/(U926-Prams!C$6)</f>
        <v>95.242961498465831</v>
      </c>
      <c r="W926">
        <f t="shared" ca="1" si="76"/>
        <v>0.78713191321046139</v>
      </c>
    </row>
    <row r="927" spans="1:23" hidden="1" x14ac:dyDescent="0.55000000000000004">
      <c r="A927" s="1" t="s">
        <v>2292</v>
      </c>
      <c r="B927" s="1">
        <v>143</v>
      </c>
      <c r="C927">
        <v>649.95001000000002</v>
      </c>
      <c r="D927">
        <v>613.5</v>
      </c>
      <c r="E927">
        <v>10.062519999999999</v>
      </c>
      <c r="F927" t="s">
        <v>347</v>
      </c>
      <c r="G927" s="10" t="s">
        <v>625</v>
      </c>
      <c r="H927">
        <v>101</v>
      </c>
      <c r="I927" t="s">
        <v>1881</v>
      </c>
      <c r="J927">
        <f ca="1">VLOOKUP(G927,INDIRECT("球速変換!A$1:B$" &amp; Prams!$B$8),2,)</f>
        <v>123</v>
      </c>
      <c r="K927" t="str">
        <f ca="1">VLOOKUP(I927,INDIRECT("投手名変換!A$1:B$" &amp; Prams!$B$9),2,)</f>
        <v>DD006</v>
      </c>
      <c r="L927">
        <f t="shared" si="77"/>
        <v>42</v>
      </c>
      <c r="M927">
        <f ca="1">(B927-VLOOKUP(K927,INDIRECT("投手データ!B1:D"&amp;Prams!$B$1),3,FALSE)*2)</f>
        <v>49</v>
      </c>
      <c r="N927" t="str">
        <f ca="1">VLOOKUP(F927,INDIRECT("球種変換表!A$1:B$" &amp; Prams!$B$2),2,)</f>
        <v>カーブ</v>
      </c>
      <c r="O927">
        <f ca="1">VLOOKUP(N927,球種情報!A:B,2,FALSE)</f>
        <v>9</v>
      </c>
      <c r="P927">
        <f ca="1">VLOOKUP(K927,投手データ!B:AI,output!O927+6,FALSE)</f>
        <v>4</v>
      </c>
      <c r="R927">
        <f t="shared" ca="1" si="73"/>
        <v>8.130081300813009E-3</v>
      </c>
      <c r="S927">
        <f t="shared" si="74"/>
        <v>0.69062500000000004</v>
      </c>
      <c r="T927">
        <f>Prams!B$5/(S927-Prams!B$6)</f>
        <v>98.081148613810328</v>
      </c>
      <c r="U927">
        <f t="shared" ca="1" si="75"/>
        <v>0.80729166666666663</v>
      </c>
      <c r="V927">
        <f ca="1">Prams!C$5/(U927-Prams!C$6)</f>
        <v>93.150182690255278</v>
      </c>
      <c r="W927">
        <f t="shared" ca="1" si="76"/>
        <v>0.75731855845735996</v>
      </c>
    </row>
    <row r="928" spans="1:23" hidden="1" x14ac:dyDescent="0.55000000000000004">
      <c r="A928" s="1" t="s">
        <v>2294</v>
      </c>
      <c r="B928" s="1">
        <v>142</v>
      </c>
      <c r="C928">
        <v>647</v>
      </c>
      <c r="D928">
        <v>600.5</v>
      </c>
      <c r="E928">
        <v>10.012589999999999</v>
      </c>
      <c r="F928" t="s">
        <v>346</v>
      </c>
      <c r="G928" s="10" t="s">
        <v>623</v>
      </c>
      <c r="H928">
        <v>101</v>
      </c>
      <c r="I928" t="s">
        <v>2293</v>
      </c>
      <c r="J928">
        <f ca="1">VLOOKUP(G928,INDIRECT("球速変換!A$1:B$" &amp; Prams!$B$8),2,)</f>
        <v>120</v>
      </c>
      <c r="K928" t="s">
        <v>1900</v>
      </c>
      <c r="L928">
        <f t="shared" si="77"/>
        <v>41</v>
      </c>
      <c r="M928">
        <f ca="1">(B928-VLOOKUP(K928,INDIRECT("投手データ!B1:D"&amp;Prams!$B$1),3,FALSE)*2)</f>
        <v>48</v>
      </c>
      <c r="N928" t="str">
        <f ca="1">VLOOKUP(F928,INDIRECT("球種変換表!A$1:B$" &amp; Prams!$B$2),2,)</f>
        <v>カーブ</v>
      </c>
      <c r="O928">
        <f ca="1">VLOOKUP(N928,球種情報!A:B,2,FALSE)</f>
        <v>9</v>
      </c>
      <c r="P928">
        <f ca="1">VLOOKUP(K928,投手データ!B:AI,output!O928+6,FALSE)</f>
        <v>4</v>
      </c>
      <c r="R928">
        <f t="shared" ca="1" si="73"/>
        <v>8.3333333333333332E-3</v>
      </c>
      <c r="S928">
        <f t="shared" si="74"/>
        <v>0.68298611111111107</v>
      </c>
      <c r="T928">
        <f>Prams!B$5/(S928-Prams!B$6)</f>
        <v>99.284372811341555</v>
      </c>
      <c r="U928">
        <f t="shared" ca="1" si="75"/>
        <v>0.79965277777777777</v>
      </c>
      <c r="V928">
        <f ca="1">Prams!C$5/(U928-Prams!C$6)</f>
        <v>94.234796489103601</v>
      </c>
      <c r="W928">
        <f t="shared" ca="1" si="76"/>
        <v>0.78528997074253004</v>
      </c>
    </row>
    <row r="929" spans="1:23" hidden="1" x14ac:dyDescent="0.55000000000000004">
      <c r="A929" s="1" t="s">
        <v>2295</v>
      </c>
      <c r="B929" s="1">
        <v>143</v>
      </c>
      <c r="C929">
        <v>655</v>
      </c>
      <c r="D929">
        <v>611.5</v>
      </c>
      <c r="E929">
        <v>11.01146</v>
      </c>
      <c r="F929" t="s">
        <v>346</v>
      </c>
      <c r="G929" s="10" t="s">
        <v>622</v>
      </c>
      <c r="H929">
        <v>101</v>
      </c>
      <c r="I929" t="s">
        <v>1881</v>
      </c>
      <c r="J929">
        <f ca="1">VLOOKUP(G929,INDIRECT("球速変換!A$1:B$" &amp; Prams!$B$8),2,)</f>
        <v>128</v>
      </c>
      <c r="K929" t="str">
        <f ca="1">VLOOKUP(I929,INDIRECT("投手名変換!A$1:B$" &amp; Prams!$B$9),2,)</f>
        <v>DD006</v>
      </c>
      <c r="L929">
        <f t="shared" si="77"/>
        <v>42</v>
      </c>
      <c r="M929">
        <f ca="1">(B929-VLOOKUP(K929,INDIRECT("投手データ!B1:D"&amp;Prams!$B$1),3,FALSE)*2)</f>
        <v>49</v>
      </c>
      <c r="N929" t="str">
        <f ca="1">VLOOKUP(F929,INDIRECT("球種変換表!A$1:B$" &amp; Prams!$B$2),2,)</f>
        <v>カーブ</v>
      </c>
      <c r="O929">
        <f ca="1">VLOOKUP(N929,球種情報!A:B,2,FALSE)</f>
        <v>9</v>
      </c>
      <c r="P929">
        <f ca="1">VLOOKUP(K929,投手データ!B:AI,output!O929+6,FALSE)</f>
        <v>4</v>
      </c>
      <c r="R929">
        <f t="shared" ca="1" si="73"/>
        <v>7.8125E-3</v>
      </c>
      <c r="S929">
        <f t="shared" si="74"/>
        <v>0.69201388888888893</v>
      </c>
      <c r="T929">
        <f>Prams!B$5/(S929-Prams!B$6)</f>
        <v>97.865506976171531</v>
      </c>
      <c r="U929">
        <f t="shared" ca="1" si="75"/>
        <v>0.80868055555555562</v>
      </c>
      <c r="V929">
        <f ca="1">Prams!C$5/(U929-Prams!C$6)</f>
        <v>92.95565700061394</v>
      </c>
      <c r="W929">
        <f t="shared" ca="1" si="76"/>
        <v>0.7262160703172964</v>
      </c>
    </row>
    <row r="930" spans="1:23" hidden="1" x14ac:dyDescent="0.55000000000000004">
      <c r="A930" s="1" t="s">
        <v>2296</v>
      </c>
      <c r="B930" s="1">
        <v>142</v>
      </c>
      <c r="C930">
        <v>652.52380000000005</v>
      </c>
      <c r="D930">
        <v>608</v>
      </c>
      <c r="E930">
        <v>10.52392</v>
      </c>
      <c r="F930" t="s">
        <v>346</v>
      </c>
      <c r="G930" s="10" t="s">
        <v>2419</v>
      </c>
      <c r="H930">
        <v>101</v>
      </c>
      <c r="I930" t="s">
        <v>1881</v>
      </c>
      <c r="J930">
        <f ca="1">VLOOKUP(G930,INDIRECT("球速変換!A$1:B$" &amp; Prams!$B$8),2,)</f>
        <v>126</v>
      </c>
      <c r="K930" t="str">
        <f ca="1">VLOOKUP(I930,INDIRECT("投手名変換!A$1:B$" &amp; Prams!$B$9),2,)</f>
        <v>DD006</v>
      </c>
      <c r="L930">
        <f t="shared" si="77"/>
        <v>41</v>
      </c>
      <c r="M930">
        <f ca="1">(B930-VLOOKUP(K930,INDIRECT("投手データ!B1:D"&amp;Prams!$B$1),3,FALSE)*2)</f>
        <v>48</v>
      </c>
      <c r="N930" t="str">
        <f ca="1">VLOOKUP(F930,INDIRECT("球種変換表!A$1:B$" &amp; Prams!$B$2),2,)</f>
        <v>カーブ</v>
      </c>
      <c r="O930">
        <f ca="1">VLOOKUP(N930,球種情報!A:B,2,FALSE)</f>
        <v>9</v>
      </c>
      <c r="P930">
        <f ca="1">VLOOKUP(K930,投手データ!B:AI,output!O930+6,FALSE)</f>
        <v>4</v>
      </c>
      <c r="R930">
        <f t="shared" ca="1" si="73"/>
        <v>7.9365079365079361E-3</v>
      </c>
      <c r="S930">
        <f t="shared" si="74"/>
        <v>0.6777777777777777</v>
      </c>
      <c r="T930">
        <f>Prams!B$5/(S930-Prams!B$6)</f>
        <v>100.12182174797115</v>
      </c>
      <c r="U930">
        <f t="shared" ca="1" si="75"/>
        <v>0.7944444444444444</v>
      </c>
      <c r="V930">
        <f ca="1">Prams!C$5/(U930-Prams!C$6)</f>
        <v>94.988903305107911</v>
      </c>
      <c r="W930">
        <f t="shared" ca="1" si="76"/>
        <v>0.75388018496117393</v>
      </c>
    </row>
    <row r="931" spans="1:23" hidden="1" x14ac:dyDescent="0.55000000000000004">
      <c r="A931" s="1" t="s">
        <v>2297</v>
      </c>
      <c r="B931" s="1">
        <v>142</v>
      </c>
      <c r="C931">
        <v>650.5</v>
      </c>
      <c r="D931">
        <v>609</v>
      </c>
      <c r="E931">
        <v>10.547610000000001</v>
      </c>
      <c r="F931" t="s">
        <v>346</v>
      </c>
      <c r="G931" s="10" t="s">
        <v>2420</v>
      </c>
      <c r="H931">
        <v>101</v>
      </c>
      <c r="I931" t="s">
        <v>1881</v>
      </c>
      <c r="J931">
        <f ca="1">VLOOKUP(G931,INDIRECT("球速変換!A$1:B$" &amp; Prams!$B$8),2,)</f>
        <v>127</v>
      </c>
      <c r="K931" t="str">
        <f ca="1">VLOOKUP(I931,INDIRECT("投手名変換!A$1:B$" &amp; Prams!$B$9),2,)</f>
        <v>DD006</v>
      </c>
      <c r="L931">
        <f t="shared" si="77"/>
        <v>41</v>
      </c>
      <c r="M931">
        <f ca="1">(B931-VLOOKUP(K931,INDIRECT("投手データ!B1:D"&amp;Prams!$B$1),3,FALSE)*2)</f>
        <v>48</v>
      </c>
      <c r="N931" t="str">
        <f ca="1">VLOOKUP(F931,INDIRECT("球種変換表!A$1:B$" &amp; Prams!$B$2),2,)</f>
        <v>カーブ</v>
      </c>
      <c r="O931">
        <f ca="1">VLOOKUP(N931,球種情報!A:B,2,FALSE)</f>
        <v>9</v>
      </c>
      <c r="P931">
        <f ca="1">VLOOKUP(K931,投手データ!B:AI,output!O931+6,FALSE)</f>
        <v>4</v>
      </c>
      <c r="R931">
        <f t="shared" ca="1" si="73"/>
        <v>7.874015748031496E-3</v>
      </c>
      <c r="S931">
        <f t="shared" si="74"/>
        <v>0.67708333333333337</v>
      </c>
      <c r="T931">
        <f>Prams!B$5/(S931-Prams!B$6)</f>
        <v>100.2345502202286</v>
      </c>
      <c r="U931">
        <f t="shared" ca="1" si="75"/>
        <v>0.79374999999999996</v>
      </c>
      <c r="V931">
        <f ca="1">Prams!C$5/(U931-Prams!C$6)</f>
        <v>95.090363762208725</v>
      </c>
      <c r="W931">
        <f t="shared" ca="1" si="76"/>
        <v>0.748743021749675</v>
      </c>
    </row>
    <row r="932" spans="1:23" hidden="1" x14ac:dyDescent="0.55000000000000004">
      <c r="A932" s="1" t="s">
        <v>2299</v>
      </c>
      <c r="B932" s="1">
        <v>142</v>
      </c>
      <c r="C932">
        <v>650.5</v>
      </c>
      <c r="D932">
        <v>606</v>
      </c>
      <c r="E932">
        <v>10.547610000000001</v>
      </c>
      <c r="F932" t="s">
        <v>346</v>
      </c>
      <c r="G932" s="10" t="s">
        <v>2298</v>
      </c>
      <c r="H932">
        <v>101</v>
      </c>
      <c r="I932" t="s">
        <v>1881</v>
      </c>
      <c r="J932">
        <f ca="1">VLOOKUP(G932,INDIRECT("球速変換!A$1:B$" &amp; Prams!$B$8),2,)</f>
        <v>126</v>
      </c>
      <c r="K932" t="str">
        <f ca="1">VLOOKUP(I932,INDIRECT("投手名変換!A$1:B$" &amp; Prams!$B$9),2,)</f>
        <v>DD006</v>
      </c>
      <c r="L932">
        <f t="shared" si="77"/>
        <v>41</v>
      </c>
      <c r="M932">
        <f ca="1">(B932-VLOOKUP(K932,INDIRECT("投手データ!B1:D"&amp;Prams!$B$1),3,FALSE)*2)</f>
        <v>48</v>
      </c>
      <c r="N932" t="str">
        <f ca="1">VLOOKUP(F932,INDIRECT("球種変換表!A$1:B$" &amp; Prams!$B$2),2,)</f>
        <v>カーブ</v>
      </c>
      <c r="O932">
        <f ca="1">VLOOKUP(N932,球種情報!A:B,2,FALSE)</f>
        <v>9</v>
      </c>
      <c r="P932">
        <f ca="1">VLOOKUP(K932,投手データ!B:AI,output!O932+6,FALSE)</f>
        <v>4</v>
      </c>
      <c r="R932">
        <f t="shared" ca="1" si="73"/>
        <v>7.9365079365079361E-3</v>
      </c>
      <c r="S932">
        <f t="shared" si="74"/>
        <v>0.6791666666666667</v>
      </c>
      <c r="T932">
        <f>Prams!B$5/(S932-Prams!B$6)</f>
        <v>99.897123774641813</v>
      </c>
      <c r="U932">
        <f t="shared" ca="1" si="75"/>
        <v>0.79583333333333328</v>
      </c>
      <c r="V932">
        <f ca="1">Prams!C$5/(U932-Prams!C$6)</f>
        <v>94.786630551438662</v>
      </c>
      <c r="W932">
        <f t="shared" ca="1" si="76"/>
        <v>0.75227484564633862</v>
      </c>
    </row>
    <row r="933" spans="1:23" hidden="1" x14ac:dyDescent="0.55000000000000004">
      <c r="A933" s="1" t="s">
        <v>2300</v>
      </c>
      <c r="B933" s="1">
        <v>143</v>
      </c>
      <c r="C933">
        <v>660</v>
      </c>
      <c r="D933">
        <v>611.5</v>
      </c>
      <c r="E933">
        <v>11.01146</v>
      </c>
      <c r="F933" t="s">
        <v>346</v>
      </c>
      <c r="G933" s="10" t="s">
        <v>1437</v>
      </c>
      <c r="H933">
        <v>101</v>
      </c>
      <c r="I933" t="s">
        <v>1881</v>
      </c>
      <c r="J933">
        <f ca="1">VLOOKUP(G933,INDIRECT("球速変換!A$1:B$" &amp; Prams!$B$8),2,)</f>
        <v>124</v>
      </c>
      <c r="K933" t="str">
        <f ca="1">VLOOKUP(I933,INDIRECT("投手名変換!A$1:B$" &amp; Prams!$B$9),2,)</f>
        <v>DD006</v>
      </c>
      <c r="L933">
        <f t="shared" si="77"/>
        <v>42</v>
      </c>
      <c r="M933">
        <f ca="1">(B933-VLOOKUP(K933,INDIRECT("投手データ!B1:D"&amp;Prams!$B$1),3,FALSE)*2)</f>
        <v>49</v>
      </c>
      <c r="N933" t="str">
        <f ca="1">VLOOKUP(F933,INDIRECT("球種変換表!A$1:B$" &amp; Prams!$B$2),2,)</f>
        <v>カーブ</v>
      </c>
      <c r="O933">
        <f ca="1">VLOOKUP(N933,球種情報!A:B,2,FALSE)</f>
        <v>9</v>
      </c>
      <c r="P933">
        <f ca="1">VLOOKUP(K933,投手データ!B:AI,output!O933+6,FALSE)</f>
        <v>4</v>
      </c>
      <c r="R933">
        <f t="shared" ca="1" si="73"/>
        <v>8.0645161290322578E-3</v>
      </c>
      <c r="S933">
        <f t="shared" si="74"/>
        <v>0.69201388888888893</v>
      </c>
      <c r="T933">
        <f>Prams!B$5/(S933-Prams!B$6)</f>
        <v>97.865506976171531</v>
      </c>
      <c r="U933">
        <f t="shared" ca="1" si="75"/>
        <v>0.80868055555555562</v>
      </c>
      <c r="V933">
        <f ca="1">Prams!C$5/(U933-Prams!C$6)</f>
        <v>92.95565700061394</v>
      </c>
      <c r="W933">
        <f t="shared" ca="1" si="76"/>
        <v>0.74964239516624143</v>
      </c>
    </row>
    <row r="934" spans="1:23" hidden="1" x14ac:dyDescent="0.55000000000000004">
      <c r="A934" s="1" t="s">
        <v>2302</v>
      </c>
      <c r="B934" s="1">
        <v>143</v>
      </c>
      <c r="C934">
        <v>654.5</v>
      </c>
      <c r="D934">
        <v>611.5</v>
      </c>
      <c r="E934">
        <v>10.512</v>
      </c>
      <c r="F934" t="s">
        <v>346</v>
      </c>
      <c r="G934" s="10" t="s">
        <v>622</v>
      </c>
      <c r="H934">
        <v>101</v>
      </c>
      <c r="I934" t="s">
        <v>2301</v>
      </c>
      <c r="J934">
        <f ca="1">VLOOKUP(G934,INDIRECT("球速変換!A$1:B$" &amp; Prams!$B$8),2,)</f>
        <v>128</v>
      </c>
      <c r="K934" t="s">
        <v>1900</v>
      </c>
      <c r="L934">
        <f t="shared" si="77"/>
        <v>42</v>
      </c>
      <c r="M934">
        <f ca="1">(B934-VLOOKUP(K934,INDIRECT("投手データ!B1:D"&amp;Prams!$B$1),3,FALSE)*2)</f>
        <v>49</v>
      </c>
      <c r="N934" t="str">
        <f ca="1">VLOOKUP(F934,INDIRECT("球種変換表!A$1:B$" &amp; Prams!$B$2),2,)</f>
        <v>カーブ</v>
      </c>
      <c r="O934">
        <f ca="1">VLOOKUP(N934,球種情報!A:B,2,FALSE)</f>
        <v>9</v>
      </c>
      <c r="P934">
        <f ca="1">VLOOKUP(K934,投手データ!B:AI,output!O934+6,FALSE)</f>
        <v>4</v>
      </c>
      <c r="R934">
        <f t="shared" ca="1" si="73"/>
        <v>7.8125E-3</v>
      </c>
      <c r="S934">
        <f t="shared" si="74"/>
        <v>0.69201388888888893</v>
      </c>
      <c r="T934">
        <f>Prams!B$5/(S934-Prams!B$6)</f>
        <v>97.865506976171531</v>
      </c>
      <c r="U934">
        <f t="shared" ca="1" si="75"/>
        <v>0.80868055555555562</v>
      </c>
      <c r="V934">
        <f ca="1">Prams!C$5/(U934-Prams!C$6)</f>
        <v>92.95565700061394</v>
      </c>
      <c r="W934">
        <f t="shared" ca="1" si="76"/>
        <v>0.7262160703172964</v>
      </c>
    </row>
    <row r="935" spans="1:23" hidden="1" x14ac:dyDescent="0.55000000000000004">
      <c r="A935" s="1" t="s">
        <v>2303</v>
      </c>
      <c r="B935" s="1">
        <v>143</v>
      </c>
      <c r="C935">
        <v>652.5</v>
      </c>
      <c r="D935">
        <v>608.5</v>
      </c>
      <c r="E935">
        <v>10.512</v>
      </c>
      <c r="F935" t="s">
        <v>347</v>
      </c>
      <c r="G935" s="10" t="s">
        <v>2424</v>
      </c>
      <c r="H935">
        <v>101</v>
      </c>
      <c r="I935" t="s">
        <v>1881</v>
      </c>
      <c r="J935">
        <f ca="1">VLOOKUP(G935,INDIRECT("球速変換!A$1:B$" &amp; Prams!$B$8),2,)</f>
        <v>123</v>
      </c>
      <c r="K935" t="str">
        <f ca="1">VLOOKUP(I935,INDIRECT("投手名変換!A$1:B$" &amp; Prams!$B$9),2,)</f>
        <v>DD006</v>
      </c>
      <c r="L935">
        <f t="shared" si="77"/>
        <v>42</v>
      </c>
      <c r="M935">
        <f ca="1">(B935-VLOOKUP(K935,INDIRECT("投手データ!B1:D"&amp;Prams!$B$1),3,FALSE)*2)</f>
        <v>49</v>
      </c>
      <c r="N935" t="str">
        <f ca="1">VLOOKUP(F935,INDIRECT("球種変換表!A$1:B$" &amp; Prams!$B$2),2,)</f>
        <v>カーブ</v>
      </c>
      <c r="O935">
        <f ca="1">VLOOKUP(N935,球種情報!A:B,2,FALSE)</f>
        <v>9</v>
      </c>
      <c r="P935">
        <f ca="1">VLOOKUP(K935,投手データ!B:AI,output!O935+6,FALSE)</f>
        <v>4</v>
      </c>
      <c r="R935">
        <f t="shared" ca="1" si="73"/>
        <v>8.130081300813009E-3</v>
      </c>
      <c r="S935">
        <f t="shared" si="74"/>
        <v>0.69409722222222225</v>
      </c>
      <c r="T935">
        <f>Prams!B$5/(S935-Prams!B$6)</f>
        <v>97.543816590479778</v>
      </c>
      <c r="U935">
        <f t="shared" ca="1" si="75"/>
        <v>0.81076388888888895</v>
      </c>
      <c r="V935">
        <f ca="1">Prams!C$5/(U935-Prams!C$6)</f>
        <v>92.665387065480331</v>
      </c>
      <c r="W935">
        <f t="shared" ca="1" si="76"/>
        <v>0.75337713061366118</v>
      </c>
    </row>
    <row r="936" spans="1:23" hidden="1" x14ac:dyDescent="0.55000000000000004">
      <c r="A936" s="1" t="s">
        <v>2304</v>
      </c>
      <c r="B936" s="1">
        <v>133</v>
      </c>
      <c r="C936">
        <v>645.04998999999998</v>
      </c>
      <c r="D936">
        <v>610.5</v>
      </c>
      <c r="E936">
        <v>10.06254</v>
      </c>
      <c r="F936" t="s">
        <v>43</v>
      </c>
      <c r="G936" s="10" t="s">
        <v>2416</v>
      </c>
      <c r="H936">
        <v>101</v>
      </c>
      <c r="I936" t="s">
        <v>1881</v>
      </c>
      <c r="J936">
        <f ca="1">VLOOKUP(G936,INDIRECT("球速変換!A$1:B$" &amp; Prams!$B$8),2,)</f>
        <v>140</v>
      </c>
      <c r="K936" t="str">
        <f ca="1">VLOOKUP(I936,INDIRECT("投手名変換!A$1:B$" &amp; Prams!$B$9),2,)</f>
        <v>DD006</v>
      </c>
      <c r="L936">
        <f t="shared" si="77"/>
        <v>32</v>
      </c>
      <c r="M936">
        <f ca="1">(B936-VLOOKUP(K936,INDIRECT("投手データ!B1:D"&amp;Prams!$B$1),3,FALSE)*2)</f>
        <v>39</v>
      </c>
      <c r="N936" t="str">
        <f ca="1">VLOOKUP(F936,INDIRECT("球種変換表!A$1:B$" &amp; Prams!$B$2),2,)</f>
        <v>Vスライダー</v>
      </c>
      <c r="O936">
        <f ca="1">VLOOKUP(N936,球種情報!A:B,2,FALSE)</f>
        <v>19</v>
      </c>
      <c r="P936">
        <f ca="1">VLOOKUP(K936,投手データ!B:AI,output!O936+6,FALSE)</f>
        <v>5</v>
      </c>
      <c r="R936">
        <f t="shared" ca="1" si="73"/>
        <v>7.1428571428571426E-3</v>
      </c>
      <c r="S936">
        <f t="shared" si="74"/>
        <v>0.52604166666666663</v>
      </c>
      <c r="T936">
        <f>Prams!B$5/(S936-Prams!B$6)</f>
        <v>132.74096870582764</v>
      </c>
      <c r="U936">
        <f t="shared" ca="1" si="75"/>
        <v>0.64270833333333333</v>
      </c>
      <c r="V936">
        <f ca="1">Prams!C$5/(U936-Prams!C$6)</f>
        <v>123.86689596446998</v>
      </c>
      <c r="W936">
        <f t="shared" ca="1" si="76"/>
        <v>0.88476354260335699</v>
      </c>
    </row>
    <row r="937" spans="1:23" hidden="1" x14ac:dyDescent="0.55000000000000004">
      <c r="A937" s="1" t="s">
        <v>2305</v>
      </c>
      <c r="B937" s="1">
        <v>133</v>
      </c>
      <c r="C937">
        <v>637.55260999999996</v>
      </c>
      <c r="D937">
        <v>615.5</v>
      </c>
      <c r="E937">
        <v>9.5658300000000001</v>
      </c>
      <c r="F937" t="s">
        <v>43</v>
      </c>
      <c r="G937" s="10" t="s">
        <v>581</v>
      </c>
      <c r="H937">
        <v>101</v>
      </c>
      <c r="I937" t="s">
        <v>1881</v>
      </c>
      <c r="J937">
        <f ca="1">VLOOKUP(G937,INDIRECT("球速変換!A$1:B$" &amp; Prams!$B$8),2,)</f>
        <v>142</v>
      </c>
      <c r="K937" t="str">
        <f ca="1">VLOOKUP(I937,INDIRECT("投手名変換!A$1:B$" &amp; Prams!$B$9),2,)</f>
        <v>DD006</v>
      </c>
      <c r="L937">
        <f t="shared" si="77"/>
        <v>32</v>
      </c>
      <c r="M937">
        <f ca="1">(B937-VLOOKUP(K937,INDIRECT("投手データ!B1:D"&amp;Prams!$B$1),3,FALSE)*2)</f>
        <v>39</v>
      </c>
      <c r="N937" t="str">
        <f ca="1">VLOOKUP(F937,INDIRECT("球種変換表!A$1:B$" &amp; Prams!$B$2),2,)</f>
        <v>Vスライダー</v>
      </c>
      <c r="O937">
        <f ca="1">VLOOKUP(N937,球種情報!A:B,2,FALSE)</f>
        <v>19</v>
      </c>
      <c r="P937">
        <f ca="1">VLOOKUP(K937,投手データ!B:AI,output!O937+6,FALSE)</f>
        <v>5</v>
      </c>
      <c r="R937">
        <f t="shared" ca="1" si="73"/>
        <v>7.0422535211267607E-3</v>
      </c>
      <c r="S937">
        <f t="shared" si="74"/>
        <v>0.52256944444444442</v>
      </c>
      <c r="T937">
        <f>Prams!B$5/(S937-Prams!B$6)</f>
        <v>133.73801955329085</v>
      </c>
      <c r="U937">
        <f t="shared" ca="1" si="75"/>
        <v>0.63923611111111112</v>
      </c>
      <c r="V937">
        <f ca="1">Prams!C$5/(U937-Prams!C$6)</f>
        <v>124.73465636191426</v>
      </c>
      <c r="W937">
        <f t="shared" ca="1" si="76"/>
        <v>0.87841307297122717</v>
      </c>
    </row>
    <row r="938" spans="1:23" hidden="1" x14ac:dyDescent="0.55000000000000004">
      <c r="A938" s="1" t="s">
        <v>2306</v>
      </c>
      <c r="B938" s="1">
        <v>133</v>
      </c>
      <c r="C938">
        <v>638</v>
      </c>
      <c r="D938">
        <v>606.5</v>
      </c>
      <c r="E938">
        <v>10.012589999999999</v>
      </c>
      <c r="F938" t="s">
        <v>43</v>
      </c>
      <c r="G938" s="10" t="s">
        <v>2417</v>
      </c>
      <c r="H938">
        <v>101</v>
      </c>
      <c r="I938" t="s">
        <v>1881</v>
      </c>
      <c r="J938">
        <f ca="1">VLOOKUP(G938,INDIRECT("球速変換!A$1:B$" &amp; Prams!$B$8),2,)</f>
        <v>139</v>
      </c>
      <c r="K938" t="str">
        <f ca="1">VLOOKUP(I938,INDIRECT("投手名変換!A$1:B$" &amp; Prams!$B$9),2,)</f>
        <v>DD006</v>
      </c>
      <c r="L938">
        <f t="shared" si="77"/>
        <v>32</v>
      </c>
      <c r="M938">
        <f ca="1">(B938-VLOOKUP(K938,INDIRECT("投手データ!B1:D"&amp;Prams!$B$1),3,FALSE)*2)</f>
        <v>39</v>
      </c>
      <c r="N938" t="str">
        <f ca="1">VLOOKUP(F938,INDIRECT("球種変換表!A$1:B$" &amp; Prams!$B$2),2,)</f>
        <v>Vスライダー</v>
      </c>
      <c r="O938">
        <f ca="1">VLOOKUP(N938,球種情報!A:B,2,FALSE)</f>
        <v>19</v>
      </c>
      <c r="P938">
        <f ca="1">VLOOKUP(K938,投手データ!B:AI,output!O938+6,FALSE)</f>
        <v>5</v>
      </c>
      <c r="R938">
        <f t="shared" ca="1" si="73"/>
        <v>7.1942446043165471E-3</v>
      </c>
      <c r="S938">
        <f t="shared" si="74"/>
        <v>0.52881944444444451</v>
      </c>
      <c r="T938">
        <f>Prams!B$5/(S938-Prams!B$6)</f>
        <v>131.95396847041803</v>
      </c>
      <c r="U938">
        <f t="shared" ca="1" si="75"/>
        <v>0.64548611111111109</v>
      </c>
      <c r="V938">
        <f ca="1">Prams!C$5/(U938-Prams!C$6)</f>
        <v>123.18133263965377</v>
      </c>
      <c r="W938">
        <f t="shared" ca="1" si="76"/>
        <v>0.88619663769535084</v>
      </c>
    </row>
    <row r="939" spans="1:23" hidden="1" x14ac:dyDescent="0.55000000000000004">
      <c r="A939" s="1" t="s">
        <v>2308</v>
      </c>
      <c r="B939" s="1">
        <v>133</v>
      </c>
      <c r="C939">
        <v>640.5</v>
      </c>
      <c r="D939">
        <v>612.5</v>
      </c>
      <c r="E939">
        <v>10.512</v>
      </c>
      <c r="F939" t="s">
        <v>43</v>
      </c>
      <c r="G939" s="10" t="s">
        <v>2307</v>
      </c>
      <c r="H939">
        <v>101</v>
      </c>
      <c r="I939" t="s">
        <v>1881</v>
      </c>
      <c r="J939">
        <f ca="1">VLOOKUP(G939,INDIRECT("球速変換!A$1:B$" &amp; Prams!$B$8),2,)</f>
        <v>145</v>
      </c>
      <c r="K939" t="str">
        <f ca="1">VLOOKUP(I939,INDIRECT("投手名変換!A$1:B$" &amp; Prams!$B$9),2,)</f>
        <v>DD006</v>
      </c>
      <c r="L939">
        <f t="shared" si="77"/>
        <v>32</v>
      </c>
      <c r="M939">
        <f ca="1">(B939-VLOOKUP(K939,INDIRECT("投手データ!B1:D"&amp;Prams!$B$1),3,FALSE)*2)</f>
        <v>39</v>
      </c>
      <c r="N939" t="str">
        <f ca="1">VLOOKUP(F939,INDIRECT("球種変換表!A$1:B$" &amp; Prams!$B$2),2,)</f>
        <v>Vスライダー</v>
      </c>
      <c r="O939">
        <f ca="1">VLOOKUP(N939,球種情報!A:B,2,FALSE)</f>
        <v>19</v>
      </c>
      <c r="P939">
        <f ca="1">VLOOKUP(K939,投手データ!B:AI,output!O939+6,FALSE)</f>
        <v>5</v>
      </c>
      <c r="R939">
        <f t="shared" ca="1" si="73"/>
        <v>6.8965517241379309E-3</v>
      </c>
      <c r="S939">
        <f t="shared" si="74"/>
        <v>0.52465277777777775</v>
      </c>
      <c r="T939">
        <f>Prams!B$5/(S939-Prams!B$6)</f>
        <v>133.1379997248261</v>
      </c>
      <c r="U939">
        <f t="shared" ca="1" si="75"/>
        <v>0.64131944444444444</v>
      </c>
      <c r="V939">
        <f ca="1">Prams!C$5/(U939-Prams!C$6)</f>
        <v>124.21254722930701</v>
      </c>
      <c r="W939">
        <f t="shared" ca="1" si="76"/>
        <v>0.85663825675384142</v>
      </c>
    </row>
    <row r="940" spans="1:23" hidden="1" x14ac:dyDescent="0.55000000000000004">
      <c r="A940" s="1" t="s">
        <v>2309</v>
      </c>
      <c r="B940" s="1">
        <v>133</v>
      </c>
      <c r="C940">
        <v>639.5</v>
      </c>
      <c r="D940">
        <v>615</v>
      </c>
      <c r="E940">
        <v>11.5001</v>
      </c>
      <c r="F940" t="s">
        <v>43</v>
      </c>
      <c r="G940" s="10" t="s">
        <v>581</v>
      </c>
      <c r="H940">
        <v>101</v>
      </c>
      <c r="I940" t="s">
        <v>1881</v>
      </c>
      <c r="J940">
        <f ca="1">VLOOKUP(G940,INDIRECT("球速変換!A$1:B$" &amp; Prams!$B$8),2,)</f>
        <v>142</v>
      </c>
      <c r="K940" t="str">
        <f ca="1">VLOOKUP(I940,INDIRECT("投手名変換!A$1:B$" &amp; Prams!$B$9),2,)</f>
        <v>DD006</v>
      </c>
      <c r="L940">
        <f t="shared" si="77"/>
        <v>32</v>
      </c>
      <c r="M940">
        <f ca="1">(B940-VLOOKUP(K940,INDIRECT("投手データ!B1:D"&amp;Prams!$B$1),3,FALSE)*2)</f>
        <v>39</v>
      </c>
      <c r="N940" t="str">
        <f ca="1">VLOOKUP(F940,INDIRECT("球種変換表!A$1:B$" &amp; Prams!$B$2),2,)</f>
        <v>Vスライダー</v>
      </c>
      <c r="O940">
        <f ca="1">VLOOKUP(N940,球種情報!A:B,2,FALSE)</f>
        <v>19</v>
      </c>
      <c r="P940">
        <f ca="1">VLOOKUP(K940,投手データ!B:AI,output!O940+6,FALSE)</f>
        <v>5</v>
      </c>
      <c r="R940">
        <f t="shared" ca="1" si="73"/>
        <v>7.0422535211267607E-3</v>
      </c>
      <c r="S940">
        <f t="shared" si="74"/>
        <v>0.5229166666666667</v>
      </c>
      <c r="T940">
        <f>Prams!B$5/(S940-Prams!B$6)</f>
        <v>133.63764095543468</v>
      </c>
      <c r="U940">
        <f t="shared" ca="1" si="75"/>
        <v>0.63958333333333328</v>
      </c>
      <c r="V940">
        <f ca="1">Prams!C$5/(U940-Prams!C$6)</f>
        <v>124.6473335797574</v>
      </c>
      <c r="W940">
        <f t="shared" ca="1" si="76"/>
        <v>0.87779812380110844</v>
      </c>
    </row>
    <row r="941" spans="1:23" hidden="1" x14ac:dyDescent="0.55000000000000004">
      <c r="A941" s="1" t="s">
        <v>2311</v>
      </c>
      <c r="B941" s="1">
        <v>133</v>
      </c>
      <c r="C941">
        <v>637.5</v>
      </c>
      <c r="D941">
        <v>604.5</v>
      </c>
      <c r="E941">
        <v>9.6177899999999994</v>
      </c>
      <c r="F941" t="s">
        <v>43</v>
      </c>
      <c r="G941" s="10" t="s">
        <v>824</v>
      </c>
      <c r="H941">
        <v>101</v>
      </c>
      <c r="I941" t="s">
        <v>2310</v>
      </c>
      <c r="J941">
        <f ca="1">VLOOKUP(G941,INDIRECT("球速変換!A$1:B$" &amp; Prams!$B$8),2,)</f>
        <v>139</v>
      </c>
      <c r="K941" t="s">
        <v>1900</v>
      </c>
      <c r="L941">
        <f t="shared" si="77"/>
        <v>32</v>
      </c>
      <c r="M941">
        <f ca="1">(B941-VLOOKUP(K941,INDIRECT("投手データ!B1:D"&amp;Prams!$B$1),3,FALSE)*2)</f>
        <v>39</v>
      </c>
      <c r="N941" t="str">
        <f ca="1">VLOOKUP(F941,INDIRECT("球種変換表!A$1:B$" &amp; Prams!$B$2),2,)</f>
        <v>Vスライダー</v>
      </c>
      <c r="O941">
        <f ca="1">VLOOKUP(N941,球種情報!A:B,2,FALSE)</f>
        <v>19</v>
      </c>
      <c r="P941">
        <f ca="1">VLOOKUP(K941,投手データ!B:AI,output!O941+6,FALSE)</f>
        <v>5</v>
      </c>
      <c r="R941">
        <f t="shared" ca="1" si="73"/>
        <v>7.1942446043165471E-3</v>
      </c>
      <c r="S941">
        <f t="shared" si="74"/>
        <v>0.53020833333333328</v>
      </c>
      <c r="T941">
        <f>Prams!B$5/(S941-Prams!B$6)</f>
        <v>131.56395750944336</v>
      </c>
      <c r="U941">
        <f t="shared" ca="1" si="75"/>
        <v>0.64687499999999998</v>
      </c>
      <c r="V941">
        <f ca="1">Prams!C$5/(U941-Prams!C$6)</f>
        <v>122.84138890268741</v>
      </c>
      <c r="W941">
        <f t="shared" ca="1" si="76"/>
        <v>0.88375099929990941</v>
      </c>
    </row>
    <row r="942" spans="1:23" hidden="1" x14ac:dyDescent="0.55000000000000004">
      <c r="A942" s="1" t="s">
        <v>2312</v>
      </c>
      <c r="B942" s="1">
        <v>133</v>
      </c>
      <c r="C942">
        <v>643.5</v>
      </c>
      <c r="D942">
        <v>615.5</v>
      </c>
      <c r="E942">
        <v>11.59751</v>
      </c>
      <c r="F942" t="s">
        <v>43</v>
      </c>
      <c r="G942" s="10" t="s">
        <v>1099</v>
      </c>
      <c r="H942">
        <v>101</v>
      </c>
      <c r="I942" t="s">
        <v>1881</v>
      </c>
      <c r="J942">
        <f ca="1">VLOOKUP(G942,INDIRECT("球速変換!A$1:B$" &amp; Prams!$B$8),2,)</f>
        <v>142</v>
      </c>
      <c r="K942" t="str">
        <f ca="1">VLOOKUP(I942,INDIRECT("投手名変換!A$1:B$" &amp; Prams!$B$9),2,)</f>
        <v>DD006</v>
      </c>
      <c r="L942">
        <f t="shared" si="77"/>
        <v>32</v>
      </c>
      <c r="M942">
        <f ca="1">(B942-VLOOKUP(K942,INDIRECT("投手データ!B1:D"&amp;Prams!$B$1),3,FALSE)*2)</f>
        <v>39</v>
      </c>
      <c r="N942" t="str">
        <f ca="1">VLOOKUP(F942,INDIRECT("球種変換表!A$1:B$" &amp; Prams!$B$2),2,)</f>
        <v>Vスライダー</v>
      </c>
      <c r="O942">
        <f ca="1">VLOOKUP(N942,球種情報!A:B,2,FALSE)</f>
        <v>19</v>
      </c>
      <c r="P942">
        <f ca="1">VLOOKUP(K942,投手データ!B:AI,output!O942+6,FALSE)</f>
        <v>5</v>
      </c>
      <c r="R942">
        <f t="shared" ca="1" si="73"/>
        <v>7.0422535211267607E-3</v>
      </c>
      <c r="S942">
        <f t="shared" si="74"/>
        <v>0.52256944444444442</v>
      </c>
      <c r="T942">
        <f>Prams!B$5/(S942-Prams!B$6)</f>
        <v>133.73801955329085</v>
      </c>
      <c r="U942">
        <f t="shared" ca="1" si="75"/>
        <v>0.63923611111111112</v>
      </c>
      <c r="V942">
        <f ca="1">Prams!C$5/(U942-Prams!C$6)</f>
        <v>124.73465636191426</v>
      </c>
      <c r="W942">
        <f t="shared" ca="1" si="76"/>
        <v>0.87841307297122717</v>
      </c>
    </row>
    <row r="943" spans="1:23" hidden="1" x14ac:dyDescent="0.55000000000000004">
      <c r="A943" s="1" t="s">
        <v>2314</v>
      </c>
      <c r="B943" s="1">
        <v>133</v>
      </c>
      <c r="C943">
        <v>634.5</v>
      </c>
      <c r="D943">
        <v>601.5</v>
      </c>
      <c r="E943">
        <v>10.512</v>
      </c>
      <c r="F943" t="s">
        <v>43</v>
      </c>
      <c r="G943" s="10" t="s">
        <v>2313</v>
      </c>
      <c r="H943">
        <v>101</v>
      </c>
      <c r="I943" t="s">
        <v>1881</v>
      </c>
      <c r="J943">
        <f ca="1">VLOOKUP(G943,INDIRECT("球速変換!A$1:B$" &amp; Prams!$B$8),2,)</f>
        <v>154</v>
      </c>
      <c r="K943" t="str">
        <f ca="1">VLOOKUP(I943,INDIRECT("投手名変換!A$1:B$" &amp; Prams!$B$9),2,)</f>
        <v>DD006</v>
      </c>
      <c r="L943">
        <f t="shared" si="77"/>
        <v>32</v>
      </c>
      <c r="M943">
        <f ca="1">(B943-VLOOKUP(K943,INDIRECT("投手データ!B1:D"&amp;Prams!$B$1),3,FALSE)*2)</f>
        <v>39</v>
      </c>
      <c r="N943" t="str">
        <f ca="1">VLOOKUP(F943,INDIRECT("球種変換表!A$1:B$" &amp; Prams!$B$2),2,)</f>
        <v>Vスライダー</v>
      </c>
      <c r="O943">
        <f ca="1">VLOOKUP(N943,球種情報!A:B,2,FALSE)</f>
        <v>19</v>
      </c>
      <c r="P943">
        <f ca="1">VLOOKUP(K943,投手データ!B:AI,output!O943+6,FALSE)</f>
        <v>5</v>
      </c>
      <c r="R943">
        <f t="shared" ca="1" si="73"/>
        <v>6.4935064935064939E-3</v>
      </c>
      <c r="S943">
        <f t="shared" si="74"/>
        <v>0.53229166666666672</v>
      </c>
      <c r="T943">
        <f>Prams!B$5/(S943-Prams!B$6)</f>
        <v>130.98324476067725</v>
      </c>
      <c r="U943">
        <f t="shared" ca="1" si="75"/>
        <v>0.6489583333333333</v>
      </c>
      <c r="V943">
        <f ca="1">Prams!C$5/(U943-Prams!C$6)</f>
        <v>122.33497683162112</v>
      </c>
      <c r="W943">
        <f t="shared" ca="1" si="76"/>
        <v>0.79438296643909823</v>
      </c>
    </row>
    <row r="944" spans="1:23" hidden="1" x14ac:dyDescent="0.55000000000000004">
      <c r="A944" s="1" t="s">
        <v>2315</v>
      </c>
      <c r="B944" s="1">
        <v>134</v>
      </c>
      <c r="C944">
        <v>639.52380000000005</v>
      </c>
      <c r="D944">
        <v>619</v>
      </c>
      <c r="E944">
        <v>10.52392</v>
      </c>
      <c r="F944" t="s">
        <v>43</v>
      </c>
      <c r="G944" s="10" t="s">
        <v>2460</v>
      </c>
      <c r="H944">
        <v>101</v>
      </c>
      <c r="I944" t="s">
        <v>1881</v>
      </c>
      <c r="J944">
        <f ca="1">VLOOKUP(G944,INDIRECT("球速変換!A$1:B$" &amp; Prams!$B$8),2,)</f>
        <v>138</v>
      </c>
      <c r="K944" t="str">
        <f ca="1">VLOOKUP(I944,INDIRECT("投手名変換!A$1:B$" &amp; Prams!$B$9),2,)</f>
        <v>DD006</v>
      </c>
      <c r="L944">
        <f t="shared" si="77"/>
        <v>33</v>
      </c>
      <c r="M944">
        <f ca="1">(B944-VLOOKUP(K944,INDIRECT("投手データ!B1:D"&amp;Prams!$B$1),3,FALSE)*2)</f>
        <v>40</v>
      </c>
      <c r="N944" t="str">
        <f ca="1">VLOOKUP(F944,INDIRECT("球種変換表!A$1:B$" &amp; Prams!$B$2),2,)</f>
        <v>Vスライダー</v>
      </c>
      <c r="O944">
        <f ca="1">VLOOKUP(N944,球種情報!A:B,2,FALSE)</f>
        <v>19</v>
      </c>
      <c r="P944">
        <f ca="1">VLOOKUP(K944,投手データ!B:AI,output!O944+6,FALSE)</f>
        <v>5</v>
      </c>
      <c r="R944">
        <f t="shared" ca="1" si="73"/>
        <v>7.246376811594203E-3</v>
      </c>
      <c r="S944">
        <f t="shared" si="74"/>
        <v>0.53680555555555565</v>
      </c>
      <c r="T944">
        <f>Prams!B$5/(S944-Prams!B$6)</f>
        <v>129.74245374310664</v>
      </c>
      <c r="U944">
        <f t="shared" ca="1" si="75"/>
        <v>0.65347222222222223</v>
      </c>
      <c r="V944">
        <f ca="1">Prams!C$5/(U944-Prams!C$6)</f>
        <v>121.25194765573073</v>
      </c>
      <c r="W944">
        <f t="shared" ca="1" si="76"/>
        <v>0.87863730185312128</v>
      </c>
    </row>
    <row r="945" spans="1:23" hidden="1" x14ac:dyDescent="0.55000000000000004">
      <c r="A945" s="1" t="s">
        <v>2317</v>
      </c>
      <c r="B945" s="1">
        <v>133</v>
      </c>
      <c r="C945">
        <v>638.08330999999998</v>
      </c>
      <c r="D945">
        <v>607</v>
      </c>
      <c r="E945">
        <v>9.1383299999999998</v>
      </c>
      <c r="F945" t="s">
        <v>43</v>
      </c>
      <c r="G945" s="10" t="s">
        <v>582</v>
      </c>
      <c r="H945">
        <v>101</v>
      </c>
      <c r="I945" t="s">
        <v>2316</v>
      </c>
      <c r="J945">
        <f ca="1">VLOOKUP(G945,INDIRECT("球速変換!A$1:B$" &amp; Prams!$B$8),2,)</f>
        <v>140</v>
      </c>
      <c r="K945" t="str">
        <f ca="1">VLOOKUP(I945,INDIRECT("投手名変換!A$1:B$" &amp; Prams!$B$9),2,)</f>
        <v>DD006</v>
      </c>
      <c r="L945">
        <f t="shared" si="77"/>
        <v>32</v>
      </c>
      <c r="M945">
        <f ca="1">(B945-VLOOKUP(K945,INDIRECT("投手データ!B1:D"&amp;Prams!$B$1),3,FALSE)*2)</f>
        <v>39</v>
      </c>
      <c r="N945" t="str">
        <f ca="1">VLOOKUP(F945,INDIRECT("球種変換表!A$1:B$" &amp; Prams!$B$2),2,)</f>
        <v>Vスライダー</v>
      </c>
      <c r="O945">
        <f ca="1">VLOOKUP(N945,球種情報!A:B,2,FALSE)</f>
        <v>19</v>
      </c>
      <c r="P945">
        <f ca="1">VLOOKUP(K945,投手データ!B:AI,output!O945+6,FALSE)</f>
        <v>5</v>
      </c>
      <c r="R945">
        <f t="shared" ca="1" si="73"/>
        <v>7.1428571428571426E-3</v>
      </c>
      <c r="S945">
        <f t="shared" si="74"/>
        <v>0.52847222222222223</v>
      </c>
      <c r="T945">
        <f>Prams!B$5/(S945-Prams!B$6)</f>
        <v>132.05183277758661</v>
      </c>
      <c r="U945">
        <f t="shared" ca="1" si="75"/>
        <v>0.64513888888888893</v>
      </c>
      <c r="V945">
        <f ca="1">Prams!C$5/(U945-Prams!C$6)</f>
        <v>123.26661275850989</v>
      </c>
      <c r="W945">
        <f t="shared" ca="1" si="76"/>
        <v>0.8804758054179278</v>
      </c>
    </row>
    <row r="946" spans="1:23" hidden="1" x14ac:dyDescent="0.55000000000000004">
      <c r="A946" s="1" t="s">
        <v>2470</v>
      </c>
      <c r="B946" s="1">
        <v>129</v>
      </c>
      <c r="C946">
        <v>641.95001000000002</v>
      </c>
      <c r="D946">
        <v>608.5</v>
      </c>
      <c r="E946">
        <v>10.062519999999999</v>
      </c>
      <c r="F946" t="s">
        <v>0</v>
      </c>
      <c r="G946" s="10" t="s">
        <v>581</v>
      </c>
      <c r="H946">
        <v>100</v>
      </c>
      <c r="I946" t="s">
        <v>2469</v>
      </c>
      <c r="J946">
        <f ca="1">VLOOKUP(G946,INDIRECT("球速変換!A$1:B$" &amp; Prams!$B$8),2,)</f>
        <v>142</v>
      </c>
      <c r="K946" t="str">
        <f ca="1">VLOOKUP(I946,INDIRECT("投手名変換!A$1:B$" &amp; Prams!$B$9),2,)</f>
        <v>TA001</v>
      </c>
      <c r="L946">
        <f t="shared" ref="L946:L1002" si="78">B946-H946</f>
        <v>29</v>
      </c>
      <c r="M946">
        <f ca="1">(B946-VLOOKUP(K946,INDIRECT("投手データ!B1:D"&amp;Prams!$B$1),3,FALSE)*2)</f>
        <v>35</v>
      </c>
      <c r="N946" t="str">
        <f ca="1">VLOOKUP(F946,INDIRECT("球種変換表!A$1:B$" &amp; Prams!$B$2),2,)</f>
        <v>ストレート</v>
      </c>
      <c r="O946">
        <f ca="1">VLOOKUP(N946,球種情報!A:B,2,FALSE)</f>
        <v>1</v>
      </c>
      <c r="P946">
        <f ca="1">VLOOKUP(K946,投手データ!B:AI,output!O946+6,FALSE)</f>
        <v>1</v>
      </c>
      <c r="R946">
        <f t="shared" ref="R946:R1002" ca="1" si="79">1/J946</f>
        <v>7.0422535211267607E-3</v>
      </c>
      <c r="S946">
        <f t="shared" ref="S946:S1002" si="80">(L946-(D946-600)/24)*2/120</f>
        <v>0.47743055555555552</v>
      </c>
      <c r="T946">
        <f>Prams!B$5/(S946-Prams!B$6)</f>
        <v>148.21019265218058</v>
      </c>
      <c r="U946">
        <f t="shared" ref="U946:U1002" ca="1" si="81">(M946-(D946-600)/24)*2/120</f>
        <v>0.57743055555555556</v>
      </c>
      <c r="V946">
        <f ca="1">Prams!C$5/(U946-Prams!C$6)</f>
        <v>142.50494624757491</v>
      </c>
      <c r="W946">
        <f t="shared" ref="W946:W1002" ca="1" si="82">V946/J946</f>
        <v>1.0035559594899641</v>
      </c>
    </row>
    <row r="947" spans="1:23" hidden="1" x14ac:dyDescent="0.55000000000000004">
      <c r="A947" s="1" t="s">
        <v>2472</v>
      </c>
      <c r="B947" s="1">
        <v>129</v>
      </c>
      <c r="C947">
        <v>634.5</v>
      </c>
      <c r="D947">
        <v>601.5</v>
      </c>
      <c r="E947">
        <v>10.512</v>
      </c>
      <c r="F947" t="s">
        <v>0</v>
      </c>
      <c r="G947" s="10" t="s">
        <v>1333</v>
      </c>
      <c r="H947">
        <v>100</v>
      </c>
      <c r="I947" t="s">
        <v>2471</v>
      </c>
      <c r="J947">
        <f ca="1">VLOOKUP(G947,INDIRECT("球速変換!A$1:B$" &amp; Prams!$B$8),2,)</f>
        <v>141</v>
      </c>
      <c r="K947" t="str">
        <f ca="1">VLOOKUP(I947,INDIRECT("投手名変換!A$1:B$" &amp; Prams!$B$9),2,)</f>
        <v>TA001</v>
      </c>
      <c r="L947">
        <f t="shared" si="78"/>
        <v>29</v>
      </c>
      <c r="M947">
        <f ca="1">(B947-VLOOKUP(K947,INDIRECT("投手データ!B1:D"&amp;Prams!$B$1),3,FALSE)*2)</f>
        <v>35</v>
      </c>
      <c r="N947" t="str">
        <f ca="1">VLOOKUP(F947,INDIRECT("球種変換表!A$1:B$" &amp; Prams!$B$2),2,)</f>
        <v>ストレート</v>
      </c>
      <c r="O947">
        <f ca="1">VLOOKUP(N947,球種情報!A:B,2,FALSE)</f>
        <v>1</v>
      </c>
      <c r="P947">
        <f ca="1">VLOOKUP(K947,投手データ!B:AI,output!O947+6,FALSE)</f>
        <v>1</v>
      </c>
      <c r="R947">
        <f t="shared" ca="1" si="79"/>
        <v>7.0921985815602835E-3</v>
      </c>
      <c r="S947">
        <f t="shared" si="80"/>
        <v>0.48229166666666667</v>
      </c>
      <c r="T947">
        <f>Prams!B$5/(S947-Prams!B$6)</f>
        <v>146.50289302711349</v>
      </c>
      <c r="U947">
        <f t="shared" ca="1" si="81"/>
        <v>0.58229166666666665</v>
      </c>
      <c r="V947">
        <f ca="1">Prams!C$5/(U947-Prams!C$6)</f>
        <v>140.92585908857779</v>
      </c>
      <c r="W947">
        <f t="shared" ca="1" si="82"/>
        <v>0.99947417793317583</v>
      </c>
    </row>
    <row r="948" spans="1:23" hidden="1" x14ac:dyDescent="0.55000000000000004">
      <c r="A948" s="1" t="s">
        <v>2474</v>
      </c>
      <c r="B948" s="1">
        <v>129</v>
      </c>
      <c r="C948">
        <v>634.97729000000004</v>
      </c>
      <c r="D948">
        <v>604</v>
      </c>
      <c r="E948">
        <v>11.02281</v>
      </c>
      <c r="F948" t="s">
        <v>0</v>
      </c>
      <c r="G948" s="10" t="s">
        <v>584</v>
      </c>
      <c r="H948">
        <v>100</v>
      </c>
      <c r="I948" t="s">
        <v>2473</v>
      </c>
      <c r="J948">
        <f ca="1">VLOOKUP(G948,INDIRECT("球速変換!A$1:B$" &amp; Prams!$B$8),2,)</f>
        <v>141</v>
      </c>
      <c r="K948" t="str">
        <f ca="1">VLOOKUP(I948,INDIRECT("投手名変換!A$1:B$" &amp; Prams!$B$9),2,)</f>
        <v>TA001</v>
      </c>
      <c r="L948">
        <f t="shared" si="78"/>
        <v>29</v>
      </c>
      <c r="M948">
        <f ca="1">(B948-VLOOKUP(K948,INDIRECT("投手データ!B1:D"&amp;Prams!$B$1),3,FALSE)*2)</f>
        <v>35</v>
      </c>
      <c r="N948" t="str">
        <f ca="1">VLOOKUP(F948,INDIRECT("球種変換表!A$1:B$" &amp; Prams!$B$2),2,)</f>
        <v>ストレート</v>
      </c>
      <c r="O948">
        <f ca="1">VLOOKUP(N948,球種情報!A:B,2,FALSE)</f>
        <v>1</v>
      </c>
      <c r="P948">
        <f ca="1">VLOOKUP(K948,投手データ!B:AI,output!O948+6,FALSE)</f>
        <v>1</v>
      </c>
      <c r="R948">
        <f t="shared" ca="1" si="79"/>
        <v>7.0921985815602835E-3</v>
      </c>
      <c r="S948">
        <f t="shared" si="80"/>
        <v>0.48055555555555551</v>
      </c>
      <c r="T948">
        <f>Prams!B$5/(S948-Prams!B$6)</f>
        <v>147.10810882267407</v>
      </c>
      <c r="U948">
        <f t="shared" ca="1" si="81"/>
        <v>0.5805555555555556</v>
      </c>
      <c r="V948">
        <f ca="1">Prams!C$5/(U948-Prams!C$6)</f>
        <v>141.48578548542949</v>
      </c>
      <c r="W948">
        <f t="shared" ca="1" si="82"/>
        <v>1.0034452871307056</v>
      </c>
    </row>
    <row r="949" spans="1:23" hidden="1" x14ac:dyDescent="0.55000000000000004">
      <c r="A949" s="1" t="s">
        <v>2475</v>
      </c>
      <c r="B949" s="1">
        <v>129</v>
      </c>
      <c r="C949">
        <v>634.5</v>
      </c>
      <c r="D949">
        <v>603.5</v>
      </c>
      <c r="E949">
        <v>10.512</v>
      </c>
      <c r="F949" t="s">
        <v>656</v>
      </c>
      <c r="G949" s="10" t="s">
        <v>584</v>
      </c>
      <c r="H949">
        <v>100</v>
      </c>
      <c r="I949" t="s">
        <v>2473</v>
      </c>
      <c r="J949">
        <f ca="1">VLOOKUP(G949,INDIRECT("球速変換!A$1:B$" &amp; Prams!$B$8),2,)</f>
        <v>141</v>
      </c>
      <c r="K949" t="str">
        <f ca="1">VLOOKUP(I949,INDIRECT("投手名変換!A$1:B$" &amp; Prams!$B$9),2,)</f>
        <v>TA001</v>
      </c>
      <c r="L949">
        <f t="shared" si="78"/>
        <v>29</v>
      </c>
      <c r="M949">
        <f ca="1">(B949-VLOOKUP(K949,INDIRECT("投手データ!B1:D"&amp;Prams!$B$1),3,FALSE)*2)</f>
        <v>35</v>
      </c>
      <c r="N949" t="str">
        <f ca="1">VLOOKUP(F949,INDIRECT("球種変換表!A$1:B$" &amp; Prams!$B$2),2,)</f>
        <v>ストレート</v>
      </c>
      <c r="O949">
        <f ca="1">VLOOKUP(N949,球種情報!A:B,2,FALSE)</f>
        <v>1</v>
      </c>
      <c r="P949">
        <f ca="1">VLOOKUP(K949,投手データ!B:AI,output!O949+6,FALSE)</f>
        <v>1</v>
      </c>
      <c r="R949">
        <f t="shared" ca="1" si="79"/>
        <v>7.0921985815602835E-3</v>
      </c>
      <c r="S949">
        <f t="shared" si="80"/>
        <v>0.48090277777777779</v>
      </c>
      <c r="T949">
        <f>Prams!B$5/(S949-Prams!B$6)</f>
        <v>146.98666596221031</v>
      </c>
      <c r="U949">
        <f t="shared" ca="1" si="81"/>
        <v>0.58090277777777777</v>
      </c>
      <c r="V949">
        <f ca="1">Prams!C$5/(U949-Prams!C$6)</f>
        <v>141.37344453690235</v>
      </c>
      <c r="W949">
        <f t="shared" ca="1" si="82"/>
        <v>1.0026485428149103</v>
      </c>
    </row>
    <row r="950" spans="1:23" hidden="1" x14ac:dyDescent="0.55000000000000004">
      <c r="A950" s="1" t="s">
        <v>2477</v>
      </c>
      <c r="B950" s="1">
        <v>129</v>
      </c>
      <c r="C950">
        <v>638.5</v>
      </c>
      <c r="D950">
        <v>603.5</v>
      </c>
      <c r="E950">
        <v>10.512</v>
      </c>
      <c r="F950" t="s">
        <v>0</v>
      </c>
      <c r="G950" s="10" t="s">
        <v>584</v>
      </c>
      <c r="H950">
        <v>100</v>
      </c>
      <c r="I950" t="s">
        <v>2476</v>
      </c>
      <c r="J950">
        <f ca="1">VLOOKUP(G950,INDIRECT("球速変換!A$1:B$" &amp; Prams!$B$8),2,)</f>
        <v>141</v>
      </c>
      <c r="K950" t="str">
        <f ca="1">VLOOKUP(I950,INDIRECT("投手名変換!A$1:B$" &amp; Prams!$B$9),2,)</f>
        <v>TA001</v>
      </c>
      <c r="L950">
        <f t="shared" si="78"/>
        <v>29</v>
      </c>
      <c r="M950">
        <f ca="1">(B950-VLOOKUP(K950,INDIRECT("投手データ!B1:D"&amp;Prams!$B$1),3,FALSE)*2)</f>
        <v>35</v>
      </c>
      <c r="N950" t="str">
        <f ca="1">VLOOKUP(F950,INDIRECT("球種変換表!A$1:B$" &amp; Prams!$B$2),2,)</f>
        <v>ストレート</v>
      </c>
      <c r="O950">
        <f ca="1">VLOOKUP(N950,球種情報!A:B,2,FALSE)</f>
        <v>1</v>
      </c>
      <c r="P950">
        <f ca="1">VLOOKUP(K950,投手データ!B:AI,output!O950+6,FALSE)</f>
        <v>1</v>
      </c>
      <c r="R950">
        <f t="shared" ca="1" si="79"/>
        <v>7.0921985815602835E-3</v>
      </c>
      <c r="S950">
        <f t="shared" si="80"/>
        <v>0.48090277777777779</v>
      </c>
      <c r="T950">
        <f>Prams!B$5/(S950-Prams!B$6)</f>
        <v>146.98666596221031</v>
      </c>
      <c r="U950">
        <f t="shared" ca="1" si="81"/>
        <v>0.58090277777777777</v>
      </c>
      <c r="V950">
        <f ca="1">Prams!C$5/(U950-Prams!C$6)</f>
        <v>141.37344453690235</v>
      </c>
      <c r="W950">
        <f t="shared" ca="1" si="82"/>
        <v>1.0026485428149103</v>
      </c>
    </row>
    <row r="951" spans="1:23" hidden="1" x14ac:dyDescent="0.55000000000000004">
      <c r="A951" s="1" t="s">
        <v>2479</v>
      </c>
      <c r="B951" s="1">
        <v>129</v>
      </c>
      <c r="C951">
        <v>639</v>
      </c>
      <c r="D951">
        <v>604.5</v>
      </c>
      <c r="E951">
        <v>10.012589999999999</v>
      </c>
      <c r="F951" t="s">
        <v>0</v>
      </c>
      <c r="G951" s="10" t="s">
        <v>646</v>
      </c>
      <c r="H951">
        <v>100</v>
      </c>
      <c r="I951" t="s">
        <v>2478</v>
      </c>
      <c r="J951">
        <f ca="1">VLOOKUP(G951,INDIRECT("球速変換!A$1:B$" &amp; Prams!$B$8),2,)</f>
        <v>141</v>
      </c>
      <c r="K951" t="str">
        <f ca="1">VLOOKUP(I951,INDIRECT("投手名変換!A$1:B$" &amp; Prams!$B$9),2,)</f>
        <v>TA001</v>
      </c>
      <c r="L951">
        <f t="shared" si="78"/>
        <v>29</v>
      </c>
      <c r="M951">
        <f ca="1">(B951-VLOOKUP(K951,INDIRECT("投手データ!B1:D"&amp;Prams!$B$1),3,FALSE)*2)</f>
        <v>35</v>
      </c>
      <c r="N951" t="str">
        <f ca="1">VLOOKUP(F951,INDIRECT("球種変換表!A$1:B$" &amp; Prams!$B$2),2,)</f>
        <v>ストレート</v>
      </c>
      <c r="O951">
        <f ca="1">VLOOKUP(N951,球種情報!A:B,2,FALSE)</f>
        <v>1</v>
      </c>
      <c r="P951">
        <f ca="1">VLOOKUP(K951,投手データ!B:AI,output!O951+6,FALSE)</f>
        <v>1</v>
      </c>
      <c r="R951">
        <f t="shared" ca="1" si="79"/>
        <v>7.0921985815602835E-3</v>
      </c>
      <c r="S951">
        <f t="shared" si="80"/>
        <v>0.48020833333333335</v>
      </c>
      <c r="T951">
        <f>Prams!B$5/(S951-Prams!B$6)</f>
        <v>147.22975252535275</v>
      </c>
      <c r="U951">
        <f t="shared" ca="1" si="81"/>
        <v>0.58020833333333333</v>
      </c>
      <c r="V951">
        <f ca="1">Prams!C$5/(U951-Prams!C$6)</f>
        <v>141.5983051170958</v>
      </c>
      <c r="W951">
        <f t="shared" ca="1" si="82"/>
        <v>1.0042432987028072</v>
      </c>
    </row>
    <row r="952" spans="1:23" hidden="1" x14ac:dyDescent="0.55000000000000004">
      <c r="A952" s="1" t="s">
        <v>2480</v>
      </c>
      <c r="B952" s="1">
        <v>129</v>
      </c>
      <c r="C952">
        <v>639</v>
      </c>
      <c r="D952">
        <v>600.5</v>
      </c>
      <c r="E952">
        <v>10.012589999999999</v>
      </c>
      <c r="F952" t="s">
        <v>0</v>
      </c>
      <c r="G952" s="10" t="s">
        <v>2416</v>
      </c>
      <c r="H952">
        <v>100</v>
      </c>
      <c r="I952" t="s">
        <v>2473</v>
      </c>
      <c r="J952">
        <f ca="1">VLOOKUP(G952,INDIRECT("球速変換!A$1:B$" &amp; Prams!$B$8),2,)</f>
        <v>140</v>
      </c>
      <c r="K952" t="str">
        <f ca="1">VLOOKUP(I952,INDIRECT("投手名変換!A$1:B$" &amp; Prams!$B$9),2,)</f>
        <v>TA001</v>
      </c>
      <c r="L952">
        <f t="shared" si="78"/>
        <v>29</v>
      </c>
      <c r="M952">
        <f ca="1">(B952-VLOOKUP(K952,INDIRECT("投手データ!B1:D"&amp;Prams!$B$1),3,FALSE)*2)</f>
        <v>35</v>
      </c>
      <c r="N952" t="str">
        <f ca="1">VLOOKUP(F952,INDIRECT("球種変換表!A$1:B$" &amp; Prams!$B$2),2,)</f>
        <v>ストレート</v>
      </c>
      <c r="O952">
        <f ca="1">VLOOKUP(N952,球種情報!A:B,2,FALSE)</f>
        <v>1</v>
      </c>
      <c r="P952">
        <f ca="1">VLOOKUP(K952,投手データ!B:AI,output!O952+6,FALSE)</f>
        <v>1</v>
      </c>
      <c r="R952">
        <f t="shared" ca="1" si="79"/>
        <v>7.1428571428571426E-3</v>
      </c>
      <c r="S952">
        <f t="shared" si="80"/>
        <v>0.48298611111111112</v>
      </c>
      <c r="T952">
        <f>Prams!B$5/(S952-Prams!B$6)</f>
        <v>146.26219876845835</v>
      </c>
      <c r="U952">
        <f t="shared" ca="1" si="81"/>
        <v>0.58298611111111109</v>
      </c>
      <c r="V952">
        <f ca="1">Prams!C$5/(U952-Prams!C$6)</f>
        <v>140.7031274695124</v>
      </c>
      <c r="W952">
        <f t="shared" ca="1" si="82"/>
        <v>1.0050223390679456</v>
      </c>
    </row>
    <row r="953" spans="1:23" hidden="1" x14ac:dyDescent="0.55000000000000004">
      <c r="A953" s="1" t="s">
        <v>2481</v>
      </c>
      <c r="B953" s="1">
        <v>129</v>
      </c>
      <c r="C953">
        <v>637</v>
      </c>
      <c r="D953">
        <v>603</v>
      </c>
      <c r="E953">
        <v>10.04998</v>
      </c>
      <c r="F953" t="s">
        <v>0</v>
      </c>
      <c r="G953" s="10" t="s">
        <v>584</v>
      </c>
      <c r="H953">
        <v>100</v>
      </c>
      <c r="I953" t="s">
        <v>2473</v>
      </c>
      <c r="J953">
        <f ca="1">VLOOKUP(G953,INDIRECT("球速変換!A$1:B$" &amp; Prams!$B$8),2,)</f>
        <v>141</v>
      </c>
      <c r="K953" t="str">
        <f ca="1">VLOOKUP(I953,INDIRECT("投手名変換!A$1:B$" &amp; Prams!$B$9),2,)</f>
        <v>TA001</v>
      </c>
      <c r="L953">
        <f t="shared" si="78"/>
        <v>29</v>
      </c>
      <c r="M953">
        <f ca="1">(B953-VLOOKUP(K953,INDIRECT("投手データ!B1:D"&amp;Prams!$B$1),3,FALSE)*2)</f>
        <v>35</v>
      </c>
      <c r="N953" t="str">
        <f ca="1">VLOOKUP(F953,INDIRECT("球種変換表!A$1:B$" &amp; Prams!$B$2),2,)</f>
        <v>ストレート</v>
      </c>
      <c r="O953">
        <f ca="1">VLOOKUP(N953,球種情報!A:B,2,FALSE)</f>
        <v>1</v>
      </c>
      <c r="P953">
        <f ca="1">VLOOKUP(K953,投手データ!B:AI,output!O953+6,FALSE)</f>
        <v>1</v>
      </c>
      <c r="R953">
        <f t="shared" ca="1" si="79"/>
        <v>7.0921985815602835E-3</v>
      </c>
      <c r="S953">
        <f t="shared" si="80"/>
        <v>0.48125000000000001</v>
      </c>
      <c r="T953">
        <f>Prams!B$5/(S953-Prams!B$6)</f>
        <v>146.8654234469652</v>
      </c>
      <c r="U953">
        <f t="shared" ca="1" si="81"/>
        <v>0.58125000000000004</v>
      </c>
      <c r="V953">
        <f ca="1">Prams!C$5/(U953-Prams!C$6)</f>
        <v>141.26128184622414</v>
      </c>
      <c r="W953">
        <f t="shared" ca="1" si="82"/>
        <v>1.0018530627391782</v>
      </c>
    </row>
    <row r="954" spans="1:23" hidden="1" x14ac:dyDescent="0.55000000000000004">
      <c r="A954" s="1" t="s">
        <v>2483</v>
      </c>
      <c r="B954" s="1">
        <v>129</v>
      </c>
      <c r="C954">
        <v>640.5</v>
      </c>
      <c r="D954">
        <v>614.5</v>
      </c>
      <c r="E954">
        <v>10.512</v>
      </c>
      <c r="F954" t="s">
        <v>0</v>
      </c>
      <c r="G954" s="10" t="s">
        <v>1165</v>
      </c>
      <c r="H954">
        <v>100</v>
      </c>
      <c r="I954" t="s">
        <v>2482</v>
      </c>
      <c r="J954">
        <f ca="1">VLOOKUP(G954,INDIRECT("球速変換!A$1:B$" &amp; Prams!$B$8),2,)</f>
        <v>143</v>
      </c>
      <c r="K954" t="str">
        <f ca="1">VLOOKUP(I954,INDIRECT("投手名変換!A$1:B$" &amp; Prams!$B$9),2,)</f>
        <v>TA001</v>
      </c>
      <c r="L954">
        <f t="shared" si="78"/>
        <v>29</v>
      </c>
      <c r="M954">
        <f ca="1">(B954-VLOOKUP(K954,INDIRECT("投手データ!B1:D"&amp;Prams!$B$1),3,FALSE)*2)</f>
        <v>35</v>
      </c>
      <c r="N954" t="str">
        <f ca="1">VLOOKUP(F954,INDIRECT("球種変換表!A$1:B$" &amp; Prams!$B$2),2,)</f>
        <v>ストレート</v>
      </c>
      <c r="O954">
        <f ca="1">VLOOKUP(N954,球種情報!A:B,2,FALSE)</f>
        <v>1</v>
      </c>
      <c r="P954">
        <f ca="1">VLOOKUP(K954,投手データ!B:AI,output!O954+6,FALSE)</f>
        <v>1</v>
      </c>
      <c r="R954">
        <f t="shared" ca="1" si="79"/>
        <v>6.993006993006993E-3</v>
      </c>
      <c r="S954">
        <f t="shared" si="80"/>
        <v>0.47326388888888887</v>
      </c>
      <c r="T954">
        <f>Prams!B$5/(S954-Prams!B$6)</f>
        <v>149.70558361976768</v>
      </c>
      <c r="U954">
        <f t="shared" ca="1" si="81"/>
        <v>0.57326388888888891</v>
      </c>
      <c r="V954">
        <f ca="1">Prams!C$5/(U954-Prams!C$6)</f>
        <v>143.88688833002541</v>
      </c>
      <c r="W954">
        <f t="shared" ca="1" si="82"/>
        <v>1.0062020162938841</v>
      </c>
    </row>
    <row r="955" spans="1:23" hidden="1" x14ac:dyDescent="0.55000000000000004">
      <c r="A955" s="1" t="s">
        <v>2484</v>
      </c>
      <c r="B955" s="1">
        <v>129</v>
      </c>
      <c r="C955">
        <v>640.5</v>
      </c>
      <c r="D955">
        <v>616.5</v>
      </c>
      <c r="E955">
        <v>10.512</v>
      </c>
      <c r="F955" t="s">
        <v>0</v>
      </c>
      <c r="G955" s="10" t="s">
        <v>972</v>
      </c>
      <c r="H955">
        <v>100</v>
      </c>
      <c r="I955" t="s">
        <v>2473</v>
      </c>
      <c r="J955">
        <f ca="1">VLOOKUP(G955,INDIRECT("球速変換!A$1:B$" &amp; Prams!$B$8),2,)</f>
        <v>144</v>
      </c>
      <c r="K955" t="str">
        <f ca="1">VLOOKUP(I955,INDIRECT("投手名変換!A$1:B$" &amp; Prams!$B$9),2,)</f>
        <v>TA001</v>
      </c>
      <c r="L955">
        <f t="shared" si="78"/>
        <v>29</v>
      </c>
      <c r="M955">
        <f ca="1">(B955-VLOOKUP(K955,INDIRECT("投手データ!B1:D"&amp;Prams!$B$1),3,FALSE)*2)</f>
        <v>35</v>
      </c>
      <c r="N955" t="str">
        <f ca="1">VLOOKUP(F955,INDIRECT("球種変換表!A$1:B$" &amp; Prams!$B$2),2,)</f>
        <v>ストレート</v>
      </c>
      <c r="O955">
        <f ca="1">VLOOKUP(N955,球種情報!A:B,2,FALSE)</f>
        <v>1</v>
      </c>
      <c r="P955">
        <f ca="1">VLOOKUP(K955,投手データ!B:AI,output!O955+6,FALSE)</f>
        <v>1</v>
      </c>
      <c r="R955">
        <f t="shared" ca="1" si="79"/>
        <v>6.9444444444444441E-3</v>
      </c>
      <c r="S955">
        <f t="shared" si="80"/>
        <v>0.47187499999999999</v>
      </c>
      <c r="T955">
        <f>Prams!B$5/(S955-Prams!B$6)</f>
        <v>150.21077567879487</v>
      </c>
      <c r="U955">
        <f t="shared" ca="1" si="81"/>
        <v>0.57187500000000002</v>
      </c>
      <c r="V955">
        <f ca="1">Prams!C$5/(U955-Prams!C$6)</f>
        <v>144.35351117856516</v>
      </c>
      <c r="W955">
        <f t="shared" ca="1" si="82"/>
        <v>1.0024549387400359</v>
      </c>
    </row>
    <row r="956" spans="1:23" hidden="1" x14ac:dyDescent="0.55000000000000004">
      <c r="A956" s="1" t="s">
        <v>2485</v>
      </c>
      <c r="B956" s="1">
        <v>125</v>
      </c>
      <c r="C956">
        <v>639</v>
      </c>
      <c r="D956">
        <v>607</v>
      </c>
      <c r="E956">
        <v>11.0001</v>
      </c>
      <c r="F956" t="s">
        <v>343</v>
      </c>
      <c r="G956" s="10" t="s">
        <v>1098</v>
      </c>
      <c r="H956">
        <v>99</v>
      </c>
      <c r="I956" t="s">
        <v>2473</v>
      </c>
      <c r="J956">
        <f ca="1">VLOOKUP(G956,INDIRECT("球速変換!A$1:B$" &amp; Prams!$B$8),2,)</f>
        <v>143</v>
      </c>
      <c r="K956" t="str">
        <f ca="1">VLOOKUP(I956,INDIRECT("投手名変換!A$1:B$" &amp; Prams!$B$9),2,)</f>
        <v>TA001</v>
      </c>
      <c r="L956">
        <f t="shared" si="78"/>
        <v>26</v>
      </c>
      <c r="M956">
        <f ca="1">(B956-VLOOKUP(K956,INDIRECT("投手データ!B1:D"&amp;Prams!$B$1),3,FALSE)*2)</f>
        <v>31</v>
      </c>
      <c r="N956" t="str">
        <f ca="1">VLOOKUP(F956,INDIRECT("球種変換表!A$1:B$" &amp; Prams!$B$2),2,)</f>
        <v>全力ストレート</v>
      </c>
      <c r="O956">
        <f ca="1">VLOOKUP(N956,球種情報!A:B,2,FALSE)</f>
        <v>2</v>
      </c>
      <c r="P956">
        <f ca="1">VLOOKUP(K956,投手データ!B:AI,output!O956+6,FALSE)</f>
        <v>1</v>
      </c>
      <c r="R956">
        <f t="shared" ca="1" si="79"/>
        <v>6.993006993006993E-3</v>
      </c>
      <c r="S956">
        <f t="shared" si="80"/>
        <v>0.4284722222222222</v>
      </c>
      <c r="T956">
        <f>Prams!B$5/(S956-Prams!B$6)</f>
        <v>167.9186974694814</v>
      </c>
      <c r="U956">
        <f t="shared" ca="1" si="81"/>
        <v>0.51180555555555551</v>
      </c>
      <c r="V956">
        <f ca="1">Prams!C$5/(U956-Prams!C$6)</f>
        <v>167.9034959337327</v>
      </c>
      <c r="W956">
        <f t="shared" ca="1" si="82"/>
        <v>1.174150321214914</v>
      </c>
    </row>
    <row r="957" spans="1:23" hidden="1" x14ac:dyDescent="0.55000000000000004">
      <c r="A957" s="1" t="s">
        <v>2486</v>
      </c>
      <c r="B957" s="1">
        <v>125</v>
      </c>
      <c r="C957">
        <v>639.95001000000002</v>
      </c>
      <c r="D957">
        <v>605.5</v>
      </c>
      <c r="E957">
        <v>10.062519999999999</v>
      </c>
      <c r="F957" t="s">
        <v>343</v>
      </c>
      <c r="G957" s="10" t="s">
        <v>1099</v>
      </c>
      <c r="H957">
        <v>99</v>
      </c>
      <c r="I957" t="s">
        <v>2473</v>
      </c>
      <c r="J957">
        <f ca="1">VLOOKUP(G957,INDIRECT("球速変換!A$1:B$" &amp; Prams!$B$8),2,)</f>
        <v>142</v>
      </c>
      <c r="K957" t="str">
        <f ca="1">VLOOKUP(I957,INDIRECT("投手名変換!A$1:B$" &amp; Prams!$B$9),2,)</f>
        <v>TA001</v>
      </c>
      <c r="L957">
        <f t="shared" si="78"/>
        <v>26</v>
      </c>
      <c r="M957">
        <f ca="1">(B957-VLOOKUP(K957,INDIRECT("投手データ!B1:D"&amp;Prams!$B$1),3,FALSE)*2)</f>
        <v>31</v>
      </c>
      <c r="N957" t="str">
        <f ca="1">VLOOKUP(F957,INDIRECT("球種変換表!A$1:B$" &amp; Prams!$B$2),2,)</f>
        <v>全力ストレート</v>
      </c>
      <c r="O957">
        <f ca="1">VLOOKUP(N957,球種情報!A:B,2,FALSE)</f>
        <v>2</v>
      </c>
      <c r="P957">
        <f ca="1">VLOOKUP(K957,投手データ!B:AI,output!O957+6,FALSE)</f>
        <v>1</v>
      </c>
      <c r="R957">
        <f t="shared" ca="1" si="79"/>
        <v>7.0422535211267607E-3</v>
      </c>
      <c r="S957">
        <f t="shared" si="80"/>
        <v>0.42951388888888886</v>
      </c>
      <c r="T957">
        <f>Prams!B$5/(S957-Prams!B$6)</f>
        <v>167.4449468465283</v>
      </c>
      <c r="U957">
        <f t="shared" ca="1" si="81"/>
        <v>0.51284722222222223</v>
      </c>
      <c r="V957">
        <f ca="1">Prams!C$5/(U957-Prams!C$6)</f>
        <v>167.42983096239345</v>
      </c>
      <c r="W957">
        <f t="shared" ca="1" si="82"/>
        <v>1.1790833166365735</v>
      </c>
    </row>
    <row r="958" spans="1:23" hidden="1" x14ac:dyDescent="0.55000000000000004">
      <c r="A958" s="1" t="s">
        <v>2487</v>
      </c>
      <c r="B958" s="1">
        <v>125</v>
      </c>
      <c r="C958">
        <v>640.5</v>
      </c>
      <c r="D958">
        <v>613</v>
      </c>
      <c r="E958">
        <v>10.547610000000001</v>
      </c>
      <c r="F958" t="s">
        <v>343</v>
      </c>
      <c r="G958" s="10" t="s">
        <v>612</v>
      </c>
      <c r="H958">
        <v>99</v>
      </c>
      <c r="I958" t="s">
        <v>2471</v>
      </c>
      <c r="J958">
        <f ca="1">VLOOKUP(G958,INDIRECT("球速変換!A$1:B$" &amp; Prams!$B$8),2,)</f>
        <v>145</v>
      </c>
      <c r="K958" t="str">
        <f ca="1">VLOOKUP(I958,INDIRECT("投手名変換!A$1:B$" &amp; Prams!$B$9),2,)</f>
        <v>TA001</v>
      </c>
      <c r="L958">
        <f t="shared" si="78"/>
        <v>26</v>
      </c>
      <c r="M958">
        <f ca="1">(B958-VLOOKUP(K958,INDIRECT("投手データ!B1:D"&amp;Prams!$B$1),3,FALSE)*2)</f>
        <v>31</v>
      </c>
      <c r="N958" t="str">
        <f ca="1">VLOOKUP(F958,INDIRECT("球種変換表!A$1:B$" &amp; Prams!$B$2),2,)</f>
        <v>全力ストレート</v>
      </c>
      <c r="O958">
        <f ca="1">VLOOKUP(N958,球種情報!A:B,2,FALSE)</f>
        <v>2</v>
      </c>
      <c r="P958">
        <f ca="1">VLOOKUP(K958,投手データ!B:AI,output!O958+6,FALSE)</f>
        <v>1</v>
      </c>
      <c r="R958">
        <f t="shared" ca="1" si="79"/>
        <v>6.8965517241379309E-3</v>
      </c>
      <c r="S958">
        <f t="shared" si="80"/>
        <v>0.42430555555555555</v>
      </c>
      <c r="T958">
        <f>Prams!B$5/(S958-Prams!B$6)</f>
        <v>169.84081439538471</v>
      </c>
      <c r="U958">
        <f t="shared" ca="1" si="81"/>
        <v>0.50763888888888886</v>
      </c>
      <c r="V958">
        <f ca="1">Prams!C$5/(U958-Prams!C$6)</f>
        <v>169.82526286874113</v>
      </c>
      <c r="W958">
        <f t="shared" ca="1" si="82"/>
        <v>1.171208709439594</v>
      </c>
    </row>
    <row r="959" spans="1:23" hidden="1" x14ac:dyDescent="0.55000000000000004">
      <c r="A959" s="1" t="s">
        <v>2489</v>
      </c>
      <c r="B959" s="1">
        <v>125</v>
      </c>
      <c r="C959">
        <v>640</v>
      </c>
      <c r="D959">
        <v>608</v>
      </c>
      <c r="E959">
        <v>11.0001</v>
      </c>
      <c r="F959" t="s">
        <v>343</v>
      </c>
      <c r="G959" s="10" t="s">
        <v>1098</v>
      </c>
      <c r="H959">
        <v>99</v>
      </c>
      <c r="I959" t="s">
        <v>2488</v>
      </c>
      <c r="J959">
        <f ca="1">VLOOKUP(G959,INDIRECT("球速変換!A$1:B$" &amp; Prams!$B$8),2,)</f>
        <v>143</v>
      </c>
      <c r="K959" t="str">
        <f ca="1">VLOOKUP(I959,INDIRECT("投手名変換!A$1:B$" &amp; Prams!$B$9),2,)</f>
        <v>TA001</v>
      </c>
      <c r="L959">
        <f t="shared" si="78"/>
        <v>26</v>
      </c>
      <c r="M959">
        <f ca="1">(B959-VLOOKUP(K959,INDIRECT("投手データ!B1:D"&amp;Prams!$B$1),3,FALSE)*2)</f>
        <v>31</v>
      </c>
      <c r="N959" t="str">
        <f ca="1">VLOOKUP(F959,INDIRECT("球種変換表!A$1:B$" &amp; Prams!$B$2),2,)</f>
        <v>全力ストレート</v>
      </c>
      <c r="O959">
        <f ca="1">VLOOKUP(N959,球種情報!A:B,2,FALSE)</f>
        <v>2</v>
      </c>
      <c r="P959">
        <f ca="1">VLOOKUP(K959,投手データ!B:AI,output!O959+6,FALSE)</f>
        <v>1</v>
      </c>
      <c r="R959">
        <f t="shared" ca="1" si="79"/>
        <v>6.993006993006993E-3</v>
      </c>
      <c r="S959">
        <f t="shared" si="80"/>
        <v>0.42777777777777781</v>
      </c>
      <c r="T959">
        <f>Prams!B$5/(S959-Prams!B$6)</f>
        <v>168.23602334230338</v>
      </c>
      <c r="U959">
        <f t="shared" ca="1" si="81"/>
        <v>0.51111111111111118</v>
      </c>
      <c r="V959">
        <f ca="1">Prams!C$5/(U959-Prams!C$6)</f>
        <v>168.22076430039905</v>
      </c>
      <c r="W959">
        <f t="shared" ca="1" si="82"/>
        <v>1.1763689811216718</v>
      </c>
    </row>
    <row r="960" spans="1:23" hidden="1" x14ac:dyDescent="0.55000000000000004">
      <c r="A960" s="1" t="s">
        <v>2491</v>
      </c>
      <c r="B960" s="1">
        <v>125</v>
      </c>
      <c r="C960">
        <v>640.5</v>
      </c>
      <c r="D960">
        <v>613</v>
      </c>
      <c r="E960">
        <v>10.547610000000001</v>
      </c>
      <c r="F960" t="s">
        <v>343</v>
      </c>
      <c r="G960" s="10" t="s">
        <v>2462</v>
      </c>
      <c r="H960">
        <v>99</v>
      </c>
      <c r="I960" t="s">
        <v>2490</v>
      </c>
      <c r="J960">
        <f ca="1">VLOOKUP(G960,INDIRECT("球速変換!A$1:B$" &amp; Prams!$B$8),2,)</f>
        <v>145</v>
      </c>
      <c r="K960" t="str">
        <f ca="1">VLOOKUP(I960,INDIRECT("投手名変換!A$1:B$" &amp; Prams!$B$9),2,)</f>
        <v>TA001</v>
      </c>
      <c r="L960">
        <f t="shared" si="78"/>
        <v>26</v>
      </c>
      <c r="M960">
        <f ca="1">(B960-VLOOKUP(K960,INDIRECT("投手データ!B1:D"&amp;Prams!$B$1),3,FALSE)*2)</f>
        <v>31</v>
      </c>
      <c r="N960" t="str">
        <f ca="1">VLOOKUP(F960,INDIRECT("球種変換表!A$1:B$" &amp; Prams!$B$2),2,)</f>
        <v>全力ストレート</v>
      </c>
      <c r="O960">
        <f ca="1">VLOOKUP(N960,球種情報!A:B,2,FALSE)</f>
        <v>2</v>
      </c>
      <c r="P960">
        <f ca="1">VLOOKUP(K960,投手データ!B:AI,output!O960+6,FALSE)</f>
        <v>1</v>
      </c>
      <c r="R960">
        <f t="shared" ca="1" si="79"/>
        <v>6.8965517241379309E-3</v>
      </c>
      <c r="S960">
        <f t="shared" si="80"/>
        <v>0.42430555555555555</v>
      </c>
      <c r="T960">
        <f>Prams!B$5/(S960-Prams!B$6)</f>
        <v>169.84081439538471</v>
      </c>
      <c r="U960">
        <f t="shared" ca="1" si="81"/>
        <v>0.50763888888888886</v>
      </c>
      <c r="V960">
        <f ca="1">Prams!C$5/(U960-Prams!C$6)</f>
        <v>169.82526286874113</v>
      </c>
      <c r="W960">
        <f t="shared" ca="1" si="82"/>
        <v>1.171208709439594</v>
      </c>
    </row>
    <row r="961" spans="1:23" hidden="1" x14ac:dyDescent="0.55000000000000004">
      <c r="A961" s="1" t="s">
        <v>2494</v>
      </c>
      <c r="B961" s="1">
        <v>125</v>
      </c>
      <c r="C961">
        <v>640.5</v>
      </c>
      <c r="D961">
        <v>612</v>
      </c>
      <c r="E961">
        <v>10.547610000000001</v>
      </c>
      <c r="F961" t="s">
        <v>343</v>
      </c>
      <c r="G961" s="10" t="s">
        <v>2492</v>
      </c>
      <c r="H961">
        <v>99</v>
      </c>
      <c r="I961" t="s">
        <v>2493</v>
      </c>
      <c r="J961">
        <f ca="1">VLOOKUP(G961,INDIRECT("球速変換!A$1:B$" &amp; Prams!$B$8),2,)</f>
        <v>144</v>
      </c>
      <c r="K961" t="str">
        <f ca="1">VLOOKUP(I961,INDIRECT("投手名変換!A$1:B$" &amp; Prams!$B$9),2,)</f>
        <v>TA001</v>
      </c>
      <c r="L961">
        <f t="shared" si="78"/>
        <v>26</v>
      </c>
      <c r="M961">
        <f ca="1">(B961-VLOOKUP(K961,INDIRECT("投手データ!B1:D"&amp;Prams!$B$1),3,FALSE)*2)</f>
        <v>31</v>
      </c>
      <c r="N961" t="str">
        <f ca="1">VLOOKUP(F961,INDIRECT("球種変換表!A$1:B$" &amp; Prams!$B$2),2,)</f>
        <v>全力ストレート</v>
      </c>
      <c r="O961">
        <f ca="1">VLOOKUP(N961,球種情報!A:B,2,FALSE)</f>
        <v>2</v>
      </c>
      <c r="P961">
        <f ca="1">VLOOKUP(K961,投手データ!B:AI,output!O961+6,FALSE)</f>
        <v>1</v>
      </c>
      <c r="R961">
        <f t="shared" ca="1" si="79"/>
        <v>6.9444444444444441E-3</v>
      </c>
      <c r="S961">
        <f t="shared" si="80"/>
        <v>0.42499999999999999</v>
      </c>
      <c r="T961">
        <f>Prams!B$5/(S961-Prams!B$6)</f>
        <v>169.51741157115438</v>
      </c>
      <c r="U961">
        <f t="shared" ca="1" si="81"/>
        <v>0.5083333333333333</v>
      </c>
      <c r="V961">
        <f ca="1">Prams!C$5/(U961-Prams!C$6)</f>
        <v>169.50191921038203</v>
      </c>
      <c r="W961">
        <f t="shared" ca="1" si="82"/>
        <v>1.1770966611832085</v>
      </c>
    </row>
    <row r="962" spans="1:23" hidden="1" x14ac:dyDescent="0.55000000000000004">
      <c r="A962" s="1" t="s">
        <v>2495</v>
      </c>
      <c r="B962" s="1">
        <v>125</v>
      </c>
      <c r="C962">
        <v>640</v>
      </c>
      <c r="D962">
        <v>612.5</v>
      </c>
      <c r="E962">
        <v>11.01146</v>
      </c>
      <c r="F962" t="s">
        <v>343</v>
      </c>
      <c r="G962" s="10" t="s">
        <v>972</v>
      </c>
      <c r="H962">
        <v>99</v>
      </c>
      <c r="I962" t="s">
        <v>2478</v>
      </c>
      <c r="J962">
        <f ca="1">VLOOKUP(G962,INDIRECT("球速変換!A$1:B$" &amp; Prams!$B$8),2,)</f>
        <v>144</v>
      </c>
      <c r="K962" t="str">
        <f ca="1">VLOOKUP(I962,INDIRECT("投手名変換!A$1:B$" &amp; Prams!$B$9),2,)</f>
        <v>TA001</v>
      </c>
      <c r="L962">
        <f t="shared" si="78"/>
        <v>26</v>
      </c>
      <c r="M962">
        <f ca="1">(B962-VLOOKUP(K962,INDIRECT("投手データ!B1:D"&amp;Prams!$B$1),3,FALSE)*2)</f>
        <v>31</v>
      </c>
      <c r="N962" t="str">
        <f ca="1">VLOOKUP(F962,INDIRECT("球種変換表!A$1:B$" &amp; Prams!$B$2),2,)</f>
        <v>全力ストレート</v>
      </c>
      <c r="O962">
        <f ca="1">VLOOKUP(N962,球種情報!A:B,2,FALSE)</f>
        <v>2</v>
      </c>
      <c r="P962">
        <f ca="1">VLOOKUP(K962,投手データ!B:AI,output!O962+6,FALSE)</f>
        <v>1</v>
      </c>
      <c r="R962">
        <f t="shared" ca="1" si="79"/>
        <v>6.9444444444444441E-3</v>
      </c>
      <c r="S962">
        <f t="shared" si="80"/>
        <v>0.42465277777777782</v>
      </c>
      <c r="T962">
        <f>Prams!B$5/(S962-Prams!B$6)</f>
        <v>169.67895888447549</v>
      </c>
      <c r="U962">
        <f t="shared" ca="1" si="81"/>
        <v>0.50798611111111114</v>
      </c>
      <c r="V962">
        <f ca="1">Prams!C$5/(U962-Prams!C$6)</f>
        <v>169.66343698305369</v>
      </c>
      <c r="W962">
        <f t="shared" ca="1" si="82"/>
        <v>1.1782183123823173</v>
      </c>
    </row>
    <row r="963" spans="1:23" hidden="1" x14ac:dyDescent="0.55000000000000004">
      <c r="A963" s="1" t="s">
        <v>2497</v>
      </c>
      <c r="B963" s="1">
        <v>132</v>
      </c>
      <c r="C963">
        <v>636.52380000000005</v>
      </c>
      <c r="D963">
        <v>608</v>
      </c>
      <c r="E963">
        <v>10.52392</v>
      </c>
      <c r="F963" t="s">
        <v>0</v>
      </c>
      <c r="G963" s="10" t="s">
        <v>591</v>
      </c>
      <c r="H963">
        <v>100</v>
      </c>
      <c r="I963" t="s">
        <v>2496</v>
      </c>
      <c r="J963">
        <f ca="1">VLOOKUP(G963,INDIRECT("球速変換!A$1:B$" &amp; Prams!$B$8),2,)</f>
        <v>128</v>
      </c>
      <c r="K963" t="str">
        <f ca="1">VLOOKUP(I963,INDIRECT("投手名変換!A$1:B$" &amp; Prams!$B$9),2,)</f>
        <v>TA002</v>
      </c>
      <c r="L963">
        <f t="shared" si="78"/>
        <v>32</v>
      </c>
      <c r="M963">
        <f ca="1">(B963-VLOOKUP(K963,INDIRECT("投手データ!B1:D"&amp;Prams!$B$1),3,FALSE)*2)</f>
        <v>38</v>
      </c>
      <c r="N963" t="str">
        <f ca="1">VLOOKUP(F963,INDIRECT("球種変換表!A$1:B$" &amp; Prams!$B$2),2,)</f>
        <v>ストレート</v>
      </c>
      <c r="O963">
        <f ca="1">VLOOKUP(N963,球種情報!A:B,2,FALSE)</f>
        <v>1</v>
      </c>
      <c r="P963">
        <f ca="1">VLOOKUP(K963,投手データ!B:AI,output!O963+6,FALSE)</f>
        <v>1</v>
      </c>
      <c r="R963">
        <f t="shared" ca="1" si="79"/>
        <v>7.8125E-3</v>
      </c>
      <c r="S963">
        <f t="shared" si="80"/>
        <v>0.52777777777777779</v>
      </c>
      <c r="T963">
        <f>Prams!B$5/(S963-Prams!B$6)</f>
        <v>132.24799752810591</v>
      </c>
      <c r="U963">
        <f t="shared" ca="1" si="81"/>
        <v>0.62777777777777777</v>
      </c>
      <c r="V963">
        <f ca="1">Prams!C$5/(U963-Prams!C$6)</f>
        <v>127.68657058931522</v>
      </c>
      <c r="W963">
        <f t="shared" ca="1" si="82"/>
        <v>0.99755133272902519</v>
      </c>
    </row>
    <row r="964" spans="1:23" hidden="1" x14ac:dyDescent="0.55000000000000004">
      <c r="A964" s="1" t="s">
        <v>2499</v>
      </c>
      <c r="B964" s="1">
        <v>132</v>
      </c>
      <c r="C964">
        <v>638.5</v>
      </c>
      <c r="D964">
        <v>608</v>
      </c>
      <c r="E964">
        <v>11.5001</v>
      </c>
      <c r="F964" t="s">
        <v>0</v>
      </c>
      <c r="G964" s="10" t="s">
        <v>591</v>
      </c>
      <c r="H964">
        <v>100</v>
      </c>
      <c r="I964" t="s">
        <v>2498</v>
      </c>
      <c r="J964">
        <f ca="1">VLOOKUP(G964,INDIRECT("球速変換!A$1:B$" &amp; Prams!$B$8),2,)</f>
        <v>128</v>
      </c>
      <c r="K964" t="str">
        <f ca="1">VLOOKUP(I964,INDIRECT("投手名変換!A$1:B$" &amp; Prams!$B$9),2,)</f>
        <v>TA002</v>
      </c>
      <c r="L964">
        <f t="shared" si="78"/>
        <v>32</v>
      </c>
      <c r="M964">
        <f ca="1">(B964-VLOOKUP(K964,INDIRECT("投手データ!B1:D"&amp;Prams!$B$1),3,FALSE)*2)</f>
        <v>38</v>
      </c>
      <c r="N964" t="str">
        <f ca="1">VLOOKUP(F964,INDIRECT("球種変換表!A$1:B$" &amp; Prams!$B$2),2,)</f>
        <v>ストレート</v>
      </c>
      <c r="O964">
        <f ca="1">VLOOKUP(N964,球種情報!A:B,2,FALSE)</f>
        <v>1</v>
      </c>
      <c r="P964">
        <f ca="1">VLOOKUP(K964,投手データ!B:AI,output!O964+6,FALSE)</f>
        <v>1</v>
      </c>
      <c r="R964">
        <f t="shared" ca="1" si="79"/>
        <v>7.8125E-3</v>
      </c>
      <c r="S964">
        <f t="shared" si="80"/>
        <v>0.52777777777777779</v>
      </c>
      <c r="T964">
        <f>Prams!B$5/(S964-Prams!B$6)</f>
        <v>132.24799752810591</v>
      </c>
      <c r="U964">
        <f t="shared" ca="1" si="81"/>
        <v>0.62777777777777777</v>
      </c>
      <c r="V964">
        <f ca="1">Prams!C$5/(U964-Prams!C$6)</f>
        <v>127.68657058931522</v>
      </c>
      <c r="W964">
        <f t="shared" ca="1" si="82"/>
        <v>0.99755133272902519</v>
      </c>
    </row>
    <row r="965" spans="1:23" hidden="1" x14ac:dyDescent="0.55000000000000004">
      <c r="A965" s="1" t="s">
        <v>2500</v>
      </c>
      <c r="B965" s="1">
        <v>133</v>
      </c>
      <c r="C965">
        <v>640</v>
      </c>
      <c r="D965">
        <v>611.5</v>
      </c>
      <c r="E965">
        <v>11.01146</v>
      </c>
      <c r="F965" t="s">
        <v>0</v>
      </c>
      <c r="G965" s="10" t="s">
        <v>2425</v>
      </c>
      <c r="H965">
        <v>100</v>
      </c>
      <c r="I965" t="s">
        <v>2498</v>
      </c>
      <c r="J965">
        <f ca="1">VLOOKUP(G965,INDIRECT("球速変換!A$1:B$" &amp; Prams!$B$8),2,)</f>
        <v>124</v>
      </c>
      <c r="K965" t="str">
        <f ca="1">VLOOKUP(I965,INDIRECT("投手名変換!A$1:B$" &amp; Prams!$B$9),2,)</f>
        <v>TA002</v>
      </c>
      <c r="L965">
        <f t="shared" si="78"/>
        <v>33</v>
      </c>
      <c r="M965">
        <f ca="1">(B965-VLOOKUP(K965,INDIRECT("投手データ!B1:D"&amp;Prams!$B$1),3,FALSE)*2)</f>
        <v>39</v>
      </c>
      <c r="N965" t="str">
        <f ca="1">VLOOKUP(F965,INDIRECT("球種変換表!A$1:B$" &amp; Prams!$B$2),2,)</f>
        <v>ストレート</v>
      </c>
      <c r="O965">
        <f ca="1">VLOOKUP(N965,球種情報!A:B,2,FALSE)</f>
        <v>1</v>
      </c>
      <c r="P965">
        <f ca="1">VLOOKUP(K965,投手データ!B:AI,output!O965+6,FALSE)</f>
        <v>1</v>
      </c>
      <c r="R965">
        <f t="shared" ca="1" si="79"/>
        <v>8.0645161290322578E-3</v>
      </c>
      <c r="S965">
        <f t="shared" si="80"/>
        <v>0.54201388888888891</v>
      </c>
      <c r="T965">
        <f>Prams!B$5/(S965-Prams!B$6)</f>
        <v>128.33966681467214</v>
      </c>
      <c r="U965">
        <f t="shared" ca="1" si="81"/>
        <v>0.64201388888888888</v>
      </c>
      <c r="V965">
        <f ca="1">Prams!C$5/(U965-Prams!C$6)</f>
        <v>124.03948079741848</v>
      </c>
      <c r="W965">
        <f t="shared" ca="1" si="82"/>
        <v>1.0003183935275684</v>
      </c>
    </row>
    <row r="966" spans="1:23" hidden="1" x14ac:dyDescent="0.55000000000000004">
      <c r="A966" s="1" t="s">
        <v>2502</v>
      </c>
      <c r="B966" s="1">
        <v>132</v>
      </c>
      <c r="C966">
        <v>640.5</v>
      </c>
      <c r="D966">
        <v>603.5</v>
      </c>
      <c r="E966">
        <v>10.512</v>
      </c>
      <c r="F966" t="s">
        <v>0</v>
      </c>
      <c r="G966" s="10" t="s">
        <v>2419</v>
      </c>
      <c r="H966">
        <v>100</v>
      </c>
      <c r="I966" t="s">
        <v>2501</v>
      </c>
      <c r="J966">
        <f ca="1">VLOOKUP(G966,INDIRECT("球速変換!A$1:B$" &amp; Prams!$B$8),2,)</f>
        <v>126</v>
      </c>
      <c r="K966" t="str">
        <f ca="1">VLOOKUP(I966,INDIRECT("投手名変換!A$1:B$" &amp; Prams!$B$9),2,)</f>
        <v>TA002</v>
      </c>
      <c r="L966">
        <f t="shared" si="78"/>
        <v>32</v>
      </c>
      <c r="M966">
        <f ca="1">(B966-VLOOKUP(K966,INDIRECT("投手データ!B1:D"&amp;Prams!$B$1),3,FALSE)*2)</f>
        <v>38</v>
      </c>
      <c r="N966" t="str">
        <f ca="1">VLOOKUP(F966,INDIRECT("球種変換表!A$1:B$" &amp; Prams!$B$2),2,)</f>
        <v>ストレート</v>
      </c>
      <c r="O966">
        <f ca="1">VLOOKUP(N966,球種情報!A:B,2,FALSE)</f>
        <v>1</v>
      </c>
      <c r="P966">
        <f ca="1">VLOOKUP(K966,投手データ!B:AI,output!O966+6,FALSE)</f>
        <v>1</v>
      </c>
      <c r="R966">
        <f t="shared" ca="1" si="79"/>
        <v>7.9365079365079361E-3</v>
      </c>
      <c r="S966">
        <f t="shared" si="80"/>
        <v>0.53090277777777783</v>
      </c>
      <c r="T966">
        <f>Prams!B$5/(S966-Prams!B$6)</f>
        <v>131.36981530779082</v>
      </c>
      <c r="U966">
        <f t="shared" ca="1" si="81"/>
        <v>0.6309027777777777</v>
      </c>
      <c r="V966">
        <f ca="1">Prams!C$5/(U966-Prams!C$6)</f>
        <v>126.8677356651409</v>
      </c>
      <c r="W966">
        <f t="shared" ca="1" si="82"/>
        <v>1.0068867909931818</v>
      </c>
    </row>
    <row r="967" spans="1:23" hidden="1" x14ac:dyDescent="0.55000000000000004">
      <c r="A967" s="1" t="s">
        <v>2503</v>
      </c>
      <c r="B967" s="1">
        <v>133</v>
      </c>
      <c r="C967">
        <v>640</v>
      </c>
      <c r="D967">
        <v>616.5</v>
      </c>
      <c r="E967">
        <v>10.012589999999999</v>
      </c>
      <c r="F967" t="s">
        <v>0</v>
      </c>
      <c r="G967" s="10" t="s">
        <v>623</v>
      </c>
      <c r="H967">
        <v>100</v>
      </c>
      <c r="I967" t="s">
        <v>2501</v>
      </c>
      <c r="J967">
        <v>125</v>
      </c>
      <c r="K967" t="str">
        <f ca="1">VLOOKUP(I967,INDIRECT("投手名変換!A$1:B$" &amp; Prams!$B$9),2,)</f>
        <v>TA002</v>
      </c>
      <c r="L967">
        <f t="shared" si="78"/>
        <v>33</v>
      </c>
      <c r="M967">
        <f ca="1">(B967-VLOOKUP(K967,INDIRECT("投手データ!B1:D"&amp;Prams!$B$1),3,FALSE)*2)</f>
        <v>39</v>
      </c>
      <c r="N967" t="str">
        <f ca="1">VLOOKUP(F967,INDIRECT("球種変換表!A$1:B$" &amp; Prams!$B$2),2,)</f>
        <v>ストレート</v>
      </c>
      <c r="O967">
        <f ca="1">VLOOKUP(N967,球種情報!A:B,2,FALSE)</f>
        <v>1</v>
      </c>
      <c r="P967">
        <f ca="1">VLOOKUP(K967,投手データ!B:AI,output!O967+6,FALSE)</f>
        <v>1</v>
      </c>
      <c r="R967">
        <f t="shared" si="79"/>
        <v>8.0000000000000002E-3</v>
      </c>
      <c r="S967">
        <f t="shared" si="80"/>
        <v>0.5385416666666667</v>
      </c>
      <c r="T967">
        <f>Prams!B$5/(S967-Prams!B$6)</f>
        <v>129.27146317238495</v>
      </c>
      <c r="U967">
        <f t="shared" ca="1" si="81"/>
        <v>0.63854166666666667</v>
      </c>
      <c r="V967">
        <f ca="1">Prams!C$5/(U967-Prams!C$6)</f>
        <v>124.90966948967051</v>
      </c>
      <c r="W967">
        <f t="shared" ca="1" si="82"/>
        <v>0.999277355917364</v>
      </c>
    </row>
    <row r="968" spans="1:23" hidden="1" x14ac:dyDescent="0.55000000000000004">
      <c r="A968" s="1" t="s">
        <v>2504</v>
      </c>
      <c r="B968" s="1">
        <v>132</v>
      </c>
      <c r="C968">
        <v>643</v>
      </c>
      <c r="D968">
        <v>600.5</v>
      </c>
      <c r="E968">
        <v>11.01146</v>
      </c>
      <c r="F968" t="s">
        <v>0</v>
      </c>
      <c r="G968" s="10" t="s">
        <v>2419</v>
      </c>
      <c r="H968">
        <v>100</v>
      </c>
      <c r="I968" t="s">
        <v>2501</v>
      </c>
      <c r="J968">
        <f ca="1">VLOOKUP(G968,INDIRECT("球速変換!A$1:B$" &amp; Prams!$B$8),2,)</f>
        <v>126</v>
      </c>
      <c r="K968" t="str">
        <f ca="1">VLOOKUP(I968,INDIRECT("投手名変換!A$1:B$" &amp; Prams!$B$9),2,)</f>
        <v>TA002</v>
      </c>
      <c r="L968">
        <f t="shared" si="78"/>
        <v>32</v>
      </c>
      <c r="M968">
        <f ca="1">(B968-VLOOKUP(K968,INDIRECT("投手データ!B1:D"&amp;Prams!$B$1),3,FALSE)*2)</f>
        <v>38</v>
      </c>
      <c r="N968" t="str">
        <f ca="1">VLOOKUP(F968,INDIRECT("球種変換表!A$1:B$" &amp; Prams!$B$2),2,)</f>
        <v>ストレート</v>
      </c>
      <c r="O968">
        <f ca="1">VLOOKUP(N968,球種情報!A:B,2,FALSE)</f>
        <v>1</v>
      </c>
      <c r="P968">
        <f ca="1">VLOOKUP(K968,投手データ!B:AI,output!O968+6,FALSE)</f>
        <v>1</v>
      </c>
      <c r="R968">
        <f t="shared" ca="1" si="79"/>
        <v>7.9365079365079361E-3</v>
      </c>
      <c r="S968">
        <f t="shared" si="80"/>
        <v>0.53298611111111116</v>
      </c>
      <c r="T968">
        <f>Prams!B$5/(S968-Prams!B$6)</f>
        <v>130.79081137940963</v>
      </c>
      <c r="U968">
        <f t="shared" ca="1" si="81"/>
        <v>0.63298611111111103</v>
      </c>
      <c r="V968">
        <f ca="1">Prams!C$5/(U968-Prams!C$6)</f>
        <v>126.32765539593257</v>
      </c>
      <c r="W968">
        <f t="shared" ca="1" si="82"/>
        <v>1.0026004396502584</v>
      </c>
    </row>
    <row r="969" spans="1:23" hidden="1" x14ac:dyDescent="0.55000000000000004">
      <c r="A969" s="1" t="s">
        <v>2505</v>
      </c>
      <c r="B969" s="1">
        <v>132</v>
      </c>
      <c r="C969">
        <v>635.5</v>
      </c>
      <c r="D969">
        <v>607.5</v>
      </c>
      <c r="E969">
        <v>11.510960000000001</v>
      </c>
      <c r="F969" t="s">
        <v>0</v>
      </c>
      <c r="G969" s="10" t="s">
        <v>589</v>
      </c>
      <c r="H969">
        <v>100</v>
      </c>
      <c r="I969" t="s">
        <v>2501</v>
      </c>
      <c r="J969">
        <f ca="1">VLOOKUP(G969,INDIRECT("球速変換!A$1:B$" &amp; Prams!$B$8),2,)</f>
        <v>127</v>
      </c>
      <c r="K969" t="str">
        <f ca="1">VLOOKUP(I969,INDIRECT("投手名変換!A$1:B$" &amp; Prams!$B$9),2,)</f>
        <v>TA002</v>
      </c>
      <c r="L969">
        <f t="shared" si="78"/>
        <v>32</v>
      </c>
      <c r="M969">
        <f ca="1">(B969-VLOOKUP(K969,INDIRECT("投手データ!B1:D"&amp;Prams!$B$1),3,FALSE)*2)</f>
        <v>38</v>
      </c>
      <c r="N969" t="str">
        <f ca="1">VLOOKUP(F969,INDIRECT("球種変換表!A$1:B$" &amp; Prams!$B$2),2,)</f>
        <v>ストレート</v>
      </c>
      <c r="O969">
        <f ca="1">VLOOKUP(N969,球種情報!A:B,2,FALSE)</f>
        <v>1</v>
      </c>
      <c r="P969">
        <f ca="1">VLOOKUP(K969,投手データ!B:AI,output!O969+6,FALSE)</f>
        <v>1</v>
      </c>
      <c r="R969">
        <f t="shared" ca="1" si="79"/>
        <v>7.874015748031496E-3</v>
      </c>
      <c r="S969">
        <f t="shared" si="80"/>
        <v>0.52812499999999996</v>
      </c>
      <c r="T969">
        <f>Prams!B$5/(S969-Prams!B$6)</f>
        <v>132.14984235558171</v>
      </c>
      <c r="U969">
        <f t="shared" ca="1" si="81"/>
        <v>0.62812500000000004</v>
      </c>
      <c r="V969">
        <f ca="1">Prams!C$5/(U969-Prams!C$6)</f>
        <v>127.59506733398689</v>
      </c>
      <c r="W969">
        <f t="shared" ca="1" si="82"/>
        <v>1.0046855695589518</v>
      </c>
    </row>
    <row r="970" spans="1:23" hidden="1" x14ac:dyDescent="0.55000000000000004">
      <c r="A970" s="1" t="s">
        <v>2506</v>
      </c>
      <c r="B970" s="1">
        <v>133</v>
      </c>
      <c r="C970">
        <v>635.52173000000005</v>
      </c>
      <c r="D970">
        <v>616</v>
      </c>
      <c r="E970">
        <v>11.521850000000001</v>
      </c>
      <c r="F970" t="s">
        <v>0</v>
      </c>
      <c r="G970" s="10" t="s">
        <v>623</v>
      </c>
      <c r="H970">
        <v>100</v>
      </c>
      <c r="I970" t="s">
        <v>2501</v>
      </c>
      <c r="J970">
        <v>125</v>
      </c>
      <c r="K970" t="str">
        <f ca="1">VLOOKUP(I970,INDIRECT("投手名変換!A$1:B$" &amp; Prams!$B$9),2,)</f>
        <v>TA002</v>
      </c>
      <c r="L970">
        <f t="shared" si="78"/>
        <v>33</v>
      </c>
      <c r="M970">
        <f ca="1">(B970-VLOOKUP(K970,INDIRECT("投手データ!B1:D"&amp;Prams!$B$1),3,FALSE)*2)</f>
        <v>39</v>
      </c>
      <c r="N970" t="str">
        <f ca="1">VLOOKUP(F970,INDIRECT("球種変換表!A$1:B$" &amp; Prams!$B$2),2,)</f>
        <v>ストレート</v>
      </c>
      <c r="O970">
        <f ca="1">VLOOKUP(N970,球種情報!A:B,2,FALSE)</f>
        <v>1</v>
      </c>
      <c r="P970">
        <f ca="1">VLOOKUP(K970,投手データ!B:AI,output!O970+6,FALSE)</f>
        <v>1</v>
      </c>
      <c r="R970">
        <f t="shared" si="79"/>
        <v>8.0000000000000002E-3</v>
      </c>
      <c r="S970">
        <f t="shared" si="80"/>
        <v>0.53888888888888897</v>
      </c>
      <c r="T970">
        <f>Prams!B$5/(S970-Prams!B$6)</f>
        <v>129.17767510969747</v>
      </c>
      <c r="U970">
        <f t="shared" ca="1" si="81"/>
        <v>0.63888888888888895</v>
      </c>
      <c r="V970">
        <f ca="1">Prams!C$5/(U970-Prams!C$6)</f>
        <v>124.82210157932518</v>
      </c>
      <c r="W970">
        <f t="shared" ca="1" si="82"/>
        <v>0.99857681263460141</v>
      </c>
    </row>
    <row r="971" spans="1:23" hidden="1" x14ac:dyDescent="0.55000000000000004">
      <c r="A971" s="1" t="s">
        <v>2507</v>
      </c>
      <c r="B971" s="1">
        <v>133</v>
      </c>
      <c r="C971">
        <v>640</v>
      </c>
      <c r="D971">
        <v>615.5</v>
      </c>
      <c r="E971">
        <v>10.012589999999999</v>
      </c>
      <c r="F971" t="s">
        <v>0</v>
      </c>
      <c r="G971" s="10" t="s">
        <v>625</v>
      </c>
      <c r="H971">
        <v>100</v>
      </c>
      <c r="I971" t="s">
        <v>2498</v>
      </c>
      <c r="J971">
        <f ca="1">VLOOKUP(G971,INDIRECT("球速変換!A$1:B$" &amp; Prams!$B$8),2,)</f>
        <v>123</v>
      </c>
      <c r="K971" t="str">
        <f ca="1">VLOOKUP(I971,INDIRECT("投手名変換!A$1:B$" &amp; Prams!$B$9),2,)</f>
        <v>TA002</v>
      </c>
      <c r="L971">
        <f t="shared" si="78"/>
        <v>33</v>
      </c>
      <c r="M971">
        <f ca="1">(B971-VLOOKUP(K971,INDIRECT("投手データ!B1:D"&amp;Prams!$B$1),3,FALSE)*2)</f>
        <v>39</v>
      </c>
      <c r="N971" t="str">
        <f ca="1">VLOOKUP(F971,INDIRECT("球種変換表!A$1:B$" &amp; Prams!$B$2),2,)</f>
        <v>ストレート</v>
      </c>
      <c r="O971">
        <f ca="1">VLOOKUP(N971,球種情報!A:B,2,FALSE)</f>
        <v>1</v>
      </c>
      <c r="P971">
        <f ca="1">VLOOKUP(K971,投手データ!B:AI,output!O971+6,FALSE)</f>
        <v>1</v>
      </c>
      <c r="R971">
        <f t="shared" ca="1" si="79"/>
        <v>8.130081300813009E-3</v>
      </c>
      <c r="S971">
        <f t="shared" si="80"/>
        <v>0.53923611111111103</v>
      </c>
      <c r="T971">
        <f>Prams!B$5/(S971-Prams!B$6)</f>
        <v>129.08402303717153</v>
      </c>
      <c r="U971">
        <f t="shared" ca="1" si="81"/>
        <v>0.63923611111111112</v>
      </c>
      <c r="V971">
        <f ca="1">Prams!C$5/(U971-Prams!C$6)</f>
        <v>124.73465636191426</v>
      </c>
      <c r="W971">
        <f t="shared" ca="1" si="82"/>
        <v>1.0141028972513355</v>
      </c>
    </row>
    <row r="972" spans="1:23" hidden="1" x14ac:dyDescent="0.55000000000000004">
      <c r="A972" s="1" t="s">
        <v>2508</v>
      </c>
      <c r="B972" s="1">
        <v>132</v>
      </c>
      <c r="C972">
        <v>642.5</v>
      </c>
      <c r="D972">
        <v>606</v>
      </c>
      <c r="E972">
        <v>10.547610000000001</v>
      </c>
      <c r="F972" t="s">
        <v>0</v>
      </c>
      <c r="G972" s="10" t="s">
        <v>629</v>
      </c>
      <c r="H972">
        <v>100</v>
      </c>
      <c r="I972" t="s">
        <v>2501</v>
      </c>
      <c r="J972">
        <v>127</v>
      </c>
      <c r="K972" t="str">
        <f ca="1">VLOOKUP(I972,INDIRECT("投手名変換!A$1:B$" &amp; Prams!$B$9),2,)</f>
        <v>TA002</v>
      </c>
      <c r="L972">
        <f t="shared" si="78"/>
        <v>32</v>
      </c>
      <c r="M972">
        <f ca="1">(B972-VLOOKUP(K972,INDIRECT("投手データ!B1:D"&amp;Prams!$B$1),3,FALSE)*2)</f>
        <v>38</v>
      </c>
      <c r="N972" t="str">
        <f ca="1">VLOOKUP(F972,INDIRECT("球種変換表!A$1:B$" &amp; Prams!$B$2),2,)</f>
        <v>ストレート</v>
      </c>
      <c r="O972">
        <f ca="1">VLOOKUP(N972,球種情報!A:B,2,FALSE)</f>
        <v>1</v>
      </c>
      <c r="P972">
        <f ca="1">VLOOKUP(K972,投手データ!B:AI,output!O972+6,FALSE)</f>
        <v>1</v>
      </c>
      <c r="R972">
        <f t="shared" si="79"/>
        <v>7.874015748031496E-3</v>
      </c>
      <c r="S972">
        <f>(L972-(D972-600)/24)*2/120</f>
        <v>0.52916666666666667</v>
      </c>
      <c r="T972">
        <f>Prams!B$5/(S972-Prams!B$6)</f>
        <v>131.85624911133229</v>
      </c>
      <c r="U972">
        <f t="shared" ca="1" si="81"/>
        <v>0.62916666666666665</v>
      </c>
      <c r="V972">
        <f ca="1">Prams!C$5/(U972-Prams!C$6)</f>
        <v>127.32134276103523</v>
      </c>
      <c r="W972">
        <f t="shared" ca="1" si="82"/>
        <v>1.0025302579609072</v>
      </c>
    </row>
    <row r="973" spans="1:23" hidden="1" x14ac:dyDescent="0.55000000000000004">
      <c r="A973" s="1" t="s">
        <v>2509</v>
      </c>
      <c r="B973" s="1">
        <v>127</v>
      </c>
      <c r="C973">
        <v>638.5</v>
      </c>
      <c r="D973">
        <v>601.5</v>
      </c>
      <c r="E973">
        <v>10.512</v>
      </c>
      <c r="F973" t="s">
        <v>343</v>
      </c>
      <c r="G973" s="10" t="s">
        <v>591</v>
      </c>
      <c r="H973">
        <v>99</v>
      </c>
      <c r="I973" t="s">
        <v>2498</v>
      </c>
      <c r="J973">
        <f ca="1">VLOOKUP(G973,INDIRECT("球速変換!A$1:B$" &amp; Prams!$B$8),2,)</f>
        <v>128</v>
      </c>
      <c r="K973" t="str">
        <f ca="1">VLOOKUP(I973,INDIRECT("投手名変換!A$1:B$" &amp; Prams!$B$9),2,)</f>
        <v>TA002</v>
      </c>
      <c r="L973">
        <f t="shared" si="78"/>
        <v>28</v>
      </c>
      <c r="M973">
        <f ca="1">(B973-VLOOKUP(K973,INDIRECT("投手データ!B1:D"&amp;Prams!$B$1),3,FALSE)*2)</f>
        <v>33</v>
      </c>
      <c r="N973" t="str">
        <f ca="1">VLOOKUP(F973,INDIRECT("球種変換表!A$1:B$" &amp; Prams!$B$2),2,)</f>
        <v>全力ストレート</v>
      </c>
      <c r="O973">
        <f ca="1">VLOOKUP(N973,球種情報!A:B,2,FALSE)</f>
        <v>2</v>
      </c>
      <c r="P973">
        <f ca="1">VLOOKUP(K973,投手データ!B:AI,output!O973+6,FALSE)</f>
        <v>1</v>
      </c>
      <c r="R973">
        <f t="shared" ca="1" si="79"/>
        <v>7.8125E-3</v>
      </c>
      <c r="S973">
        <f t="shared" si="80"/>
        <v>0.46562500000000001</v>
      </c>
      <c r="T973">
        <f>Prams!B$5/(S973-Prams!B$6)</f>
        <v>152.52698451859618</v>
      </c>
      <c r="U973">
        <f t="shared" ca="1" si="81"/>
        <v>0.54895833333333333</v>
      </c>
      <c r="V973">
        <f ca="1">Prams!C$5/(U973-Prams!C$6)</f>
        <v>152.51444195464919</v>
      </c>
      <c r="W973">
        <f t="shared" ca="1" si="82"/>
        <v>1.1915190777706968</v>
      </c>
    </row>
    <row r="974" spans="1:23" hidden="1" x14ac:dyDescent="0.55000000000000004">
      <c r="A974" s="1" t="s">
        <v>2510</v>
      </c>
      <c r="B974" s="1">
        <v>128</v>
      </c>
      <c r="C974">
        <v>642.45239000000004</v>
      </c>
      <c r="D974">
        <v>623.5</v>
      </c>
      <c r="E974">
        <v>10.55955</v>
      </c>
      <c r="F974" t="s">
        <v>343</v>
      </c>
      <c r="G974" s="10" t="s">
        <v>2420</v>
      </c>
      <c r="H974">
        <v>99</v>
      </c>
      <c r="I974" t="s">
        <v>2498</v>
      </c>
      <c r="J974">
        <f ca="1">VLOOKUP(G974,INDIRECT("球速変換!A$1:B$" &amp; Prams!$B$8),2,)</f>
        <v>127</v>
      </c>
      <c r="K974" t="str">
        <f ca="1">VLOOKUP(I974,INDIRECT("投手名変換!A$1:B$" &amp; Prams!$B$9),2,)</f>
        <v>TA002</v>
      </c>
      <c r="L974">
        <f t="shared" si="78"/>
        <v>29</v>
      </c>
      <c r="M974">
        <f ca="1">(B974-VLOOKUP(K974,INDIRECT("投手データ!B1:D"&amp;Prams!$B$1),3,FALSE)*2)</f>
        <v>34</v>
      </c>
      <c r="N974" t="str">
        <f ca="1">VLOOKUP(F974,INDIRECT("球種変換表!A$1:B$" &amp; Prams!$B$2),2,)</f>
        <v>全力ストレート</v>
      </c>
      <c r="O974">
        <f ca="1">VLOOKUP(N974,球種情報!A:B,2,FALSE)</f>
        <v>2</v>
      </c>
      <c r="P974">
        <f ca="1">VLOOKUP(K974,投手データ!B:AI,output!O974+6,FALSE)</f>
        <v>1</v>
      </c>
      <c r="R974">
        <f t="shared" ca="1" si="79"/>
        <v>7.874015748031496E-3</v>
      </c>
      <c r="S974">
        <f t="shared" si="80"/>
        <v>0.4670138888888889</v>
      </c>
      <c r="T974">
        <f>Prams!B$5/(S974-Prams!B$6)</f>
        <v>152.00611950798063</v>
      </c>
      <c r="U974">
        <f t="shared" ca="1" si="81"/>
        <v>0.55034722222222221</v>
      </c>
      <c r="V974">
        <f ca="1">Prams!C$5/(U974-Prams!C$6)</f>
        <v>151.99366245757329</v>
      </c>
      <c r="W974">
        <f t="shared" ca="1" si="82"/>
        <v>1.1968004917919157</v>
      </c>
    </row>
    <row r="975" spans="1:23" hidden="1" x14ac:dyDescent="0.55000000000000004">
      <c r="A975" s="1" t="s">
        <v>2511</v>
      </c>
      <c r="B975" s="1">
        <v>128</v>
      </c>
      <c r="C975">
        <v>641.5</v>
      </c>
      <c r="D975">
        <v>618.5</v>
      </c>
      <c r="E975">
        <v>10.512</v>
      </c>
      <c r="F975" t="s">
        <v>343</v>
      </c>
      <c r="G975" s="10" t="s">
        <v>2434</v>
      </c>
      <c r="H975">
        <v>99</v>
      </c>
      <c r="I975" t="s">
        <v>2501</v>
      </c>
      <c r="J975">
        <f ca="1">VLOOKUP(G975,INDIRECT("球速変換!A$1:B$" &amp; Prams!$B$8),2,)</f>
        <v>125</v>
      </c>
      <c r="K975" t="str">
        <f ca="1">VLOOKUP(I975,INDIRECT("投手名変換!A$1:B$" &amp; Prams!$B$9),2,)</f>
        <v>TA002</v>
      </c>
      <c r="L975">
        <f t="shared" si="78"/>
        <v>29</v>
      </c>
      <c r="M975">
        <f ca="1">(B975-VLOOKUP(K975,INDIRECT("投手データ!B1:D"&amp;Prams!$B$1),3,FALSE)*2)</f>
        <v>34</v>
      </c>
      <c r="N975" t="str">
        <f ca="1">VLOOKUP(F975,INDIRECT("球種変換表!A$1:B$" &amp; Prams!$B$2),2,)</f>
        <v>全力ストレート</v>
      </c>
      <c r="O975">
        <f ca="1">VLOOKUP(N975,球種情報!A:B,2,FALSE)</f>
        <v>2</v>
      </c>
      <c r="P975">
        <f ca="1">VLOOKUP(K975,投手データ!B:AI,output!O975+6,FALSE)</f>
        <v>1</v>
      </c>
      <c r="R975">
        <f t="shared" ca="1" si="79"/>
        <v>8.0000000000000002E-3</v>
      </c>
      <c r="S975">
        <f t="shared" si="80"/>
        <v>0.4704861111111111</v>
      </c>
      <c r="T975">
        <f>Prams!B$5/(S975-Prams!B$6)</f>
        <v>150.71938889528468</v>
      </c>
      <c r="U975">
        <f t="shared" ca="1" si="81"/>
        <v>0.55381944444444442</v>
      </c>
      <c r="V975">
        <f ca="1">Prams!C$5/(U975-Prams!C$6)</f>
        <v>150.70714184142633</v>
      </c>
      <c r="W975">
        <f t="shared" ca="1" si="82"/>
        <v>1.2056571347314107</v>
      </c>
    </row>
    <row r="976" spans="1:23" hidden="1" x14ac:dyDescent="0.55000000000000004">
      <c r="A976" s="1" t="s">
        <v>2512</v>
      </c>
      <c r="B976" s="1">
        <v>128</v>
      </c>
      <c r="C976">
        <v>640.52380000000005</v>
      </c>
      <c r="D976">
        <v>618</v>
      </c>
      <c r="E976">
        <v>10.52392</v>
      </c>
      <c r="F976" t="s">
        <v>343</v>
      </c>
      <c r="G976" s="10" t="s">
        <v>623</v>
      </c>
      <c r="H976">
        <v>99</v>
      </c>
      <c r="I976" t="s">
        <v>2501</v>
      </c>
      <c r="J976">
        <v>125</v>
      </c>
      <c r="K976" t="str">
        <f ca="1">VLOOKUP(I976,INDIRECT("投手名変換!A$1:B$" &amp; Prams!$B$9),2,)</f>
        <v>TA002</v>
      </c>
      <c r="L976">
        <f t="shared" si="78"/>
        <v>29</v>
      </c>
      <c r="M976">
        <f ca="1">(B976-VLOOKUP(K976,INDIRECT("投手データ!B1:D"&amp;Prams!$B$1),3,FALSE)*2)</f>
        <v>34</v>
      </c>
      <c r="N976" t="str">
        <f ca="1">VLOOKUP(F976,INDIRECT("球種変換表!A$1:B$" &amp; Prams!$B$2),2,)</f>
        <v>全力ストレート</v>
      </c>
      <c r="O976">
        <f ca="1">VLOOKUP(N976,球種情報!A:B,2,FALSE)</f>
        <v>2</v>
      </c>
      <c r="P976">
        <f ca="1">VLOOKUP(K976,投手データ!B:AI,output!O976+6,FALSE)</f>
        <v>1</v>
      </c>
      <c r="R976">
        <f t="shared" si="79"/>
        <v>8.0000000000000002E-3</v>
      </c>
      <c r="S976">
        <f t="shared" si="80"/>
        <v>0.47083333333333333</v>
      </c>
      <c r="T976">
        <f>Prams!B$5/(S976-Prams!B$6)</f>
        <v>150.59191295875286</v>
      </c>
      <c r="U976">
        <f t="shared" ca="1" si="81"/>
        <v>0.5541666666666667</v>
      </c>
      <c r="V976">
        <f ca="1">Prams!C$5/(U976-Prams!C$6)</f>
        <v>150.57968661199968</v>
      </c>
      <c r="W976">
        <f t="shared" ca="1" si="82"/>
        <v>1.2046374928959973</v>
      </c>
    </row>
    <row r="977" spans="1:23" hidden="1" x14ac:dyDescent="0.55000000000000004">
      <c r="A977" s="1" t="s">
        <v>2513</v>
      </c>
      <c r="B977" s="1">
        <v>127</v>
      </c>
      <c r="C977">
        <v>639</v>
      </c>
      <c r="D977">
        <v>601.5</v>
      </c>
      <c r="E977">
        <v>10.012589999999999</v>
      </c>
      <c r="F977" t="s">
        <v>343</v>
      </c>
      <c r="G977" s="10" t="s">
        <v>591</v>
      </c>
      <c r="H977">
        <v>99</v>
      </c>
      <c r="I977" t="s">
        <v>2501</v>
      </c>
      <c r="J977">
        <f ca="1">VLOOKUP(G977,INDIRECT("球速変換!A$1:B$" &amp; Prams!$B$8),2,)</f>
        <v>128</v>
      </c>
      <c r="K977" t="str">
        <f ca="1">VLOOKUP(I977,INDIRECT("投手名変換!A$1:B$" &amp; Prams!$B$9),2,)</f>
        <v>TA002</v>
      </c>
      <c r="L977">
        <f t="shared" si="78"/>
        <v>28</v>
      </c>
      <c r="M977">
        <f ca="1">(B977-VLOOKUP(K977,INDIRECT("投手データ!B1:D"&amp;Prams!$B$1),3,FALSE)*2)</f>
        <v>33</v>
      </c>
      <c r="N977" t="str">
        <f ca="1">VLOOKUP(F977,INDIRECT("球種変換表!A$1:B$" &amp; Prams!$B$2),2,)</f>
        <v>全力ストレート</v>
      </c>
      <c r="O977">
        <f ca="1">VLOOKUP(N977,球種情報!A:B,2,FALSE)</f>
        <v>2</v>
      </c>
      <c r="P977">
        <f ca="1">VLOOKUP(K977,投手データ!B:AI,output!O977+6,FALSE)</f>
        <v>1</v>
      </c>
      <c r="R977">
        <f t="shared" ca="1" si="79"/>
        <v>7.8125E-3</v>
      </c>
      <c r="S977">
        <f t="shared" si="80"/>
        <v>0.46562500000000001</v>
      </c>
      <c r="T977">
        <f>Prams!B$5/(S977-Prams!B$6)</f>
        <v>152.52698451859618</v>
      </c>
      <c r="U977">
        <f t="shared" ca="1" si="81"/>
        <v>0.54895833333333333</v>
      </c>
      <c r="V977">
        <f ca="1">Prams!C$5/(U977-Prams!C$6)</f>
        <v>152.51444195464919</v>
      </c>
      <c r="W977">
        <f t="shared" ca="1" si="82"/>
        <v>1.1915190777706968</v>
      </c>
    </row>
    <row r="978" spans="1:23" hidden="1" x14ac:dyDescent="0.55000000000000004">
      <c r="A978" s="1" t="s">
        <v>2515</v>
      </c>
      <c r="B978" s="1">
        <v>128</v>
      </c>
      <c r="C978">
        <v>641.95001000000002</v>
      </c>
      <c r="D978">
        <v>623.5</v>
      </c>
      <c r="E978">
        <v>10.062519999999999</v>
      </c>
      <c r="F978" t="s">
        <v>2514</v>
      </c>
      <c r="G978" s="10" t="s">
        <v>589</v>
      </c>
      <c r="H978">
        <v>99</v>
      </c>
      <c r="I978" t="s">
        <v>2498</v>
      </c>
      <c r="J978">
        <f ca="1">VLOOKUP(G978,INDIRECT("球速変換!A$1:B$" &amp; Prams!$B$8),2,)</f>
        <v>127</v>
      </c>
      <c r="K978" t="str">
        <f ca="1">VLOOKUP(I978,INDIRECT("投手名変換!A$1:B$" &amp; Prams!$B$9),2,)</f>
        <v>TA002</v>
      </c>
      <c r="L978">
        <f t="shared" si="78"/>
        <v>29</v>
      </c>
      <c r="M978">
        <f ca="1">(B978-VLOOKUP(K978,INDIRECT("投手データ!B1:D"&amp;Prams!$B$1),3,FALSE)*2)</f>
        <v>34</v>
      </c>
      <c r="N978" t="str">
        <f ca="1">VLOOKUP(F978,INDIRECT("球種変換表!A$1:B$" &amp; Prams!$B$2),2,)</f>
        <v>全力ストレート</v>
      </c>
      <c r="O978">
        <f ca="1">VLOOKUP(N978,球種情報!A:B,2,FALSE)</f>
        <v>2</v>
      </c>
      <c r="P978">
        <f ca="1">VLOOKUP(K978,投手データ!B:AI,output!O978+6,FALSE)</f>
        <v>1</v>
      </c>
      <c r="R978">
        <f t="shared" ca="1" si="79"/>
        <v>7.874015748031496E-3</v>
      </c>
      <c r="S978">
        <f t="shared" si="80"/>
        <v>0.4670138888888889</v>
      </c>
      <c r="T978">
        <f>Prams!B$5/(S978-Prams!B$6)</f>
        <v>152.00611950798063</v>
      </c>
      <c r="U978">
        <f t="shared" ca="1" si="81"/>
        <v>0.55034722222222221</v>
      </c>
      <c r="V978">
        <f ca="1">Prams!C$5/(U978-Prams!C$6)</f>
        <v>151.99366245757329</v>
      </c>
      <c r="W978">
        <f t="shared" ca="1" si="82"/>
        <v>1.1968004917919157</v>
      </c>
    </row>
    <row r="979" spans="1:23" hidden="1" x14ac:dyDescent="0.55000000000000004">
      <c r="A979" s="1" t="s">
        <v>2516</v>
      </c>
      <c r="B979" s="1">
        <v>127</v>
      </c>
      <c r="C979">
        <v>639</v>
      </c>
      <c r="D979">
        <v>601.5</v>
      </c>
      <c r="E979">
        <v>10.012589999999999</v>
      </c>
      <c r="F979" t="s">
        <v>343</v>
      </c>
      <c r="G979" s="10" t="s">
        <v>591</v>
      </c>
      <c r="H979">
        <v>99</v>
      </c>
      <c r="I979" t="s">
        <v>2501</v>
      </c>
      <c r="J979">
        <f ca="1">VLOOKUP(G979,INDIRECT("球速変換!A$1:B$" &amp; Prams!$B$8),2,)</f>
        <v>128</v>
      </c>
      <c r="K979" t="str">
        <f ca="1">VLOOKUP(I979,INDIRECT("投手名変換!A$1:B$" &amp; Prams!$B$9),2,)</f>
        <v>TA002</v>
      </c>
      <c r="L979">
        <f t="shared" si="78"/>
        <v>28</v>
      </c>
      <c r="M979">
        <f ca="1">(B979-VLOOKUP(K979,INDIRECT("投手データ!B1:D"&amp;Prams!$B$1),3,FALSE)*2)</f>
        <v>33</v>
      </c>
      <c r="N979" t="str">
        <f ca="1">VLOOKUP(F979,INDIRECT("球種変換表!A$1:B$" &amp; Prams!$B$2),2,)</f>
        <v>全力ストレート</v>
      </c>
      <c r="O979">
        <f ca="1">VLOOKUP(N979,球種情報!A:B,2,FALSE)</f>
        <v>2</v>
      </c>
      <c r="P979">
        <f ca="1">VLOOKUP(K979,投手データ!B:AI,output!O979+6,FALSE)</f>
        <v>1</v>
      </c>
      <c r="R979">
        <f t="shared" ca="1" si="79"/>
        <v>7.8125E-3</v>
      </c>
      <c r="S979">
        <f t="shared" si="80"/>
        <v>0.46562500000000001</v>
      </c>
      <c r="T979">
        <f>Prams!B$5/(S979-Prams!B$6)</f>
        <v>152.52698451859618</v>
      </c>
      <c r="U979">
        <f t="shared" ca="1" si="81"/>
        <v>0.54895833333333333</v>
      </c>
      <c r="V979">
        <f ca="1">Prams!C$5/(U979-Prams!C$6)</f>
        <v>152.51444195464919</v>
      </c>
      <c r="W979">
        <f t="shared" ca="1" si="82"/>
        <v>1.1915190777706968</v>
      </c>
    </row>
    <row r="980" spans="1:23" hidden="1" x14ac:dyDescent="0.55000000000000004">
      <c r="A980" s="1" t="s">
        <v>2518</v>
      </c>
      <c r="B980" s="1">
        <v>127</v>
      </c>
      <c r="C980">
        <v>639</v>
      </c>
      <c r="D980">
        <v>601.5</v>
      </c>
      <c r="E980">
        <v>10.012589999999999</v>
      </c>
      <c r="F980" t="s">
        <v>343</v>
      </c>
      <c r="G980" s="10" t="s">
        <v>622</v>
      </c>
      <c r="H980">
        <v>99</v>
      </c>
      <c r="I980" t="s">
        <v>2517</v>
      </c>
      <c r="J980">
        <f ca="1">VLOOKUP(G980,INDIRECT("球速変換!A$1:B$" &amp; Prams!$B$8),2,)</f>
        <v>128</v>
      </c>
      <c r="K980" t="str">
        <f ca="1">VLOOKUP(I980,INDIRECT("投手名変換!A$1:B$" &amp; Prams!$B$9),2,)</f>
        <v>TA002</v>
      </c>
      <c r="L980">
        <f t="shared" si="78"/>
        <v>28</v>
      </c>
      <c r="M980">
        <f ca="1">(B980-VLOOKUP(K980,INDIRECT("投手データ!B1:D"&amp;Prams!$B$1),3,FALSE)*2)</f>
        <v>33</v>
      </c>
      <c r="N980" t="str">
        <f ca="1">VLOOKUP(F980,INDIRECT("球種変換表!A$1:B$" &amp; Prams!$B$2),2,)</f>
        <v>全力ストレート</v>
      </c>
      <c r="O980">
        <f ca="1">VLOOKUP(N980,球種情報!A:B,2,FALSE)</f>
        <v>2</v>
      </c>
      <c r="P980">
        <f ca="1">VLOOKUP(K980,投手データ!B:AI,output!O980+6,FALSE)</f>
        <v>1</v>
      </c>
      <c r="R980">
        <f t="shared" ca="1" si="79"/>
        <v>7.8125E-3</v>
      </c>
      <c r="S980">
        <f t="shared" si="80"/>
        <v>0.46562500000000001</v>
      </c>
      <c r="T980">
        <f>Prams!B$5/(S980-Prams!B$6)</f>
        <v>152.52698451859618</v>
      </c>
      <c r="U980">
        <f t="shared" ca="1" si="81"/>
        <v>0.54895833333333333</v>
      </c>
      <c r="V980">
        <f ca="1">Prams!C$5/(U980-Prams!C$6)</f>
        <v>152.51444195464919</v>
      </c>
      <c r="W980">
        <f t="shared" ca="1" si="82"/>
        <v>1.1915190777706968</v>
      </c>
    </row>
    <row r="981" spans="1:23" hidden="1" x14ac:dyDescent="0.55000000000000004">
      <c r="A981" s="1" t="s">
        <v>2519</v>
      </c>
      <c r="B981" s="1">
        <v>128</v>
      </c>
      <c r="C981">
        <v>641</v>
      </c>
      <c r="D981">
        <v>614.5</v>
      </c>
      <c r="E981">
        <v>11.01146</v>
      </c>
      <c r="F981" t="s">
        <v>343</v>
      </c>
      <c r="G981" s="10" t="s">
        <v>2434</v>
      </c>
      <c r="H981">
        <v>99</v>
      </c>
      <c r="I981" t="s">
        <v>2501</v>
      </c>
      <c r="J981">
        <f ca="1">VLOOKUP(G981,INDIRECT("球速変換!A$1:B$" &amp; Prams!$B$8),2,)</f>
        <v>125</v>
      </c>
      <c r="K981" t="str">
        <f ca="1">VLOOKUP(I981,INDIRECT("投手名変換!A$1:B$" &amp; Prams!$B$9),2,)</f>
        <v>TA002</v>
      </c>
      <c r="L981">
        <f t="shared" si="78"/>
        <v>29</v>
      </c>
      <c r="M981">
        <f ca="1">(B981-VLOOKUP(K981,INDIRECT("投手データ!B1:D"&amp;Prams!$B$1),3,FALSE)*2)</f>
        <v>34</v>
      </c>
      <c r="N981" t="str">
        <f ca="1">VLOOKUP(F981,INDIRECT("球種変換表!A$1:B$" &amp; Prams!$B$2),2,)</f>
        <v>全力ストレート</v>
      </c>
      <c r="O981">
        <f ca="1">VLOOKUP(N981,球種情報!A:B,2,FALSE)</f>
        <v>2</v>
      </c>
      <c r="P981">
        <f ca="1">VLOOKUP(K981,投手データ!B:AI,output!O981+6,FALSE)</f>
        <v>1</v>
      </c>
      <c r="R981">
        <f t="shared" ca="1" si="79"/>
        <v>8.0000000000000002E-3</v>
      </c>
      <c r="S981">
        <f t="shared" si="80"/>
        <v>0.47326388888888887</v>
      </c>
      <c r="T981">
        <f>Prams!B$5/(S981-Prams!B$6)</f>
        <v>149.70558361976768</v>
      </c>
      <c r="U981">
        <f t="shared" ca="1" si="81"/>
        <v>0.5565972222222223</v>
      </c>
      <c r="V981">
        <f ca="1">Prams!C$5/(U981-Prams!C$6)</f>
        <v>149.69350076338955</v>
      </c>
      <c r="W981">
        <f t="shared" ca="1" si="82"/>
        <v>1.1975480061071164</v>
      </c>
    </row>
    <row r="982" spans="1:23" hidden="1" x14ac:dyDescent="0.55000000000000004">
      <c r="A982" s="1" t="s">
        <v>2520</v>
      </c>
      <c r="B982" s="1">
        <v>128</v>
      </c>
      <c r="C982">
        <v>641.95001000000002</v>
      </c>
      <c r="D982">
        <v>621.5</v>
      </c>
      <c r="E982">
        <v>10.062519999999999</v>
      </c>
      <c r="F982" t="s">
        <v>92</v>
      </c>
      <c r="G982" s="10" t="s">
        <v>2419</v>
      </c>
      <c r="H982">
        <v>99</v>
      </c>
      <c r="I982" t="s">
        <v>2501</v>
      </c>
      <c r="J982">
        <f ca="1">VLOOKUP(G982,INDIRECT("球速変換!A$1:B$" &amp; Prams!$B$8),2,)</f>
        <v>126</v>
      </c>
      <c r="K982" t="str">
        <f ca="1">VLOOKUP(I982,INDIRECT("投手名変換!A$1:B$" &amp; Prams!$B$9),2,)</f>
        <v>TA002</v>
      </c>
      <c r="L982">
        <f t="shared" si="78"/>
        <v>29</v>
      </c>
      <c r="M982">
        <f ca="1">(B982-VLOOKUP(K982,INDIRECT("投手データ!B1:D"&amp;Prams!$B$1),3,FALSE)*2)</f>
        <v>34</v>
      </c>
      <c r="N982" t="str">
        <f ca="1">VLOOKUP(F982,INDIRECT("球種変換表!A$1:B$" &amp; Prams!$B$2),2,)</f>
        <v>全力ストレート</v>
      </c>
      <c r="O982">
        <f ca="1">VLOOKUP(N982,球種情報!A:B,2,FALSE)</f>
        <v>2</v>
      </c>
      <c r="P982">
        <f ca="1">VLOOKUP(K982,投手データ!B:AI,output!O982+6,FALSE)</f>
        <v>1</v>
      </c>
      <c r="R982">
        <f t="shared" ca="1" si="79"/>
        <v>7.9365079365079361E-3</v>
      </c>
      <c r="S982">
        <f t="shared" si="80"/>
        <v>0.46840277777777778</v>
      </c>
      <c r="T982">
        <f>Prams!B$5/(S982-Prams!B$6)</f>
        <v>151.48879979852572</v>
      </c>
      <c r="U982">
        <f t="shared" ca="1" si="81"/>
        <v>0.55173611111111109</v>
      </c>
      <c r="V982">
        <f ca="1">Prams!C$5/(U982-Prams!C$6)</f>
        <v>151.47642739009999</v>
      </c>
      <c r="W982">
        <f t="shared" ca="1" si="82"/>
        <v>1.2021938681753968</v>
      </c>
    </row>
    <row r="983" spans="1:23" hidden="1" x14ac:dyDescent="0.55000000000000004">
      <c r="A983" s="1" t="s">
        <v>2522</v>
      </c>
      <c r="B983" s="1">
        <v>130</v>
      </c>
      <c r="C983">
        <v>642</v>
      </c>
      <c r="D983">
        <v>623.5</v>
      </c>
      <c r="E983">
        <v>11.01146</v>
      </c>
      <c r="F983" t="s">
        <v>343</v>
      </c>
      <c r="G983" s="10" t="s">
        <v>2521</v>
      </c>
      <c r="H983">
        <v>99</v>
      </c>
      <c r="I983" t="s">
        <v>2404</v>
      </c>
      <c r="J983">
        <f ca="1">VLOOKUP(G983,INDIRECT("球速変換!A$1:B$" &amp; Prams!$B$8),2,)</f>
        <v>116</v>
      </c>
      <c r="K983" t="str">
        <f ca="1">VLOOKUP(I983,INDIRECT("投手名変換!A$1:B$" &amp; Prams!$B$9),2,)</f>
        <v>TA003</v>
      </c>
      <c r="L983">
        <f t="shared" si="78"/>
        <v>31</v>
      </c>
      <c r="M983">
        <f ca="1">(B983-VLOOKUP(K983,INDIRECT("投手データ!B1:D"&amp;Prams!$B$1),3,FALSE)*2)</f>
        <v>36</v>
      </c>
      <c r="N983" t="str">
        <f ca="1">VLOOKUP(F983,INDIRECT("球種変換表!A$1:B$" &amp; Prams!$B$2),2,)</f>
        <v>全力ストレート</v>
      </c>
      <c r="O983">
        <f ca="1">VLOOKUP(N983,球種情報!A:B,2,FALSE)</f>
        <v>2</v>
      </c>
      <c r="P983">
        <f ca="1">VLOOKUP(K983,投手データ!B:AI,output!O983+6,FALSE)</f>
        <v>1</v>
      </c>
      <c r="R983">
        <f t="shared" ca="1" si="79"/>
        <v>8.6206896551724137E-3</v>
      </c>
      <c r="S983">
        <f t="shared" si="80"/>
        <v>0.50034722222222217</v>
      </c>
      <c r="T983">
        <f>Prams!B$5/(S983-Prams!B$6)</f>
        <v>140.49174015415014</v>
      </c>
      <c r="U983">
        <f t="shared" ca="1" si="81"/>
        <v>0.58368055555555565</v>
      </c>
      <c r="V983">
        <f ca="1">Prams!C$5/(U983-Prams!C$6)</f>
        <v>140.48109878873183</v>
      </c>
      <c r="W983">
        <f t="shared" ca="1" si="82"/>
        <v>1.2110439550752743</v>
      </c>
    </row>
    <row r="984" spans="1:23" hidden="1" x14ac:dyDescent="0.55000000000000004">
      <c r="A984" s="1" t="s">
        <v>2524</v>
      </c>
      <c r="B984" s="1">
        <v>129</v>
      </c>
      <c r="C984">
        <v>639.5</v>
      </c>
      <c r="D984">
        <v>602.5</v>
      </c>
      <c r="E984">
        <v>10.512</v>
      </c>
      <c r="F984" t="s">
        <v>92</v>
      </c>
      <c r="G984" s="10" t="s">
        <v>631</v>
      </c>
      <c r="H984">
        <v>99</v>
      </c>
      <c r="I984" t="s">
        <v>2523</v>
      </c>
      <c r="J984">
        <f ca="1">VLOOKUP(G984,INDIRECT("球速変換!A$1:B$" &amp; Prams!$B$8),2,)</f>
        <v>117</v>
      </c>
      <c r="K984" t="str">
        <f ca="1">VLOOKUP(I984,INDIRECT("投手名変換!A$1:B$" &amp; Prams!$B$9),2,)</f>
        <v>TA003</v>
      </c>
      <c r="L984">
        <f t="shared" si="78"/>
        <v>30</v>
      </c>
      <c r="M984">
        <f ca="1">(B984-VLOOKUP(K984,INDIRECT("投手データ!B1:D"&amp;Prams!$B$1),3,FALSE)*2)</f>
        <v>35</v>
      </c>
      <c r="N984" t="str">
        <f ca="1">VLOOKUP(F984,INDIRECT("球種変換表!A$1:B$" &amp; Prams!$B$2),2,)</f>
        <v>全力ストレート</v>
      </c>
      <c r="O984">
        <f ca="1">VLOOKUP(N984,球種情報!A:B,2,FALSE)</f>
        <v>2</v>
      </c>
      <c r="P984">
        <f ca="1">VLOOKUP(K984,投手データ!B:AI,output!O984+6,FALSE)</f>
        <v>1</v>
      </c>
      <c r="R984">
        <f t="shared" ca="1" si="79"/>
        <v>8.5470085470085479E-3</v>
      </c>
      <c r="S984">
        <f t="shared" si="80"/>
        <v>0.4982638888888889</v>
      </c>
      <c r="T984">
        <f>Prams!B$5/(S984-Prams!B$6)</f>
        <v>141.16003983078261</v>
      </c>
      <c r="U984">
        <f t="shared" ca="1" si="81"/>
        <v>0.58159722222222221</v>
      </c>
      <c r="V984">
        <f ca="1">Prams!C$5/(U984-Prams!C$6)</f>
        <v>141.14929698945326</v>
      </c>
      <c r="W984">
        <f t="shared" ca="1" si="82"/>
        <v>1.2064042477731047</v>
      </c>
    </row>
    <row r="985" spans="1:23" hidden="1" x14ac:dyDescent="0.55000000000000004">
      <c r="A985" s="1" t="s">
        <v>2525</v>
      </c>
      <c r="B985" s="1">
        <v>129</v>
      </c>
      <c r="C985">
        <v>639</v>
      </c>
      <c r="D985">
        <v>601</v>
      </c>
      <c r="E985">
        <v>10.04998</v>
      </c>
      <c r="F985" t="s">
        <v>1578</v>
      </c>
      <c r="G985" s="10" t="s">
        <v>1079</v>
      </c>
      <c r="H985">
        <v>99</v>
      </c>
      <c r="I985" t="s">
        <v>2404</v>
      </c>
      <c r="J985">
        <f ca="1">VLOOKUP(G985,INDIRECT("球速変換!A$1:B$" &amp; Prams!$B$8),2,)</f>
        <v>118</v>
      </c>
      <c r="K985" t="str">
        <f ca="1">VLOOKUP(I985,INDIRECT("投手名変換!A$1:B$" &amp; Prams!$B$9),2,)</f>
        <v>TA003</v>
      </c>
      <c r="L985">
        <f t="shared" si="78"/>
        <v>30</v>
      </c>
      <c r="M985">
        <f ca="1">(B985-VLOOKUP(K985,INDIRECT("投手データ!B1:D"&amp;Prams!$B$1),3,FALSE)*2)</f>
        <v>35</v>
      </c>
      <c r="N985" t="str">
        <f ca="1">VLOOKUP(F985,INDIRECT("球種変換表!A$1:B$" &amp; Prams!$B$2),2,)</f>
        <v>全力ストレート</v>
      </c>
      <c r="O985">
        <f ca="1">VLOOKUP(N985,球種情報!A:B,2,FALSE)</f>
        <v>2</v>
      </c>
      <c r="P985">
        <f ca="1">VLOOKUP(K985,投手データ!B:AI,output!O985+6,FALSE)</f>
        <v>1</v>
      </c>
      <c r="R985">
        <f t="shared" ca="1" si="79"/>
        <v>8.4745762711864406E-3</v>
      </c>
      <c r="S985">
        <f t="shared" si="80"/>
        <v>0.49930555555555556</v>
      </c>
      <c r="T985">
        <f>Prams!B$5/(S985-Prams!B$6)</f>
        <v>140.82509712608041</v>
      </c>
      <c r="U985">
        <f t="shared" ca="1" si="81"/>
        <v>0.58263888888888893</v>
      </c>
      <c r="V985">
        <f ca="1">Prams!C$5/(U985-Prams!C$6)</f>
        <v>140.81440520328493</v>
      </c>
      <c r="W985">
        <f t="shared" ca="1" si="82"/>
        <v>1.1933424169769911</v>
      </c>
    </row>
    <row r="986" spans="1:23" hidden="1" x14ac:dyDescent="0.55000000000000004">
      <c r="A986" s="1" t="s">
        <v>2527</v>
      </c>
      <c r="B986" s="1">
        <v>129</v>
      </c>
      <c r="C986">
        <v>639</v>
      </c>
      <c r="D986">
        <v>601.5</v>
      </c>
      <c r="E986">
        <v>10.012589999999999</v>
      </c>
      <c r="F986" t="s">
        <v>92</v>
      </c>
      <c r="G986" s="10" t="s">
        <v>2526</v>
      </c>
      <c r="H986">
        <v>99</v>
      </c>
      <c r="I986" t="s">
        <v>2523</v>
      </c>
      <c r="J986">
        <f ca="1">VLOOKUP(G986,INDIRECT("球速変換!A$1:B$" &amp; Prams!$B$8),2,)</f>
        <v>116</v>
      </c>
      <c r="K986" t="str">
        <f ca="1">VLOOKUP(I986,INDIRECT("投手名変換!A$1:B$" &amp; Prams!$B$9),2,)</f>
        <v>TA003</v>
      </c>
      <c r="L986">
        <f t="shared" si="78"/>
        <v>30</v>
      </c>
      <c r="M986">
        <f ca="1">(B986-VLOOKUP(K986,INDIRECT("投手データ!B1:D"&amp;Prams!$B$1),3,FALSE)*2)</f>
        <v>35</v>
      </c>
      <c r="N986" t="str">
        <f ca="1">VLOOKUP(F986,INDIRECT("球種変換表!A$1:B$" &amp; Prams!$B$2),2,)</f>
        <v>全力ストレート</v>
      </c>
      <c r="O986">
        <f ca="1">VLOOKUP(N986,球種情報!A:B,2,FALSE)</f>
        <v>2</v>
      </c>
      <c r="P986">
        <f ca="1">VLOOKUP(K986,投手データ!B:AI,output!O986+6,FALSE)</f>
        <v>1</v>
      </c>
      <c r="R986">
        <f t="shared" ca="1" si="79"/>
        <v>8.6206896551724137E-3</v>
      </c>
      <c r="S986">
        <f t="shared" si="80"/>
        <v>0.49895833333333334</v>
      </c>
      <c r="T986">
        <f>Prams!B$5/(S986-Prams!B$6)</f>
        <v>140.93656794391993</v>
      </c>
      <c r="U986">
        <f t="shared" ca="1" si="81"/>
        <v>0.58229166666666665</v>
      </c>
      <c r="V986">
        <f ca="1">Prams!C$5/(U986-Prams!C$6)</f>
        <v>140.92585908857779</v>
      </c>
      <c r="W986">
        <f t="shared" ca="1" si="82"/>
        <v>1.214878095591188</v>
      </c>
    </row>
    <row r="987" spans="1:23" hidden="1" x14ac:dyDescent="0.55000000000000004">
      <c r="A987" s="1" t="s">
        <v>2529</v>
      </c>
      <c r="B987" s="1">
        <v>129</v>
      </c>
      <c r="C987">
        <v>639.5</v>
      </c>
      <c r="D987">
        <v>602</v>
      </c>
      <c r="E987">
        <v>10.5001</v>
      </c>
      <c r="F987" t="s">
        <v>2528</v>
      </c>
      <c r="G987" s="10" t="s">
        <v>1948</v>
      </c>
      <c r="H987">
        <v>99</v>
      </c>
      <c r="I987" t="s">
        <v>2404</v>
      </c>
      <c r="J987">
        <v>116</v>
      </c>
      <c r="K987" t="str">
        <f ca="1">VLOOKUP(I987,INDIRECT("投手名変換!A$1:B$" &amp; Prams!$B$9),2,)</f>
        <v>TA003</v>
      </c>
      <c r="L987">
        <f t="shared" si="78"/>
        <v>30</v>
      </c>
      <c r="M987">
        <f ca="1">(B987-VLOOKUP(K987,INDIRECT("投手データ!B1:D"&amp;Prams!$B$1),3,FALSE)*2)</f>
        <v>35</v>
      </c>
      <c r="N987" t="str">
        <f ca="1">VLOOKUP(F987,INDIRECT("球種変換表!A$1:B$" &amp; Prams!$B$2),2,)</f>
        <v>全力ストレート</v>
      </c>
      <c r="O987">
        <f ca="1">VLOOKUP(N987,球種情報!A:B,2,FALSE)</f>
        <v>2</v>
      </c>
      <c r="P987">
        <f ca="1">VLOOKUP(K987,投手データ!B:AI,output!O987+6,FALSE)</f>
        <v>1</v>
      </c>
      <c r="R987">
        <f t="shared" si="79"/>
        <v>8.6206896551724137E-3</v>
      </c>
      <c r="S987">
        <f t="shared" si="80"/>
        <v>0.49861111111111112</v>
      </c>
      <c r="T987">
        <f>Prams!B$5/(S987-Prams!B$6)</f>
        <v>141.04821537213547</v>
      </c>
      <c r="U987">
        <f t="shared" ca="1" si="81"/>
        <v>0.58194444444444438</v>
      </c>
      <c r="V987">
        <f ca="1">Prams!C$5/(U987-Prams!C$6)</f>
        <v>141.03748954399131</v>
      </c>
      <c r="W987">
        <f t="shared" ca="1" si="82"/>
        <v>1.2158404271033734</v>
      </c>
    </row>
    <row r="988" spans="1:23" hidden="1" x14ac:dyDescent="0.55000000000000004">
      <c r="A988" s="1" t="s">
        <v>2531</v>
      </c>
      <c r="B988" s="1">
        <v>130</v>
      </c>
      <c r="C988">
        <v>641</v>
      </c>
      <c r="D988">
        <v>612.5</v>
      </c>
      <c r="E988">
        <v>11.01146</v>
      </c>
      <c r="F988" t="s">
        <v>343</v>
      </c>
      <c r="G988" s="10" t="s">
        <v>2530</v>
      </c>
      <c r="H988">
        <v>99</v>
      </c>
      <c r="I988" t="s">
        <v>2404</v>
      </c>
      <c r="J988">
        <f ca="1">VLOOKUP(G988,INDIRECT("球速変換!A$1:B$" &amp; Prams!$B$8),2,)</f>
        <v>113</v>
      </c>
      <c r="K988" t="str">
        <f ca="1">VLOOKUP(I988,INDIRECT("投手名変換!A$1:B$" &amp; Prams!$B$9),2,)</f>
        <v>TA003</v>
      </c>
      <c r="L988">
        <f t="shared" si="78"/>
        <v>31</v>
      </c>
      <c r="M988">
        <f ca="1">(B988-VLOOKUP(K988,INDIRECT("投手データ!B1:D"&amp;Prams!$B$1),3,FALSE)*2)</f>
        <v>36</v>
      </c>
      <c r="N988" t="str">
        <f ca="1">VLOOKUP(F988,INDIRECT("球種変換表!A$1:B$" &amp; Prams!$B$2),2,)</f>
        <v>全力ストレート</v>
      </c>
      <c r="O988">
        <f ca="1">VLOOKUP(N988,球種情報!A:B,2,FALSE)</f>
        <v>2</v>
      </c>
      <c r="P988">
        <f ca="1">VLOOKUP(K988,投手データ!B:AI,output!O988+6,FALSE)</f>
        <v>1</v>
      </c>
      <c r="R988">
        <f t="shared" ca="1" si="79"/>
        <v>8.8495575221238937E-3</v>
      </c>
      <c r="S988">
        <f t="shared" si="80"/>
        <v>0.50798611111111114</v>
      </c>
      <c r="T988">
        <f>Prams!B$5/(S988-Prams!B$6)</f>
        <v>138.0945230723411</v>
      </c>
      <c r="U988">
        <f t="shared" ca="1" si="81"/>
        <v>0.5913194444444444</v>
      </c>
      <c r="V988">
        <f ca="1">Prams!C$5/(U988-Prams!C$6)</f>
        <v>138.08424174365149</v>
      </c>
      <c r="W988">
        <f t="shared" ca="1" si="82"/>
        <v>1.2219844402093052</v>
      </c>
    </row>
    <row r="989" spans="1:23" hidden="1" x14ac:dyDescent="0.55000000000000004">
      <c r="A989" s="1" t="s">
        <v>2532</v>
      </c>
      <c r="B989" s="1">
        <v>130</v>
      </c>
      <c r="C989">
        <v>641</v>
      </c>
      <c r="D989">
        <v>614</v>
      </c>
      <c r="E989">
        <v>11.04546</v>
      </c>
      <c r="F989" t="s">
        <v>343</v>
      </c>
      <c r="G989" s="10" t="s">
        <v>2421</v>
      </c>
      <c r="H989">
        <v>99</v>
      </c>
      <c r="I989" t="s">
        <v>2523</v>
      </c>
      <c r="J989">
        <f ca="1">VLOOKUP(G989,INDIRECT("球速変換!A$1:B$" &amp; Prams!$B$8),2,)</f>
        <v>114</v>
      </c>
      <c r="K989" t="str">
        <f ca="1">VLOOKUP(I989,INDIRECT("投手名変換!A$1:B$" &amp; Prams!$B$9),2,)</f>
        <v>TA003</v>
      </c>
      <c r="L989">
        <f t="shared" si="78"/>
        <v>31</v>
      </c>
      <c r="M989">
        <f ca="1">(B989-VLOOKUP(K989,INDIRECT("投手データ!B1:D"&amp;Prams!$B$1),3,FALSE)*2)</f>
        <v>36</v>
      </c>
      <c r="N989" t="str">
        <f ca="1">VLOOKUP(F989,INDIRECT("球種変換表!A$1:B$" &amp; Prams!$B$2),2,)</f>
        <v>全力ストレート</v>
      </c>
      <c r="O989">
        <f ca="1">VLOOKUP(N989,球種情報!A:B,2,FALSE)</f>
        <v>2</v>
      </c>
      <c r="P989">
        <f ca="1">VLOOKUP(K989,投手データ!B:AI,output!O989+6,FALSE)</f>
        <v>1</v>
      </c>
      <c r="R989">
        <f t="shared" ca="1" si="79"/>
        <v>8.771929824561403E-3</v>
      </c>
      <c r="S989">
        <f t="shared" si="80"/>
        <v>0.50694444444444442</v>
      </c>
      <c r="T989">
        <f>Prams!B$5/(S989-Prams!B$6)</f>
        <v>138.41658788994479</v>
      </c>
      <c r="U989">
        <f t="shared" ca="1" si="81"/>
        <v>0.59027777777777779</v>
      </c>
      <c r="V989">
        <f ca="1">Prams!C$5/(U989-Prams!C$6)</f>
        <v>138.40625855078233</v>
      </c>
      <c r="W989">
        <f t="shared" ca="1" si="82"/>
        <v>1.2140899872875643</v>
      </c>
    </row>
    <row r="990" spans="1:23" hidden="1" x14ac:dyDescent="0.55000000000000004">
      <c r="A990" s="1" t="s">
        <v>2533</v>
      </c>
      <c r="B990" s="1">
        <v>130</v>
      </c>
      <c r="C990">
        <v>641.97729000000004</v>
      </c>
      <c r="D990">
        <v>620</v>
      </c>
      <c r="E990">
        <v>11.02281</v>
      </c>
      <c r="F990" t="s">
        <v>343</v>
      </c>
      <c r="G990" s="10" t="s">
        <v>2422</v>
      </c>
      <c r="H990">
        <v>99</v>
      </c>
      <c r="I990" t="s">
        <v>2404</v>
      </c>
      <c r="J990">
        <f ca="1">VLOOKUP(G990,INDIRECT("球速変換!A$1:B$" &amp; Prams!$B$8),2,)</f>
        <v>115</v>
      </c>
      <c r="K990" t="str">
        <f ca="1">VLOOKUP(I990,INDIRECT("投手名変換!A$1:B$" &amp; Prams!$B$9),2,)</f>
        <v>TA003</v>
      </c>
      <c r="L990">
        <f t="shared" si="78"/>
        <v>31</v>
      </c>
      <c r="M990">
        <f ca="1">(B990-VLOOKUP(K990,INDIRECT("投手データ!B1:D"&amp;Prams!$B$1),3,FALSE)*2)</f>
        <v>36</v>
      </c>
      <c r="N990" t="str">
        <f ca="1">VLOOKUP(F990,INDIRECT("球種変換表!A$1:B$" &amp; Prams!$B$2),2,)</f>
        <v>全力ストレート</v>
      </c>
      <c r="O990">
        <f ca="1">VLOOKUP(N990,球種情報!A:B,2,FALSE)</f>
        <v>2</v>
      </c>
      <c r="P990">
        <f ca="1">VLOOKUP(K990,投手データ!B:AI,output!O990+6,FALSE)</f>
        <v>1</v>
      </c>
      <c r="R990">
        <f t="shared" ca="1" si="79"/>
        <v>8.6956521739130436E-3</v>
      </c>
      <c r="S990">
        <f t="shared" si="80"/>
        <v>0.50277777777777777</v>
      </c>
      <c r="T990">
        <f>Prams!B$5/(S990-Prams!B$6)</f>
        <v>139.72001104889137</v>
      </c>
      <c r="U990">
        <f t="shared" ca="1" si="81"/>
        <v>0.58611111111111103</v>
      </c>
      <c r="V990">
        <f ca="1">Prams!C$5/(U990-Prams!C$6)</f>
        <v>139.70948626525387</v>
      </c>
      <c r="W990">
        <f t="shared" ca="1" si="82"/>
        <v>1.2148650979587294</v>
      </c>
    </row>
    <row r="991" spans="1:23" hidden="1" x14ac:dyDescent="0.55000000000000004">
      <c r="A991" s="1" t="s">
        <v>2535</v>
      </c>
      <c r="B991" s="1">
        <v>130</v>
      </c>
      <c r="C991">
        <v>642</v>
      </c>
      <c r="D991">
        <v>623</v>
      </c>
      <c r="E991">
        <v>11.0001</v>
      </c>
      <c r="F991" t="s">
        <v>343</v>
      </c>
      <c r="G991" s="10" t="s">
        <v>2465</v>
      </c>
      <c r="H991">
        <v>99</v>
      </c>
      <c r="I991" t="s">
        <v>2534</v>
      </c>
      <c r="J991">
        <f ca="1">VLOOKUP(G991,INDIRECT("球速変換!A$1:B$" &amp; Prams!$B$8),2,)</f>
        <v>116</v>
      </c>
      <c r="K991" t="str">
        <f ca="1">VLOOKUP(I991,INDIRECT("投手名変換!A$1:B$" &amp; Prams!$B$9),2,)</f>
        <v>TA003</v>
      </c>
      <c r="L991">
        <f t="shared" si="78"/>
        <v>31</v>
      </c>
      <c r="M991">
        <f ca="1">(B991-VLOOKUP(K991,INDIRECT("投手データ!B1:D"&amp;Prams!$B$1),3,FALSE)*2)</f>
        <v>36</v>
      </c>
      <c r="N991" t="str">
        <f ca="1">VLOOKUP(F991,INDIRECT("球種変換表!A$1:B$" &amp; Prams!$B$2),2,)</f>
        <v>全力ストレート</v>
      </c>
      <c r="O991">
        <f ca="1">VLOOKUP(N991,球種情報!A:B,2,FALSE)</f>
        <v>2</v>
      </c>
      <c r="P991">
        <f ca="1">VLOOKUP(K991,投手データ!B:AI,output!O991+6,FALSE)</f>
        <v>1</v>
      </c>
      <c r="R991">
        <f t="shared" ca="1" si="79"/>
        <v>8.6206896551724137E-3</v>
      </c>
      <c r="S991">
        <f t="shared" si="80"/>
        <v>0.50069444444444444</v>
      </c>
      <c r="T991">
        <f>Prams!B$5/(S991-Prams!B$6)</f>
        <v>140.38097160373908</v>
      </c>
      <c r="U991">
        <f t="shared" ca="1" si="81"/>
        <v>0.5840277777777777</v>
      </c>
      <c r="V991">
        <f ca="1">Prams!C$5/(U991-Prams!C$6)</f>
        <v>140.37034701111295</v>
      </c>
      <c r="W991">
        <f t="shared" ca="1" si="82"/>
        <v>1.2100891983716635</v>
      </c>
    </row>
    <row r="992" spans="1:23" hidden="1" x14ac:dyDescent="0.55000000000000004">
      <c r="A992" s="1" t="s">
        <v>2538</v>
      </c>
      <c r="B992" s="1">
        <v>129</v>
      </c>
      <c r="C992">
        <v>639.5</v>
      </c>
      <c r="D992">
        <v>602</v>
      </c>
      <c r="E992">
        <v>10.5001</v>
      </c>
      <c r="F992" t="s">
        <v>92</v>
      </c>
      <c r="G992" s="10" t="s">
        <v>2536</v>
      </c>
      <c r="H992">
        <v>99</v>
      </c>
      <c r="I992" t="s">
        <v>2537</v>
      </c>
      <c r="J992">
        <f ca="1">VLOOKUP(G992,INDIRECT("球速変換!A$1:B$" &amp; Prams!$B$8),2,)</f>
        <v>116</v>
      </c>
      <c r="K992" t="str">
        <f ca="1">VLOOKUP(I992,INDIRECT("投手名変換!A$1:B$" &amp; Prams!$B$9),2,)</f>
        <v>TA003</v>
      </c>
      <c r="L992">
        <f t="shared" si="78"/>
        <v>30</v>
      </c>
      <c r="M992">
        <f ca="1">(B992-VLOOKUP(K992,INDIRECT("投手データ!B1:D"&amp;Prams!$B$1),3,FALSE)*2)</f>
        <v>35</v>
      </c>
      <c r="N992" t="str">
        <f ca="1">VLOOKUP(F992,INDIRECT("球種変換表!A$1:B$" &amp; Prams!$B$2),2,)</f>
        <v>全力ストレート</v>
      </c>
      <c r="O992">
        <f ca="1">VLOOKUP(N992,球種情報!A:B,2,FALSE)</f>
        <v>2</v>
      </c>
      <c r="P992">
        <f ca="1">VLOOKUP(K992,投手データ!B:AI,output!O992+6,FALSE)</f>
        <v>1</v>
      </c>
      <c r="R992">
        <f t="shared" ca="1" si="79"/>
        <v>8.6206896551724137E-3</v>
      </c>
      <c r="S992">
        <f t="shared" si="80"/>
        <v>0.49861111111111112</v>
      </c>
      <c r="T992">
        <f>Prams!B$5/(S992-Prams!B$6)</f>
        <v>141.04821537213547</v>
      </c>
      <c r="U992">
        <f t="shared" ca="1" si="81"/>
        <v>0.58194444444444438</v>
      </c>
      <c r="V992">
        <f ca="1">Prams!C$5/(U992-Prams!C$6)</f>
        <v>141.03748954399131</v>
      </c>
      <c r="W992">
        <f t="shared" ca="1" si="82"/>
        <v>1.2158404271033734</v>
      </c>
    </row>
    <row r="993" spans="1:23" hidden="1" x14ac:dyDescent="0.55000000000000004">
      <c r="A993" s="1" t="s">
        <v>2540</v>
      </c>
      <c r="B993" s="1">
        <v>136</v>
      </c>
      <c r="C993">
        <v>635.5</v>
      </c>
      <c r="D993">
        <v>616.5</v>
      </c>
      <c r="E993">
        <v>11.510960000000001</v>
      </c>
      <c r="F993" t="s">
        <v>0</v>
      </c>
      <c r="G993" s="10" t="s">
        <v>2539</v>
      </c>
      <c r="H993">
        <v>100</v>
      </c>
      <c r="I993" t="s">
        <v>2523</v>
      </c>
      <c r="J993">
        <f ca="1">VLOOKUP(G993,INDIRECT("球速変換!A$1:B$" &amp; Prams!$B$8),2,)</f>
        <v>114</v>
      </c>
      <c r="K993" t="str">
        <f ca="1">VLOOKUP(I993,INDIRECT("投手名変換!A$1:B$" &amp; Prams!$B$9),2,)</f>
        <v>TA003</v>
      </c>
      <c r="L993">
        <f t="shared" si="78"/>
        <v>36</v>
      </c>
      <c r="M993">
        <f ca="1">(B993-VLOOKUP(K993,INDIRECT("投手データ!B1:D"&amp;Prams!$B$1),3,FALSE)*2)</f>
        <v>42</v>
      </c>
      <c r="N993" t="str">
        <f ca="1">VLOOKUP(F993,INDIRECT("球種変換表!A$1:B$" &amp; Prams!$B$2),2,)</f>
        <v>ストレート</v>
      </c>
      <c r="O993">
        <f ca="1">VLOOKUP(N993,球種情報!A:B,2,FALSE)</f>
        <v>1</v>
      </c>
      <c r="P993">
        <f ca="1">VLOOKUP(K993,投手データ!B:AI,output!O993+6,FALSE)</f>
        <v>1</v>
      </c>
      <c r="R993">
        <f t="shared" ca="1" si="79"/>
        <v>8.771929824561403E-3</v>
      </c>
      <c r="S993">
        <f t="shared" si="80"/>
        <v>0.58854166666666663</v>
      </c>
      <c r="T993">
        <f>Prams!B$5/(S993-Prams!B$6)</f>
        <v>117.03544779062615</v>
      </c>
      <c r="U993">
        <f t="shared" ca="1" si="81"/>
        <v>0.68854166666666672</v>
      </c>
      <c r="V993">
        <f ca="1">Prams!C$5/(U993-Prams!C$6)</f>
        <v>113.44884008991788</v>
      </c>
      <c r="W993">
        <f t="shared" ca="1" si="82"/>
        <v>0.99516526394664806</v>
      </c>
    </row>
    <row r="994" spans="1:23" hidden="1" x14ac:dyDescent="0.55000000000000004">
      <c r="A994" s="1" t="s">
        <v>2541</v>
      </c>
      <c r="B994" s="1">
        <v>135</v>
      </c>
      <c r="C994">
        <v>641.95001000000002</v>
      </c>
      <c r="D994">
        <v>607.5</v>
      </c>
      <c r="E994">
        <v>10.062519999999999</v>
      </c>
      <c r="F994" t="s">
        <v>0</v>
      </c>
      <c r="G994" s="10" t="s">
        <v>632</v>
      </c>
      <c r="H994">
        <v>100</v>
      </c>
      <c r="I994" t="s">
        <v>2523</v>
      </c>
      <c r="J994">
        <f ca="1">VLOOKUP(G994,INDIRECT("球速変換!A$1:B$" &amp; Prams!$B$8),2,)</f>
        <v>115</v>
      </c>
      <c r="K994" t="str">
        <f ca="1">VLOOKUP(I994,INDIRECT("投手名変換!A$1:B$" &amp; Prams!$B$9),2,)</f>
        <v>TA003</v>
      </c>
      <c r="L994">
        <f t="shared" si="78"/>
        <v>35</v>
      </c>
      <c r="M994">
        <f ca="1">(B994-VLOOKUP(K994,INDIRECT("投手データ!B1:D"&amp;Prams!$B$1),3,FALSE)*2)</f>
        <v>41</v>
      </c>
      <c r="N994" t="str">
        <f ca="1">VLOOKUP(F994,INDIRECT("球種変換表!A$1:B$" &amp; Prams!$B$2),2,)</f>
        <v>ストレート</v>
      </c>
      <c r="O994">
        <f ca="1">VLOOKUP(N994,球種情報!A:B,2,FALSE)</f>
        <v>1</v>
      </c>
      <c r="P994">
        <f ca="1">VLOOKUP(K994,投手データ!B:AI,output!O994+6,FALSE)</f>
        <v>1</v>
      </c>
      <c r="R994">
        <f t="shared" ca="1" si="79"/>
        <v>8.6956521739130436E-3</v>
      </c>
      <c r="S994">
        <f t="shared" si="80"/>
        <v>0.578125</v>
      </c>
      <c r="T994">
        <f>Prams!B$5/(S994-Prams!B$6)</f>
        <v>119.38975522618645</v>
      </c>
      <c r="U994">
        <f t="shared" ca="1" si="81"/>
        <v>0.67812499999999998</v>
      </c>
      <c r="V994">
        <f ca="1">Prams!C$5/(U994-Prams!C$6)</f>
        <v>115.6596978625883</v>
      </c>
      <c r="W994">
        <f t="shared" ca="1" si="82"/>
        <v>1.0057365031529417</v>
      </c>
    </row>
    <row r="995" spans="1:23" hidden="1" x14ac:dyDescent="0.55000000000000004">
      <c r="A995" s="1" t="s">
        <v>2543</v>
      </c>
      <c r="B995" s="1">
        <v>136</v>
      </c>
      <c r="C995">
        <v>635.5</v>
      </c>
      <c r="D995">
        <v>615</v>
      </c>
      <c r="E995">
        <v>11.5435</v>
      </c>
      <c r="F995" t="s">
        <v>0</v>
      </c>
      <c r="G995" s="10" t="s">
        <v>2542</v>
      </c>
      <c r="H995">
        <v>100</v>
      </c>
      <c r="I995" t="s">
        <v>2523</v>
      </c>
      <c r="J995">
        <f ca="1">VLOOKUP(G995,INDIRECT("球速変換!A$1:B$" &amp; Prams!$B$8),2,)</f>
        <v>113</v>
      </c>
      <c r="K995" t="str">
        <f ca="1">VLOOKUP(I995,INDIRECT("投手名変換!A$1:B$" &amp; Prams!$B$9),2,)</f>
        <v>TA003</v>
      </c>
      <c r="L995">
        <f t="shared" si="78"/>
        <v>36</v>
      </c>
      <c r="M995">
        <f ca="1">(B995-VLOOKUP(K995,INDIRECT("投手データ!B1:D"&amp;Prams!$B$1),3,FALSE)*2)</f>
        <v>42</v>
      </c>
      <c r="N995" t="str">
        <f ca="1">VLOOKUP(F995,INDIRECT("球種変換表!A$1:B$" &amp; Prams!$B$2),2,)</f>
        <v>ストレート</v>
      </c>
      <c r="O995">
        <f ca="1">VLOOKUP(N995,球種情報!A:B,2,FALSE)</f>
        <v>1</v>
      </c>
      <c r="P995">
        <f ca="1">VLOOKUP(K995,投手データ!B:AI,output!O995+6,FALSE)</f>
        <v>1</v>
      </c>
      <c r="R995">
        <f t="shared" ca="1" si="79"/>
        <v>8.8495575221238937E-3</v>
      </c>
      <c r="S995">
        <f t="shared" si="80"/>
        <v>0.58958333333333335</v>
      </c>
      <c r="T995">
        <f>Prams!B$5/(S995-Prams!B$6)</f>
        <v>116.80511383317064</v>
      </c>
      <c r="U995">
        <f t="shared" ca="1" si="81"/>
        <v>0.68958333333333333</v>
      </c>
      <c r="V995">
        <f ca="1">Prams!C$5/(U995-Prams!C$6)</f>
        <v>113.23239415122563</v>
      </c>
      <c r="W995">
        <f t="shared" ca="1" si="82"/>
        <v>1.0020565854090764</v>
      </c>
    </row>
    <row r="996" spans="1:23" hidden="1" x14ac:dyDescent="0.55000000000000004">
      <c r="A996" s="1" t="s">
        <v>2544</v>
      </c>
      <c r="B996" s="1">
        <v>135</v>
      </c>
      <c r="C996">
        <v>635.52173000000005</v>
      </c>
      <c r="D996">
        <v>613</v>
      </c>
      <c r="E996">
        <v>11.521850000000001</v>
      </c>
      <c r="F996" t="s">
        <v>0</v>
      </c>
      <c r="G996" s="10" t="s">
        <v>631</v>
      </c>
      <c r="H996">
        <v>100</v>
      </c>
      <c r="I996" t="s">
        <v>2404</v>
      </c>
      <c r="J996">
        <f ca="1">VLOOKUP(G996,INDIRECT("球速変換!A$1:B$" &amp; Prams!$B$8),2,)</f>
        <v>117</v>
      </c>
      <c r="K996" t="str">
        <f ca="1">VLOOKUP(I996,INDIRECT("投手名変換!A$1:B$" &amp; Prams!$B$9),2,)</f>
        <v>TA003</v>
      </c>
      <c r="L996">
        <f t="shared" si="78"/>
        <v>35</v>
      </c>
      <c r="M996">
        <f ca="1">(B996-VLOOKUP(K996,INDIRECT("投手データ!B1:D"&amp;Prams!$B$1),3,FALSE)*2)</f>
        <v>41</v>
      </c>
      <c r="N996" t="str">
        <f ca="1">VLOOKUP(F996,INDIRECT("球種変換表!A$1:B$" &amp; Prams!$B$2),2,)</f>
        <v>ストレート</v>
      </c>
      <c r="O996">
        <f ca="1">VLOOKUP(N996,球種情報!A:B,2,FALSE)</f>
        <v>1</v>
      </c>
      <c r="P996">
        <f ca="1">VLOOKUP(K996,投手データ!B:AI,output!O996+6,FALSE)</f>
        <v>1</v>
      </c>
      <c r="R996">
        <f t="shared" ca="1" si="79"/>
        <v>8.5470085470085479E-3</v>
      </c>
      <c r="S996">
        <f t="shared" si="80"/>
        <v>0.57430555555555562</v>
      </c>
      <c r="T996">
        <f>Prams!B$5/(S996-Prams!B$6)</f>
        <v>120.27691010689465</v>
      </c>
      <c r="U996">
        <f t="shared" ca="1" si="81"/>
        <v>0.6743055555555556</v>
      </c>
      <c r="V996">
        <f ca="1">Prams!C$5/(U996-Prams!C$6)</f>
        <v>116.49209124121977</v>
      </c>
      <c r="W996">
        <f t="shared" ca="1" si="82"/>
        <v>0.99565889949760489</v>
      </c>
    </row>
    <row r="997" spans="1:23" hidden="1" x14ac:dyDescent="0.55000000000000004">
      <c r="A997" s="1" t="s">
        <v>2545</v>
      </c>
      <c r="B997" s="1">
        <v>135</v>
      </c>
      <c r="C997">
        <v>642.97729000000004</v>
      </c>
      <c r="D997">
        <v>613</v>
      </c>
      <c r="E997">
        <v>11.02281</v>
      </c>
      <c r="F997" t="s">
        <v>656</v>
      </c>
      <c r="G997" s="10" t="s">
        <v>631</v>
      </c>
      <c r="H997">
        <v>100</v>
      </c>
      <c r="I997" t="s">
        <v>2404</v>
      </c>
      <c r="J997">
        <f ca="1">VLOOKUP(G997,INDIRECT("球速変換!A$1:B$" &amp; Prams!$B$8),2,)</f>
        <v>117</v>
      </c>
      <c r="K997" t="str">
        <f ca="1">VLOOKUP(I997,INDIRECT("投手名変換!A$1:B$" &amp; Prams!$B$9),2,)</f>
        <v>TA003</v>
      </c>
      <c r="L997">
        <f t="shared" si="78"/>
        <v>35</v>
      </c>
      <c r="M997">
        <f ca="1">(B997-VLOOKUP(K997,INDIRECT("投手データ!B1:D"&amp;Prams!$B$1),3,FALSE)*2)</f>
        <v>41</v>
      </c>
      <c r="N997" t="str">
        <f ca="1">VLOOKUP(F997,INDIRECT("球種変換表!A$1:B$" &amp; Prams!$B$2),2,)</f>
        <v>ストレート</v>
      </c>
      <c r="O997">
        <f ca="1">VLOOKUP(N997,球種情報!A:B,2,FALSE)</f>
        <v>1</v>
      </c>
      <c r="P997">
        <f ca="1">VLOOKUP(K997,投手データ!B:AI,output!O997+6,FALSE)</f>
        <v>1</v>
      </c>
      <c r="R997">
        <f t="shared" ca="1" si="79"/>
        <v>8.5470085470085479E-3</v>
      </c>
      <c r="S997">
        <f t="shared" si="80"/>
        <v>0.57430555555555562</v>
      </c>
      <c r="T997">
        <f>Prams!B$5/(S997-Prams!B$6)</f>
        <v>120.27691010689465</v>
      </c>
      <c r="U997">
        <f t="shared" ca="1" si="81"/>
        <v>0.6743055555555556</v>
      </c>
      <c r="V997">
        <f ca="1">Prams!C$5/(U997-Prams!C$6)</f>
        <v>116.49209124121977</v>
      </c>
      <c r="W997">
        <f t="shared" ca="1" si="82"/>
        <v>0.99565889949760489</v>
      </c>
    </row>
    <row r="998" spans="1:23" hidden="1" x14ac:dyDescent="0.55000000000000004">
      <c r="A998" s="1" t="s">
        <v>2547</v>
      </c>
      <c r="B998" s="1">
        <v>135</v>
      </c>
      <c r="C998">
        <v>641.95001000000002</v>
      </c>
      <c r="D998">
        <v>611.5</v>
      </c>
      <c r="E998">
        <v>10.062519999999999</v>
      </c>
      <c r="F998" t="s">
        <v>0</v>
      </c>
      <c r="G998" s="10" t="s">
        <v>1073</v>
      </c>
      <c r="H998">
        <v>100</v>
      </c>
      <c r="I998" t="s">
        <v>2546</v>
      </c>
      <c r="J998">
        <f ca="1">VLOOKUP(G998,INDIRECT("球速変換!A$1:B$" &amp; Prams!$B$8),2,)</f>
        <v>116</v>
      </c>
      <c r="K998" t="str">
        <f ca="1">VLOOKUP(I998,INDIRECT("投手名変換!A$1:B$" &amp; Prams!$B$9),2,)</f>
        <v>TA003</v>
      </c>
      <c r="L998">
        <f t="shared" si="78"/>
        <v>35</v>
      </c>
      <c r="M998">
        <f ca="1">(B998-VLOOKUP(K998,INDIRECT("投手データ!B1:D"&amp;Prams!$B$1),3,FALSE)*2)</f>
        <v>41</v>
      </c>
      <c r="N998" t="str">
        <f ca="1">VLOOKUP(F998,INDIRECT("球種変換表!A$1:B$" &amp; Prams!$B$2),2,)</f>
        <v>ストレート</v>
      </c>
      <c r="O998">
        <f ca="1">VLOOKUP(N998,球種情報!A:B,2,FALSE)</f>
        <v>1</v>
      </c>
      <c r="P998">
        <f ca="1">VLOOKUP(K998,投手データ!B:AI,output!O998+6,FALSE)</f>
        <v>1</v>
      </c>
      <c r="R998">
        <f t="shared" ca="1" si="79"/>
        <v>8.6206896551724137E-3</v>
      </c>
      <c r="S998">
        <f t="shared" si="80"/>
        <v>0.57534722222222223</v>
      </c>
      <c r="T998">
        <f>Prams!B$5/(S998-Prams!B$6)</f>
        <v>120.03365387208294</v>
      </c>
      <c r="U998">
        <f t="shared" ca="1" si="81"/>
        <v>0.67534722222222221</v>
      </c>
      <c r="V998">
        <f ca="1">Prams!C$5/(U998-Prams!C$6)</f>
        <v>116.26388896144265</v>
      </c>
      <c r="W998">
        <f t="shared" ca="1" si="82"/>
        <v>1.0022749048400228</v>
      </c>
    </row>
    <row r="999" spans="1:23" hidden="1" x14ac:dyDescent="0.55000000000000004">
      <c r="A999" s="1" t="s">
        <v>2549</v>
      </c>
      <c r="B999" s="1">
        <v>135</v>
      </c>
      <c r="C999">
        <v>636.52380000000005</v>
      </c>
      <c r="D999">
        <v>609</v>
      </c>
      <c r="E999">
        <v>10.52392</v>
      </c>
      <c r="F999" t="s">
        <v>656</v>
      </c>
      <c r="G999" s="10" t="s">
        <v>1073</v>
      </c>
      <c r="H999">
        <v>100</v>
      </c>
      <c r="I999" t="s">
        <v>2548</v>
      </c>
      <c r="J999">
        <f ca="1">VLOOKUP(G999,INDIRECT("球速変換!A$1:B$" &amp; Prams!$B$8),2,)</f>
        <v>116</v>
      </c>
      <c r="K999" t="str">
        <f ca="1">VLOOKUP(I999,INDIRECT("投手名変換!A$1:B$" &amp; Prams!$B$9),2,)</f>
        <v>TA003</v>
      </c>
      <c r="L999">
        <f t="shared" si="78"/>
        <v>35</v>
      </c>
      <c r="M999">
        <f ca="1">(B999-VLOOKUP(K999,INDIRECT("投手データ!B1:D"&amp;Prams!$B$1),3,FALSE)*2)</f>
        <v>41</v>
      </c>
      <c r="N999" t="str">
        <f ca="1">VLOOKUP(F999,INDIRECT("球種変換表!A$1:B$" &amp; Prams!$B$2),2,)</f>
        <v>ストレート</v>
      </c>
      <c r="O999">
        <f ca="1">VLOOKUP(N999,球種情報!A:B,2,FALSE)</f>
        <v>1</v>
      </c>
      <c r="P999">
        <f ca="1">VLOOKUP(K999,投手データ!B:AI,output!O999+6,FALSE)</f>
        <v>1</v>
      </c>
      <c r="R999">
        <f t="shared" ca="1" si="79"/>
        <v>8.6206896551724137E-3</v>
      </c>
      <c r="S999">
        <f t="shared" si="80"/>
        <v>0.57708333333333328</v>
      </c>
      <c r="T999">
        <f>Prams!B$5/(S999-Prams!B$6)</f>
        <v>119.63040603734642</v>
      </c>
      <c r="U999">
        <f t="shared" ca="1" si="81"/>
        <v>0.67708333333333337</v>
      </c>
      <c r="V999">
        <f ca="1">Prams!C$5/(U999-Prams!C$6)</f>
        <v>115.88553219407042</v>
      </c>
      <c r="W999">
        <f t="shared" ca="1" si="82"/>
        <v>0.99901320856957265</v>
      </c>
    </row>
    <row r="1000" spans="1:23" hidden="1" x14ac:dyDescent="0.55000000000000004">
      <c r="A1000" s="1" t="s">
        <v>2550</v>
      </c>
      <c r="B1000" s="1">
        <v>135</v>
      </c>
      <c r="C1000">
        <v>636</v>
      </c>
      <c r="D1000">
        <v>603.5</v>
      </c>
      <c r="E1000">
        <v>11.01146</v>
      </c>
      <c r="F1000" t="s">
        <v>0</v>
      </c>
      <c r="G1000" s="10" t="s">
        <v>632</v>
      </c>
      <c r="H1000">
        <v>100</v>
      </c>
      <c r="I1000" t="s">
        <v>2404</v>
      </c>
      <c r="J1000">
        <f ca="1">VLOOKUP(G1000,INDIRECT("球速変換!A$1:B$" &amp; Prams!$B$8),2,)</f>
        <v>115</v>
      </c>
      <c r="K1000" t="str">
        <f ca="1">VLOOKUP(I1000,INDIRECT("投手名変換!A$1:B$" &amp; Prams!$B$9),2,)</f>
        <v>TA003</v>
      </c>
      <c r="L1000">
        <f t="shared" si="78"/>
        <v>35</v>
      </c>
      <c r="M1000">
        <f ca="1">(B1000-VLOOKUP(K1000,INDIRECT("投手データ!B1:D"&amp;Prams!$B$1),3,FALSE)*2)</f>
        <v>41</v>
      </c>
      <c r="N1000" t="str">
        <f ca="1">VLOOKUP(F1000,INDIRECT("球種変換表!A$1:B$" &amp; Prams!$B$2),2,)</f>
        <v>ストレート</v>
      </c>
      <c r="O1000">
        <f ca="1">VLOOKUP(N1000,球種情報!A:B,2,FALSE)</f>
        <v>1</v>
      </c>
      <c r="P1000">
        <f ca="1">VLOOKUP(K1000,投手データ!B:AI,output!O1000+6,FALSE)</f>
        <v>1</v>
      </c>
      <c r="R1000">
        <f t="shared" ca="1" si="79"/>
        <v>8.6956521739130436E-3</v>
      </c>
      <c r="S1000">
        <f t="shared" si="80"/>
        <v>0.58090277777777777</v>
      </c>
      <c r="T1000">
        <f>Prams!B$5/(S1000-Prams!B$6)</f>
        <v>118.75272787420566</v>
      </c>
      <c r="U1000">
        <f t="shared" ca="1" si="81"/>
        <v>0.68090277777777775</v>
      </c>
      <c r="V1000">
        <f ca="1">Prams!C$5/(U1000-Prams!C$6)</f>
        <v>115.06175392521288</v>
      </c>
      <c r="W1000">
        <f t="shared" ca="1" si="82"/>
        <v>1.0005369906540251</v>
      </c>
    </row>
    <row r="1001" spans="1:23" hidden="1" x14ac:dyDescent="0.55000000000000004">
      <c r="A1001" s="1" t="s">
        <v>2551</v>
      </c>
      <c r="B1001" s="1">
        <v>135</v>
      </c>
      <c r="C1001">
        <v>638.5</v>
      </c>
      <c r="D1001">
        <v>601.5</v>
      </c>
      <c r="E1001">
        <v>10.512</v>
      </c>
      <c r="F1001" t="s">
        <v>0</v>
      </c>
      <c r="G1001" s="10" t="s">
        <v>1537</v>
      </c>
      <c r="H1001">
        <v>100</v>
      </c>
      <c r="I1001" t="s">
        <v>2523</v>
      </c>
      <c r="J1001">
        <f ca="1">VLOOKUP(G1001,INDIRECT("球速変換!A$1:B$" &amp; Prams!$B$8),2,)</f>
        <v>114</v>
      </c>
      <c r="K1001" t="str">
        <f ca="1">VLOOKUP(I1001,INDIRECT("投手名変換!A$1:B$" &amp; Prams!$B$9),2,)</f>
        <v>TA003</v>
      </c>
      <c r="L1001">
        <f t="shared" si="78"/>
        <v>35</v>
      </c>
      <c r="M1001">
        <f ca="1">(B1001-VLOOKUP(K1001,INDIRECT("投手データ!B1:D"&amp;Prams!$B$1),3,FALSE)*2)</f>
        <v>41</v>
      </c>
      <c r="N1001" t="str">
        <f ca="1">VLOOKUP(F1001,INDIRECT("球種変換表!A$1:B$" &amp; Prams!$B$2),2,)</f>
        <v>ストレート</v>
      </c>
      <c r="O1001">
        <f ca="1">VLOOKUP(N1001,球種情報!A:B,2,FALSE)</f>
        <v>1</v>
      </c>
      <c r="P1001">
        <f ca="1">VLOOKUP(K1001,投手データ!B:AI,output!O1001+6,FALSE)</f>
        <v>1</v>
      </c>
      <c r="R1001">
        <f t="shared" ca="1" si="79"/>
        <v>8.771929824561403E-3</v>
      </c>
      <c r="S1001">
        <f t="shared" si="80"/>
        <v>0.58229166666666665</v>
      </c>
      <c r="T1001">
        <f>Prams!B$5/(S1001-Prams!B$6)</f>
        <v>118.43675665320329</v>
      </c>
      <c r="U1001">
        <f t="shared" ca="1" si="81"/>
        <v>0.68229166666666663</v>
      </c>
      <c r="V1001">
        <f ca="1">Prams!C$5/(U1001-Prams!C$6)</f>
        <v>114.76509444178026</v>
      </c>
      <c r="W1001">
        <f t="shared" ca="1" si="82"/>
        <v>1.0067113547524584</v>
      </c>
    </row>
    <row r="1002" spans="1:23" hidden="1" x14ac:dyDescent="0.55000000000000004">
      <c r="A1002" s="1" t="s">
        <v>2552</v>
      </c>
      <c r="B1002" s="1">
        <v>135</v>
      </c>
      <c r="C1002">
        <v>640.5</v>
      </c>
      <c r="D1002">
        <v>604.5</v>
      </c>
      <c r="E1002">
        <v>10.512</v>
      </c>
      <c r="F1002" t="s">
        <v>0</v>
      </c>
      <c r="G1002" s="10" t="s">
        <v>2422</v>
      </c>
      <c r="H1002">
        <v>100</v>
      </c>
      <c r="I1002" t="s">
        <v>2523</v>
      </c>
      <c r="J1002">
        <f ca="1">VLOOKUP(G1002,INDIRECT("球速変換!A$1:B$" &amp; Prams!$B$8),2,)</f>
        <v>115</v>
      </c>
      <c r="K1002" t="str">
        <f ca="1">VLOOKUP(I1002,INDIRECT("投手名変換!A$1:B$" &amp; Prams!$B$9),2,)</f>
        <v>TA003</v>
      </c>
      <c r="L1002">
        <f t="shared" si="78"/>
        <v>35</v>
      </c>
      <c r="M1002">
        <f ca="1">(B1002-VLOOKUP(K1002,INDIRECT("投手データ!B1:D"&amp;Prams!$B$1),3,FALSE)*2)</f>
        <v>41</v>
      </c>
      <c r="N1002" t="str">
        <f ca="1">VLOOKUP(F1002,INDIRECT("球種変換表!A$1:B$" &amp; Prams!$B$2),2,)</f>
        <v>ストレート</v>
      </c>
      <c r="O1002">
        <f ca="1">VLOOKUP(N1002,球種情報!A:B,2,FALSE)</f>
        <v>1</v>
      </c>
      <c r="P1002">
        <f ca="1">VLOOKUP(K1002,投手データ!B:AI,output!O1002+6,FALSE)</f>
        <v>1</v>
      </c>
      <c r="R1002">
        <f t="shared" ca="1" si="79"/>
        <v>8.6956521739130436E-3</v>
      </c>
      <c r="S1002">
        <f t="shared" si="80"/>
        <v>0.58020833333333333</v>
      </c>
      <c r="T1002">
        <f>Prams!B$5/(S1002-Prams!B$6)</f>
        <v>118.91134655147543</v>
      </c>
      <c r="U1002">
        <f t="shared" ca="1" si="81"/>
        <v>0.6802083333333333</v>
      </c>
      <c r="V1002">
        <f ca="1">Prams!C$5/(U1002-Prams!C$6)</f>
        <v>115.21065954373923</v>
      </c>
      <c r="W1002">
        <f t="shared" ca="1" si="82"/>
        <v>1.0018318221194715</v>
      </c>
    </row>
    <row r="1003" spans="1:23" hidden="1" x14ac:dyDescent="0.55000000000000004">
      <c r="A1003" s="1" t="s">
        <v>2594</v>
      </c>
      <c r="B1003" s="1">
        <v>133</v>
      </c>
      <c r="C1003">
        <v>644</v>
      </c>
      <c r="D1003">
        <v>611.5</v>
      </c>
      <c r="E1003">
        <v>11.01146</v>
      </c>
      <c r="F1003" t="s">
        <v>0</v>
      </c>
      <c r="G1003" s="10" t="s">
        <v>1437</v>
      </c>
      <c r="H1003">
        <v>99</v>
      </c>
      <c r="I1003" t="s">
        <v>2593</v>
      </c>
      <c r="J1003">
        <f ca="1">VLOOKUP(G1003,INDIRECT("球速変換!A$1:B$" &amp; Prams!$B$8),2,)</f>
        <v>124</v>
      </c>
      <c r="K1003" t="str">
        <f ca="1">VLOOKUP(I1003,INDIRECT("投手名変換!A$1:B$" &amp; Prams!$B$9),2,)</f>
        <v>DD023</v>
      </c>
      <c r="L1003">
        <f t="shared" ref="L1003:L1066" si="83">B1003-H1003</f>
        <v>34</v>
      </c>
      <c r="M1003">
        <f ca="1">(B1003-VLOOKUP(K1003,INDIRECT("投手データ!B1:D"&amp;Prams!$B$1),3,FALSE)*2)</f>
        <v>39</v>
      </c>
      <c r="N1003" t="str">
        <f ca="1">VLOOKUP(F1003,INDIRECT("球種変換表!A$1:B$" &amp; Prams!$B$2),2,)</f>
        <v>ストレート</v>
      </c>
      <c r="O1003">
        <f ca="1">VLOOKUP(N1003,球種情報!A:B,2,FALSE)</f>
        <v>1</v>
      </c>
      <c r="P1003">
        <f ca="1">VLOOKUP(K1003,投手データ!B:AI,output!O1003+6,FALSE)</f>
        <v>1</v>
      </c>
      <c r="R1003">
        <f t="shared" ref="R1003:R1066" ca="1" si="84">1/J1003</f>
        <v>8.0645161290322578E-3</v>
      </c>
      <c r="S1003">
        <f t="shared" ref="S1003:S1066" si="85">(L1003-(D1003-600)/24)*2/120</f>
        <v>0.55868055555555562</v>
      </c>
      <c r="T1003">
        <f>Prams!B$5/(S1003-Prams!B$6)</f>
        <v>124.04777696650818</v>
      </c>
      <c r="U1003">
        <f t="shared" ref="U1003:U1066" ca="1" si="86">(M1003-(D1003-600)/24)*2/120</f>
        <v>0.64201388888888888</v>
      </c>
      <c r="V1003">
        <f ca="1">Prams!C$5/(U1003-Prams!C$6)</f>
        <v>124.03948079741848</v>
      </c>
      <c r="W1003">
        <f t="shared" ref="W1003:W1066" ca="1" si="87">V1003/J1003</f>
        <v>1.0003183935275684</v>
      </c>
    </row>
    <row r="1004" spans="1:23" hidden="1" x14ac:dyDescent="0.55000000000000004">
      <c r="A1004" s="1" t="s">
        <v>2596</v>
      </c>
      <c r="B1004" s="1">
        <v>132</v>
      </c>
      <c r="C1004">
        <v>637</v>
      </c>
      <c r="D1004">
        <v>607</v>
      </c>
      <c r="E1004">
        <v>10.04998</v>
      </c>
      <c r="F1004" t="s">
        <v>0</v>
      </c>
      <c r="G1004" s="10" t="s">
        <v>975</v>
      </c>
      <c r="H1004">
        <v>99</v>
      </c>
      <c r="I1004" t="s">
        <v>2595</v>
      </c>
      <c r="J1004">
        <v>127</v>
      </c>
      <c r="K1004" t="str">
        <f ca="1">VLOOKUP(I1004,INDIRECT("投手名変換!A$1:B$" &amp; Prams!$B$9),2,)</f>
        <v>DD023</v>
      </c>
      <c r="L1004">
        <f t="shared" si="83"/>
        <v>33</v>
      </c>
      <c r="M1004">
        <f ca="1">(B1004-VLOOKUP(K1004,INDIRECT("投手データ!B1:D"&amp;Prams!$B$1),3,FALSE)*2)</f>
        <v>38</v>
      </c>
      <c r="N1004" t="str">
        <f ca="1">VLOOKUP(F1004,INDIRECT("球種変換表!A$1:B$" &amp; Prams!$B$2),2,)</f>
        <v>ストレート</v>
      </c>
      <c r="O1004">
        <f ca="1">VLOOKUP(N1004,球種情報!A:B,2,FALSE)</f>
        <v>1</v>
      </c>
      <c r="P1004">
        <f ca="1">VLOOKUP(K1004,投手データ!B:AI,output!O1004+6,FALSE)</f>
        <v>1</v>
      </c>
      <c r="R1004">
        <f t="shared" si="84"/>
        <v>7.874015748031496E-3</v>
      </c>
      <c r="S1004">
        <f t="shared" si="85"/>
        <v>0.54513888888888895</v>
      </c>
      <c r="T1004">
        <f>Prams!B$5/(S1004-Prams!B$6)</f>
        <v>127.51246118412759</v>
      </c>
      <c r="U1004">
        <f t="shared" ca="1" si="86"/>
        <v>0.62847222222222221</v>
      </c>
      <c r="V1004">
        <f ca="1">Prams!C$5/(U1004-Prams!C$6)</f>
        <v>127.50369513159252</v>
      </c>
      <c r="W1004">
        <f t="shared" ca="1" si="87"/>
        <v>1.0039661033983662</v>
      </c>
    </row>
    <row r="1005" spans="1:23" hidden="1" x14ac:dyDescent="0.55000000000000004">
      <c r="A1005" s="1" t="s">
        <v>2597</v>
      </c>
      <c r="B1005" s="1">
        <v>132</v>
      </c>
      <c r="C1005">
        <v>638.5</v>
      </c>
      <c r="D1005">
        <v>604.5</v>
      </c>
      <c r="E1005">
        <v>10.512</v>
      </c>
      <c r="F1005" t="s">
        <v>0</v>
      </c>
      <c r="G1005" s="10" t="s">
        <v>2420</v>
      </c>
      <c r="H1005">
        <v>99</v>
      </c>
      <c r="I1005" t="s">
        <v>2593</v>
      </c>
      <c r="J1005">
        <f ca="1">VLOOKUP(G1005,INDIRECT("球速変換!A$1:B$" &amp; Prams!$B$8),2,)</f>
        <v>127</v>
      </c>
      <c r="K1005" t="str">
        <f ca="1">VLOOKUP(I1005,INDIRECT("投手名変換!A$1:B$" &amp; Prams!$B$9),2,)</f>
        <v>DD023</v>
      </c>
      <c r="L1005">
        <f t="shared" si="83"/>
        <v>33</v>
      </c>
      <c r="M1005">
        <f ca="1">(B1005-VLOOKUP(K1005,INDIRECT("投手データ!B1:D"&amp;Prams!$B$1),3,FALSE)*2)</f>
        <v>38</v>
      </c>
      <c r="N1005" t="str">
        <f ca="1">VLOOKUP(F1005,INDIRECT("球種変換表!A$1:B$" &amp; Prams!$B$2),2,)</f>
        <v>ストレート</v>
      </c>
      <c r="O1005">
        <f ca="1">VLOOKUP(N1005,球種情報!A:B,2,FALSE)</f>
        <v>1</v>
      </c>
      <c r="P1005">
        <f ca="1">VLOOKUP(K1005,投手データ!B:AI,output!O1005+6,FALSE)</f>
        <v>1</v>
      </c>
      <c r="R1005">
        <f t="shared" ca="1" si="84"/>
        <v>7.874015748031496E-3</v>
      </c>
      <c r="S1005">
        <f t="shared" si="85"/>
        <v>0.546875</v>
      </c>
      <c r="T1005">
        <f>Prams!B$5/(S1005-Prams!B$6)</f>
        <v>127.05749370600627</v>
      </c>
      <c r="U1005">
        <f t="shared" ca="1" si="86"/>
        <v>0.63020833333333337</v>
      </c>
      <c r="V1005">
        <f ca="1">Prams!C$5/(U1005-Prams!C$6)</f>
        <v>127.04879009470312</v>
      </c>
      <c r="W1005">
        <f t="shared" ca="1" si="87"/>
        <v>1.0003841739740402</v>
      </c>
    </row>
    <row r="1006" spans="1:23" hidden="1" x14ac:dyDescent="0.55000000000000004">
      <c r="A1006" s="1" t="s">
        <v>2598</v>
      </c>
      <c r="B1006" s="1">
        <v>133</v>
      </c>
      <c r="C1006">
        <v>643.5</v>
      </c>
      <c r="D1006">
        <v>613.5</v>
      </c>
      <c r="E1006">
        <v>11.510960000000001</v>
      </c>
      <c r="F1006" t="s">
        <v>0</v>
      </c>
      <c r="G1006" s="10" t="s">
        <v>649</v>
      </c>
      <c r="H1006">
        <v>99</v>
      </c>
      <c r="I1006" t="s">
        <v>2593</v>
      </c>
      <c r="J1006">
        <f ca="1">VLOOKUP(G1006,INDIRECT("球速変換!A$1:B$" &amp; Prams!$B$8),2,)</f>
        <v>124</v>
      </c>
      <c r="K1006" t="str">
        <f ca="1">VLOOKUP(I1006,INDIRECT("投手名変換!A$1:B$" &amp; Prams!$B$9),2,)</f>
        <v>DD023</v>
      </c>
      <c r="L1006">
        <f t="shared" si="83"/>
        <v>34</v>
      </c>
      <c r="M1006">
        <f ca="1">(B1006-VLOOKUP(K1006,INDIRECT("投手データ!B1:D"&amp;Prams!$B$1),3,FALSE)*2)</f>
        <v>39</v>
      </c>
      <c r="N1006" t="str">
        <f ca="1">VLOOKUP(F1006,INDIRECT("球種変換表!A$1:B$" &amp; Prams!$B$2),2,)</f>
        <v>ストレート</v>
      </c>
      <c r="O1006">
        <f ca="1">VLOOKUP(N1006,球種情報!A:B,2,FALSE)</f>
        <v>1</v>
      </c>
      <c r="P1006">
        <f ca="1">VLOOKUP(K1006,投手データ!B:AI,output!O1006+6,FALSE)</f>
        <v>1</v>
      </c>
      <c r="R1006">
        <f t="shared" ca="1" si="84"/>
        <v>8.0645161290322578E-3</v>
      </c>
      <c r="S1006">
        <f t="shared" si="85"/>
        <v>0.55729166666666663</v>
      </c>
      <c r="T1006">
        <f>Prams!B$5/(S1006-Prams!B$6)</f>
        <v>124.39443987994434</v>
      </c>
      <c r="U1006">
        <f t="shared" ca="1" si="86"/>
        <v>0.640625</v>
      </c>
      <c r="V1006">
        <f ca="1">Prams!C$5/(U1006-Prams!C$6)</f>
        <v>124.38609727880892</v>
      </c>
      <c r="W1006">
        <f t="shared" ca="1" si="87"/>
        <v>1.0031136877323299</v>
      </c>
    </row>
    <row r="1007" spans="1:23" hidden="1" x14ac:dyDescent="0.55000000000000004">
      <c r="A1007" s="1" t="s">
        <v>2599</v>
      </c>
      <c r="B1007" s="1">
        <v>132</v>
      </c>
      <c r="C1007">
        <v>640.5</v>
      </c>
      <c r="D1007">
        <v>604.5</v>
      </c>
      <c r="E1007">
        <v>10.512</v>
      </c>
      <c r="F1007" t="s">
        <v>0</v>
      </c>
      <c r="G1007" s="10" t="s">
        <v>2420</v>
      </c>
      <c r="H1007">
        <v>99</v>
      </c>
      <c r="I1007" t="s">
        <v>2593</v>
      </c>
      <c r="J1007">
        <f ca="1">VLOOKUP(G1007,INDIRECT("球速変換!A$1:B$" &amp; Prams!$B$8),2,)</f>
        <v>127</v>
      </c>
      <c r="K1007" t="str">
        <f ca="1">VLOOKUP(I1007,INDIRECT("投手名変換!A$1:B$" &amp; Prams!$B$9),2,)</f>
        <v>DD023</v>
      </c>
      <c r="L1007">
        <f t="shared" si="83"/>
        <v>33</v>
      </c>
      <c r="M1007">
        <f ca="1">(B1007-VLOOKUP(K1007,INDIRECT("投手データ!B1:D"&amp;Prams!$B$1),3,FALSE)*2)</f>
        <v>38</v>
      </c>
      <c r="N1007" t="str">
        <f ca="1">VLOOKUP(F1007,INDIRECT("球種変換表!A$1:B$" &amp; Prams!$B$2),2,)</f>
        <v>ストレート</v>
      </c>
      <c r="O1007">
        <f ca="1">VLOOKUP(N1007,球種情報!A:B,2,FALSE)</f>
        <v>1</v>
      </c>
      <c r="P1007">
        <f ca="1">VLOOKUP(K1007,投手データ!B:AI,output!O1007+6,FALSE)</f>
        <v>1</v>
      </c>
      <c r="R1007">
        <f t="shared" ca="1" si="84"/>
        <v>7.874015748031496E-3</v>
      </c>
      <c r="S1007">
        <f t="shared" si="85"/>
        <v>0.546875</v>
      </c>
      <c r="T1007">
        <f>Prams!B$5/(S1007-Prams!B$6)</f>
        <v>127.05749370600627</v>
      </c>
      <c r="U1007">
        <f t="shared" ca="1" si="86"/>
        <v>0.63020833333333337</v>
      </c>
      <c r="V1007">
        <f ca="1">Prams!C$5/(U1007-Prams!C$6)</f>
        <v>127.04879009470312</v>
      </c>
      <c r="W1007">
        <f t="shared" ca="1" si="87"/>
        <v>1.0003841739740402</v>
      </c>
    </row>
    <row r="1008" spans="1:23" hidden="1" x14ac:dyDescent="0.55000000000000004">
      <c r="A1008" s="1" t="s">
        <v>2600</v>
      </c>
      <c r="B1008" s="1">
        <v>132</v>
      </c>
      <c r="C1008">
        <v>639</v>
      </c>
      <c r="D1008">
        <v>606.5</v>
      </c>
      <c r="E1008">
        <v>11.01146</v>
      </c>
      <c r="F1008" t="s">
        <v>0</v>
      </c>
      <c r="G1008" s="10" t="s">
        <v>589</v>
      </c>
      <c r="H1008">
        <v>99</v>
      </c>
      <c r="I1008" t="s">
        <v>2593</v>
      </c>
      <c r="J1008">
        <f ca="1">VLOOKUP(G1008,INDIRECT("球速変換!A$1:B$" &amp; Prams!$B$8),2,)</f>
        <v>127</v>
      </c>
      <c r="K1008" t="str">
        <f ca="1">VLOOKUP(I1008,INDIRECT("投手名変換!A$1:B$" &amp; Prams!$B$9),2,)</f>
        <v>DD023</v>
      </c>
      <c r="L1008">
        <f t="shared" si="83"/>
        <v>33</v>
      </c>
      <c r="M1008">
        <f ca="1">(B1008-VLOOKUP(K1008,INDIRECT("投手データ!B1:D"&amp;Prams!$B$1),3,FALSE)*2)</f>
        <v>38</v>
      </c>
      <c r="N1008" t="str">
        <f ca="1">VLOOKUP(F1008,INDIRECT("球種変換表!A$1:B$" &amp; Prams!$B$2),2,)</f>
        <v>ストレート</v>
      </c>
      <c r="O1008">
        <f ca="1">VLOOKUP(N1008,球種情報!A:B,2,FALSE)</f>
        <v>1</v>
      </c>
      <c r="P1008">
        <f ca="1">VLOOKUP(K1008,投手データ!B:AI,output!O1008+6,FALSE)</f>
        <v>1</v>
      </c>
      <c r="R1008">
        <f t="shared" ca="1" si="84"/>
        <v>7.874015748031496E-3</v>
      </c>
      <c r="S1008">
        <f t="shared" si="85"/>
        <v>0.54548611111111112</v>
      </c>
      <c r="T1008">
        <f>Prams!B$5/(S1008-Prams!B$6)</f>
        <v>127.42120721143662</v>
      </c>
      <c r="U1008">
        <f t="shared" ca="1" si="86"/>
        <v>0.62881944444444438</v>
      </c>
      <c r="V1008">
        <f ca="1">Prams!C$5/(U1008-Prams!C$6)</f>
        <v>127.41245370078832</v>
      </c>
      <c r="W1008">
        <f t="shared" ca="1" si="87"/>
        <v>1.0032476669353412</v>
      </c>
    </row>
    <row r="1009" spans="1:23" hidden="1" x14ac:dyDescent="0.55000000000000004">
      <c r="A1009" s="1" t="s">
        <v>2601</v>
      </c>
      <c r="B1009" s="1">
        <v>132</v>
      </c>
      <c r="C1009">
        <v>642.97729000000004</v>
      </c>
      <c r="D1009">
        <v>608</v>
      </c>
      <c r="E1009">
        <v>11.02281</v>
      </c>
      <c r="F1009" t="s">
        <v>0</v>
      </c>
      <c r="G1009" s="10" t="s">
        <v>2461</v>
      </c>
      <c r="H1009">
        <v>99</v>
      </c>
      <c r="I1009" t="s">
        <v>2593</v>
      </c>
      <c r="J1009">
        <f ca="1">VLOOKUP(G1009,INDIRECT("球速変換!A$1:B$" &amp; Prams!$B$8),2,)</f>
        <v>128</v>
      </c>
      <c r="K1009" t="str">
        <f ca="1">VLOOKUP(I1009,INDIRECT("投手名変換!A$1:B$" &amp; Prams!$B$9),2,)</f>
        <v>DD023</v>
      </c>
      <c r="L1009">
        <f t="shared" si="83"/>
        <v>33</v>
      </c>
      <c r="M1009">
        <f ca="1">(B1009-VLOOKUP(K1009,INDIRECT("投手データ!B1:D"&amp;Prams!$B$1),3,FALSE)*2)</f>
        <v>38</v>
      </c>
      <c r="N1009" t="str">
        <f ca="1">VLOOKUP(F1009,INDIRECT("球種変換表!A$1:B$" &amp; Prams!$B$2),2,)</f>
        <v>ストレート</v>
      </c>
      <c r="O1009">
        <f ca="1">VLOOKUP(N1009,球種情報!A:B,2,FALSE)</f>
        <v>1</v>
      </c>
      <c r="P1009">
        <f ca="1">VLOOKUP(K1009,投手データ!B:AI,output!O1009+6,FALSE)</f>
        <v>1</v>
      </c>
      <c r="R1009">
        <f t="shared" ca="1" si="84"/>
        <v>7.8125E-3</v>
      </c>
      <c r="S1009">
        <f t="shared" si="85"/>
        <v>0.5444444444444444</v>
      </c>
      <c r="T1009">
        <f>Prams!B$5/(S1009-Prams!B$6)</f>
        <v>127.69536180662338</v>
      </c>
      <c r="U1009">
        <f t="shared" ca="1" si="86"/>
        <v>0.62777777777777777</v>
      </c>
      <c r="V1009">
        <f ca="1">Prams!C$5/(U1009-Prams!C$6)</f>
        <v>127.68657058931522</v>
      </c>
      <c r="W1009">
        <f t="shared" ca="1" si="87"/>
        <v>0.99755133272902519</v>
      </c>
    </row>
    <row r="1010" spans="1:23" hidden="1" x14ac:dyDescent="0.55000000000000004">
      <c r="A1010" s="1" t="s">
        <v>2603</v>
      </c>
      <c r="B1010" s="1">
        <v>132</v>
      </c>
      <c r="C1010">
        <v>638.5</v>
      </c>
      <c r="D1010">
        <v>601.5</v>
      </c>
      <c r="E1010">
        <v>10.512</v>
      </c>
      <c r="F1010" t="s">
        <v>0</v>
      </c>
      <c r="G1010" s="10" t="s">
        <v>2602</v>
      </c>
      <c r="H1010">
        <v>99</v>
      </c>
      <c r="I1010" t="s">
        <v>2593</v>
      </c>
      <c r="J1010">
        <f ca="1">VLOOKUP(G1010,INDIRECT("球速変換!A$1:B$" &amp; Prams!$B$8),2,)</f>
        <v>126</v>
      </c>
      <c r="K1010" t="str">
        <f ca="1">VLOOKUP(I1010,INDIRECT("投手名変換!A$1:B$" &amp; Prams!$B$9),2,)</f>
        <v>DD023</v>
      </c>
      <c r="L1010">
        <f t="shared" si="83"/>
        <v>33</v>
      </c>
      <c r="M1010">
        <f ca="1">(B1010-VLOOKUP(K1010,INDIRECT("投手データ!B1:D"&amp;Prams!$B$1),3,FALSE)*2)</f>
        <v>38</v>
      </c>
      <c r="N1010" t="str">
        <f ca="1">VLOOKUP(F1010,INDIRECT("球種変換表!A$1:B$" &amp; Prams!$B$2),2,)</f>
        <v>ストレート</v>
      </c>
      <c r="O1010">
        <f ca="1">VLOOKUP(N1010,球種情報!A:B,2,FALSE)</f>
        <v>1</v>
      </c>
      <c r="P1010">
        <f ca="1">VLOOKUP(K1010,投手データ!B:AI,output!O1010+6,FALSE)</f>
        <v>1</v>
      </c>
      <c r="R1010">
        <f t="shared" ca="1" si="84"/>
        <v>7.9365079365079361E-3</v>
      </c>
      <c r="S1010">
        <f t="shared" si="85"/>
        <v>0.54895833333333333</v>
      </c>
      <c r="T1010">
        <f>Prams!B$5/(S1010-Prams!B$6)</f>
        <v>126.5158000648033</v>
      </c>
      <c r="U1010">
        <f t="shared" ca="1" si="86"/>
        <v>0.6322916666666667</v>
      </c>
      <c r="V1010">
        <f ca="1">Prams!C$5/(U1010-Prams!C$6)</f>
        <v>126.50717050628379</v>
      </c>
      <c r="W1010">
        <f t="shared" ca="1" si="87"/>
        <v>1.0040251627482839</v>
      </c>
    </row>
    <row r="1011" spans="1:23" hidden="1" x14ac:dyDescent="0.55000000000000004">
      <c r="A1011" s="1" t="s">
        <v>2605</v>
      </c>
      <c r="B1011" s="1">
        <v>132</v>
      </c>
      <c r="C1011">
        <v>640</v>
      </c>
      <c r="D1011">
        <v>608</v>
      </c>
      <c r="E1011">
        <v>11.0001</v>
      </c>
      <c r="F1011" t="s">
        <v>656</v>
      </c>
      <c r="G1011" s="10" t="s">
        <v>591</v>
      </c>
      <c r="H1011">
        <v>99</v>
      </c>
      <c r="I1011" t="s">
        <v>2604</v>
      </c>
      <c r="J1011">
        <f ca="1">VLOOKUP(G1011,INDIRECT("球速変換!A$1:B$" &amp; Prams!$B$8),2,)</f>
        <v>128</v>
      </c>
      <c r="K1011" t="str">
        <f ca="1">VLOOKUP(I1011,INDIRECT("投手名変換!A$1:B$" &amp; Prams!$B$9),2,)</f>
        <v>DD023</v>
      </c>
      <c r="L1011">
        <f t="shared" si="83"/>
        <v>33</v>
      </c>
      <c r="M1011">
        <f ca="1">(B1011-VLOOKUP(K1011,INDIRECT("投手データ!B1:D"&amp;Prams!$B$1),3,FALSE)*2)</f>
        <v>38</v>
      </c>
      <c r="N1011" t="str">
        <f ca="1">VLOOKUP(F1011,INDIRECT("球種変換表!A$1:B$" &amp; Prams!$B$2),2,)</f>
        <v>ストレート</v>
      </c>
      <c r="O1011">
        <f ca="1">VLOOKUP(N1011,球種情報!A:B,2,FALSE)</f>
        <v>1</v>
      </c>
      <c r="P1011">
        <f ca="1">VLOOKUP(K1011,投手データ!B:AI,output!O1011+6,FALSE)</f>
        <v>1</v>
      </c>
      <c r="R1011">
        <f t="shared" ca="1" si="84"/>
        <v>7.8125E-3</v>
      </c>
      <c r="S1011">
        <f t="shared" si="85"/>
        <v>0.5444444444444444</v>
      </c>
      <c r="T1011">
        <f>Prams!B$5/(S1011-Prams!B$6)</f>
        <v>127.69536180662338</v>
      </c>
      <c r="U1011">
        <f t="shared" ca="1" si="86"/>
        <v>0.62777777777777777</v>
      </c>
      <c r="V1011">
        <f ca="1">Prams!C$5/(U1011-Prams!C$6)</f>
        <v>127.68657058931522</v>
      </c>
      <c r="W1011">
        <f t="shared" ca="1" si="87"/>
        <v>0.99755133272902519</v>
      </c>
    </row>
    <row r="1012" spans="1:23" hidden="1" x14ac:dyDescent="0.55000000000000004">
      <c r="A1012" s="1" t="s">
        <v>2606</v>
      </c>
      <c r="B1012" s="1">
        <v>132</v>
      </c>
      <c r="C1012">
        <v>641.95001000000002</v>
      </c>
      <c r="D1012">
        <v>601.5</v>
      </c>
      <c r="E1012">
        <v>10.062519999999999</v>
      </c>
      <c r="F1012" t="s">
        <v>0</v>
      </c>
      <c r="G1012" s="10" t="s">
        <v>588</v>
      </c>
      <c r="H1012">
        <v>99</v>
      </c>
      <c r="I1012" t="s">
        <v>2595</v>
      </c>
      <c r="J1012">
        <f ca="1">VLOOKUP(G1012,INDIRECT("球速変換!A$1:B$" &amp; Prams!$B$8),2,)</f>
        <v>126</v>
      </c>
      <c r="K1012" t="str">
        <f ca="1">VLOOKUP(I1012,INDIRECT("投手名変換!A$1:B$" &amp; Prams!$B$9),2,)</f>
        <v>DD023</v>
      </c>
      <c r="L1012">
        <f t="shared" si="83"/>
        <v>33</v>
      </c>
      <c r="M1012">
        <f ca="1">(B1012-VLOOKUP(K1012,INDIRECT("投手データ!B1:D"&amp;Prams!$B$1),3,FALSE)*2)</f>
        <v>38</v>
      </c>
      <c r="N1012" t="str">
        <f ca="1">VLOOKUP(F1012,INDIRECT("球種変換表!A$1:B$" &amp; Prams!$B$2),2,)</f>
        <v>ストレート</v>
      </c>
      <c r="O1012">
        <f ca="1">VLOOKUP(N1012,球種情報!A:B,2,FALSE)</f>
        <v>1</v>
      </c>
      <c r="P1012">
        <f ca="1">VLOOKUP(K1012,投手データ!B:AI,output!O1012+6,FALSE)</f>
        <v>1</v>
      </c>
      <c r="R1012">
        <f t="shared" ca="1" si="84"/>
        <v>7.9365079365079361E-3</v>
      </c>
      <c r="S1012">
        <f t="shared" si="85"/>
        <v>0.54895833333333333</v>
      </c>
      <c r="T1012">
        <f>Prams!B$5/(S1012-Prams!B$6)</f>
        <v>126.5158000648033</v>
      </c>
      <c r="U1012">
        <f t="shared" ca="1" si="86"/>
        <v>0.6322916666666667</v>
      </c>
      <c r="V1012">
        <f ca="1">Prams!C$5/(U1012-Prams!C$6)</f>
        <v>126.50717050628379</v>
      </c>
      <c r="W1012">
        <f t="shared" ca="1" si="87"/>
        <v>1.0040251627482839</v>
      </c>
    </row>
    <row r="1013" spans="1:23" hidden="1" x14ac:dyDescent="0.55000000000000004">
      <c r="A1013" s="1" t="s">
        <v>2607</v>
      </c>
      <c r="B1013" s="1">
        <v>128</v>
      </c>
      <c r="C1013">
        <v>642.45239000000004</v>
      </c>
      <c r="D1013">
        <v>623.5</v>
      </c>
      <c r="E1013">
        <v>10.55955</v>
      </c>
      <c r="F1013" t="s">
        <v>343</v>
      </c>
      <c r="G1013" s="10" t="s">
        <v>2420</v>
      </c>
      <c r="H1013">
        <v>98</v>
      </c>
      <c r="I1013" t="s">
        <v>2593</v>
      </c>
      <c r="J1013">
        <f ca="1">VLOOKUP(G1013,INDIRECT("球速変換!A$1:B$" &amp; Prams!$B$8),2,)</f>
        <v>127</v>
      </c>
      <c r="K1013" t="str">
        <f ca="1">VLOOKUP(I1013,INDIRECT("投手名変換!A$1:B$" &amp; Prams!$B$9),2,)</f>
        <v>DD023</v>
      </c>
      <c r="L1013">
        <f t="shared" si="83"/>
        <v>30</v>
      </c>
      <c r="M1013">
        <f ca="1">(B1013-VLOOKUP(K1013,INDIRECT("投手データ!B1:D"&amp;Prams!$B$1),3,FALSE)*2)</f>
        <v>34</v>
      </c>
      <c r="N1013" t="str">
        <f ca="1">VLOOKUP(F1013,INDIRECT("球種変換表!A$1:B$" &amp; Prams!$B$2),2,)</f>
        <v>全力ストレート</v>
      </c>
      <c r="O1013">
        <f ca="1">VLOOKUP(N1013,球種情報!A:B,2,FALSE)</f>
        <v>2</v>
      </c>
      <c r="P1013">
        <f ca="1">VLOOKUP(K1013,投手データ!B:AI,output!O1013+6,FALSE)</f>
        <v>1</v>
      </c>
      <c r="R1013">
        <f t="shared" ca="1" si="84"/>
        <v>7.874015748031496E-3</v>
      </c>
      <c r="S1013">
        <f t="shared" si="85"/>
        <v>0.48368055555555556</v>
      </c>
      <c r="T1013">
        <f>Prams!B$5/(S1013-Prams!B$6)</f>
        <v>146.02229410105173</v>
      </c>
      <c r="U1013">
        <f t="shared" ca="1" si="86"/>
        <v>0.55034722222222221</v>
      </c>
      <c r="V1013">
        <f ca="1">Prams!C$5/(U1013-Prams!C$6)</f>
        <v>151.99366245757329</v>
      </c>
      <c r="W1013">
        <f t="shared" ca="1" si="87"/>
        <v>1.1968004917919157</v>
      </c>
    </row>
    <row r="1014" spans="1:23" hidden="1" x14ac:dyDescent="0.55000000000000004">
      <c r="A1014" s="1" t="s">
        <v>2608</v>
      </c>
      <c r="B1014" s="1">
        <v>128</v>
      </c>
      <c r="C1014">
        <v>641.5</v>
      </c>
      <c r="D1014">
        <v>618</v>
      </c>
      <c r="E1014">
        <v>10.5001</v>
      </c>
      <c r="F1014" t="s">
        <v>343</v>
      </c>
      <c r="G1014" s="10" t="s">
        <v>623</v>
      </c>
      <c r="H1014">
        <v>98</v>
      </c>
      <c r="I1014" t="s">
        <v>2593</v>
      </c>
      <c r="J1014">
        <v>125</v>
      </c>
      <c r="K1014" t="str">
        <f ca="1">VLOOKUP(I1014,INDIRECT("投手名変換!A$1:B$" &amp; Prams!$B$9),2,)</f>
        <v>DD023</v>
      </c>
      <c r="L1014">
        <f t="shared" si="83"/>
        <v>30</v>
      </c>
      <c r="M1014">
        <f ca="1">(B1014-VLOOKUP(K1014,INDIRECT("投手データ!B1:D"&amp;Prams!$B$1),3,FALSE)*2)</f>
        <v>34</v>
      </c>
      <c r="N1014" t="str">
        <f ca="1">VLOOKUP(F1014,INDIRECT("球種変換表!A$1:B$" &amp; Prams!$B$2),2,)</f>
        <v>全力ストレート</v>
      </c>
      <c r="O1014">
        <f ca="1">VLOOKUP(N1014,球種情報!A:B,2,FALSE)</f>
        <v>2</v>
      </c>
      <c r="P1014">
        <f ca="1">VLOOKUP(K1014,投手データ!B:AI,output!O1014+6,FALSE)</f>
        <v>1</v>
      </c>
      <c r="R1014">
        <f t="shared" si="84"/>
        <v>8.0000000000000002E-3</v>
      </c>
      <c r="S1014">
        <f t="shared" si="85"/>
        <v>0.48749999999999999</v>
      </c>
      <c r="T1014">
        <f>Prams!B$5/(S1014-Prams!B$6)</f>
        <v>144.71676029962549</v>
      </c>
      <c r="U1014">
        <f t="shared" ca="1" si="86"/>
        <v>0.5541666666666667</v>
      </c>
      <c r="V1014">
        <f ca="1">Prams!C$5/(U1014-Prams!C$6)</f>
        <v>150.57968661199968</v>
      </c>
      <c r="W1014">
        <f t="shared" ca="1" si="87"/>
        <v>1.2046374928959973</v>
      </c>
    </row>
    <row r="1015" spans="1:23" hidden="1" x14ac:dyDescent="0.55000000000000004">
      <c r="A1015" s="1" t="s">
        <v>2609</v>
      </c>
      <c r="B1015" s="1">
        <v>127</v>
      </c>
      <c r="C1015">
        <v>639</v>
      </c>
      <c r="D1015">
        <v>601.5</v>
      </c>
      <c r="E1015">
        <v>10.012589999999999</v>
      </c>
      <c r="F1015" t="s">
        <v>343</v>
      </c>
      <c r="G1015" s="10" t="s">
        <v>591</v>
      </c>
      <c r="H1015">
        <v>98</v>
      </c>
      <c r="I1015" t="s">
        <v>2593</v>
      </c>
      <c r="J1015">
        <f ca="1">VLOOKUP(G1015,INDIRECT("球速変換!A$1:B$" &amp; Prams!$B$8),2,)</f>
        <v>128</v>
      </c>
      <c r="K1015" t="str">
        <f ca="1">VLOOKUP(I1015,INDIRECT("投手名変換!A$1:B$" &amp; Prams!$B$9),2,)</f>
        <v>DD023</v>
      </c>
      <c r="L1015">
        <f t="shared" si="83"/>
        <v>29</v>
      </c>
      <c r="M1015">
        <f ca="1">(B1015-VLOOKUP(K1015,INDIRECT("投手データ!B1:D"&amp;Prams!$B$1),3,FALSE)*2)</f>
        <v>33</v>
      </c>
      <c r="N1015" t="str">
        <f ca="1">VLOOKUP(F1015,INDIRECT("球種変換表!A$1:B$" &amp; Prams!$B$2),2,)</f>
        <v>全力ストレート</v>
      </c>
      <c r="O1015">
        <f ca="1">VLOOKUP(N1015,球種情報!A:B,2,FALSE)</f>
        <v>2</v>
      </c>
      <c r="P1015">
        <f ca="1">VLOOKUP(K1015,投手データ!B:AI,output!O1015+6,FALSE)</f>
        <v>1</v>
      </c>
      <c r="R1015">
        <f t="shared" ca="1" si="84"/>
        <v>7.8125E-3</v>
      </c>
      <c r="S1015">
        <f t="shared" si="85"/>
        <v>0.48229166666666667</v>
      </c>
      <c r="T1015">
        <f>Prams!B$5/(S1015-Prams!B$6)</f>
        <v>146.50289302711349</v>
      </c>
      <c r="U1015">
        <f t="shared" ca="1" si="86"/>
        <v>0.54895833333333333</v>
      </c>
      <c r="V1015">
        <f ca="1">Prams!C$5/(U1015-Prams!C$6)</f>
        <v>152.51444195464919</v>
      </c>
      <c r="W1015">
        <f t="shared" ca="1" si="87"/>
        <v>1.1915190777706968</v>
      </c>
    </row>
    <row r="1016" spans="1:23" hidden="1" x14ac:dyDescent="0.55000000000000004">
      <c r="A1016" s="1" t="s">
        <v>2611</v>
      </c>
      <c r="B1016" s="1">
        <v>128</v>
      </c>
      <c r="C1016">
        <v>640.5</v>
      </c>
      <c r="D1016">
        <v>616</v>
      </c>
      <c r="E1016">
        <v>10.5001</v>
      </c>
      <c r="F1016" t="s">
        <v>343</v>
      </c>
      <c r="G1016" s="10" t="s">
        <v>625</v>
      </c>
      <c r="H1016">
        <v>98</v>
      </c>
      <c r="I1016" t="s">
        <v>2610</v>
      </c>
      <c r="J1016">
        <f ca="1">VLOOKUP(G1016,INDIRECT("球速変換!A$1:B$" &amp; Prams!$B$8),2,)</f>
        <v>123</v>
      </c>
      <c r="K1016" t="str">
        <f ca="1">VLOOKUP(I1016,INDIRECT("投手名変換!A$1:B$" &amp; Prams!$B$9),2,)</f>
        <v>DD023</v>
      </c>
      <c r="L1016">
        <f t="shared" si="83"/>
        <v>30</v>
      </c>
      <c r="M1016">
        <f ca="1">(B1016-VLOOKUP(K1016,INDIRECT("投手データ!B1:D"&amp;Prams!$B$1),3,FALSE)*2)</f>
        <v>34</v>
      </c>
      <c r="N1016" t="str">
        <f ca="1">VLOOKUP(F1016,INDIRECT("球種変換表!A$1:B$" &amp; Prams!$B$2),2,)</f>
        <v>全力ストレート</v>
      </c>
      <c r="O1016">
        <f ca="1">VLOOKUP(N1016,球種情報!A:B,2,FALSE)</f>
        <v>2</v>
      </c>
      <c r="P1016">
        <f ca="1">VLOOKUP(K1016,投手データ!B:AI,output!O1016+6,FALSE)</f>
        <v>1</v>
      </c>
      <c r="R1016">
        <f t="shared" ca="1" si="84"/>
        <v>8.130081300813009E-3</v>
      </c>
      <c r="S1016">
        <f t="shared" si="85"/>
        <v>0.48888888888888887</v>
      </c>
      <c r="T1016">
        <f>Prams!B$5/(S1016-Prams!B$6)</f>
        <v>144.24778990485575</v>
      </c>
      <c r="U1016">
        <f t="shared" ca="1" si="86"/>
        <v>0.55555555555555558</v>
      </c>
      <c r="V1016">
        <f ca="1">Prams!C$5/(U1016-Prams!C$6)</f>
        <v>150.07201424101845</v>
      </c>
      <c r="W1016">
        <f t="shared" ca="1" si="87"/>
        <v>1.2200976767562475</v>
      </c>
    </row>
    <row r="1017" spans="1:23" hidden="1" x14ac:dyDescent="0.55000000000000004">
      <c r="A1017" s="1" t="s">
        <v>2612</v>
      </c>
      <c r="B1017" s="1">
        <v>127</v>
      </c>
      <c r="C1017">
        <v>639</v>
      </c>
      <c r="D1017">
        <v>601.5</v>
      </c>
      <c r="E1017">
        <v>10.012589999999999</v>
      </c>
      <c r="F1017" t="s">
        <v>343</v>
      </c>
      <c r="G1017" s="10" t="s">
        <v>591</v>
      </c>
      <c r="H1017">
        <v>98</v>
      </c>
      <c r="I1017" t="s">
        <v>2593</v>
      </c>
      <c r="J1017">
        <f ca="1">VLOOKUP(G1017,INDIRECT("球速変換!A$1:B$" &amp; Prams!$B$8),2,)</f>
        <v>128</v>
      </c>
      <c r="K1017" t="str">
        <f ca="1">VLOOKUP(I1017,INDIRECT("投手名変換!A$1:B$" &amp; Prams!$B$9),2,)</f>
        <v>DD023</v>
      </c>
      <c r="L1017">
        <f t="shared" si="83"/>
        <v>29</v>
      </c>
      <c r="M1017">
        <f ca="1">(B1017-VLOOKUP(K1017,INDIRECT("投手データ!B1:D"&amp;Prams!$B$1),3,FALSE)*2)</f>
        <v>33</v>
      </c>
      <c r="N1017" t="str">
        <f ca="1">VLOOKUP(F1017,INDIRECT("球種変換表!A$1:B$" &amp; Prams!$B$2),2,)</f>
        <v>全力ストレート</v>
      </c>
      <c r="O1017">
        <f ca="1">VLOOKUP(N1017,球種情報!A:B,2,FALSE)</f>
        <v>2</v>
      </c>
      <c r="P1017">
        <f ca="1">VLOOKUP(K1017,投手データ!B:AI,output!O1017+6,FALSE)</f>
        <v>1</v>
      </c>
      <c r="R1017">
        <f t="shared" ca="1" si="84"/>
        <v>7.8125E-3</v>
      </c>
      <c r="S1017">
        <f t="shared" si="85"/>
        <v>0.48229166666666667</v>
      </c>
      <c r="T1017">
        <f>Prams!B$5/(S1017-Prams!B$6)</f>
        <v>146.50289302711349</v>
      </c>
      <c r="U1017">
        <f t="shared" ca="1" si="86"/>
        <v>0.54895833333333333</v>
      </c>
      <c r="V1017">
        <f ca="1">Prams!C$5/(U1017-Prams!C$6)</f>
        <v>152.51444195464919</v>
      </c>
      <c r="W1017">
        <f t="shared" ca="1" si="87"/>
        <v>1.1915190777706968</v>
      </c>
    </row>
    <row r="1018" spans="1:23" hidden="1" x14ac:dyDescent="0.55000000000000004">
      <c r="A1018" s="1" t="s">
        <v>2614</v>
      </c>
      <c r="B1018" s="1">
        <v>128</v>
      </c>
      <c r="C1018">
        <v>641</v>
      </c>
      <c r="D1018">
        <v>617.5</v>
      </c>
      <c r="E1018">
        <v>11.01146</v>
      </c>
      <c r="F1018" t="s">
        <v>343</v>
      </c>
      <c r="G1018" s="10" t="s">
        <v>1947</v>
      </c>
      <c r="H1018">
        <v>98</v>
      </c>
      <c r="I1018" t="s">
        <v>2613</v>
      </c>
      <c r="J1018">
        <f ca="1">VLOOKUP(G1018,INDIRECT("球速変換!A$1:B$" &amp; Prams!$B$8),2,)</f>
        <v>125</v>
      </c>
      <c r="K1018" t="str">
        <f ca="1">VLOOKUP(I1018,INDIRECT("投手名変換!A$1:B$" &amp; Prams!$B$9),2,)</f>
        <v>DD023</v>
      </c>
      <c r="L1018">
        <f t="shared" si="83"/>
        <v>30</v>
      </c>
      <c r="M1018">
        <f ca="1">(B1018-VLOOKUP(K1018,INDIRECT("投手データ!B1:D"&amp;Prams!$B$1),3,FALSE)*2)</f>
        <v>34</v>
      </c>
      <c r="N1018" t="str">
        <f ca="1">VLOOKUP(F1018,INDIRECT("球種変換表!A$1:B$" &amp; Prams!$B$2),2,)</f>
        <v>全力ストレート</v>
      </c>
      <c r="O1018">
        <f ca="1">VLOOKUP(N1018,球種情報!A:B,2,FALSE)</f>
        <v>2</v>
      </c>
      <c r="P1018">
        <f ca="1">VLOOKUP(K1018,投手データ!B:AI,output!O1018+6,FALSE)</f>
        <v>1</v>
      </c>
      <c r="R1018">
        <f t="shared" ca="1" si="84"/>
        <v>8.0000000000000002E-3</v>
      </c>
      <c r="S1018">
        <f t="shared" si="85"/>
        <v>0.48784722222222221</v>
      </c>
      <c r="T1018">
        <f>Prams!B$5/(S1018-Prams!B$6)</f>
        <v>144.5992320536393</v>
      </c>
      <c r="U1018">
        <f t="shared" ca="1" si="86"/>
        <v>0.55451388888888897</v>
      </c>
      <c r="V1018">
        <f ca="1">Prams!C$5/(U1018-Prams!C$6)</f>
        <v>150.4524467819021</v>
      </c>
      <c r="W1018">
        <f t="shared" ca="1" si="87"/>
        <v>1.2036195742552167</v>
      </c>
    </row>
    <row r="1019" spans="1:23" hidden="1" x14ac:dyDescent="0.55000000000000004">
      <c r="A1019" s="1" t="s">
        <v>2615</v>
      </c>
      <c r="B1019" s="1">
        <v>127</v>
      </c>
      <c r="C1019">
        <v>639</v>
      </c>
      <c r="D1019">
        <v>602</v>
      </c>
      <c r="E1019">
        <v>10.04998</v>
      </c>
      <c r="F1019" t="s">
        <v>343</v>
      </c>
      <c r="G1019" s="10" t="s">
        <v>624</v>
      </c>
      <c r="H1019">
        <v>98</v>
      </c>
      <c r="I1019" t="s">
        <v>2595</v>
      </c>
      <c r="J1019">
        <f ca="1">VLOOKUP(G1019,INDIRECT("球速変換!A$1:B$" &amp; Prams!$B$8),2,)</f>
        <v>128</v>
      </c>
      <c r="K1019" t="str">
        <f ca="1">VLOOKUP(I1019,INDIRECT("投手名変換!A$1:B$" &amp; Prams!$B$9),2,)</f>
        <v>DD023</v>
      </c>
      <c r="L1019">
        <f t="shared" si="83"/>
        <v>29</v>
      </c>
      <c r="M1019">
        <f ca="1">(B1019-VLOOKUP(K1019,INDIRECT("投手データ!B1:D"&amp;Prams!$B$1),3,FALSE)*2)</f>
        <v>33</v>
      </c>
      <c r="N1019" t="str">
        <f ca="1">VLOOKUP(F1019,INDIRECT("球種変換表!A$1:B$" &amp; Prams!$B$2),2,)</f>
        <v>全力ストレート</v>
      </c>
      <c r="O1019">
        <f ca="1">VLOOKUP(N1019,球種情報!A:B,2,FALSE)</f>
        <v>2</v>
      </c>
      <c r="P1019">
        <f ca="1">VLOOKUP(K1019,投手データ!B:AI,output!O1019+6,FALSE)</f>
        <v>1</v>
      </c>
      <c r="R1019">
        <f t="shared" ca="1" si="84"/>
        <v>7.8125E-3</v>
      </c>
      <c r="S1019">
        <f t="shared" si="85"/>
        <v>0.48194444444444445</v>
      </c>
      <c r="T1019">
        <f>Prams!B$5/(S1019-Prams!B$6)</f>
        <v>146.62353747233055</v>
      </c>
      <c r="U1019">
        <f t="shared" ca="1" si="86"/>
        <v>0.54861111111111105</v>
      </c>
      <c r="V1019">
        <f ca="1">Prams!C$5/(U1019-Prams!C$6)</f>
        <v>152.64519491920663</v>
      </c>
      <c r="W1019">
        <f t="shared" ca="1" si="87"/>
        <v>1.1925405853063018</v>
      </c>
    </row>
    <row r="1020" spans="1:23" hidden="1" x14ac:dyDescent="0.55000000000000004">
      <c r="A1020" s="1" t="s">
        <v>2616</v>
      </c>
      <c r="B1020" s="1">
        <v>128</v>
      </c>
      <c r="C1020">
        <v>641.5</v>
      </c>
      <c r="D1020">
        <v>619.5</v>
      </c>
      <c r="E1020">
        <v>10.512</v>
      </c>
      <c r="F1020" t="s">
        <v>343</v>
      </c>
      <c r="G1020" s="10" t="s">
        <v>2419</v>
      </c>
      <c r="H1020">
        <v>98</v>
      </c>
      <c r="I1020" t="s">
        <v>2593</v>
      </c>
      <c r="J1020">
        <f ca="1">VLOOKUP(G1020,INDIRECT("球速変換!A$1:B$" &amp; Prams!$B$8),2,)</f>
        <v>126</v>
      </c>
      <c r="K1020" t="str">
        <f ca="1">VLOOKUP(I1020,INDIRECT("投手名変換!A$1:B$" &amp; Prams!$B$9),2,)</f>
        <v>DD023</v>
      </c>
      <c r="L1020">
        <f t="shared" si="83"/>
        <v>30</v>
      </c>
      <c r="M1020">
        <f ca="1">(B1020-VLOOKUP(K1020,INDIRECT("投手データ!B1:D"&amp;Prams!$B$1),3,FALSE)*2)</f>
        <v>34</v>
      </c>
      <c r="N1020" t="str">
        <f ca="1">VLOOKUP(F1020,INDIRECT("球種変換表!A$1:B$" &amp; Prams!$B$2),2,)</f>
        <v>全力ストレート</v>
      </c>
      <c r="O1020">
        <f ca="1">VLOOKUP(N1020,球種情報!A:B,2,FALSE)</f>
        <v>2</v>
      </c>
      <c r="P1020">
        <f ca="1">VLOOKUP(K1020,投手データ!B:AI,output!O1020+6,FALSE)</f>
        <v>1</v>
      </c>
      <c r="R1020">
        <f t="shared" ca="1" si="84"/>
        <v>7.9365079365079361E-3</v>
      </c>
      <c r="S1020">
        <f t="shared" si="85"/>
        <v>0.48645833333333333</v>
      </c>
      <c r="T1020">
        <f>Prams!B$5/(S1020-Prams!B$6)</f>
        <v>145.07049414341307</v>
      </c>
      <c r="U1020">
        <f t="shared" ca="1" si="86"/>
        <v>0.55312499999999998</v>
      </c>
      <c r="V1020">
        <f ca="1">Prams!C$5/(U1020-Prams!C$6)</f>
        <v>150.96270068982358</v>
      </c>
      <c r="W1020">
        <f t="shared" ca="1" si="87"/>
        <v>1.1981166721414569</v>
      </c>
    </row>
    <row r="1021" spans="1:23" hidden="1" x14ac:dyDescent="0.55000000000000004">
      <c r="A1021" s="1" t="s">
        <v>2617</v>
      </c>
      <c r="B1021" s="1">
        <v>128</v>
      </c>
      <c r="C1021">
        <v>641</v>
      </c>
      <c r="D1021">
        <v>614.5</v>
      </c>
      <c r="E1021">
        <v>11.01146</v>
      </c>
      <c r="F1021" t="s">
        <v>343</v>
      </c>
      <c r="G1021" s="10" t="s">
        <v>626</v>
      </c>
      <c r="H1021">
        <v>98</v>
      </c>
      <c r="I1021" t="s">
        <v>2593</v>
      </c>
      <c r="J1021">
        <f ca="1">VLOOKUP(G1021,INDIRECT("球速変換!A$1:B$" &amp; Prams!$B$8),2,)</f>
        <v>125</v>
      </c>
      <c r="K1021" t="str">
        <f ca="1">VLOOKUP(I1021,INDIRECT("投手名変換!A$1:B$" &amp; Prams!$B$9),2,)</f>
        <v>DD023</v>
      </c>
      <c r="L1021">
        <f t="shared" si="83"/>
        <v>30</v>
      </c>
      <c r="M1021">
        <f ca="1">(B1021-VLOOKUP(K1021,INDIRECT("投手データ!B1:D"&amp;Prams!$B$1),3,FALSE)*2)</f>
        <v>34</v>
      </c>
      <c r="N1021" t="str">
        <f ca="1">VLOOKUP(F1021,INDIRECT("球種変換表!A$1:B$" &amp; Prams!$B$2),2,)</f>
        <v>全力ストレート</v>
      </c>
      <c r="O1021">
        <f ca="1">VLOOKUP(N1021,球種情報!A:B,2,FALSE)</f>
        <v>2</v>
      </c>
      <c r="P1021">
        <f ca="1">VLOOKUP(K1021,投手データ!B:AI,output!O1021+6,FALSE)</f>
        <v>1</v>
      </c>
      <c r="R1021">
        <f t="shared" ca="1" si="84"/>
        <v>8.0000000000000002E-3</v>
      </c>
      <c r="S1021">
        <f t="shared" si="85"/>
        <v>0.48993055555555554</v>
      </c>
      <c r="T1021">
        <f>Prams!B$5/(S1021-Prams!B$6)</f>
        <v>143.89805194385357</v>
      </c>
      <c r="U1021">
        <f t="shared" ca="1" si="86"/>
        <v>0.5565972222222223</v>
      </c>
      <c r="V1021">
        <f ca="1">Prams!C$5/(U1021-Prams!C$6)</f>
        <v>149.69350076338955</v>
      </c>
      <c r="W1021">
        <f t="shared" ca="1" si="87"/>
        <v>1.1975480061071164</v>
      </c>
    </row>
    <row r="1022" spans="1:23" hidden="1" x14ac:dyDescent="0.55000000000000004">
      <c r="A1022" s="1" t="s">
        <v>2618</v>
      </c>
      <c r="B1022" s="1">
        <v>128</v>
      </c>
      <c r="C1022">
        <v>640.5</v>
      </c>
      <c r="D1022">
        <v>616</v>
      </c>
      <c r="E1022">
        <v>10.5001</v>
      </c>
      <c r="F1022" t="s">
        <v>343</v>
      </c>
      <c r="G1022" s="10" t="s">
        <v>623</v>
      </c>
      <c r="H1022">
        <v>98</v>
      </c>
      <c r="I1022" t="s">
        <v>2593</v>
      </c>
      <c r="J1022">
        <v>125</v>
      </c>
      <c r="K1022" t="str">
        <f ca="1">VLOOKUP(I1022,INDIRECT("投手名変換!A$1:B$" &amp; Prams!$B$9),2,)</f>
        <v>DD023</v>
      </c>
      <c r="L1022">
        <f t="shared" si="83"/>
        <v>30</v>
      </c>
      <c r="M1022">
        <f ca="1">(B1022-VLOOKUP(K1022,INDIRECT("投手データ!B1:D"&amp;Prams!$B$1),3,FALSE)*2)</f>
        <v>34</v>
      </c>
      <c r="N1022" t="str">
        <f ca="1">VLOOKUP(F1022,INDIRECT("球種変換表!A$1:B$" &amp; Prams!$B$2),2,)</f>
        <v>全力ストレート</v>
      </c>
      <c r="O1022">
        <f ca="1">VLOOKUP(N1022,球種情報!A:B,2,FALSE)</f>
        <v>2</v>
      </c>
      <c r="P1022">
        <f ca="1">VLOOKUP(K1022,投手データ!B:AI,output!O1022+6,FALSE)</f>
        <v>1</v>
      </c>
      <c r="R1022">
        <f t="shared" si="84"/>
        <v>8.0000000000000002E-3</v>
      </c>
      <c r="S1022">
        <f t="shared" si="85"/>
        <v>0.48888888888888887</v>
      </c>
      <c r="T1022">
        <f>Prams!B$5/(S1022-Prams!B$6)</f>
        <v>144.24778990485575</v>
      </c>
      <c r="U1022">
        <f t="shared" ca="1" si="86"/>
        <v>0.55555555555555558</v>
      </c>
      <c r="V1022">
        <f ca="1">Prams!C$5/(U1022-Prams!C$6)</f>
        <v>150.07201424101845</v>
      </c>
      <c r="W1022">
        <f t="shared" ca="1" si="87"/>
        <v>1.2005761139281477</v>
      </c>
    </row>
    <row r="1023" spans="1:23" hidden="1" x14ac:dyDescent="0.55000000000000004">
      <c r="A1023" s="1" t="s">
        <v>2620</v>
      </c>
      <c r="B1023" s="1">
        <v>155</v>
      </c>
      <c r="C1023">
        <v>630.5</v>
      </c>
      <c r="D1023">
        <v>606.5</v>
      </c>
      <c r="E1023">
        <v>10.512</v>
      </c>
      <c r="F1023" t="s">
        <v>2619</v>
      </c>
      <c r="G1023" s="10" t="s">
        <v>2451</v>
      </c>
      <c r="H1023">
        <v>101</v>
      </c>
      <c r="I1023" t="s">
        <v>2593</v>
      </c>
      <c r="J1023">
        <f ca="1">VLOOKUP(G1023,INDIRECT("球速変換!A$1:B$" &amp; Prams!$B$8),2,)</f>
        <v>100</v>
      </c>
      <c r="K1023" t="str">
        <f ca="1">VLOOKUP(I1023,INDIRECT("投手名変換!A$1:B$" &amp; Prams!$B$9),2,)</f>
        <v>DD023</v>
      </c>
      <c r="L1023">
        <f t="shared" si="83"/>
        <v>54</v>
      </c>
      <c r="M1023">
        <f ca="1">(B1023-VLOOKUP(K1023,INDIRECT("投手データ!B1:D"&amp;Prams!$B$1),3,FALSE)*2)</f>
        <v>61</v>
      </c>
      <c r="N1023" t="str">
        <f ca="1">VLOOKUP(F1023,INDIRECT("球種変換表!A$1:B$" &amp; Prams!$B$2),2,)</f>
        <v>ナックル</v>
      </c>
      <c r="O1023">
        <f ca="1">VLOOKUP(N1023,球種情報!A:B,2,FALSE)</f>
        <v>20</v>
      </c>
      <c r="P1023">
        <f ca="1">VLOOKUP(K1023,投手データ!B:AI,output!O1023+6,FALSE)</f>
        <v>1</v>
      </c>
      <c r="R1023">
        <f t="shared" ca="1" si="84"/>
        <v>0.01</v>
      </c>
      <c r="S1023">
        <f t="shared" si="85"/>
        <v>0.89548611111111109</v>
      </c>
      <c r="T1023">
        <f>Prams!B$5/(S1023-Prams!B$6)</f>
        <v>74.023022147425564</v>
      </c>
      <c r="U1023">
        <f t="shared" ca="1" si="86"/>
        <v>1.0121527777777777</v>
      </c>
      <c r="V1023">
        <f ca="1">Prams!C$5/(U1023-Prams!C$6)</f>
        <v>71.179324482936181</v>
      </c>
      <c r="W1023">
        <f t="shared" ca="1" si="87"/>
        <v>0.71179324482936179</v>
      </c>
    </row>
    <row r="1024" spans="1:23" hidden="1" x14ac:dyDescent="0.55000000000000004">
      <c r="A1024" s="1" t="s">
        <v>2622</v>
      </c>
      <c r="B1024" s="1">
        <v>155</v>
      </c>
      <c r="C1024">
        <v>640.47619999999995</v>
      </c>
      <c r="D1024">
        <v>604</v>
      </c>
      <c r="E1024">
        <v>10.523899999999999</v>
      </c>
      <c r="F1024" t="s">
        <v>2621</v>
      </c>
      <c r="G1024" s="10" t="s">
        <v>2451</v>
      </c>
      <c r="H1024">
        <v>101</v>
      </c>
      <c r="I1024" t="s">
        <v>2595</v>
      </c>
      <c r="J1024">
        <f ca="1">VLOOKUP(G1024,INDIRECT("球速変換!A$1:B$" &amp; Prams!$B$8),2,)</f>
        <v>100</v>
      </c>
      <c r="K1024" t="str">
        <f ca="1">VLOOKUP(I1024,INDIRECT("投手名変換!A$1:B$" &amp; Prams!$B$9),2,)</f>
        <v>DD023</v>
      </c>
      <c r="L1024">
        <f t="shared" si="83"/>
        <v>54</v>
      </c>
      <c r="M1024">
        <f ca="1">(B1024-VLOOKUP(K1024,INDIRECT("投手データ!B1:D"&amp;Prams!$B$1),3,FALSE)*2)</f>
        <v>61</v>
      </c>
      <c r="N1024" t="str">
        <f ca="1">VLOOKUP(F1024,INDIRECT("球種変換表!A$1:B$" &amp; Prams!$B$2),2,)</f>
        <v>ナックル</v>
      </c>
      <c r="O1024">
        <f ca="1">VLOOKUP(N1024,球種情報!A:B,2,FALSE)</f>
        <v>20</v>
      </c>
      <c r="P1024">
        <f ca="1">VLOOKUP(K1024,投手データ!B:AI,output!O1024+6,FALSE)</f>
        <v>1</v>
      </c>
      <c r="R1024">
        <f t="shared" ca="1" si="84"/>
        <v>0.01</v>
      </c>
      <c r="S1024">
        <f t="shared" si="85"/>
        <v>0.89722222222222225</v>
      </c>
      <c r="T1024">
        <f>Prams!B$5/(S1024-Prams!B$6)</f>
        <v>73.869468820944462</v>
      </c>
      <c r="U1024">
        <f t="shared" ca="1" si="86"/>
        <v>1.0138888888888888</v>
      </c>
      <c r="V1024">
        <f ca="1">Prams!C$5/(U1024-Prams!C$6)</f>
        <v>71.037331154405948</v>
      </c>
      <c r="W1024">
        <f t="shared" ca="1" si="87"/>
        <v>0.71037331154405947</v>
      </c>
    </row>
    <row r="1025" spans="1:23" hidden="1" x14ac:dyDescent="0.55000000000000004">
      <c r="A1025" s="1" t="s">
        <v>2625</v>
      </c>
      <c r="B1025" s="1">
        <v>155</v>
      </c>
      <c r="C1025">
        <v>642.45239000000004</v>
      </c>
      <c r="D1025">
        <v>608.5</v>
      </c>
      <c r="E1025">
        <v>10.55955</v>
      </c>
      <c r="F1025" t="s">
        <v>2623</v>
      </c>
      <c r="G1025" s="10" t="s">
        <v>2624</v>
      </c>
      <c r="H1025">
        <v>101</v>
      </c>
      <c r="I1025" t="s">
        <v>2593</v>
      </c>
      <c r="J1025">
        <f ca="1">VLOOKUP(G1025,INDIRECT("球速変換!A$1:B$" &amp; Prams!$B$8),2,)</f>
        <v>102</v>
      </c>
      <c r="K1025" t="str">
        <f ca="1">VLOOKUP(I1025,INDIRECT("投手名変換!A$1:B$" &amp; Prams!$B$9),2,)</f>
        <v>DD023</v>
      </c>
      <c r="L1025">
        <f t="shared" si="83"/>
        <v>54</v>
      </c>
      <c r="M1025">
        <f ca="1">(B1025-VLOOKUP(K1025,INDIRECT("投手データ!B1:D"&amp;Prams!$B$1),3,FALSE)*2)</f>
        <v>61</v>
      </c>
      <c r="N1025" t="str">
        <f ca="1">VLOOKUP(F1025,INDIRECT("球種変換表!A$1:B$" &amp; Prams!$B$2),2,)</f>
        <v>ナックル</v>
      </c>
      <c r="O1025">
        <f ca="1">VLOOKUP(N1025,球種情報!A:B,2,FALSE)</f>
        <v>20</v>
      </c>
      <c r="P1025">
        <f ca="1">VLOOKUP(K1025,投手データ!B:AI,output!O1025+6,FALSE)</f>
        <v>1</v>
      </c>
      <c r="R1025">
        <f t="shared" ca="1" si="84"/>
        <v>9.8039215686274508E-3</v>
      </c>
      <c r="S1025">
        <f t="shared" si="85"/>
        <v>0.89409722222222221</v>
      </c>
      <c r="T1025">
        <f>Prams!B$5/(S1025-Prams!B$6)</f>
        <v>74.146325212298493</v>
      </c>
      <c r="U1025">
        <f t="shared" ca="1" si="86"/>
        <v>1.010763888888889</v>
      </c>
      <c r="V1025">
        <f ca="1">Prams!C$5/(U1025-Prams!C$6)</f>
        <v>71.293328507042418</v>
      </c>
      <c r="W1025">
        <f t="shared" ca="1" si="87"/>
        <v>0.69895420104943551</v>
      </c>
    </row>
    <row r="1026" spans="1:23" hidden="1" x14ac:dyDescent="0.55000000000000004">
      <c r="A1026" s="1" t="s">
        <v>2627</v>
      </c>
      <c r="B1026" s="1">
        <v>155</v>
      </c>
      <c r="C1026">
        <v>649.44739000000004</v>
      </c>
      <c r="D1026">
        <v>601.5</v>
      </c>
      <c r="E1026">
        <v>9.5657899999999998</v>
      </c>
      <c r="F1026" t="s">
        <v>2626</v>
      </c>
      <c r="G1026" s="10" t="s">
        <v>844</v>
      </c>
      <c r="H1026">
        <v>101</v>
      </c>
      <c r="I1026" t="s">
        <v>2593</v>
      </c>
      <c r="J1026">
        <f ca="1">VLOOKUP(G1026,INDIRECT("球速変換!A$1:B$" &amp; Prams!$B$8),2,)</f>
        <v>99</v>
      </c>
      <c r="K1026" t="str">
        <f ca="1">VLOOKUP(I1026,INDIRECT("投手名変換!A$1:B$" &amp; Prams!$B$9),2,)</f>
        <v>DD023</v>
      </c>
      <c r="L1026">
        <f t="shared" si="83"/>
        <v>54</v>
      </c>
      <c r="M1026">
        <f ca="1">(B1026-VLOOKUP(K1026,INDIRECT("投手データ!B1:D"&amp;Prams!$B$1),3,FALSE)*2)</f>
        <v>61</v>
      </c>
      <c r="N1026" t="str">
        <f ca="1">VLOOKUP(F1026,INDIRECT("球種変換表!A$1:B$" &amp; Prams!$B$2),2,)</f>
        <v>ナックル</v>
      </c>
      <c r="O1026">
        <f ca="1">VLOOKUP(N1026,球種情報!A:B,2,FALSE)</f>
        <v>20</v>
      </c>
      <c r="P1026">
        <f ca="1">VLOOKUP(K1026,投手データ!B:AI,output!O1026+6,FALSE)</f>
        <v>1</v>
      </c>
      <c r="R1026">
        <f t="shared" ca="1" si="84"/>
        <v>1.0101010101010102E-2</v>
      </c>
      <c r="S1026">
        <f t="shared" si="85"/>
        <v>0.8989583333333333</v>
      </c>
      <c r="T1026">
        <f>Prams!B$5/(S1026-Prams!B$6)</f>
        <v>73.716551237591787</v>
      </c>
      <c r="U1026">
        <f t="shared" ca="1" si="86"/>
        <v>1.015625</v>
      </c>
      <c r="V1026">
        <f ca="1">Prams!C$5/(U1026-Prams!C$6)</f>
        <v>70.89590321378401</v>
      </c>
      <c r="W1026">
        <f t="shared" ca="1" si="87"/>
        <v>0.71612023448266682</v>
      </c>
    </row>
    <row r="1027" spans="1:23" hidden="1" x14ac:dyDescent="0.55000000000000004">
      <c r="A1027" s="1" t="s">
        <v>2628</v>
      </c>
      <c r="B1027" s="1">
        <v>155</v>
      </c>
      <c r="C1027">
        <v>629.5</v>
      </c>
      <c r="D1027">
        <v>609</v>
      </c>
      <c r="E1027">
        <v>10.547610000000001</v>
      </c>
      <c r="F1027" t="s">
        <v>44</v>
      </c>
      <c r="G1027" s="10" t="s">
        <v>2451</v>
      </c>
      <c r="H1027">
        <v>101</v>
      </c>
      <c r="I1027" t="s">
        <v>2593</v>
      </c>
      <c r="J1027">
        <f ca="1">VLOOKUP(G1027,INDIRECT("球速変換!A$1:B$" &amp; Prams!$B$8),2,)</f>
        <v>100</v>
      </c>
      <c r="K1027" t="str">
        <f ca="1">VLOOKUP(I1027,INDIRECT("投手名変換!A$1:B$" &amp; Prams!$B$9),2,)</f>
        <v>DD023</v>
      </c>
      <c r="L1027">
        <f t="shared" si="83"/>
        <v>54</v>
      </c>
      <c r="M1027">
        <f ca="1">(B1027-VLOOKUP(K1027,INDIRECT("投手データ!B1:D"&amp;Prams!$B$1),3,FALSE)*2)</f>
        <v>61</v>
      </c>
      <c r="N1027" t="str">
        <f ca="1">VLOOKUP(F1027,INDIRECT("球種変換表!A$1:B$" &amp; Prams!$B$2),2,)</f>
        <v>ナックル</v>
      </c>
      <c r="O1027">
        <f ca="1">VLOOKUP(N1027,球種情報!A:B,2,FALSE)</f>
        <v>20</v>
      </c>
      <c r="P1027">
        <f ca="1">VLOOKUP(K1027,投手データ!B:AI,output!O1027+6,FALSE)</f>
        <v>1</v>
      </c>
      <c r="R1027">
        <f t="shared" ca="1" si="84"/>
        <v>0.01</v>
      </c>
      <c r="S1027">
        <f t="shared" si="85"/>
        <v>0.89375000000000004</v>
      </c>
      <c r="T1027">
        <f>Prams!B$5/(S1027-Prams!B$6)</f>
        <v>74.177215189873422</v>
      </c>
      <c r="U1027">
        <f t="shared" ca="1" si="86"/>
        <v>1.0104166666666667</v>
      </c>
      <c r="V1027">
        <f ca="1">Prams!C$5/(U1027-Prams!C$6)</f>
        <v>71.321886596550584</v>
      </c>
      <c r="W1027">
        <f t="shared" ca="1" si="87"/>
        <v>0.71321886596550588</v>
      </c>
    </row>
    <row r="1028" spans="1:23" hidden="1" x14ac:dyDescent="0.55000000000000004">
      <c r="A1028" s="1" t="s">
        <v>2631</v>
      </c>
      <c r="B1028" s="1">
        <v>155</v>
      </c>
      <c r="C1028">
        <v>641.95001000000002</v>
      </c>
      <c r="D1028">
        <v>600.5</v>
      </c>
      <c r="E1028">
        <v>10.062519999999999</v>
      </c>
      <c r="F1028" t="s">
        <v>2629</v>
      </c>
      <c r="G1028" s="10" t="s">
        <v>824</v>
      </c>
      <c r="H1028">
        <v>101</v>
      </c>
      <c r="I1028" t="s">
        <v>2630</v>
      </c>
      <c r="J1028">
        <f ca="1">VLOOKUP(G1028,INDIRECT("球速変換!A$1:B$" &amp; Prams!$B$8),2,)</f>
        <v>139</v>
      </c>
      <c r="K1028" t="str">
        <f ca="1">VLOOKUP(I1028,INDIRECT("投手名変換!A$1:B$" &amp; Prams!$B$9),2,)</f>
        <v>DD023</v>
      </c>
      <c r="L1028">
        <f t="shared" si="83"/>
        <v>54</v>
      </c>
      <c r="M1028">
        <f ca="1">(B1028-VLOOKUP(K1028,INDIRECT("投手データ!B1:D"&amp;Prams!$B$1),3,FALSE)*2)</f>
        <v>61</v>
      </c>
      <c r="N1028" t="str">
        <f ca="1">VLOOKUP(F1028,INDIRECT("球種変換表!A$1:B$" &amp; Prams!$B$2),2,)</f>
        <v>ナックル</v>
      </c>
      <c r="O1028">
        <f ca="1">VLOOKUP(N1028,球種情報!A:B,2,FALSE)</f>
        <v>20</v>
      </c>
      <c r="P1028">
        <f ca="1">VLOOKUP(K1028,投手データ!B:AI,output!O1028+6,FALSE)</f>
        <v>1</v>
      </c>
      <c r="R1028">
        <f t="shared" ca="1" si="84"/>
        <v>7.1942446043165471E-3</v>
      </c>
      <c r="S1028">
        <f t="shared" si="85"/>
        <v>0.89965277777777775</v>
      </c>
      <c r="T1028">
        <f>Prams!B$5/(S1028-Prams!B$6)</f>
        <v>73.655561328669251</v>
      </c>
      <c r="U1028">
        <f t="shared" ca="1" si="86"/>
        <v>1.0163194444444443</v>
      </c>
      <c r="V1028">
        <f ca="1">Prams!C$5/(U1028-Prams!C$6)</f>
        <v>70.83948959032908</v>
      </c>
      <c r="W1028">
        <f t="shared" ca="1" si="87"/>
        <v>0.5096366157577632</v>
      </c>
    </row>
    <row r="1029" spans="1:23" hidden="1" x14ac:dyDescent="0.55000000000000004">
      <c r="A1029" s="1" t="s">
        <v>2633</v>
      </c>
      <c r="B1029" s="1">
        <v>155</v>
      </c>
      <c r="C1029">
        <v>638</v>
      </c>
      <c r="D1029">
        <v>602.5</v>
      </c>
      <c r="E1029">
        <v>11.01146</v>
      </c>
      <c r="F1029" t="s">
        <v>2632</v>
      </c>
      <c r="G1029" s="10" t="s">
        <v>2449</v>
      </c>
      <c r="H1029">
        <v>101</v>
      </c>
      <c r="I1029">
        <v>0</v>
      </c>
      <c r="J1029">
        <v>99</v>
      </c>
      <c r="K1029" t="str">
        <f ca="1">VLOOKUP(I1029,INDIRECT("投手名変換!A$1:B$" &amp; Prams!$B$9),2,)</f>
        <v>DD022</v>
      </c>
      <c r="L1029">
        <f t="shared" si="83"/>
        <v>54</v>
      </c>
      <c r="M1029">
        <f ca="1">(B1029-VLOOKUP(K1029,INDIRECT("投手データ!B1:D"&amp;Prams!$B$1),3,FALSE)*2)</f>
        <v>61</v>
      </c>
      <c r="N1029" t="str">
        <f ca="1">VLOOKUP(F1029,INDIRECT("球種変換表!A$1:B$" &amp; Prams!$B$2),2,)</f>
        <v>ナックル</v>
      </c>
      <c r="O1029">
        <f ca="1">VLOOKUP(N1029,球種情報!A:B,2,FALSE)</f>
        <v>20</v>
      </c>
      <c r="P1029">
        <f ca="1">VLOOKUP(K1029,投手データ!B:AI,output!O1029+6,FALSE)</f>
        <v>0</v>
      </c>
      <c r="R1029">
        <f t="shared" si="84"/>
        <v>1.0101010101010102E-2</v>
      </c>
      <c r="S1029">
        <f t="shared" si="85"/>
        <v>0.89826388888888897</v>
      </c>
      <c r="T1029">
        <f>Prams!B$5/(S1029-Prams!B$6)</f>
        <v>73.777642234649463</v>
      </c>
      <c r="U1029">
        <f t="shared" ca="1" si="86"/>
        <v>1.0149305555555557</v>
      </c>
      <c r="V1029">
        <f ca="1">Prams!C$5/(U1029-Prams!C$6)</f>
        <v>70.952406759776707</v>
      </c>
      <c r="W1029">
        <f t="shared" ca="1" si="87"/>
        <v>0.71669097737148191</v>
      </c>
    </row>
    <row r="1030" spans="1:23" hidden="1" x14ac:dyDescent="0.55000000000000004">
      <c r="A1030" s="1" t="s">
        <v>2635</v>
      </c>
      <c r="B1030" s="1">
        <v>155</v>
      </c>
      <c r="C1030">
        <v>654.5</v>
      </c>
      <c r="D1030">
        <v>608.5</v>
      </c>
      <c r="E1030">
        <v>10.512</v>
      </c>
      <c r="F1030" t="s">
        <v>2634</v>
      </c>
      <c r="G1030" s="10" t="s">
        <v>841</v>
      </c>
      <c r="H1030">
        <v>101</v>
      </c>
      <c r="I1030" t="s">
        <v>2593</v>
      </c>
      <c r="J1030">
        <f ca="1">VLOOKUP(G1030,INDIRECT("球速変換!A$1:B$" &amp; Prams!$B$8),2,)</f>
        <v>100</v>
      </c>
      <c r="K1030" t="str">
        <f ca="1">VLOOKUP(I1030,INDIRECT("投手名変換!A$1:B$" &amp; Prams!$B$9),2,)</f>
        <v>DD023</v>
      </c>
      <c r="L1030">
        <f t="shared" si="83"/>
        <v>54</v>
      </c>
      <c r="M1030">
        <f ca="1">(B1030-VLOOKUP(K1030,INDIRECT("投手データ!B1:D"&amp;Prams!$B$1),3,FALSE)*2)</f>
        <v>61</v>
      </c>
      <c r="N1030" t="str">
        <f ca="1">VLOOKUP(F1030,INDIRECT("球種変換表!A$1:B$" &amp; Prams!$B$2),2,)</f>
        <v>ナックル</v>
      </c>
      <c r="O1030">
        <f ca="1">VLOOKUP(N1030,球種情報!A:B,2,FALSE)</f>
        <v>20</v>
      </c>
      <c r="P1030">
        <f ca="1">VLOOKUP(K1030,投手データ!B:AI,output!O1030+6,FALSE)</f>
        <v>1</v>
      </c>
      <c r="R1030">
        <f t="shared" ca="1" si="84"/>
        <v>0.01</v>
      </c>
      <c r="S1030">
        <f t="shared" si="85"/>
        <v>0.89409722222222221</v>
      </c>
      <c r="T1030">
        <f>Prams!B$5/(S1030-Prams!B$6)</f>
        <v>74.146325212298493</v>
      </c>
      <c r="U1030">
        <f t="shared" ca="1" si="86"/>
        <v>1.010763888888889</v>
      </c>
      <c r="V1030">
        <f ca="1">Prams!C$5/(U1030-Prams!C$6)</f>
        <v>71.293328507042418</v>
      </c>
      <c r="W1030">
        <f t="shared" ca="1" si="87"/>
        <v>0.71293328507042419</v>
      </c>
    </row>
    <row r="1031" spans="1:23" hidden="1" x14ac:dyDescent="0.55000000000000004">
      <c r="A1031" s="1" t="s">
        <v>2637</v>
      </c>
      <c r="B1031" s="1">
        <v>154</v>
      </c>
      <c r="C1031">
        <v>636</v>
      </c>
      <c r="D1031">
        <v>601.5</v>
      </c>
      <c r="E1031">
        <v>11.01146</v>
      </c>
      <c r="F1031" t="s">
        <v>475</v>
      </c>
      <c r="G1031" s="10" t="s">
        <v>2636</v>
      </c>
      <c r="H1031">
        <v>101</v>
      </c>
      <c r="I1031" t="s">
        <v>2595</v>
      </c>
      <c r="J1031">
        <f ca="1">VLOOKUP(G1031,INDIRECT("球速変換!A$1:B$" &amp; Prams!$B$8),2,)</f>
        <v>101</v>
      </c>
      <c r="K1031" t="str">
        <f ca="1">VLOOKUP(I1031,INDIRECT("投手名変換!A$1:B$" &amp; Prams!$B$9),2,)</f>
        <v>DD023</v>
      </c>
      <c r="L1031">
        <f t="shared" si="83"/>
        <v>53</v>
      </c>
      <c r="M1031">
        <f ca="1">(B1031-VLOOKUP(K1031,INDIRECT("投手データ!B1:D"&amp;Prams!$B$1),3,FALSE)*2)</f>
        <v>60</v>
      </c>
      <c r="N1031" t="str">
        <f ca="1">VLOOKUP(F1031,INDIRECT("球種変換表!A$1:B$" &amp; Prams!$B$2),2,)</f>
        <v>ナックル</v>
      </c>
      <c r="O1031">
        <f ca="1">VLOOKUP(N1031,球種情報!A:B,2,FALSE)</f>
        <v>20</v>
      </c>
      <c r="P1031">
        <f ca="1">VLOOKUP(K1031,投手データ!B:AI,output!O1031+6,FALSE)</f>
        <v>1</v>
      </c>
      <c r="R1031">
        <f t="shared" ca="1" si="84"/>
        <v>9.9009900990099011E-3</v>
      </c>
      <c r="S1031">
        <f t="shared" si="85"/>
        <v>0.8822916666666667</v>
      </c>
      <c r="T1031">
        <f>Prams!B$5/(S1031-Prams!B$6)</f>
        <v>75.211224769107559</v>
      </c>
      <c r="U1031">
        <f t="shared" ca="1" si="86"/>
        <v>0.99895833333333328</v>
      </c>
      <c r="V1031">
        <f ca="1">Prams!C$5/(U1031-Prams!C$6)</f>
        <v>72.277310678760372</v>
      </c>
      <c r="W1031">
        <f t="shared" ca="1" si="87"/>
        <v>0.71561693741346899</v>
      </c>
    </row>
    <row r="1032" spans="1:23" hidden="1" x14ac:dyDescent="0.55000000000000004">
      <c r="A1032" s="1" t="s">
        <v>2638</v>
      </c>
      <c r="B1032" s="1">
        <v>156</v>
      </c>
      <c r="C1032">
        <v>632</v>
      </c>
      <c r="D1032">
        <v>610.5</v>
      </c>
      <c r="E1032">
        <v>11.01146</v>
      </c>
      <c r="F1032" t="s">
        <v>44</v>
      </c>
      <c r="G1032" s="10" t="s">
        <v>814</v>
      </c>
      <c r="H1032">
        <v>101</v>
      </c>
      <c r="I1032" t="s">
        <v>2593</v>
      </c>
      <c r="J1032">
        <f ca="1">VLOOKUP(G1032,INDIRECT("球速変換!A$1:B$" &amp; Prams!$B$8),2,)</f>
        <v>139</v>
      </c>
      <c r="K1032" t="str">
        <f ca="1">VLOOKUP(I1032,INDIRECT("投手名変換!A$1:B$" &amp; Prams!$B$9),2,)</f>
        <v>DD023</v>
      </c>
      <c r="L1032">
        <f t="shared" si="83"/>
        <v>55</v>
      </c>
      <c r="M1032">
        <f ca="1">(B1032-VLOOKUP(K1032,INDIRECT("投手データ!B1:D"&amp;Prams!$B$1),3,FALSE)*2)</f>
        <v>62</v>
      </c>
      <c r="N1032" t="str">
        <f ca="1">VLOOKUP(F1032,INDIRECT("球種変換表!A$1:B$" &amp; Prams!$B$2),2,)</f>
        <v>ナックル</v>
      </c>
      <c r="O1032">
        <f ca="1">VLOOKUP(N1032,球種情報!A:B,2,FALSE)</f>
        <v>20</v>
      </c>
      <c r="P1032">
        <f ca="1">VLOOKUP(K1032,投手データ!B:AI,output!O1032+6,FALSE)</f>
        <v>1</v>
      </c>
      <c r="R1032">
        <f t="shared" ca="1" si="84"/>
        <v>7.1942446043165471E-3</v>
      </c>
      <c r="S1032">
        <f t="shared" si="85"/>
        <v>0.90937500000000004</v>
      </c>
      <c r="T1032">
        <f>Prams!B$5/(S1032-Prams!B$6)</f>
        <v>72.812177958366462</v>
      </c>
      <c r="U1032">
        <f t="shared" ca="1" si="86"/>
        <v>1.0260416666666667</v>
      </c>
      <c r="V1032">
        <f ca="1">Prams!C$5/(U1032-Prams!C$6)</f>
        <v>70.059021842803574</v>
      </c>
      <c r="W1032">
        <f t="shared" ca="1" si="87"/>
        <v>0.50402173987628474</v>
      </c>
    </row>
    <row r="1033" spans="1:23" hidden="1" x14ac:dyDescent="0.55000000000000004">
      <c r="A1033" s="1" t="s">
        <v>2641</v>
      </c>
      <c r="B1033" s="1">
        <v>143</v>
      </c>
      <c r="C1033">
        <v>633.90002000000004</v>
      </c>
      <c r="D1033">
        <v>612</v>
      </c>
      <c r="E1033">
        <v>10.10008</v>
      </c>
      <c r="F1033" t="s">
        <v>8</v>
      </c>
      <c r="G1033" s="10" t="s">
        <v>2639</v>
      </c>
      <c r="H1033">
        <v>101</v>
      </c>
      <c r="I1033" t="s">
        <v>2640</v>
      </c>
      <c r="J1033">
        <f ca="1">VLOOKUP(G1033,INDIRECT("球速変換!A$1:B$" &amp; Prams!$B$8),2,)</f>
        <v>106</v>
      </c>
      <c r="K1033" t="str">
        <f ca="1">VLOOKUP(I1033,INDIRECT("投手名変換!A$1:B$" &amp; Prams!$B$9),2,)</f>
        <v>DD023</v>
      </c>
      <c r="L1033">
        <f t="shared" si="83"/>
        <v>42</v>
      </c>
      <c r="M1033">
        <f ca="1">(B1033-VLOOKUP(K1033,INDIRECT("投手データ!B1:D"&amp;Prams!$B$1),3,FALSE)*2)</f>
        <v>49</v>
      </c>
      <c r="N1033" t="str">
        <f ca="1">VLOOKUP(F1033,INDIRECT("球種変換表!A$1:B$" &amp; Prams!$B$2),2,)</f>
        <v>シンカー</v>
      </c>
      <c r="O1033">
        <f ca="1">VLOOKUP(N1033,球種情報!A:B,2,FALSE)</f>
        <v>22</v>
      </c>
      <c r="P1033">
        <f ca="1">VLOOKUP(K1033,投手データ!B:AI,output!O1033+6,FALSE)</f>
        <v>1</v>
      </c>
      <c r="R1033">
        <f t="shared" ca="1" si="84"/>
        <v>9.433962264150943E-3</v>
      </c>
      <c r="S1033">
        <f t="shared" si="85"/>
        <v>0.69166666666666665</v>
      </c>
      <c r="T1033">
        <f>Prams!B$5/(S1033-Prams!B$6)</f>
        <v>97.91932844094822</v>
      </c>
      <c r="U1033">
        <f t="shared" ca="1" si="86"/>
        <v>0.80833333333333335</v>
      </c>
      <c r="V1033">
        <f ca="1">Prams!C$5/(U1033-Prams!C$6)</f>
        <v>93.004212215424729</v>
      </c>
      <c r="W1033">
        <f t="shared" ca="1" si="87"/>
        <v>0.87739822844740312</v>
      </c>
    </row>
    <row r="1034" spans="1:23" hidden="1" x14ac:dyDescent="0.55000000000000004">
      <c r="A1034" s="1" t="s">
        <v>2642</v>
      </c>
      <c r="B1034" s="1">
        <v>143</v>
      </c>
      <c r="C1034">
        <v>639</v>
      </c>
      <c r="D1034">
        <v>615</v>
      </c>
      <c r="E1034">
        <v>11.0001</v>
      </c>
      <c r="F1034" t="s">
        <v>8</v>
      </c>
      <c r="G1034" s="10" t="s">
        <v>2639</v>
      </c>
      <c r="H1034">
        <v>101</v>
      </c>
      <c r="I1034" t="s">
        <v>2593</v>
      </c>
      <c r="J1034">
        <f ca="1">VLOOKUP(G1034,INDIRECT("球速変換!A$1:B$" &amp; Prams!$B$8),2,)</f>
        <v>106</v>
      </c>
      <c r="K1034" t="str">
        <f ca="1">VLOOKUP(I1034,INDIRECT("投手名変換!A$1:B$" &amp; Prams!$B$9),2,)</f>
        <v>DD023</v>
      </c>
      <c r="L1034">
        <f t="shared" si="83"/>
        <v>42</v>
      </c>
      <c r="M1034">
        <f ca="1">(B1034-VLOOKUP(K1034,INDIRECT("投手データ!B1:D"&amp;Prams!$B$1),3,FALSE)*2)</f>
        <v>49</v>
      </c>
      <c r="N1034" t="str">
        <f ca="1">VLOOKUP(F1034,INDIRECT("球種変換表!A$1:B$" &amp; Prams!$B$2),2,)</f>
        <v>シンカー</v>
      </c>
      <c r="O1034">
        <f ca="1">VLOOKUP(N1034,球種情報!A:B,2,FALSE)</f>
        <v>22</v>
      </c>
      <c r="P1034">
        <f ca="1">VLOOKUP(K1034,投手データ!B:AI,output!O1034+6,FALSE)</f>
        <v>1</v>
      </c>
      <c r="R1034">
        <f t="shared" ca="1" si="84"/>
        <v>9.433962264150943E-3</v>
      </c>
      <c r="S1034">
        <f t="shared" si="85"/>
        <v>0.68958333333333333</v>
      </c>
      <c r="T1034">
        <f>Prams!B$5/(S1034-Prams!B$6)</f>
        <v>98.243504515718939</v>
      </c>
      <c r="U1034">
        <f t="shared" ca="1" si="86"/>
        <v>0.80625000000000002</v>
      </c>
      <c r="V1034">
        <f ca="1">Prams!C$5/(U1034-Prams!C$6)</f>
        <v>93.296612087829175</v>
      </c>
      <c r="W1034">
        <f t="shared" ca="1" si="87"/>
        <v>0.88015671780970917</v>
      </c>
    </row>
    <row r="1035" spans="1:23" hidden="1" x14ac:dyDescent="0.55000000000000004">
      <c r="A1035" s="1" t="s">
        <v>2644</v>
      </c>
      <c r="B1035" s="1">
        <v>142</v>
      </c>
      <c r="C1035">
        <v>646</v>
      </c>
      <c r="D1035">
        <v>613.5</v>
      </c>
      <c r="E1035">
        <v>11.01146</v>
      </c>
      <c r="F1035" t="s">
        <v>8</v>
      </c>
      <c r="G1035" s="10" t="s">
        <v>2643</v>
      </c>
      <c r="H1035">
        <v>101</v>
      </c>
      <c r="I1035" t="s">
        <v>2593</v>
      </c>
      <c r="J1035">
        <f ca="1">VLOOKUP(G1035,INDIRECT("球速変換!A$1:B$" &amp; Prams!$B$8),2,)</f>
        <v>109</v>
      </c>
      <c r="K1035" t="str">
        <f ca="1">VLOOKUP(I1035,INDIRECT("投手名変換!A$1:B$" &amp; Prams!$B$9),2,)</f>
        <v>DD023</v>
      </c>
      <c r="L1035">
        <f t="shared" si="83"/>
        <v>41</v>
      </c>
      <c r="M1035">
        <f ca="1">(B1035-VLOOKUP(K1035,INDIRECT("投手データ!B1:D"&amp;Prams!$B$1),3,FALSE)*2)</f>
        <v>48</v>
      </c>
      <c r="N1035" t="str">
        <f ca="1">VLOOKUP(F1035,INDIRECT("球種変換表!A$1:B$" &amp; Prams!$B$2),2,)</f>
        <v>シンカー</v>
      </c>
      <c r="O1035">
        <f ca="1">VLOOKUP(N1035,球種情報!A:B,2,FALSE)</f>
        <v>22</v>
      </c>
      <c r="P1035">
        <f ca="1">VLOOKUP(K1035,投手データ!B:AI,output!O1035+6,FALSE)</f>
        <v>1</v>
      </c>
      <c r="R1035">
        <f t="shared" ca="1" si="84"/>
        <v>9.1743119266055051E-3</v>
      </c>
      <c r="S1035">
        <f t="shared" si="85"/>
        <v>0.67395833333333333</v>
      </c>
      <c r="T1035">
        <f>Prams!B$5/(S1035-Prams!B$6)</f>
        <v>100.74498567335245</v>
      </c>
      <c r="U1035">
        <f t="shared" ca="1" si="86"/>
        <v>0.79062500000000002</v>
      </c>
      <c r="V1035">
        <f ca="1">Prams!C$5/(U1035-Prams!C$6)</f>
        <v>95.549631003438819</v>
      </c>
      <c r="W1035">
        <f t="shared" ca="1" si="87"/>
        <v>0.87660211929760379</v>
      </c>
    </row>
    <row r="1036" spans="1:23" hidden="1" x14ac:dyDescent="0.55000000000000004">
      <c r="A1036" s="1" t="s">
        <v>2645</v>
      </c>
      <c r="B1036" s="1">
        <v>142</v>
      </c>
      <c r="C1036">
        <v>647</v>
      </c>
      <c r="D1036">
        <v>607.5</v>
      </c>
      <c r="E1036">
        <v>11.01146</v>
      </c>
      <c r="F1036" t="s">
        <v>349</v>
      </c>
      <c r="G1036" s="10" t="s">
        <v>2453</v>
      </c>
      <c r="H1036">
        <v>101</v>
      </c>
      <c r="I1036" t="s">
        <v>2593</v>
      </c>
      <c r="J1036">
        <f ca="1">VLOOKUP(G1036,INDIRECT("球速変換!A$1:B$" &amp; Prams!$B$8),2,)</f>
        <v>108</v>
      </c>
      <c r="K1036" t="str">
        <f ca="1">VLOOKUP(I1036,INDIRECT("投手名変換!A$1:B$" &amp; Prams!$B$9),2,)</f>
        <v>DD023</v>
      </c>
      <c r="L1036">
        <f t="shared" si="83"/>
        <v>41</v>
      </c>
      <c r="M1036">
        <f ca="1">(B1036-VLOOKUP(K1036,INDIRECT("投手データ!B1:D"&amp;Prams!$B$1),3,FALSE)*2)</f>
        <v>48</v>
      </c>
      <c r="N1036" t="str">
        <f ca="1">VLOOKUP(F1036,INDIRECT("球種変換表!A$1:B$" &amp; Prams!$B$2),2,)</f>
        <v>シンカー</v>
      </c>
      <c r="O1036">
        <f ca="1">VLOOKUP(N1036,球種情報!A:B,2,FALSE)</f>
        <v>22</v>
      </c>
      <c r="P1036">
        <f ca="1">VLOOKUP(K1036,投手データ!B:AI,output!O1036+6,FALSE)</f>
        <v>1</v>
      </c>
      <c r="R1036">
        <f t="shared" ca="1" si="84"/>
        <v>9.2592592592592587E-3</v>
      </c>
      <c r="S1036">
        <f t="shared" si="85"/>
        <v>0.67812499999999998</v>
      </c>
      <c r="T1036">
        <f>Prams!B$5/(S1036-Prams!B$6)</f>
        <v>100.06555254319589</v>
      </c>
      <c r="U1036">
        <f t="shared" ca="1" si="86"/>
        <v>0.79479166666666667</v>
      </c>
      <c r="V1036">
        <f ca="1">Prams!C$5/(U1036-Prams!C$6)</f>
        <v>94.938254226226292</v>
      </c>
      <c r="W1036">
        <f t="shared" ca="1" si="87"/>
        <v>0.87905790950209528</v>
      </c>
    </row>
    <row r="1037" spans="1:23" hidden="1" x14ac:dyDescent="0.55000000000000004">
      <c r="A1037" s="1" t="s">
        <v>2647</v>
      </c>
      <c r="B1037" s="1">
        <v>142</v>
      </c>
      <c r="C1037">
        <v>637.04998999999998</v>
      </c>
      <c r="D1037">
        <v>601.5</v>
      </c>
      <c r="E1037">
        <v>10.06254</v>
      </c>
      <c r="F1037" t="s">
        <v>349</v>
      </c>
      <c r="G1037" s="10" t="s">
        <v>2646</v>
      </c>
      <c r="H1037">
        <v>101</v>
      </c>
      <c r="I1037" t="s">
        <v>2593</v>
      </c>
      <c r="J1037">
        <f ca="1">VLOOKUP(G1037,INDIRECT("球速変換!A$1:B$" &amp; Prams!$B$8),2,)</f>
        <v>106</v>
      </c>
      <c r="K1037" t="str">
        <f ca="1">VLOOKUP(I1037,INDIRECT("投手名変換!A$1:B$" &amp; Prams!$B$9),2,)</f>
        <v>DD023</v>
      </c>
      <c r="L1037">
        <f t="shared" si="83"/>
        <v>41</v>
      </c>
      <c r="M1037">
        <f ca="1">(B1037-VLOOKUP(K1037,INDIRECT("投手データ!B1:D"&amp;Prams!$B$1),3,FALSE)*2)</f>
        <v>48</v>
      </c>
      <c r="N1037" t="str">
        <f ca="1">VLOOKUP(F1037,INDIRECT("球種変換表!A$1:B$" &amp; Prams!$B$2),2,)</f>
        <v>シンカー</v>
      </c>
      <c r="O1037">
        <f ca="1">VLOOKUP(N1037,球種情報!A:B,2,FALSE)</f>
        <v>22</v>
      </c>
      <c r="P1037">
        <f ca="1">VLOOKUP(K1037,投手データ!B:AI,output!O1037+6,FALSE)</f>
        <v>1</v>
      </c>
      <c r="R1037">
        <f t="shared" ca="1" si="84"/>
        <v>9.433962264150943E-3</v>
      </c>
      <c r="S1037">
        <f t="shared" si="85"/>
        <v>0.68229166666666663</v>
      </c>
      <c r="T1037">
        <f>Prams!B$5/(S1037-Prams!B$6)</f>
        <v>99.395222336848036</v>
      </c>
      <c r="U1037">
        <f t="shared" ca="1" si="86"/>
        <v>0.79895833333333333</v>
      </c>
      <c r="V1037">
        <f ca="1">Prams!C$5/(U1037-Prams!C$6)</f>
        <v>94.334651526518584</v>
      </c>
      <c r="W1037">
        <f t="shared" ca="1" si="87"/>
        <v>0.88994954270300553</v>
      </c>
    </row>
    <row r="1038" spans="1:23" hidden="1" x14ac:dyDescent="0.55000000000000004">
      <c r="A1038" s="1" t="s">
        <v>2648</v>
      </c>
      <c r="B1038" s="1">
        <v>142</v>
      </c>
      <c r="C1038">
        <v>633</v>
      </c>
      <c r="D1038">
        <v>604.5</v>
      </c>
      <c r="E1038">
        <v>11.01146</v>
      </c>
      <c r="F1038" t="s">
        <v>8</v>
      </c>
      <c r="G1038" s="10" t="s">
        <v>850</v>
      </c>
      <c r="H1038">
        <v>101</v>
      </c>
      <c r="I1038" t="s">
        <v>2593</v>
      </c>
      <c r="J1038">
        <f ca="1">VLOOKUP(G1038,INDIRECT("球速変換!A$1:B$" &amp; Prams!$B$8),2,)</f>
        <v>107</v>
      </c>
      <c r="K1038" t="str">
        <f ca="1">VLOOKUP(I1038,INDIRECT("投手名変換!A$1:B$" &amp; Prams!$B$9),2,)</f>
        <v>DD023</v>
      </c>
      <c r="L1038">
        <f t="shared" si="83"/>
        <v>41</v>
      </c>
      <c r="M1038">
        <f ca="1">(B1038-VLOOKUP(K1038,INDIRECT("投手データ!B1:D"&amp;Prams!$B$1),3,FALSE)*2)</f>
        <v>48</v>
      </c>
      <c r="N1038" t="str">
        <f ca="1">VLOOKUP(F1038,INDIRECT("球種変換表!A$1:B$" &amp; Prams!$B$2),2,)</f>
        <v>シンカー</v>
      </c>
      <c r="O1038">
        <f ca="1">VLOOKUP(N1038,球種情報!A:B,2,FALSE)</f>
        <v>22</v>
      </c>
      <c r="P1038">
        <f ca="1">VLOOKUP(K1038,投手データ!B:AI,output!O1038+6,FALSE)</f>
        <v>1</v>
      </c>
      <c r="R1038">
        <f t="shared" ca="1" si="84"/>
        <v>9.3457943925233638E-3</v>
      </c>
      <c r="S1038">
        <f t="shared" si="85"/>
        <v>0.6802083333333333</v>
      </c>
      <c r="T1038">
        <f>Prams!B$5/(S1038-Prams!B$6)</f>
        <v>99.729261046660127</v>
      </c>
      <c r="U1038">
        <f t="shared" ca="1" si="86"/>
        <v>0.796875</v>
      </c>
      <c r="V1038">
        <f ca="1">Prams!C$5/(U1038-Prams!C$6)</f>
        <v>94.635490413684892</v>
      </c>
      <c r="W1038">
        <f t="shared" ca="1" si="87"/>
        <v>0.88444383564191487</v>
      </c>
    </row>
    <row r="1039" spans="1:23" hidden="1" x14ac:dyDescent="0.55000000000000004">
      <c r="A1039" s="1" t="s">
        <v>2650</v>
      </c>
      <c r="B1039" s="1">
        <v>142</v>
      </c>
      <c r="C1039">
        <v>633</v>
      </c>
      <c r="D1039">
        <v>603.5</v>
      </c>
      <c r="E1039">
        <v>11.01146</v>
      </c>
      <c r="F1039" t="s">
        <v>8</v>
      </c>
      <c r="G1039" s="10" t="s">
        <v>2649</v>
      </c>
      <c r="H1039">
        <v>101</v>
      </c>
      <c r="I1039">
        <v>0</v>
      </c>
      <c r="J1039">
        <f ca="1">VLOOKUP(G1039,INDIRECT("球速変換!A$1:B$" &amp; Prams!$B$8),2,)</f>
        <v>107</v>
      </c>
      <c r="K1039" t="str">
        <f ca="1">VLOOKUP(I1039,INDIRECT("投手名変換!A$1:B$" &amp; Prams!$B$9),2,)</f>
        <v>DD022</v>
      </c>
      <c r="L1039">
        <f t="shared" si="83"/>
        <v>41</v>
      </c>
      <c r="M1039">
        <f ca="1">(B1039-VLOOKUP(K1039,INDIRECT("投手データ!B1:D"&amp;Prams!$B$1),3,FALSE)*2)</f>
        <v>48</v>
      </c>
      <c r="N1039" t="str">
        <f ca="1">VLOOKUP(F1039,INDIRECT("球種変換表!A$1:B$" &amp; Prams!$B$2),2,)</f>
        <v>シンカー</v>
      </c>
      <c r="O1039">
        <f ca="1">VLOOKUP(N1039,球種情報!A:B,2,FALSE)</f>
        <v>22</v>
      </c>
      <c r="P1039">
        <f ca="1">VLOOKUP(K1039,投手データ!B:AI,output!O1039+6,FALSE)</f>
        <v>0</v>
      </c>
      <c r="R1039">
        <f t="shared" ca="1" si="84"/>
        <v>9.3457943925233638E-3</v>
      </c>
      <c r="S1039">
        <f t="shared" si="85"/>
        <v>0.68090277777777775</v>
      </c>
      <c r="T1039">
        <f>Prams!B$5/(S1039-Prams!B$6)</f>
        <v>99.617665620789836</v>
      </c>
      <c r="U1039">
        <f t="shared" ca="1" si="86"/>
        <v>0.79756944444444444</v>
      </c>
      <c r="V1039">
        <f ca="1">Prams!C$5/(U1039-Prams!C$6)</f>
        <v>94.534997812503988</v>
      </c>
      <c r="W1039">
        <f t="shared" ca="1" si="87"/>
        <v>0.88350465245330834</v>
      </c>
    </row>
    <row r="1040" spans="1:23" hidden="1" x14ac:dyDescent="0.55000000000000004">
      <c r="A1040" s="1" t="s">
        <v>2653</v>
      </c>
      <c r="B1040" s="1">
        <v>143</v>
      </c>
      <c r="C1040">
        <v>639</v>
      </c>
      <c r="D1040">
        <v>614</v>
      </c>
      <c r="E1040">
        <v>10.04998</v>
      </c>
      <c r="F1040" t="s">
        <v>8</v>
      </c>
      <c r="G1040" s="10" t="s">
        <v>2651</v>
      </c>
      <c r="H1040">
        <v>101</v>
      </c>
      <c r="I1040" t="s">
        <v>2652</v>
      </c>
      <c r="J1040">
        <f ca="1">VLOOKUP(G1040,INDIRECT("球速変換!A$1:B$" &amp; Prams!$B$8),2,)</f>
        <v>106</v>
      </c>
      <c r="K1040" t="str">
        <f ca="1">VLOOKUP(I1040,INDIRECT("投手名変換!A$1:B$" &amp; Prams!$B$9),2,)</f>
        <v>DD023</v>
      </c>
      <c r="L1040">
        <f t="shared" si="83"/>
        <v>42</v>
      </c>
      <c r="M1040">
        <f ca="1">(B1040-VLOOKUP(K1040,INDIRECT("投手データ!B1:D"&amp;Prams!$B$1),3,FALSE)*2)</f>
        <v>49</v>
      </c>
      <c r="N1040" t="str">
        <f ca="1">VLOOKUP(F1040,INDIRECT("球種変換表!A$1:B$" &amp; Prams!$B$2),2,)</f>
        <v>シンカー</v>
      </c>
      <c r="O1040">
        <f ca="1">VLOOKUP(N1040,球種情報!A:B,2,FALSE)</f>
        <v>22</v>
      </c>
      <c r="P1040">
        <f ca="1">VLOOKUP(K1040,投手データ!B:AI,output!O1040+6,FALSE)</f>
        <v>1</v>
      </c>
      <c r="R1040">
        <f t="shared" ca="1" si="84"/>
        <v>9.433962264150943E-3</v>
      </c>
      <c r="S1040">
        <f t="shared" si="85"/>
        <v>0.69027777777777777</v>
      </c>
      <c r="T1040">
        <f>Prams!B$5/(S1040-Prams!B$6)</f>
        <v>98.135207591096687</v>
      </c>
      <c r="U1040">
        <f t="shared" ca="1" si="86"/>
        <v>0.80694444444444435</v>
      </c>
      <c r="V1040">
        <f ca="1">Prams!C$5/(U1040-Prams!C$6)</f>
        <v>93.198941391266501</v>
      </c>
      <c r="W1040">
        <f t="shared" ca="1" si="87"/>
        <v>0.87923529614402363</v>
      </c>
    </row>
    <row r="1041" spans="1:23" hidden="1" x14ac:dyDescent="0.55000000000000004">
      <c r="A1041" s="1" t="s">
        <v>2655</v>
      </c>
      <c r="B1041" s="1">
        <v>143</v>
      </c>
      <c r="C1041">
        <v>630.5</v>
      </c>
      <c r="D1041">
        <v>614</v>
      </c>
      <c r="E1041">
        <v>10.547610000000001</v>
      </c>
      <c r="F1041" t="s">
        <v>8</v>
      </c>
      <c r="G1041" s="10" t="s">
        <v>2654</v>
      </c>
      <c r="H1041">
        <v>101</v>
      </c>
      <c r="I1041" t="s">
        <v>2593</v>
      </c>
      <c r="J1041">
        <f ca="1">VLOOKUP(G1041,INDIRECT("球速変換!A$1:B$" &amp; Prams!$B$8),2,)</f>
        <v>106</v>
      </c>
      <c r="K1041" t="str">
        <f ca="1">VLOOKUP(I1041,INDIRECT("投手名変換!A$1:B$" &amp; Prams!$B$9),2,)</f>
        <v>DD023</v>
      </c>
      <c r="L1041">
        <f t="shared" si="83"/>
        <v>42</v>
      </c>
      <c r="M1041">
        <f ca="1">(B1041-VLOOKUP(K1041,INDIRECT("投手データ!B1:D"&amp;Prams!$B$1),3,FALSE)*2)</f>
        <v>49</v>
      </c>
      <c r="N1041" t="str">
        <f ca="1">VLOOKUP(F1041,INDIRECT("球種変換表!A$1:B$" &amp; Prams!$B$2),2,)</f>
        <v>シンカー</v>
      </c>
      <c r="O1041">
        <f ca="1">VLOOKUP(N1041,球種情報!A:B,2,FALSE)</f>
        <v>22</v>
      </c>
      <c r="P1041">
        <f ca="1">VLOOKUP(K1041,投手データ!B:AI,output!O1041+6,FALSE)</f>
        <v>1</v>
      </c>
      <c r="R1041">
        <f t="shared" ca="1" si="84"/>
        <v>9.433962264150943E-3</v>
      </c>
      <c r="S1041">
        <f t="shared" si="85"/>
        <v>0.69027777777777777</v>
      </c>
      <c r="T1041">
        <f>Prams!B$5/(S1041-Prams!B$6)</f>
        <v>98.135207591096687</v>
      </c>
      <c r="U1041">
        <f t="shared" ca="1" si="86"/>
        <v>0.80694444444444435</v>
      </c>
      <c r="V1041">
        <f ca="1">Prams!C$5/(U1041-Prams!C$6)</f>
        <v>93.198941391266501</v>
      </c>
      <c r="W1041">
        <f t="shared" ca="1" si="87"/>
        <v>0.87923529614402363</v>
      </c>
    </row>
    <row r="1042" spans="1:23" hidden="1" x14ac:dyDescent="0.55000000000000004">
      <c r="A1042" s="1" t="s">
        <v>2657</v>
      </c>
      <c r="B1042" s="1">
        <v>143</v>
      </c>
      <c r="C1042">
        <v>648.5</v>
      </c>
      <c r="D1042">
        <v>614.5</v>
      </c>
      <c r="E1042">
        <v>10.512</v>
      </c>
      <c r="F1042" t="s">
        <v>8</v>
      </c>
      <c r="G1042" s="10" t="s">
        <v>2656</v>
      </c>
      <c r="H1042">
        <v>101</v>
      </c>
      <c r="I1042" t="s">
        <v>2595</v>
      </c>
      <c r="J1042">
        <f ca="1">VLOOKUP(G1042,INDIRECT("球速変換!A$1:B$" &amp; Prams!$B$8),2,)</f>
        <v>106</v>
      </c>
      <c r="K1042" t="str">
        <f ca="1">VLOOKUP(I1042,INDIRECT("投手名変換!A$1:B$" &amp; Prams!$B$9),2,)</f>
        <v>DD023</v>
      </c>
      <c r="L1042">
        <f t="shared" si="83"/>
        <v>42</v>
      </c>
      <c r="M1042">
        <f ca="1">(B1042-VLOOKUP(K1042,INDIRECT("投手データ!B1:D"&amp;Prams!$B$1),3,FALSE)*2)</f>
        <v>49</v>
      </c>
      <c r="N1042" t="str">
        <f ca="1">VLOOKUP(F1042,INDIRECT("球種変換表!A$1:B$" &amp; Prams!$B$2),2,)</f>
        <v>シンカー</v>
      </c>
      <c r="O1042">
        <f ca="1">VLOOKUP(N1042,球種情報!A:B,2,FALSE)</f>
        <v>22</v>
      </c>
      <c r="P1042">
        <f ca="1">VLOOKUP(K1042,投手データ!B:AI,output!O1042+6,FALSE)</f>
        <v>1</v>
      </c>
      <c r="R1042">
        <f t="shared" ca="1" si="84"/>
        <v>9.433962264150943E-3</v>
      </c>
      <c r="S1042">
        <f t="shared" si="85"/>
        <v>0.6899305555555556</v>
      </c>
      <c r="T1042">
        <f>Prams!B$5/(S1042-Prams!B$6)</f>
        <v>98.189326192167357</v>
      </c>
      <c r="U1042">
        <f t="shared" ca="1" si="86"/>
        <v>0.8065972222222223</v>
      </c>
      <c r="V1042">
        <f ca="1">Prams!C$5/(U1042-Prams!C$6)</f>
        <v>93.247751163696847</v>
      </c>
      <c r="W1042">
        <f t="shared" ca="1" si="87"/>
        <v>0.87969576569525332</v>
      </c>
    </row>
    <row r="1043" spans="1:23" hidden="1" x14ac:dyDescent="0.55000000000000004">
      <c r="A1043" s="1" t="s">
        <v>2660</v>
      </c>
      <c r="B1043" s="1">
        <v>136</v>
      </c>
      <c r="C1043">
        <v>640</v>
      </c>
      <c r="D1043">
        <v>614.5</v>
      </c>
      <c r="E1043">
        <v>11.01146</v>
      </c>
      <c r="F1043" t="s">
        <v>0</v>
      </c>
      <c r="G1043" s="10" t="s">
        <v>2658</v>
      </c>
      <c r="H1043">
        <v>99</v>
      </c>
      <c r="I1043" t="s">
        <v>2659</v>
      </c>
      <c r="J1043">
        <f ca="1">VLOOKUP(G1043,INDIRECT("球速変換!A$1:B$" &amp; Prams!$B$8),2,)</f>
        <v>113</v>
      </c>
      <c r="K1043" t="str">
        <f ca="1">VLOOKUP(I1043,INDIRECT("投手名変換!A$1:B$" &amp; Prams!$B$9),2,)</f>
        <v>DD024</v>
      </c>
      <c r="L1043">
        <f t="shared" si="83"/>
        <v>37</v>
      </c>
      <c r="M1043">
        <f ca="1">(B1043-VLOOKUP(K1043,INDIRECT("投手データ!B1:D"&amp;Prams!$B$1),3,FALSE)*2)</f>
        <v>42</v>
      </c>
      <c r="N1043" t="str">
        <f ca="1">VLOOKUP(F1043,INDIRECT("球種変換表!A$1:B$" &amp; Prams!$B$2),2,)</f>
        <v>ストレート</v>
      </c>
      <c r="O1043">
        <f ca="1">VLOOKUP(N1043,球種情報!A:B,2,FALSE)</f>
        <v>1</v>
      </c>
      <c r="P1043">
        <f ca="1">VLOOKUP(K1043,投手データ!B:AI,output!O1043+6,FALSE)</f>
        <v>1</v>
      </c>
      <c r="R1043">
        <f t="shared" ca="1" si="84"/>
        <v>8.8495575221238937E-3</v>
      </c>
      <c r="S1043">
        <f t="shared" si="85"/>
        <v>0.60659722222222223</v>
      </c>
      <c r="T1043">
        <f>Prams!B$5/(S1043-Prams!B$6)</f>
        <v>113.16733361468879</v>
      </c>
      <c r="U1043">
        <f t="shared" ca="1" si="86"/>
        <v>0.6899305555555556</v>
      </c>
      <c r="V1043">
        <f ca="1">Prams!C$5/(U1043-Prams!C$6)</f>
        <v>113.16042892225403</v>
      </c>
      <c r="W1043">
        <f t="shared" ca="1" si="87"/>
        <v>1.0014197249756993</v>
      </c>
    </row>
    <row r="1044" spans="1:23" hidden="1" x14ac:dyDescent="0.55000000000000004">
      <c r="A1044" s="1" t="s">
        <v>2661</v>
      </c>
      <c r="B1044" s="1">
        <v>135</v>
      </c>
      <c r="C1044">
        <v>635.5</v>
      </c>
      <c r="D1044">
        <v>612.5</v>
      </c>
      <c r="E1044">
        <v>11.510960000000001</v>
      </c>
      <c r="F1044" t="s">
        <v>0</v>
      </c>
      <c r="G1044" s="10" t="s">
        <v>2465</v>
      </c>
      <c r="H1044">
        <v>99</v>
      </c>
      <c r="I1044" t="s">
        <v>2659</v>
      </c>
      <c r="J1044">
        <f ca="1">VLOOKUP(G1044,INDIRECT("球速変換!A$1:B$" &amp; Prams!$B$8),2,)</f>
        <v>116</v>
      </c>
      <c r="K1044" t="str">
        <f ca="1">VLOOKUP(I1044,INDIRECT("投手名変換!A$1:B$" &amp; Prams!$B$9),2,)</f>
        <v>DD024</v>
      </c>
      <c r="L1044">
        <f t="shared" si="83"/>
        <v>36</v>
      </c>
      <c r="M1044">
        <f ca="1">(B1044-VLOOKUP(K1044,INDIRECT("投手データ!B1:D"&amp;Prams!$B$1),3,FALSE)*2)</f>
        <v>41</v>
      </c>
      <c r="N1044" t="str">
        <f ca="1">VLOOKUP(F1044,INDIRECT("球種変換表!A$1:B$" &amp; Prams!$B$2),2,)</f>
        <v>ストレート</v>
      </c>
      <c r="O1044">
        <f ca="1">VLOOKUP(N1044,球種情報!A:B,2,FALSE)</f>
        <v>1</v>
      </c>
      <c r="P1044">
        <f ca="1">VLOOKUP(K1044,投手データ!B:AI,output!O1044+6,FALSE)</f>
        <v>1</v>
      </c>
      <c r="R1044">
        <f t="shared" ca="1" si="84"/>
        <v>8.6206896551724137E-3</v>
      </c>
      <c r="S1044">
        <f t="shared" si="85"/>
        <v>0.5913194444444444</v>
      </c>
      <c r="T1044">
        <f>Prams!B$5/(S1044-Prams!B$6)</f>
        <v>116.42323204318738</v>
      </c>
      <c r="U1044">
        <f t="shared" ca="1" si="86"/>
        <v>0.67465277777777777</v>
      </c>
      <c r="V1044">
        <f ca="1">Prams!C$5/(U1044-Prams!C$6)</f>
        <v>116.41592434315484</v>
      </c>
      <c r="W1044">
        <f t="shared" ca="1" si="87"/>
        <v>1.0035855546823693</v>
      </c>
    </row>
    <row r="1045" spans="1:23" hidden="1" x14ac:dyDescent="0.55000000000000004">
      <c r="A1045" s="1" t="s">
        <v>2662</v>
      </c>
      <c r="B1045" s="1">
        <v>135</v>
      </c>
      <c r="C1045">
        <v>637.04998999999998</v>
      </c>
      <c r="D1045">
        <v>607.5</v>
      </c>
      <c r="E1045">
        <v>10.06254</v>
      </c>
      <c r="F1045" t="s">
        <v>0</v>
      </c>
      <c r="G1045" s="10" t="s">
        <v>2465</v>
      </c>
      <c r="H1045">
        <v>99</v>
      </c>
      <c r="I1045" t="s">
        <v>2659</v>
      </c>
      <c r="J1045">
        <f ca="1">VLOOKUP(G1045,INDIRECT("球速変換!A$1:B$" &amp; Prams!$B$8),2,)</f>
        <v>116</v>
      </c>
      <c r="K1045" t="str">
        <f ca="1">VLOOKUP(I1045,INDIRECT("投手名変換!A$1:B$" &amp; Prams!$B$9),2,)</f>
        <v>DD024</v>
      </c>
      <c r="L1045">
        <f t="shared" si="83"/>
        <v>36</v>
      </c>
      <c r="M1045">
        <f ca="1">(B1045-VLOOKUP(K1045,INDIRECT("投手データ!B1:D"&amp;Prams!$B$1),3,FALSE)*2)</f>
        <v>41</v>
      </c>
      <c r="N1045" t="str">
        <f ca="1">VLOOKUP(F1045,INDIRECT("球種変換表!A$1:B$" &amp; Prams!$B$2),2,)</f>
        <v>ストレート</v>
      </c>
      <c r="O1045">
        <f ca="1">VLOOKUP(N1045,球種情報!A:B,2,FALSE)</f>
        <v>1</v>
      </c>
      <c r="P1045">
        <f ca="1">VLOOKUP(K1045,投手データ!B:AI,output!O1045+6,FALSE)</f>
        <v>1</v>
      </c>
      <c r="R1045">
        <f t="shared" ca="1" si="84"/>
        <v>8.6206896551724137E-3</v>
      </c>
      <c r="S1045">
        <f t="shared" si="85"/>
        <v>0.59479166666666672</v>
      </c>
      <c r="T1045">
        <f>Prams!B$5/(S1045-Prams!B$6)</f>
        <v>115.66691092782861</v>
      </c>
      <c r="U1045">
        <f t="shared" ca="1" si="86"/>
        <v>0.67812499999999998</v>
      </c>
      <c r="V1045">
        <f ca="1">Prams!C$5/(U1045-Prams!C$6)</f>
        <v>115.6596978625883</v>
      </c>
      <c r="W1045">
        <f t="shared" ca="1" si="87"/>
        <v>0.99706636088438194</v>
      </c>
    </row>
    <row r="1046" spans="1:23" hidden="1" x14ac:dyDescent="0.55000000000000004">
      <c r="A1046" s="1" t="s">
        <v>2663</v>
      </c>
      <c r="B1046" s="1">
        <v>135</v>
      </c>
      <c r="C1046">
        <v>638.52380000000005</v>
      </c>
      <c r="D1046">
        <v>604</v>
      </c>
      <c r="E1046">
        <v>10.52392</v>
      </c>
      <c r="F1046" t="s">
        <v>0</v>
      </c>
      <c r="G1046" s="10" t="s">
        <v>1518</v>
      </c>
      <c r="H1046">
        <v>99</v>
      </c>
      <c r="I1046" t="s">
        <v>2659</v>
      </c>
      <c r="J1046">
        <f ca="1">VLOOKUP(G1046,INDIRECT("球速変換!A$1:B$" &amp; Prams!$B$8),2,)</f>
        <v>115</v>
      </c>
      <c r="K1046" t="str">
        <f ca="1">VLOOKUP(I1046,INDIRECT("投手名変換!A$1:B$" &amp; Prams!$B$9),2,)</f>
        <v>DD024</v>
      </c>
      <c r="L1046">
        <f t="shared" si="83"/>
        <v>36</v>
      </c>
      <c r="M1046">
        <f ca="1">(B1046-VLOOKUP(K1046,INDIRECT("投手データ!B1:D"&amp;Prams!$B$1),3,FALSE)*2)</f>
        <v>41</v>
      </c>
      <c r="N1046" t="str">
        <f ca="1">VLOOKUP(F1046,INDIRECT("球種変換表!A$1:B$" &amp; Prams!$B$2),2,)</f>
        <v>ストレート</v>
      </c>
      <c r="O1046">
        <f ca="1">VLOOKUP(N1046,球種情報!A:B,2,FALSE)</f>
        <v>1</v>
      </c>
      <c r="P1046">
        <f ca="1">VLOOKUP(K1046,投手データ!B:AI,output!O1046+6,FALSE)</f>
        <v>1</v>
      </c>
      <c r="R1046">
        <f t="shared" ca="1" si="84"/>
        <v>8.6956521739130436E-3</v>
      </c>
      <c r="S1046">
        <f t="shared" si="85"/>
        <v>0.59722222222222221</v>
      </c>
      <c r="T1046">
        <f>Prams!B$5/(S1046-Prams!B$6)</f>
        <v>115.14330650001035</v>
      </c>
      <c r="U1046">
        <f t="shared" ca="1" si="86"/>
        <v>0.68055555555555558</v>
      </c>
      <c r="V1046">
        <f ca="1">Prams!C$5/(U1046-Prams!C$6)</f>
        <v>115.1361585895791</v>
      </c>
      <c r="W1046">
        <f t="shared" ca="1" si="87"/>
        <v>1.0011839877354705</v>
      </c>
    </row>
    <row r="1047" spans="1:23" hidden="1" x14ac:dyDescent="0.55000000000000004">
      <c r="A1047" s="1" t="s">
        <v>2665</v>
      </c>
      <c r="B1047" s="1">
        <v>135</v>
      </c>
      <c r="C1047">
        <v>640.5</v>
      </c>
      <c r="D1047">
        <v>612.5</v>
      </c>
      <c r="E1047">
        <v>11.510960000000001</v>
      </c>
      <c r="F1047" t="s">
        <v>0</v>
      </c>
      <c r="G1047" s="10" t="s">
        <v>2465</v>
      </c>
      <c r="H1047">
        <v>99</v>
      </c>
      <c r="I1047" t="s">
        <v>2664</v>
      </c>
      <c r="J1047">
        <f ca="1">VLOOKUP(G1047,INDIRECT("球速変換!A$1:B$" &amp; Prams!$B$8),2,)</f>
        <v>116</v>
      </c>
      <c r="K1047" t="str">
        <f ca="1">VLOOKUP(I1047,INDIRECT("投手名変換!A$1:B$" &amp; Prams!$B$9),2,)</f>
        <v>DD024</v>
      </c>
      <c r="L1047">
        <f t="shared" si="83"/>
        <v>36</v>
      </c>
      <c r="M1047">
        <f ca="1">(B1047-VLOOKUP(K1047,INDIRECT("投手データ!B1:D"&amp;Prams!$B$1),3,FALSE)*2)</f>
        <v>41</v>
      </c>
      <c r="N1047" t="str">
        <f ca="1">VLOOKUP(F1047,INDIRECT("球種変換表!A$1:B$" &amp; Prams!$B$2),2,)</f>
        <v>ストレート</v>
      </c>
      <c r="O1047">
        <f ca="1">VLOOKUP(N1047,球種情報!A:B,2,FALSE)</f>
        <v>1</v>
      </c>
      <c r="P1047">
        <f ca="1">VLOOKUP(K1047,投手データ!B:AI,output!O1047+6,FALSE)</f>
        <v>1</v>
      </c>
      <c r="R1047">
        <f t="shared" ca="1" si="84"/>
        <v>8.6206896551724137E-3</v>
      </c>
      <c r="S1047">
        <f t="shared" si="85"/>
        <v>0.5913194444444444</v>
      </c>
      <c r="T1047">
        <f>Prams!B$5/(S1047-Prams!B$6)</f>
        <v>116.42323204318738</v>
      </c>
      <c r="U1047">
        <f t="shared" ca="1" si="86"/>
        <v>0.67465277777777777</v>
      </c>
      <c r="V1047">
        <f ca="1">Prams!C$5/(U1047-Prams!C$6)</f>
        <v>116.41592434315484</v>
      </c>
      <c r="W1047">
        <f t="shared" ca="1" si="87"/>
        <v>1.0035855546823693</v>
      </c>
    </row>
    <row r="1048" spans="1:23" hidden="1" x14ac:dyDescent="0.55000000000000004">
      <c r="A1048" s="1" t="s">
        <v>2666</v>
      </c>
      <c r="B1048" s="1">
        <v>135</v>
      </c>
      <c r="C1048">
        <v>639.5</v>
      </c>
      <c r="D1048">
        <v>607</v>
      </c>
      <c r="E1048">
        <v>10.5001</v>
      </c>
      <c r="F1048" t="s">
        <v>0</v>
      </c>
      <c r="G1048" s="10" t="s">
        <v>2422</v>
      </c>
      <c r="H1048">
        <v>99</v>
      </c>
      <c r="I1048" t="s">
        <v>2659</v>
      </c>
      <c r="J1048">
        <f ca="1">VLOOKUP(G1048,INDIRECT("球速変換!A$1:B$" &amp; Prams!$B$8),2,)</f>
        <v>115</v>
      </c>
      <c r="K1048" t="str">
        <f ca="1">VLOOKUP(I1048,INDIRECT("投手名変換!A$1:B$" &amp; Prams!$B$9),2,)</f>
        <v>DD024</v>
      </c>
      <c r="L1048">
        <f t="shared" si="83"/>
        <v>36</v>
      </c>
      <c r="M1048">
        <f ca="1">(B1048-VLOOKUP(K1048,INDIRECT("投手データ!B1:D"&amp;Prams!$B$1),3,FALSE)*2)</f>
        <v>41</v>
      </c>
      <c r="N1048" t="str">
        <f ca="1">VLOOKUP(F1048,INDIRECT("球種変換表!A$1:B$" &amp; Prams!$B$2),2,)</f>
        <v>ストレート</v>
      </c>
      <c r="O1048">
        <f ca="1">VLOOKUP(N1048,球種情報!A:B,2,FALSE)</f>
        <v>1</v>
      </c>
      <c r="P1048">
        <f ca="1">VLOOKUP(K1048,投手データ!B:AI,output!O1048+6,FALSE)</f>
        <v>1</v>
      </c>
      <c r="R1048">
        <f t="shared" ca="1" si="84"/>
        <v>8.6956521739130436E-3</v>
      </c>
      <c r="S1048">
        <f t="shared" si="85"/>
        <v>0.59513888888888888</v>
      </c>
      <c r="T1048">
        <f>Prams!B$5/(S1048-Prams!B$6)</f>
        <v>115.59181892781835</v>
      </c>
      <c r="U1048">
        <f t="shared" ca="1" si="86"/>
        <v>0.67847222222222225</v>
      </c>
      <c r="V1048">
        <f ca="1">Prams!C$5/(U1048-Prams!C$6)</f>
        <v>115.58461522482006</v>
      </c>
      <c r="W1048">
        <f t="shared" ca="1" si="87"/>
        <v>1.0050836106506091</v>
      </c>
    </row>
    <row r="1049" spans="1:23" hidden="1" x14ac:dyDescent="0.55000000000000004">
      <c r="A1049" s="1" t="s">
        <v>2669</v>
      </c>
      <c r="B1049" s="1">
        <v>135</v>
      </c>
      <c r="C1049">
        <v>643</v>
      </c>
      <c r="D1049">
        <v>602.5</v>
      </c>
      <c r="E1049">
        <v>11.01146</v>
      </c>
      <c r="F1049" t="s">
        <v>0</v>
      </c>
      <c r="G1049" s="10" t="s">
        <v>2667</v>
      </c>
      <c r="H1049">
        <v>99</v>
      </c>
      <c r="I1049" t="s">
        <v>2668</v>
      </c>
      <c r="J1049">
        <f ca="1">VLOOKUP(G1049,INDIRECT("球速変換!A$1:B$" &amp; Prams!$B$8),2,)</f>
        <v>114</v>
      </c>
      <c r="K1049" t="str">
        <f ca="1">VLOOKUP(I1049,INDIRECT("投手名変換!A$1:B$" &amp; Prams!$B$9),2,)</f>
        <v>DD024</v>
      </c>
      <c r="L1049">
        <f t="shared" si="83"/>
        <v>36</v>
      </c>
      <c r="M1049">
        <f ca="1">(B1049-VLOOKUP(K1049,INDIRECT("投手データ!B1:D"&amp;Prams!$B$1),3,FALSE)*2)</f>
        <v>41</v>
      </c>
      <c r="N1049" t="str">
        <f ca="1">VLOOKUP(F1049,INDIRECT("球種変換表!A$1:B$" &amp; Prams!$B$2),2,)</f>
        <v>ストレート</v>
      </c>
      <c r="O1049">
        <f ca="1">VLOOKUP(N1049,球種情報!A:B,2,FALSE)</f>
        <v>1</v>
      </c>
      <c r="P1049">
        <f ca="1">VLOOKUP(K1049,投手データ!B:AI,output!O1049+6,FALSE)</f>
        <v>1</v>
      </c>
      <c r="R1049">
        <f t="shared" ca="1" si="84"/>
        <v>8.771929824561403E-3</v>
      </c>
      <c r="S1049">
        <f t="shared" si="85"/>
        <v>0.59826388888888893</v>
      </c>
      <c r="T1049">
        <f>Prams!B$5/(S1049-Prams!B$6)</f>
        <v>114.92035297701725</v>
      </c>
      <c r="U1049">
        <f t="shared" ca="1" si="86"/>
        <v>0.6815972222222223</v>
      </c>
      <c r="V1049">
        <f ca="1">Prams!C$5/(U1049-Prams!C$6)</f>
        <v>114.91323272011937</v>
      </c>
      <c r="W1049">
        <f t="shared" ca="1" si="87"/>
        <v>1.0080108133343804</v>
      </c>
    </row>
    <row r="1050" spans="1:23" hidden="1" x14ac:dyDescent="0.55000000000000004">
      <c r="A1050" s="1" t="s">
        <v>2671</v>
      </c>
      <c r="B1050" s="1">
        <v>135</v>
      </c>
      <c r="C1050">
        <v>639</v>
      </c>
      <c r="D1050">
        <v>607.5</v>
      </c>
      <c r="E1050">
        <v>11.01146</v>
      </c>
      <c r="F1050" t="s">
        <v>0</v>
      </c>
      <c r="G1050" s="10" t="s">
        <v>2670</v>
      </c>
      <c r="H1050">
        <v>99</v>
      </c>
      <c r="I1050" t="s">
        <v>2659</v>
      </c>
      <c r="J1050">
        <f ca="1">VLOOKUP(G1050,INDIRECT("球速変換!A$1:B$" &amp; Prams!$B$8),2,)</f>
        <v>116</v>
      </c>
      <c r="K1050" t="str">
        <f ca="1">VLOOKUP(I1050,INDIRECT("投手名変換!A$1:B$" &amp; Prams!$B$9),2,)</f>
        <v>DD024</v>
      </c>
      <c r="L1050">
        <f t="shared" si="83"/>
        <v>36</v>
      </c>
      <c r="M1050">
        <f ca="1">(B1050-VLOOKUP(K1050,INDIRECT("投手データ!B1:D"&amp;Prams!$B$1),3,FALSE)*2)</f>
        <v>41</v>
      </c>
      <c r="N1050" t="str">
        <f ca="1">VLOOKUP(F1050,INDIRECT("球種変換表!A$1:B$" &amp; Prams!$B$2),2,)</f>
        <v>ストレート</v>
      </c>
      <c r="O1050">
        <f ca="1">VLOOKUP(N1050,球種情報!A:B,2,FALSE)</f>
        <v>1</v>
      </c>
      <c r="P1050">
        <f ca="1">VLOOKUP(K1050,投手データ!B:AI,output!O1050+6,FALSE)</f>
        <v>1</v>
      </c>
      <c r="R1050">
        <f t="shared" ca="1" si="84"/>
        <v>8.6206896551724137E-3</v>
      </c>
      <c r="S1050">
        <f t="shared" si="85"/>
        <v>0.59479166666666672</v>
      </c>
      <c r="T1050">
        <f>Prams!B$5/(S1050-Prams!B$6)</f>
        <v>115.66691092782861</v>
      </c>
      <c r="U1050">
        <f t="shared" ca="1" si="86"/>
        <v>0.67812499999999998</v>
      </c>
      <c r="V1050">
        <f ca="1">Prams!C$5/(U1050-Prams!C$6)</f>
        <v>115.6596978625883</v>
      </c>
      <c r="W1050">
        <f t="shared" ca="1" si="87"/>
        <v>0.99706636088438194</v>
      </c>
    </row>
    <row r="1051" spans="1:23" hidden="1" x14ac:dyDescent="0.55000000000000004">
      <c r="A1051" s="1" t="s">
        <v>2672</v>
      </c>
      <c r="B1051" s="1">
        <v>135</v>
      </c>
      <c r="C1051">
        <v>638.5</v>
      </c>
      <c r="D1051">
        <v>600.5</v>
      </c>
      <c r="E1051">
        <v>10.512</v>
      </c>
      <c r="F1051" t="s">
        <v>0</v>
      </c>
      <c r="G1051" s="10" t="s">
        <v>2539</v>
      </c>
      <c r="H1051">
        <v>99</v>
      </c>
      <c r="I1051" t="s">
        <v>2659</v>
      </c>
      <c r="J1051">
        <f ca="1">VLOOKUP(G1051,INDIRECT("球速変換!A$1:B$" &amp; Prams!$B$8),2,)</f>
        <v>114</v>
      </c>
      <c r="K1051" t="str">
        <f ca="1">VLOOKUP(I1051,INDIRECT("投手名変換!A$1:B$" &amp; Prams!$B$9),2,)</f>
        <v>DD024</v>
      </c>
      <c r="L1051">
        <f t="shared" si="83"/>
        <v>36</v>
      </c>
      <c r="M1051">
        <f ca="1">(B1051-VLOOKUP(K1051,INDIRECT("投手データ!B1:D"&amp;Prams!$B$1),3,FALSE)*2)</f>
        <v>41</v>
      </c>
      <c r="N1051" t="str">
        <f ca="1">VLOOKUP(F1051,INDIRECT("球種変換表!A$1:B$" &amp; Prams!$B$2),2,)</f>
        <v>ストレート</v>
      </c>
      <c r="O1051">
        <f ca="1">VLOOKUP(N1051,球種情報!A:B,2,FALSE)</f>
        <v>1</v>
      </c>
      <c r="P1051">
        <f ca="1">VLOOKUP(K1051,投手データ!B:AI,output!O1051+6,FALSE)</f>
        <v>1</v>
      </c>
      <c r="R1051">
        <f t="shared" ca="1" si="84"/>
        <v>8.771929824561403E-3</v>
      </c>
      <c r="S1051">
        <f t="shared" si="85"/>
        <v>0.5996527777777777</v>
      </c>
      <c r="T1051">
        <f>Prams!B$5/(S1051-Prams!B$6)</f>
        <v>114.62442124562878</v>
      </c>
      <c r="U1051">
        <f t="shared" ca="1" si="86"/>
        <v>0.68298611111111107</v>
      </c>
      <c r="V1051">
        <f ca="1">Prams!C$5/(U1051-Prams!C$6)</f>
        <v>114.6173376111732</v>
      </c>
      <c r="W1051">
        <f t="shared" ca="1" si="87"/>
        <v>1.0054152422032736</v>
      </c>
    </row>
    <row r="1052" spans="1:23" hidden="1" x14ac:dyDescent="0.55000000000000004">
      <c r="A1052" s="1" t="s">
        <v>2673</v>
      </c>
      <c r="B1052" s="1">
        <v>135</v>
      </c>
      <c r="C1052">
        <v>637</v>
      </c>
      <c r="D1052">
        <v>601</v>
      </c>
      <c r="E1052">
        <v>10.04998</v>
      </c>
      <c r="F1052" t="s">
        <v>0</v>
      </c>
      <c r="G1052" s="10" t="s">
        <v>623</v>
      </c>
      <c r="H1052">
        <v>99</v>
      </c>
      <c r="I1052" t="s">
        <v>2659</v>
      </c>
      <c r="J1052">
        <v>114</v>
      </c>
      <c r="K1052" t="str">
        <f ca="1">VLOOKUP(I1052,INDIRECT("投手名変換!A$1:B$" &amp; Prams!$B$9),2,)</f>
        <v>DD024</v>
      </c>
      <c r="L1052">
        <f t="shared" si="83"/>
        <v>36</v>
      </c>
      <c r="M1052">
        <f ca="1">(B1052-VLOOKUP(K1052,INDIRECT("投手データ!B1:D"&amp;Prams!$B$1),3,FALSE)*2)</f>
        <v>41</v>
      </c>
      <c r="N1052" t="str">
        <f ca="1">VLOOKUP(F1052,INDIRECT("球種変換表!A$1:B$" &amp; Prams!$B$2),2,)</f>
        <v>ストレート</v>
      </c>
      <c r="O1052">
        <f ca="1">VLOOKUP(N1052,球種情報!A:B,2,FALSE)</f>
        <v>1</v>
      </c>
      <c r="P1052">
        <f ca="1">VLOOKUP(K1052,投手データ!B:AI,output!O1052+6,FALSE)</f>
        <v>1</v>
      </c>
      <c r="R1052">
        <f t="shared" si="84"/>
        <v>8.771929824561403E-3</v>
      </c>
      <c r="S1052">
        <f t="shared" si="85"/>
        <v>0.59930555555555565</v>
      </c>
      <c r="T1052">
        <f>Prams!B$5/(S1052-Prams!B$6)</f>
        <v>114.69826120118323</v>
      </c>
      <c r="U1052">
        <f t="shared" ca="1" si="86"/>
        <v>0.68263888888888891</v>
      </c>
      <c r="V1052">
        <f ca="1">Prams!C$5/(U1052-Prams!C$6)</f>
        <v>114.69116843765138</v>
      </c>
      <c r="W1052">
        <f t="shared" ca="1" si="87"/>
        <v>1.0060628810320298</v>
      </c>
    </row>
    <row r="1053" spans="1:23" hidden="1" x14ac:dyDescent="0.55000000000000004">
      <c r="A1053" s="1" t="s">
        <v>2674</v>
      </c>
      <c r="B1053" s="1">
        <v>130</v>
      </c>
      <c r="C1053">
        <v>640.5</v>
      </c>
      <c r="D1053">
        <v>615</v>
      </c>
      <c r="E1053">
        <v>11.5001</v>
      </c>
      <c r="F1053" t="s">
        <v>343</v>
      </c>
      <c r="G1053" s="10" t="s">
        <v>2421</v>
      </c>
      <c r="H1053">
        <v>98</v>
      </c>
      <c r="I1053" t="s">
        <v>2659</v>
      </c>
      <c r="J1053">
        <f ca="1">VLOOKUP(G1053,INDIRECT("球速変換!A$1:B$" &amp; Prams!$B$8),2,)</f>
        <v>114</v>
      </c>
      <c r="K1053" t="str">
        <f ca="1">VLOOKUP(I1053,INDIRECT("投手名変換!A$1:B$" &amp; Prams!$B$9),2,)</f>
        <v>DD024</v>
      </c>
      <c r="L1053">
        <f t="shared" si="83"/>
        <v>32</v>
      </c>
      <c r="M1053">
        <f ca="1">(B1053-VLOOKUP(K1053,INDIRECT("投手データ!B1:D"&amp;Prams!$B$1),3,FALSE)*2)</f>
        <v>36</v>
      </c>
      <c r="N1053" t="str">
        <f ca="1">VLOOKUP(F1053,INDIRECT("球種変換表!A$1:B$" &amp; Prams!$B$2),2,)</f>
        <v>全力ストレート</v>
      </c>
      <c r="O1053">
        <f ca="1">VLOOKUP(N1053,球種情報!A:B,2,FALSE)</f>
        <v>2</v>
      </c>
      <c r="P1053">
        <f ca="1">VLOOKUP(K1053,投手データ!B:AI,output!O1053+6,FALSE)</f>
        <v>1</v>
      </c>
      <c r="R1053">
        <f t="shared" ca="1" si="84"/>
        <v>8.771929824561403E-3</v>
      </c>
      <c r="S1053">
        <f t="shared" si="85"/>
        <v>0.5229166666666667</v>
      </c>
      <c r="T1053">
        <f>Prams!B$5/(S1053-Prams!B$6)</f>
        <v>133.63764095543468</v>
      </c>
      <c r="U1053">
        <f t="shared" ca="1" si="86"/>
        <v>0.58958333333333335</v>
      </c>
      <c r="V1053">
        <f ca="1">Prams!C$5/(U1053-Prams!C$6)</f>
        <v>138.62177211405509</v>
      </c>
      <c r="W1053">
        <f t="shared" ca="1" si="87"/>
        <v>1.2159804571408341</v>
      </c>
    </row>
    <row r="1054" spans="1:23" hidden="1" x14ac:dyDescent="0.55000000000000004">
      <c r="A1054" s="1" t="s">
        <v>2675</v>
      </c>
      <c r="B1054" s="1">
        <v>130</v>
      </c>
      <c r="C1054">
        <v>640.02270999999996</v>
      </c>
      <c r="D1054">
        <v>612</v>
      </c>
      <c r="E1054">
        <v>11.02285</v>
      </c>
      <c r="F1054" t="s">
        <v>343</v>
      </c>
      <c r="G1054" s="10" t="s">
        <v>1520</v>
      </c>
      <c r="H1054">
        <v>98</v>
      </c>
      <c r="I1054" t="s">
        <v>2659</v>
      </c>
      <c r="J1054">
        <f ca="1">VLOOKUP(G1054,INDIRECT("球速変換!A$1:B$" &amp; Prams!$B$8),2,)</f>
        <v>113</v>
      </c>
      <c r="K1054" t="str">
        <f ca="1">VLOOKUP(I1054,INDIRECT("投手名変換!A$1:B$" &amp; Prams!$B$9),2,)</f>
        <v>DD024</v>
      </c>
      <c r="L1054">
        <f t="shared" si="83"/>
        <v>32</v>
      </c>
      <c r="M1054">
        <f ca="1">(B1054-VLOOKUP(K1054,INDIRECT("投手データ!B1:D"&amp;Prams!$B$1),3,FALSE)*2)</f>
        <v>36</v>
      </c>
      <c r="N1054" t="str">
        <f ca="1">VLOOKUP(F1054,INDIRECT("球種変換表!A$1:B$" &amp; Prams!$B$2),2,)</f>
        <v>全力ストレート</v>
      </c>
      <c r="O1054">
        <f ca="1">VLOOKUP(N1054,球種情報!A:B,2,FALSE)</f>
        <v>2</v>
      </c>
      <c r="P1054">
        <f ca="1">VLOOKUP(K1054,投手データ!B:AI,output!O1054+6,FALSE)</f>
        <v>1</v>
      </c>
      <c r="R1054">
        <f t="shared" ca="1" si="84"/>
        <v>8.8495575221238937E-3</v>
      </c>
      <c r="S1054">
        <f t="shared" si="85"/>
        <v>0.52500000000000002</v>
      </c>
      <c r="T1054">
        <f>Prams!B$5/(S1054-Prams!B$6)</f>
        <v>133.03851947493007</v>
      </c>
      <c r="U1054">
        <f t="shared" ca="1" si="86"/>
        <v>0.59166666666666667</v>
      </c>
      <c r="V1054">
        <f ca="1">Prams!C$5/(U1054-Prams!C$6)</f>
        <v>137.97723553042701</v>
      </c>
      <c r="W1054">
        <f t="shared" ca="1" si="87"/>
        <v>1.2210374825701504</v>
      </c>
    </row>
    <row r="1055" spans="1:23" hidden="1" x14ac:dyDescent="0.55000000000000004">
      <c r="A1055" s="1" t="s">
        <v>2676</v>
      </c>
      <c r="B1055" s="1">
        <v>130</v>
      </c>
      <c r="C1055">
        <v>641</v>
      </c>
      <c r="D1055">
        <v>614.5</v>
      </c>
      <c r="E1055">
        <v>11.01146</v>
      </c>
      <c r="F1055" t="s">
        <v>343</v>
      </c>
      <c r="G1055" s="10" t="s">
        <v>1170</v>
      </c>
      <c r="H1055">
        <v>98</v>
      </c>
      <c r="I1055" t="s">
        <v>2659</v>
      </c>
      <c r="J1055">
        <v>114</v>
      </c>
      <c r="K1055" t="str">
        <f ca="1">VLOOKUP(I1055,INDIRECT("投手名変換!A$1:B$" &amp; Prams!$B$9),2,)</f>
        <v>DD024</v>
      </c>
      <c r="L1055">
        <f t="shared" si="83"/>
        <v>32</v>
      </c>
      <c r="M1055">
        <f ca="1">(B1055-VLOOKUP(K1055,INDIRECT("投手データ!B1:D"&amp;Prams!$B$1),3,FALSE)*2)</f>
        <v>36</v>
      </c>
      <c r="N1055" t="str">
        <f ca="1">VLOOKUP(F1055,INDIRECT("球種変換表!A$1:B$" &amp; Prams!$B$2),2,)</f>
        <v>全力ストレート</v>
      </c>
      <c r="O1055">
        <f ca="1">VLOOKUP(N1055,球種情報!A:B,2,FALSE)</f>
        <v>2</v>
      </c>
      <c r="P1055">
        <f ca="1">VLOOKUP(K1055,投手データ!B:AI,output!O1055+6,FALSE)</f>
        <v>1</v>
      </c>
      <c r="R1055">
        <f t="shared" si="84"/>
        <v>8.771929824561403E-3</v>
      </c>
      <c r="S1055">
        <f t="shared" si="85"/>
        <v>0.52326388888888886</v>
      </c>
      <c r="T1055">
        <f>Prams!B$5/(S1055-Prams!B$6)</f>
        <v>133.53741292517415</v>
      </c>
      <c r="U1055">
        <f t="shared" ca="1" si="86"/>
        <v>0.58993055555555562</v>
      </c>
      <c r="V1055">
        <f ca="1">Prams!C$5/(U1055-Prams!C$6)</f>
        <v>138.51393150318336</v>
      </c>
      <c r="W1055">
        <f t="shared" ca="1" si="87"/>
        <v>1.2150344868700294</v>
      </c>
    </row>
    <row r="1056" spans="1:23" hidden="1" x14ac:dyDescent="0.55000000000000004">
      <c r="A1056" s="1" t="s">
        <v>2677</v>
      </c>
      <c r="B1056" s="1">
        <v>129</v>
      </c>
      <c r="C1056">
        <v>639.5</v>
      </c>
      <c r="D1056">
        <v>602.5</v>
      </c>
      <c r="E1056">
        <v>10.512</v>
      </c>
      <c r="F1056" t="s">
        <v>343</v>
      </c>
      <c r="G1056" s="10" t="s">
        <v>631</v>
      </c>
      <c r="H1056">
        <v>98</v>
      </c>
      <c r="I1056" t="s">
        <v>2659</v>
      </c>
      <c r="J1056">
        <f ca="1">VLOOKUP(G1056,INDIRECT("球速変換!A$1:B$" &amp; Prams!$B$8),2,)</f>
        <v>117</v>
      </c>
      <c r="K1056" t="str">
        <f ca="1">VLOOKUP(I1056,INDIRECT("投手名変換!A$1:B$" &amp; Prams!$B$9),2,)</f>
        <v>DD024</v>
      </c>
      <c r="L1056">
        <f t="shared" si="83"/>
        <v>31</v>
      </c>
      <c r="M1056">
        <f ca="1">(B1056-VLOOKUP(K1056,INDIRECT("投手データ!B1:D"&amp;Prams!$B$1),3,FALSE)*2)</f>
        <v>35</v>
      </c>
      <c r="N1056" t="str">
        <f ca="1">VLOOKUP(F1056,INDIRECT("球種変換表!A$1:B$" &amp; Prams!$B$2),2,)</f>
        <v>全力ストレート</v>
      </c>
      <c r="O1056">
        <f ca="1">VLOOKUP(N1056,球種情報!A:B,2,FALSE)</f>
        <v>2</v>
      </c>
      <c r="P1056">
        <f ca="1">VLOOKUP(K1056,投手データ!B:AI,output!O1056+6,FALSE)</f>
        <v>1</v>
      </c>
      <c r="R1056">
        <f t="shared" ca="1" si="84"/>
        <v>8.5470085470085479E-3</v>
      </c>
      <c r="S1056">
        <f t="shared" si="85"/>
        <v>0.51493055555555556</v>
      </c>
      <c r="T1056">
        <f>Prams!B$5/(S1056-Prams!B$6)</f>
        <v>135.98514055979521</v>
      </c>
      <c r="U1056">
        <f t="shared" ca="1" si="86"/>
        <v>0.58159722222222221</v>
      </c>
      <c r="V1056">
        <f ca="1">Prams!C$5/(U1056-Prams!C$6)</f>
        <v>141.14929698945326</v>
      </c>
      <c r="W1056">
        <f t="shared" ca="1" si="87"/>
        <v>1.2064042477731047</v>
      </c>
    </row>
    <row r="1057" spans="1:23" hidden="1" x14ac:dyDescent="0.55000000000000004">
      <c r="A1057" s="1" t="s">
        <v>2679</v>
      </c>
      <c r="B1057" s="1">
        <v>130</v>
      </c>
      <c r="C1057">
        <v>642.45239000000004</v>
      </c>
      <c r="D1057">
        <v>623.5</v>
      </c>
      <c r="E1057">
        <v>10.55955</v>
      </c>
      <c r="F1057" t="s">
        <v>343</v>
      </c>
      <c r="G1057" s="10" t="s">
        <v>2678</v>
      </c>
      <c r="H1057">
        <v>98</v>
      </c>
      <c r="I1057" t="s">
        <v>2659</v>
      </c>
      <c r="J1057">
        <f ca="1">VLOOKUP(G1057,INDIRECT("球速変換!A$1:B$" &amp; Prams!$B$8),2,)</f>
        <v>116</v>
      </c>
      <c r="K1057" t="str">
        <f ca="1">VLOOKUP(I1057,INDIRECT("投手名変換!A$1:B$" &amp; Prams!$B$9),2,)</f>
        <v>DD024</v>
      </c>
      <c r="L1057">
        <f t="shared" si="83"/>
        <v>32</v>
      </c>
      <c r="M1057">
        <f ca="1">(B1057-VLOOKUP(K1057,INDIRECT("投手データ!B1:D"&amp;Prams!$B$1),3,FALSE)*2)</f>
        <v>36</v>
      </c>
      <c r="N1057" t="str">
        <f ca="1">VLOOKUP(F1057,INDIRECT("球種変換表!A$1:B$" &amp; Prams!$B$2),2,)</f>
        <v>全力ストレート</v>
      </c>
      <c r="O1057">
        <f ca="1">VLOOKUP(N1057,球種情報!A:B,2,FALSE)</f>
        <v>2</v>
      </c>
      <c r="P1057">
        <f ca="1">VLOOKUP(K1057,投手データ!B:AI,output!O1057+6,FALSE)</f>
        <v>1</v>
      </c>
      <c r="R1057">
        <f t="shared" ca="1" si="84"/>
        <v>8.6206896551724137E-3</v>
      </c>
      <c r="S1057">
        <f t="shared" si="85"/>
        <v>0.51701388888888888</v>
      </c>
      <c r="T1057">
        <f>Prams!B$5/(S1057-Prams!B$6)</f>
        <v>135.3648345365747</v>
      </c>
      <c r="U1057">
        <f t="shared" ca="1" si="86"/>
        <v>0.58368055555555565</v>
      </c>
      <c r="V1057">
        <f ca="1">Prams!C$5/(U1057-Prams!C$6)</f>
        <v>140.48109878873183</v>
      </c>
      <c r="W1057">
        <f t="shared" ca="1" si="87"/>
        <v>1.2110439550752743</v>
      </c>
    </row>
    <row r="1058" spans="1:23" hidden="1" x14ac:dyDescent="0.55000000000000004">
      <c r="A1058" s="1" t="s">
        <v>2680</v>
      </c>
      <c r="B1058" s="1">
        <v>129</v>
      </c>
      <c r="C1058">
        <v>639.5</v>
      </c>
      <c r="D1058">
        <v>602.5</v>
      </c>
      <c r="E1058">
        <v>10.512</v>
      </c>
      <c r="F1058" t="s">
        <v>343</v>
      </c>
      <c r="G1058" s="10" t="s">
        <v>631</v>
      </c>
      <c r="H1058">
        <v>98</v>
      </c>
      <c r="I1058" t="s">
        <v>2659</v>
      </c>
      <c r="J1058">
        <f ca="1">VLOOKUP(G1058,INDIRECT("球速変換!A$1:B$" &amp; Prams!$B$8),2,)</f>
        <v>117</v>
      </c>
      <c r="K1058" t="str">
        <f ca="1">VLOOKUP(I1058,INDIRECT("投手名変換!A$1:B$" &amp; Prams!$B$9),2,)</f>
        <v>DD024</v>
      </c>
      <c r="L1058">
        <f t="shared" si="83"/>
        <v>31</v>
      </c>
      <c r="M1058">
        <f ca="1">(B1058-VLOOKUP(K1058,INDIRECT("投手データ!B1:D"&amp;Prams!$B$1),3,FALSE)*2)</f>
        <v>35</v>
      </c>
      <c r="N1058" t="str">
        <f ca="1">VLOOKUP(F1058,INDIRECT("球種変換表!A$1:B$" &amp; Prams!$B$2),2,)</f>
        <v>全力ストレート</v>
      </c>
      <c r="O1058">
        <f ca="1">VLOOKUP(N1058,球種情報!A:B,2,FALSE)</f>
        <v>2</v>
      </c>
      <c r="P1058">
        <f ca="1">VLOOKUP(K1058,投手データ!B:AI,output!O1058+6,FALSE)</f>
        <v>1</v>
      </c>
      <c r="R1058">
        <f t="shared" ca="1" si="84"/>
        <v>8.5470085470085479E-3</v>
      </c>
      <c r="S1058">
        <f t="shared" si="85"/>
        <v>0.51493055555555556</v>
      </c>
      <c r="T1058">
        <f>Prams!B$5/(S1058-Prams!B$6)</f>
        <v>135.98514055979521</v>
      </c>
      <c r="U1058">
        <f t="shared" ca="1" si="86"/>
        <v>0.58159722222222221</v>
      </c>
      <c r="V1058">
        <f ca="1">Prams!C$5/(U1058-Prams!C$6)</f>
        <v>141.14929698945326</v>
      </c>
      <c r="W1058">
        <f t="shared" ca="1" si="87"/>
        <v>1.2064042477731047</v>
      </c>
    </row>
    <row r="1059" spans="1:23" hidden="1" x14ac:dyDescent="0.55000000000000004">
      <c r="A1059" s="1" t="s">
        <v>2681</v>
      </c>
      <c r="B1059" s="1">
        <v>130</v>
      </c>
      <c r="C1059">
        <v>641.5</v>
      </c>
      <c r="D1059">
        <v>619.5</v>
      </c>
      <c r="E1059">
        <v>10.512</v>
      </c>
      <c r="F1059" t="s">
        <v>343</v>
      </c>
      <c r="G1059" s="10" t="s">
        <v>648</v>
      </c>
      <c r="H1059">
        <v>98</v>
      </c>
      <c r="I1059" t="s">
        <v>2659</v>
      </c>
      <c r="J1059">
        <v>115</v>
      </c>
      <c r="K1059" t="str">
        <f ca="1">VLOOKUP(I1059,INDIRECT("投手名変換!A$1:B$" &amp; Prams!$B$9),2,)</f>
        <v>DD024</v>
      </c>
      <c r="L1059">
        <f t="shared" si="83"/>
        <v>32</v>
      </c>
      <c r="M1059">
        <f ca="1">(B1059-VLOOKUP(K1059,INDIRECT("投手データ!B1:D"&amp;Prams!$B$1),3,FALSE)*2)</f>
        <v>36</v>
      </c>
      <c r="N1059" t="str">
        <f ca="1">VLOOKUP(F1059,INDIRECT("球種変換表!A$1:B$" &amp; Prams!$B$2),2,)</f>
        <v>全力ストレート</v>
      </c>
      <c r="O1059">
        <f ca="1">VLOOKUP(N1059,球種情報!A:B,2,FALSE)</f>
        <v>2</v>
      </c>
      <c r="P1059">
        <f ca="1">VLOOKUP(K1059,投手データ!B:AI,output!O1059+6,FALSE)</f>
        <v>1</v>
      </c>
      <c r="R1059">
        <f t="shared" si="84"/>
        <v>8.6956521739130436E-3</v>
      </c>
      <c r="S1059">
        <f t="shared" si="85"/>
        <v>0.51979166666666665</v>
      </c>
      <c r="T1059">
        <f>Prams!B$5/(S1059-Prams!B$6)</f>
        <v>134.5465097299552</v>
      </c>
      <c r="U1059">
        <f t="shared" ca="1" si="86"/>
        <v>0.5864583333333333</v>
      </c>
      <c r="V1059">
        <f ca="1">Prams!C$5/(U1059-Prams!C$6)</f>
        <v>139.5999473119696</v>
      </c>
      <c r="W1059">
        <f t="shared" ca="1" si="87"/>
        <v>1.2139125853214747</v>
      </c>
    </row>
    <row r="1060" spans="1:23" hidden="1" x14ac:dyDescent="0.55000000000000004">
      <c r="A1060" s="1" t="s">
        <v>2682</v>
      </c>
      <c r="B1060" s="1">
        <v>130</v>
      </c>
      <c r="C1060">
        <v>640.02270999999996</v>
      </c>
      <c r="D1060">
        <v>613</v>
      </c>
      <c r="E1060">
        <v>11.02285</v>
      </c>
      <c r="F1060" t="s">
        <v>343</v>
      </c>
      <c r="G1060" s="10" t="s">
        <v>1519</v>
      </c>
      <c r="H1060">
        <v>98</v>
      </c>
      <c r="I1060" t="s">
        <v>2659</v>
      </c>
      <c r="J1060">
        <f ca="1">VLOOKUP(G1060,INDIRECT("球速変換!A$1:B$" &amp; Prams!$B$8),2,)</f>
        <v>113</v>
      </c>
      <c r="K1060" t="str">
        <f ca="1">VLOOKUP(I1060,INDIRECT("投手名変換!A$1:B$" &amp; Prams!$B$9),2,)</f>
        <v>DD024</v>
      </c>
      <c r="L1060">
        <f t="shared" si="83"/>
        <v>32</v>
      </c>
      <c r="M1060">
        <f ca="1">(B1060-VLOOKUP(K1060,INDIRECT("投手データ!B1:D"&amp;Prams!$B$1),3,FALSE)*2)</f>
        <v>36</v>
      </c>
      <c r="N1060" t="str">
        <f ca="1">VLOOKUP(F1060,INDIRECT("球種変換表!A$1:B$" &amp; Prams!$B$2),2,)</f>
        <v>全力ストレート</v>
      </c>
      <c r="O1060">
        <f ca="1">VLOOKUP(N1060,球種情報!A:B,2,FALSE)</f>
        <v>2</v>
      </c>
      <c r="P1060">
        <f ca="1">VLOOKUP(K1060,投手データ!B:AI,output!O1060+6,FALSE)</f>
        <v>1</v>
      </c>
      <c r="R1060">
        <f t="shared" ca="1" si="84"/>
        <v>8.8495575221238937E-3</v>
      </c>
      <c r="S1060">
        <f t="shared" si="85"/>
        <v>0.52430555555555558</v>
      </c>
      <c r="T1060">
        <f>Prams!B$5/(S1060-Prams!B$6)</f>
        <v>133.2376288598077</v>
      </c>
      <c r="U1060">
        <f t="shared" ca="1" si="86"/>
        <v>0.59097222222222223</v>
      </c>
      <c r="V1060">
        <f ca="1">Prams!C$5/(U1060-Prams!C$6)</f>
        <v>138.19141405988054</v>
      </c>
      <c r="W1060">
        <f t="shared" ca="1" si="87"/>
        <v>1.2229328677865534</v>
      </c>
    </row>
    <row r="1061" spans="1:23" hidden="1" x14ac:dyDescent="0.55000000000000004">
      <c r="A1061" s="1" t="s">
        <v>2684</v>
      </c>
      <c r="B1061" s="1">
        <v>130</v>
      </c>
      <c r="C1061">
        <v>641</v>
      </c>
      <c r="D1061">
        <v>617.5</v>
      </c>
      <c r="E1061">
        <v>11.01146</v>
      </c>
      <c r="F1061" t="s">
        <v>343</v>
      </c>
      <c r="G1061" s="10" t="s">
        <v>2683</v>
      </c>
      <c r="H1061">
        <v>98</v>
      </c>
      <c r="I1061" t="s">
        <v>2659</v>
      </c>
      <c r="J1061">
        <f ca="1">VLOOKUP(G1061,INDIRECT("球速変換!A$1:B$" &amp; Prams!$B$8),2,)</f>
        <v>114</v>
      </c>
      <c r="K1061" t="str">
        <f ca="1">VLOOKUP(I1061,INDIRECT("投手名変換!A$1:B$" &amp; Prams!$B$9),2,)</f>
        <v>DD024</v>
      </c>
      <c r="L1061">
        <f t="shared" si="83"/>
        <v>32</v>
      </c>
      <c r="M1061">
        <f ca="1">(B1061-VLOOKUP(K1061,INDIRECT("投手データ!B1:D"&amp;Prams!$B$1),3,FALSE)*2)</f>
        <v>36</v>
      </c>
      <c r="N1061" t="str">
        <f ca="1">VLOOKUP(F1061,INDIRECT("球種変換表!A$1:B$" &amp; Prams!$B$2),2,)</f>
        <v>全力ストレート</v>
      </c>
      <c r="O1061">
        <f ca="1">VLOOKUP(N1061,球種情報!A:B,2,FALSE)</f>
        <v>2</v>
      </c>
      <c r="P1061">
        <f ca="1">VLOOKUP(K1061,投手データ!B:AI,output!O1061+6,FALSE)</f>
        <v>1</v>
      </c>
      <c r="R1061">
        <f t="shared" ca="1" si="84"/>
        <v>8.771929824561403E-3</v>
      </c>
      <c r="S1061">
        <f t="shared" si="85"/>
        <v>0.52118055555555554</v>
      </c>
      <c r="T1061">
        <f>Prams!B$5/(S1061-Prams!B$6)</f>
        <v>134.14104642682787</v>
      </c>
      <c r="U1061">
        <f t="shared" ca="1" si="86"/>
        <v>0.5878472222222223</v>
      </c>
      <c r="V1061">
        <f ca="1">Prams!C$5/(U1061-Prams!C$6)</f>
        <v>139.16350380481336</v>
      </c>
      <c r="W1061">
        <f t="shared" ca="1" si="87"/>
        <v>1.2207324895159066</v>
      </c>
    </row>
    <row r="1062" spans="1:23" hidden="1" x14ac:dyDescent="0.55000000000000004">
      <c r="A1062" s="1" t="s">
        <v>2686</v>
      </c>
      <c r="B1062" s="1">
        <v>130</v>
      </c>
      <c r="C1062">
        <v>641.5</v>
      </c>
      <c r="D1062">
        <v>622</v>
      </c>
      <c r="E1062">
        <v>11.5001</v>
      </c>
      <c r="F1062" t="s">
        <v>2685</v>
      </c>
      <c r="G1062" s="10" t="s">
        <v>2670</v>
      </c>
      <c r="H1062">
        <v>98</v>
      </c>
      <c r="I1062" t="s">
        <v>2659</v>
      </c>
      <c r="J1062">
        <f ca="1">VLOOKUP(G1062,INDIRECT("球速変換!A$1:B$" &amp; Prams!$B$8),2,)</f>
        <v>116</v>
      </c>
      <c r="K1062" t="str">
        <f ca="1">VLOOKUP(I1062,INDIRECT("投手名変換!A$1:B$" &amp; Prams!$B$9),2,)</f>
        <v>DD024</v>
      </c>
      <c r="L1062">
        <f t="shared" si="83"/>
        <v>32</v>
      </c>
      <c r="M1062">
        <f ca="1">(B1062-VLOOKUP(K1062,INDIRECT("投手データ!B1:D"&amp;Prams!$B$1),3,FALSE)*2)</f>
        <v>36</v>
      </c>
      <c r="N1062" t="str">
        <f ca="1">VLOOKUP(F1062,INDIRECT("球種変換表!A$1:B$" &amp; Prams!$B$2),2,)</f>
        <v>全力ストレート</v>
      </c>
      <c r="O1062">
        <f ca="1">VLOOKUP(N1062,球種情報!A:B,2,FALSE)</f>
        <v>2</v>
      </c>
      <c r="P1062">
        <f ca="1">VLOOKUP(K1062,投手データ!B:AI,output!O1062+6,FALSE)</f>
        <v>1</v>
      </c>
      <c r="R1062">
        <f t="shared" ca="1" si="84"/>
        <v>8.6206896551724137E-3</v>
      </c>
      <c r="S1062">
        <f t="shared" si="85"/>
        <v>0.51805555555555549</v>
      </c>
      <c r="T1062">
        <f>Prams!B$5/(S1062-Prams!B$6)</f>
        <v>135.05679887373176</v>
      </c>
      <c r="U1062">
        <f t="shared" ca="1" si="86"/>
        <v>0.58472222222222225</v>
      </c>
      <c r="V1062">
        <f ca="1">Prams!C$5/(U1062-Prams!C$6)</f>
        <v>140.14936651469736</v>
      </c>
      <c r="W1062">
        <f t="shared" ca="1" si="87"/>
        <v>1.2081841940922187</v>
      </c>
    </row>
    <row r="1063" spans="1:23" hidden="1" x14ac:dyDescent="0.55000000000000004">
      <c r="A1063" s="1" t="s">
        <v>2687</v>
      </c>
      <c r="B1063" s="1">
        <v>137</v>
      </c>
      <c r="C1063">
        <v>639</v>
      </c>
      <c r="D1063">
        <v>608.5</v>
      </c>
      <c r="E1063">
        <v>11.01146</v>
      </c>
      <c r="F1063" t="s">
        <v>1785</v>
      </c>
      <c r="G1063" s="10" t="s">
        <v>2453</v>
      </c>
      <c r="H1063">
        <v>98</v>
      </c>
      <c r="I1063" t="s">
        <v>2659</v>
      </c>
      <c r="J1063">
        <f ca="1">VLOOKUP(G1063,INDIRECT("球速変換!A$1:B$" &amp; Prams!$B$8),2,)</f>
        <v>108</v>
      </c>
      <c r="K1063" t="str">
        <f ca="1">VLOOKUP(I1063,INDIRECT("投手名変換!A$1:B$" &amp; Prams!$B$9),2,)</f>
        <v>DD024</v>
      </c>
      <c r="L1063">
        <f t="shared" si="83"/>
        <v>39</v>
      </c>
      <c r="M1063">
        <f ca="1">(B1063-VLOOKUP(K1063,INDIRECT("投手データ!B1:D"&amp;Prams!$B$1),3,FALSE)*2)</f>
        <v>43</v>
      </c>
      <c r="N1063" t="str">
        <f ca="1">VLOOKUP(F1063,INDIRECT("球種変換表!A$1:B$" &amp; Prams!$B$2),2,)</f>
        <v>SFF</v>
      </c>
      <c r="O1063">
        <f ca="1">VLOOKUP(N1063,球種情報!A:B,2,FALSE)</f>
        <v>21</v>
      </c>
      <c r="P1063">
        <f ca="1">VLOOKUP(K1063,投手データ!B:AI,output!O1063+6,FALSE)</f>
        <v>1</v>
      </c>
      <c r="R1063">
        <f t="shared" ca="1" si="84"/>
        <v>9.2592592592592587E-3</v>
      </c>
      <c r="S1063">
        <f t="shared" si="85"/>
        <v>0.64409722222222221</v>
      </c>
      <c r="T1063">
        <f>Prams!B$5/(S1063-Prams!B$6)</f>
        <v>105.89807153358996</v>
      </c>
      <c r="U1063">
        <f t="shared" ca="1" si="86"/>
        <v>0.71076388888888897</v>
      </c>
      <c r="V1063">
        <f ca="1">Prams!C$5/(U1063-Prams!C$6)</f>
        <v>109.00376630309677</v>
      </c>
      <c r="W1063">
        <f t="shared" ca="1" si="87"/>
        <v>1.0092941324360811</v>
      </c>
    </row>
    <row r="1064" spans="1:23" hidden="1" x14ac:dyDescent="0.55000000000000004">
      <c r="A1064" s="1" t="s">
        <v>2688</v>
      </c>
      <c r="B1064" s="1">
        <v>138</v>
      </c>
      <c r="C1064">
        <v>639.5</v>
      </c>
      <c r="D1064">
        <v>612.5</v>
      </c>
      <c r="E1064">
        <v>10.512</v>
      </c>
      <c r="F1064" t="s">
        <v>45</v>
      </c>
      <c r="G1064" s="10" t="s">
        <v>2089</v>
      </c>
      <c r="H1064">
        <v>98</v>
      </c>
      <c r="I1064" t="s">
        <v>2659</v>
      </c>
      <c r="J1064">
        <f ca="1">VLOOKUP(G1064,INDIRECT("球速変換!A$1:B$" &amp; Prams!$B$8),2,)</f>
        <v>106</v>
      </c>
      <c r="K1064" t="str">
        <f ca="1">VLOOKUP(I1064,INDIRECT("投手名変換!A$1:B$" &amp; Prams!$B$9),2,)</f>
        <v>DD024</v>
      </c>
      <c r="L1064">
        <f t="shared" si="83"/>
        <v>40</v>
      </c>
      <c r="M1064">
        <f ca="1">(B1064-VLOOKUP(K1064,INDIRECT("投手データ!B1:D"&amp;Prams!$B$1),3,FALSE)*2)</f>
        <v>44</v>
      </c>
      <c r="N1064" t="str">
        <f ca="1">VLOOKUP(F1064,INDIRECT("球種変換表!A$1:B$" &amp; Prams!$B$2),2,)</f>
        <v>SFF</v>
      </c>
      <c r="O1064">
        <f ca="1">VLOOKUP(N1064,球種情報!A:B,2,FALSE)</f>
        <v>21</v>
      </c>
      <c r="P1064">
        <f ca="1">VLOOKUP(K1064,投手データ!B:AI,output!O1064+6,FALSE)</f>
        <v>1</v>
      </c>
      <c r="R1064">
        <f t="shared" ca="1" si="84"/>
        <v>9.433962264150943E-3</v>
      </c>
      <c r="S1064">
        <f t="shared" si="85"/>
        <v>0.65798611111111105</v>
      </c>
      <c r="T1064">
        <f>Prams!B$5/(S1064-Prams!B$6)</f>
        <v>103.43723712279301</v>
      </c>
      <c r="U1064">
        <f t="shared" ca="1" si="86"/>
        <v>0.7246527777777777</v>
      </c>
      <c r="V1064">
        <f ca="1">Prams!C$5/(U1064-Prams!C$6)</f>
        <v>106.39825221461048</v>
      </c>
      <c r="W1064">
        <f t="shared" ca="1" si="87"/>
        <v>1.0037570963642497</v>
      </c>
    </row>
    <row r="1065" spans="1:23" hidden="1" x14ac:dyDescent="0.55000000000000004">
      <c r="A1065" s="1" t="s">
        <v>2690</v>
      </c>
      <c r="B1065" s="1">
        <v>137</v>
      </c>
      <c r="C1065">
        <v>637.55260999999996</v>
      </c>
      <c r="D1065">
        <v>602.5</v>
      </c>
      <c r="E1065">
        <v>9.5658300000000001</v>
      </c>
      <c r="F1065" t="s">
        <v>1785</v>
      </c>
      <c r="G1065" s="10" t="s">
        <v>2689</v>
      </c>
      <c r="H1065">
        <v>98</v>
      </c>
      <c r="I1065" t="s">
        <v>2659</v>
      </c>
      <c r="J1065">
        <f ca="1">VLOOKUP(G1065,INDIRECT("球速変換!A$1:B$" &amp; Prams!$B$8),2,)</f>
        <v>107</v>
      </c>
      <c r="K1065" t="str">
        <f ca="1">VLOOKUP(I1065,INDIRECT("投手名変換!A$1:B$" &amp; Prams!$B$9),2,)</f>
        <v>DD024</v>
      </c>
      <c r="L1065">
        <f t="shared" si="83"/>
        <v>39</v>
      </c>
      <c r="M1065">
        <f ca="1">(B1065-VLOOKUP(K1065,INDIRECT("投手データ!B1:D"&amp;Prams!$B$1),3,FALSE)*2)</f>
        <v>43</v>
      </c>
      <c r="N1065" t="str">
        <f ca="1">VLOOKUP(F1065,INDIRECT("球種変換表!A$1:B$" &amp; Prams!$B$2),2,)</f>
        <v>SFF</v>
      </c>
      <c r="O1065">
        <f ca="1">VLOOKUP(N1065,球種情報!A:B,2,FALSE)</f>
        <v>21</v>
      </c>
      <c r="P1065">
        <f ca="1">VLOOKUP(K1065,投手データ!B:AI,output!O1065+6,FALSE)</f>
        <v>1</v>
      </c>
      <c r="R1065">
        <f t="shared" ca="1" si="84"/>
        <v>9.3457943925233638E-3</v>
      </c>
      <c r="S1065">
        <f t="shared" si="85"/>
        <v>0.64826388888888897</v>
      </c>
      <c r="T1065">
        <f>Prams!B$5/(S1065-Prams!B$6)</f>
        <v>105.14761394076544</v>
      </c>
      <c r="U1065">
        <f t="shared" ca="1" si="86"/>
        <v>0.71493055555555562</v>
      </c>
      <c r="V1065">
        <f ca="1">Prams!C$5/(U1065-Prams!C$6)</f>
        <v>108.20881081685538</v>
      </c>
      <c r="W1065">
        <f t="shared" ca="1" si="87"/>
        <v>1.0112972973537886</v>
      </c>
    </row>
    <row r="1066" spans="1:23" hidden="1" x14ac:dyDescent="0.55000000000000004">
      <c r="A1066" s="1" t="s">
        <v>2692</v>
      </c>
      <c r="B1066" s="1">
        <v>137</v>
      </c>
      <c r="C1066">
        <v>635</v>
      </c>
      <c r="D1066">
        <v>600.5</v>
      </c>
      <c r="E1066">
        <v>11.01146</v>
      </c>
      <c r="F1066" t="s">
        <v>1785</v>
      </c>
      <c r="G1066" s="10" t="s">
        <v>2691</v>
      </c>
      <c r="H1066">
        <v>98</v>
      </c>
      <c r="I1066" t="s">
        <v>2659</v>
      </c>
      <c r="J1066">
        <f ca="1">VLOOKUP(G1066,INDIRECT("球速変換!A$1:B$" &amp; Prams!$B$8),2,)</f>
        <v>107</v>
      </c>
      <c r="K1066" t="str">
        <f ca="1">VLOOKUP(I1066,INDIRECT("投手名変換!A$1:B$" &amp; Prams!$B$9),2,)</f>
        <v>DD024</v>
      </c>
      <c r="L1066">
        <f t="shared" si="83"/>
        <v>39</v>
      </c>
      <c r="M1066">
        <f ca="1">(B1066-VLOOKUP(K1066,INDIRECT("投手データ!B1:D"&amp;Prams!$B$1),3,FALSE)*2)</f>
        <v>43</v>
      </c>
      <c r="N1066" t="str">
        <f ca="1">VLOOKUP(F1066,INDIRECT("球種変換表!A$1:B$" &amp; Prams!$B$2),2,)</f>
        <v>SFF</v>
      </c>
      <c r="O1066">
        <f ca="1">VLOOKUP(N1066,球種情報!A:B,2,FALSE)</f>
        <v>21</v>
      </c>
      <c r="P1066">
        <f ca="1">VLOOKUP(K1066,投手データ!B:AI,output!O1066+6,FALSE)</f>
        <v>1</v>
      </c>
      <c r="R1066">
        <f t="shared" ca="1" si="84"/>
        <v>9.3457943925233638E-3</v>
      </c>
      <c r="S1066">
        <f t="shared" si="85"/>
        <v>0.64965277777777775</v>
      </c>
      <c r="T1066">
        <f>Prams!B$5/(S1066-Prams!B$6)</f>
        <v>104.89981948182329</v>
      </c>
      <c r="U1066">
        <f t="shared" ca="1" si="86"/>
        <v>0.7163194444444444</v>
      </c>
      <c r="V1066">
        <f ca="1">Prams!C$5/(U1066-Prams!C$6)</f>
        <v>107.94639609271557</v>
      </c>
      <c r="W1066">
        <f t="shared" ca="1" si="87"/>
        <v>1.0088448232964071</v>
      </c>
    </row>
    <row r="1067" spans="1:23" hidden="1" x14ac:dyDescent="0.55000000000000004">
      <c r="A1067" s="1" t="s">
        <v>2693</v>
      </c>
      <c r="B1067" s="1">
        <v>137</v>
      </c>
      <c r="C1067">
        <v>647</v>
      </c>
      <c r="D1067">
        <v>608</v>
      </c>
      <c r="E1067">
        <v>11.0001</v>
      </c>
      <c r="F1067" t="s">
        <v>1785</v>
      </c>
      <c r="G1067" s="10" t="s">
        <v>2453</v>
      </c>
      <c r="H1067">
        <v>98</v>
      </c>
      <c r="I1067" t="s">
        <v>2659</v>
      </c>
      <c r="J1067">
        <f ca="1">VLOOKUP(G1067,INDIRECT("球速変換!A$1:B$" &amp; Prams!$B$8),2,)</f>
        <v>108</v>
      </c>
      <c r="K1067" t="str">
        <f ca="1">VLOOKUP(I1067,INDIRECT("投手名変換!A$1:B$" &amp; Prams!$B$9),2,)</f>
        <v>DD024</v>
      </c>
      <c r="L1067">
        <f t="shared" ref="L1067:L1082" si="88">B1067-H1067</f>
        <v>39</v>
      </c>
      <c r="M1067">
        <f ca="1">(B1067-VLOOKUP(K1067,INDIRECT("投手データ!B1:D"&amp;Prams!$B$1),3,FALSE)*2)</f>
        <v>43</v>
      </c>
      <c r="N1067" t="str">
        <f ca="1">VLOOKUP(F1067,INDIRECT("球種変換表!A$1:B$" &amp; Prams!$B$2),2,)</f>
        <v>SFF</v>
      </c>
      <c r="O1067">
        <f ca="1">VLOOKUP(N1067,球種情報!A:B,2,FALSE)</f>
        <v>21</v>
      </c>
      <c r="P1067">
        <f ca="1">VLOOKUP(K1067,投手データ!B:AI,output!O1067+6,FALSE)</f>
        <v>1</v>
      </c>
      <c r="R1067">
        <f t="shared" ref="R1067:R1082" ca="1" si="89">1/J1067</f>
        <v>9.2592592592592587E-3</v>
      </c>
      <c r="S1067">
        <f t="shared" ref="S1067:S1082" si="90">(L1067-(D1067-600)/24)*2/120</f>
        <v>0.64444444444444438</v>
      </c>
      <c r="T1067">
        <f>Prams!B$5/(S1067-Prams!B$6)</f>
        <v>105.83512449356135</v>
      </c>
      <c r="U1067">
        <f t="shared" ref="U1067:U1082" ca="1" si="91">(M1067-(D1067-600)/24)*2/120</f>
        <v>0.71111111111111103</v>
      </c>
      <c r="V1067">
        <f ca="1">Prams!C$5/(U1067-Prams!C$6)</f>
        <v>108.93707416399093</v>
      </c>
      <c r="W1067">
        <f t="shared" ref="W1067:W1082" ca="1" si="92">V1067/J1067</f>
        <v>1.0086766126295457</v>
      </c>
    </row>
    <row r="1068" spans="1:23" hidden="1" x14ac:dyDescent="0.55000000000000004">
      <c r="A1068" s="1" t="s">
        <v>2694</v>
      </c>
      <c r="B1068" s="1">
        <v>137</v>
      </c>
      <c r="C1068">
        <v>639</v>
      </c>
      <c r="D1068">
        <v>608.5</v>
      </c>
      <c r="E1068">
        <v>11.01146</v>
      </c>
      <c r="F1068" t="s">
        <v>1785</v>
      </c>
      <c r="G1068" s="10" t="s">
        <v>2453</v>
      </c>
      <c r="H1068">
        <v>98</v>
      </c>
      <c r="I1068" t="s">
        <v>2659</v>
      </c>
      <c r="J1068">
        <f ca="1">VLOOKUP(G1068,INDIRECT("球速変換!A$1:B$" &amp; Prams!$B$8),2,)</f>
        <v>108</v>
      </c>
      <c r="K1068" t="str">
        <f ca="1">VLOOKUP(I1068,INDIRECT("投手名変換!A$1:B$" &amp; Prams!$B$9),2,)</f>
        <v>DD024</v>
      </c>
      <c r="L1068">
        <f t="shared" si="88"/>
        <v>39</v>
      </c>
      <c r="M1068">
        <f ca="1">(B1068-VLOOKUP(K1068,INDIRECT("投手データ!B1:D"&amp;Prams!$B$1),3,FALSE)*2)</f>
        <v>43</v>
      </c>
      <c r="N1068" t="str">
        <f ca="1">VLOOKUP(F1068,INDIRECT("球種変換表!A$1:B$" &amp; Prams!$B$2),2,)</f>
        <v>SFF</v>
      </c>
      <c r="O1068">
        <f ca="1">VLOOKUP(N1068,球種情報!A:B,2,FALSE)</f>
        <v>21</v>
      </c>
      <c r="P1068">
        <f ca="1">VLOOKUP(K1068,投手データ!B:AI,output!O1068+6,FALSE)</f>
        <v>1</v>
      </c>
      <c r="R1068">
        <f t="shared" ca="1" si="89"/>
        <v>9.2592592592592587E-3</v>
      </c>
      <c r="S1068">
        <f t="shared" si="90"/>
        <v>0.64409722222222221</v>
      </c>
      <c r="T1068">
        <f>Prams!B$5/(S1068-Prams!B$6)</f>
        <v>105.89807153358996</v>
      </c>
      <c r="U1068">
        <f t="shared" ca="1" si="91"/>
        <v>0.71076388888888897</v>
      </c>
      <c r="V1068">
        <f ca="1">Prams!C$5/(U1068-Prams!C$6)</f>
        <v>109.00376630309677</v>
      </c>
      <c r="W1068">
        <f t="shared" ca="1" si="92"/>
        <v>1.0092941324360811</v>
      </c>
    </row>
    <row r="1069" spans="1:23" hidden="1" x14ac:dyDescent="0.55000000000000004">
      <c r="A1069" s="1" t="s">
        <v>2695</v>
      </c>
      <c r="B1069" s="1">
        <v>137</v>
      </c>
      <c r="C1069">
        <v>633</v>
      </c>
      <c r="D1069">
        <v>611.5</v>
      </c>
      <c r="E1069">
        <v>10.012589999999999</v>
      </c>
      <c r="F1069" t="s">
        <v>1785</v>
      </c>
      <c r="G1069" s="10" t="s">
        <v>2643</v>
      </c>
      <c r="H1069">
        <v>98</v>
      </c>
      <c r="I1069" t="s">
        <v>2659</v>
      </c>
      <c r="J1069">
        <f ca="1">VLOOKUP(G1069,INDIRECT("球速変換!A$1:B$" &amp; Prams!$B$8),2,)</f>
        <v>109</v>
      </c>
      <c r="K1069" t="str">
        <f ca="1">VLOOKUP(I1069,INDIRECT("投手名変換!A$1:B$" &amp; Prams!$B$9),2,)</f>
        <v>DD024</v>
      </c>
      <c r="L1069">
        <f t="shared" si="88"/>
        <v>39</v>
      </c>
      <c r="M1069">
        <f ca="1">(B1069-VLOOKUP(K1069,INDIRECT("投手データ!B1:D"&amp;Prams!$B$1),3,FALSE)*2)</f>
        <v>43</v>
      </c>
      <c r="N1069" t="str">
        <f ca="1">VLOOKUP(F1069,INDIRECT("球種変換表!A$1:B$" &amp; Prams!$B$2),2,)</f>
        <v>SFF</v>
      </c>
      <c r="O1069">
        <f ca="1">VLOOKUP(N1069,球種情報!A:B,2,FALSE)</f>
        <v>21</v>
      </c>
      <c r="P1069">
        <f ca="1">VLOOKUP(K1069,投手データ!B:AI,output!O1069+6,FALSE)</f>
        <v>1</v>
      </c>
      <c r="R1069">
        <f t="shared" ca="1" si="89"/>
        <v>9.1743119266055051E-3</v>
      </c>
      <c r="S1069">
        <f t="shared" si="90"/>
        <v>0.64201388888888888</v>
      </c>
      <c r="T1069">
        <f>Prams!B$5/(S1069-Prams!B$6)</f>
        <v>106.27733183074918</v>
      </c>
      <c r="U1069">
        <f t="shared" ca="1" si="91"/>
        <v>0.70868055555555565</v>
      </c>
      <c r="V1069">
        <f ca="1">Prams!C$5/(U1069-Prams!C$6)</f>
        <v>109.40564029710612</v>
      </c>
      <c r="W1069">
        <f t="shared" ca="1" si="92"/>
        <v>1.0037214706156525</v>
      </c>
    </row>
    <row r="1070" spans="1:23" hidden="1" x14ac:dyDescent="0.55000000000000004">
      <c r="A1070" s="1" t="s">
        <v>2697</v>
      </c>
      <c r="B1070" s="1">
        <v>137</v>
      </c>
      <c r="C1070">
        <v>639</v>
      </c>
      <c r="D1070">
        <v>612.5</v>
      </c>
      <c r="E1070">
        <v>11.01146</v>
      </c>
      <c r="F1070" t="s">
        <v>45</v>
      </c>
      <c r="G1070" s="10" t="s">
        <v>2696</v>
      </c>
      <c r="H1070">
        <v>98</v>
      </c>
      <c r="I1070" t="s">
        <v>2659</v>
      </c>
      <c r="J1070">
        <f ca="1">VLOOKUP(G1070,INDIRECT("球速変換!A$1:B$" &amp; Prams!$B$8),2,)</f>
        <v>109</v>
      </c>
      <c r="K1070" t="str">
        <f ca="1">VLOOKUP(I1070,INDIRECT("投手名変換!A$1:B$" &amp; Prams!$B$9),2,)</f>
        <v>DD024</v>
      </c>
      <c r="L1070">
        <f t="shared" si="88"/>
        <v>39</v>
      </c>
      <c r="M1070">
        <f ca="1">(B1070-VLOOKUP(K1070,INDIRECT("投手データ!B1:D"&amp;Prams!$B$1),3,FALSE)*2)</f>
        <v>43</v>
      </c>
      <c r="N1070" t="str">
        <f ca="1">VLOOKUP(F1070,INDIRECT("球種変換表!A$1:B$" &amp; Prams!$B$2),2,)</f>
        <v>SFF</v>
      </c>
      <c r="O1070">
        <f ca="1">VLOOKUP(N1070,球種情報!A:B,2,FALSE)</f>
        <v>21</v>
      </c>
      <c r="P1070">
        <f ca="1">VLOOKUP(K1070,投手データ!B:AI,output!O1070+6,FALSE)</f>
        <v>1</v>
      </c>
      <c r="R1070">
        <f t="shared" ca="1" si="89"/>
        <v>9.1743119266055051E-3</v>
      </c>
      <c r="S1070">
        <f t="shared" si="90"/>
        <v>0.64131944444444444</v>
      </c>
      <c r="T1070">
        <f>Prams!B$5/(S1070-Prams!B$6)</f>
        <v>106.404356327719</v>
      </c>
      <c r="U1070">
        <f t="shared" ca="1" si="91"/>
        <v>0.70798611111111109</v>
      </c>
      <c r="V1070">
        <f ca="1">Prams!C$5/(U1070-Prams!C$6)</f>
        <v>109.54025760536277</v>
      </c>
      <c r="W1070">
        <f t="shared" ca="1" si="92"/>
        <v>1.0049564917923191</v>
      </c>
    </row>
    <row r="1071" spans="1:23" hidden="1" x14ac:dyDescent="0.55000000000000004">
      <c r="A1071" s="1" t="s">
        <v>2698</v>
      </c>
      <c r="B1071" s="1">
        <v>137</v>
      </c>
      <c r="C1071">
        <v>634.5</v>
      </c>
      <c r="D1071">
        <v>607</v>
      </c>
      <c r="E1071">
        <v>10.547610000000001</v>
      </c>
      <c r="F1071" t="s">
        <v>1785</v>
      </c>
      <c r="G1071" s="10" t="s">
        <v>2453</v>
      </c>
      <c r="H1071">
        <v>98</v>
      </c>
      <c r="I1071" t="s">
        <v>2659</v>
      </c>
      <c r="J1071">
        <f ca="1">VLOOKUP(G1071,INDIRECT("球速変換!A$1:B$" &amp; Prams!$B$8),2,)</f>
        <v>108</v>
      </c>
      <c r="K1071" t="str">
        <f ca="1">VLOOKUP(I1071,INDIRECT("投手名変換!A$1:B$" &amp; Prams!$B$9),2,)</f>
        <v>DD024</v>
      </c>
      <c r="L1071">
        <f t="shared" si="88"/>
        <v>39</v>
      </c>
      <c r="M1071">
        <f ca="1">(B1071-VLOOKUP(K1071,INDIRECT("投手データ!B1:D"&amp;Prams!$B$1),3,FALSE)*2)</f>
        <v>43</v>
      </c>
      <c r="N1071" t="str">
        <f ca="1">VLOOKUP(F1071,INDIRECT("球種変換表!A$1:B$" &amp; Prams!$B$2),2,)</f>
        <v>SFF</v>
      </c>
      <c r="O1071">
        <f ca="1">VLOOKUP(N1071,球種情報!A:B,2,FALSE)</f>
        <v>21</v>
      </c>
      <c r="P1071">
        <f ca="1">VLOOKUP(K1071,投手データ!B:AI,output!O1071+6,FALSE)</f>
        <v>1</v>
      </c>
      <c r="R1071">
        <f t="shared" ca="1" si="89"/>
        <v>9.2592592592592587E-3</v>
      </c>
      <c r="S1071">
        <f t="shared" si="90"/>
        <v>0.64513888888888893</v>
      </c>
      <c r="T1071">
        <f>Prams!B$5/(S1071-Prams!B$6)</f>
        <v>105.7094546456289</v>
      </c>
      <c r="U1071">
        <f t="shared" ca="1" si="91"/>
        <v>0.71180555555555558</v>
      </c>
      <c r="V1071">
        <f ca="1">Prams!C$5/(U1071-Prams!C$6)</f>
        <v>108.80393441340672</v>
      </c>
      <c r="W1071">
        <f t="shared" ca="1" si="92"/>
        <v>1.0074438371611734</v>
      </c>
    </row>
    <row r="1072" spans="1:23" hidden="1" x14ac:dyDescent="0.55000000000000004">
      <c r="A1072" s="1" t="s">
        <v>2699</v>
      </c>
      <c r="B1072" s="1">
        <v>137</v>
      </c>
      <c r="C1072">
        <v>644.5</v>
      </c>
      <c r="D1072">
        <v>612</v>
      </c>
      <c r="E1072">
        <v>10.547610000000001</v>
      </c>
      <c r="F1072" t="s">
        <v>1785</v>
      </c>
      <c r="G1072" s="10" t="s">
        <v>2696</v>
      </c>
      <c r="H1072">
        <v>98</v>
      </c>
      <c r="I1072" t="s">
        <v>2659</v>
      </c>
      <c r="J1072">
        <f ca="1">VLOOKUP(G1072,INDIRECT("球速変換!A$1:B$" &amp; Prams!$B$8),2,)</f>
        <v>109</v>
      </c>
      <c r="K1072" t="str">
        <f ca="1">VLOOKUP(I1072,INDIRECT("投手名変換!A$1:B$" &amp; Prams!$B$9),2,)</f>
        <v>DD024</v>
      </c>
      <c r="L1072">
        <f t="shared" si="88"/>
        <v>39</v>
      </c>
      <c r="M1072">
        <f ca="1">(B1072-VLOOKUP(K1072,INDIRECT("投手データ!B1:D"&amp;Prams!$B$1),3,FALSE)*2)</f>
        <v>43</v>
      </c>
      <c r="N1072" t="str">
        <f ca="1">VLOOKUP(F1072,INDIRECT("球種変換表!A$1:B$" &amp; Prams!$B$2),2,)</f>
        <v>SFF</v>
      </c>
      <c r="O1072">
        <f ca="1">VLOOKUP(N1072,球種情報!A:B,2,FALSE)</f>
        <v>21</v>
      </c>
      <c r="P1072">
        <f ca="1">VLOOKUP(K1072,投手データ!B:AI,output!O1072+6,FALSE)</f>
        <v>1</v>
      </c>
      <c r="R1072">
        <f t="shared" ca="1" si="89"/>
        <v>9.1743119266055051E-3</v>
      </c>
      <c r="S1072">
        <f t="shared" si="90"/>
        <v>0.64166666666666672</v>
      </c>
      <c r="T1072">
        <f>Prams!B$5/(S1072-Prams!B$6)</f>
        <v>106.34080614643655</v>
      </c>
      <c r="U1072">
        <f t="shared" ca="1" si="91"/>
        <v>0.70833333333333337</v>
      </c>
      <c r="V1072">
        <f ca="1">Prams!C$5/(U1072-Prams!C$6)</f>
        <v>109.47290756699327</v>
      </c>
      <c r="W1072">
        <f t="shared" ca="1" si="92"/>
        <v>1.0043386015320483</v>
      </c>
    </row>
    <row r="1073" spans="1:23" hidden="1" x14ac:dyDescent="0.55000000000000004">
      <c r="A1073" s="1" t="s">
        <v>2701</v>
      </c>
      <c r="B1073" s="1">
        <v>156</v>
      </c>
      <c r="C1073">
        <v>625.95001000000002</v>
      </c>
      <c r="D1073">
        <v>606.5</v>
      </c>
      <c r="E1073">
        <v>10.062519999999999</v>
      </c>
      <c r="F1073" t="s">
        <v>346</v>
      </c>
      <c r="G1073" s="10" t="s">
        <v>2700</v>
      </c>
      <c r="H1073">
        <v>101</v>
      </c>
      <c r="I1073" t="s">
        <v>2659</v>
      </c>
      <c r="J1073">
        <f ca="1">VLOOKUP(G1073,INDIRECT("球速変換!A$1:B$" &amp; Prams!$B$8),2,)</f>
        <v>144</v>
      </c>
      <c r="K1073" t="str">
        <f ca="1">VLOOKUP(I1073,INDIRECT("投手名変換!A$1:B$" &amp; Prams!$B$9),2,)</f>
        <v>DD024</v>
      </c>
      <c r="L1073">
        <f t="shared" si="88"/>
        <v>55</v>
      </c>
      <c r="M1073">
        <f ca="1">(B1073-VLOOKUP(K1073,INDIRECT("投手データ!B1:D"&amp;Prams!$B$1),3,FALSE)*2)</f>
        <v>62</v>
      </c>
      <c r="N1073" t="str">
        <f ca="1">VLOOKUP(F1073,INDIRECT("球種変換表!A$1:B$" &amp; Prams!$B$2),2,)</f>
        <v>カーブ</v>
      </c>
      <c r="O1073">
        <f ca="1">VLOOKUP(N1073,球種情報!A:B,2,FALSE)</f>
        <v>9</v>
      </c>
      <c r="P1073">
        <f ca="1">VLOOKUP(K1073,投手データ!B:AI,output!O1073+6,FALSE)</f>
        <v>1</v>
      </c>
      <c r="R1073">
        <f t="shared" ca="1" si="89"/>
        <v>6.9444444444444441E-3</v>
      </c>
      <c r="S1073">
        <f t="shared" si="90"/>
        <v>0.9121527777777777</v>
      </c>
      <c r="T1073">
        <f>Prams!B$5/(S1073-Prams!B$6)</f>
        <v>72.574747201361745</v>
      </c>
      <c r="U1073">
        <f t="shared" ca="1" si="91"/>
        <v>1.0288194444444445</v>
      </c>
      <c r="V1073">
        <f ca="1">Prams!C$5/(U1073-Prams!C$6)</f>
        <v>69.839179864377627</v>
      </c>
      <c r="W1073">
        <f t="shared" ca="1" si="92"/>
        <v>0.4849943046137335</v>
      </c>
    </row>
    <row r="1074" spans="1:23" hidden="1" x14ac:dyDescent="0.55000000000000004">
      <c r="A1074" s="1" t="s">
        <v>2702</v>
      </c>
      <c r="B1074" s="1">
        <v>156</v>
      </c>
      <c r="C1074">
        <v>631</v>
      </c>
      <c r="D1074">
        <v>603.5</v>
      </c>
      <c r="E1074">
        <v>10.012589999999999</v>
      </c>
      <c r="F1074" t="s">
        <v>346</v>
      </c>
      <c r="G1074" s="10" t="s">
        <v>741</v>
      </c>
      <c r="H1074">
        <v>101</v>
      </c>
      <c r="I1074" t="s">
        <v>2659</v>
      </c>
      <c r="J1074">
        <f ca="1">VLOOKUP(G1074,INDIRECT("球速変換!A$1:B$" &amp; Prams!$B$8),2,)</f>
        <v>92</v>
      </c>
      <c r="K1074" t="str">
        <f ca="1">VLOOKUP(I1074,INDIRECT("投手名変換!A$1:B$" &amp; Prams!$B$9),2,)</f>
        <v>DD024</v>
      </c>
      <c r="L1074">
        <f t="shared" si="88"/>
        <v>55</v>
      </c>
      <c r="M1074">
        <f ca="1">(B1074-VLOOKUP(K1074,INDIRECT("投手データ!B1:D"&amp;Prams!$B$1),3,FALSE)*2)</f>
        <v>62</v>
      </c>
      <c r="N1074" t="str">
        <f ca="1">VLOOKUP(F1074,INDIRECT("球種変換表!A$1:B$" &amp; Prams!$B$2),2,)</f>
        <v>カーブ</v>
      </c>
      <c r="O1074">
        <f ca="1">VLOOKUP(N1074,球種情報!A:B,2,FALSE)</f>
        <v>9</v>
      </c>
      <c r="P1074">
        <f ca="1">VLOOKUP(K1074,投手データ!B:AI,output!O1074+6,FALSE)</f>
        <v>1</v>
      </c>
      <c r="R1074">
        <f t="shared" ca="1" si="89"/>
        <v>1.0869565217391304E-2</v>
      </c>
      <c r="S1074">
        <f t="shared" si="90"/>
        <v>0.91423611111111103</v>
      </c>
      <c r="T1074">
        <f>Prams!B$5/(S1074-Prams!B$6)</f>
        <v>72.397687831186957</v>
      </c>
      <c r="U1074">
        <f t="shared" ca="1" si="91"/>
        <v>1.0309027777777777</v>
      </c>
      <c r="V1074">
        <f ca="1">Prams!C$5/(U1074-Prams!C$6)</f>
        <v>69.675201688012052</v>
      </c>
      <c r="W1074">
        <f t="shared" ca="1" si="92"/>
        <v>0.75733914878273967</v>
      </c>
    </row>
    <row r="1075" spans="1:23" hidden="1" x14ac:dyDescent="0.55000000000000004">
      <c r="A1075" s="1" t="s">
        <v>2703</v>
      </c>
      <c r="B1075" s="1">
        <v>157</v>
      </c>
      <c r="C1075">
        <v>636.5</v>
      </c>
      <c r="D1075">
        <v>607</v>
      </c>
      <c r="E1075">
        <v>10.547610000000001</v>
      </c>
      <c r="F1075" t="s">
        <v>346</v>
      </c>
      <c r="G1075" s="10" t="s">
        <v>762</v>
      </c>
      <c r="H1075">
        <v>101</v>
      </c>
      <c r="I1075" t="s">
        <v>2659</v>
      </c>
      <c r="J1075">
        <f ca="1">VLOOKUP(G1075,INDIRECT("球速変換!A$1:B$" &amp; Prams!$B$8),2,)</f>
        <v>93</v>
      </c>
      <c r="K1075" t="str">
        <f ca="1">VLOOKUP(I1075,INDIRECT("投手名変換!A$1:B$" &amp; Prams!$B$9),2,)</f>
        <v>DD024</v>
      </c>
      <c r="L1075">
        <f t="shared" si="88"/>
        <v>56</v>
      </c>
      <c r="M1075">
        <f ca="1">(B1075-VLOOKUP(K1075,INDIRECT("投手データ!B1:D"&amp;Prams!$B$1),3,FALSE)*2)</f>
        <v>63</v>
      </c>
      <c r="N1075" t="str">
        <f ca="1">VLOOKUP(F1075,INDIRECT("球種変換表!A$1:B$" &amp; Prams!$B$2),2,)</f>
        <v>カーブ</v>
      </c>
      <c r="O1075">
        <f ca="1">VLOOKUP(N1075,球種情報!A:B,2,FALSE)</f>
        <v>9</v>
      </c>
      <c r="P1075">
        <f ca="1">VLOOKUP(K1075,投手データ!B:AI,output!O1075+6,FALSE)</f>
        <v>1</v>
      </c>
      <c r="R1075">
        <f t="shared" ca="1" si="89"/>
        <v>1.0752688172043012E-2</v>
      </c>
      <c r="S1075">
        <f t="shared" si="90"/>
        <v>0.92847222222222225</v>
      </c>
      <c r="T1075">
        <f>Prams!B$5/(S1075-Prams!B$6)</f>
        <v>71.21052530539896</v>
      </c>
      <c r="U1075">
        <f t="shared" ca="1" si="91"/>
        <v>1.0451388888888888</v>
      </c>
      <c r="V1075">
        <f ca="1">Prams!C$5/(U1075-Prams!C$6)</f>
        <v>68.574967493853109</v>
      </c>
      <c r="W1075">
        <f t="shared" ca="1" si="92"/>
        <v>0.73736524186938823</v>
      </c>
    </row>
    <row r="1076" spans="1:23" hidden="1" x14ac:dyDescent="0.55000000000000004">
      <c r="A1076" s="1" t="s">
        <v>2704</v>
      </c>
      <c r="B1076" s="1">
        <v>156</v>
      </c>
      <c r="C1076">
        <v>627.5</v>
      </c>
      <c r="D1076">
        <v>607.5</v>
      </c>
      <c r="E1076">
        <v>11.510960000000001</v>
      </c>
      <c r="F1076" t="s">
        <v>347</v>
      </c>
      <c r="G1076" s="10" t="s">
        <v>762</v>
      </c>
      <c r="H1076">
        <v>101</v>
      </c>
      <c r="I1076" t="s">
        <v>2659</v>
      </c>
      <c r="J1076">
        <f ca="1">VLOOKUP(G1076,INDIRECT("球速変換!A$1:B$" &amp; Prams!$B$8),2,)</f>
        <v>93</v>
      </c>
      <c r="K1076" t="str">
        <f ca="1">VLOOKUP(I1076,INDIRECT("投手名変換!A$1:B$" &amp; Prams!$B$9),2,)</f>
        <v>DD024</v>
      </c>
      <c r="L1076">
        <f t="shared" si="88"/>
        <v>55</v>
      </c>
      <c r="M1076">
        <f ca="1">(B1076-VLOOKUP(K1076,INDIRECT("投手データ!B1:D"&amp;Prams!$B$1),3,FALSE)*2)</f>
        <v>62</v>
      </c>
      <c r="N1076" t="str">
        <f ca="1">VLOOKUP(F1076,INDIRECT("球種変換表!A$1:B$" &amp; Prams!$B$2),2,)</f>
        <v>カーブ</v>
      </c>
      <c r="O1076">
        <f ca="1">VLOOKUP(N1076,球種情報!A:B,2,FALSE)</f>
        <v>9</v>
      </c>
      <c r="P1076">
        <f ca="1">VLOOKUP(K1076,投手データ!B:AI,output!O1076+6,FALSE)</f>
        <v>1</v>
      </c>
      <c r="R1076">
        <f t="shared" ca="1" si="89"/>
        <v>1.0752688172043012E-2</v>
      </c>
      <c r="S1076">
        <f t="shared" si="90"/>
        <v>0.91145833333333337</v>
      </c>
      <c r="T1076">
        <f>Prams!B$5/(S1076-Prams!B$6)</f>
        <v>72.633959604068963</v>
      </c>
      <c r="U1076">
        <f t="shared" ca="1" si="91"/>
        <v>1.028125</v>
      </c>
      <c r="V1076">
        <f ca="1">Prams!C$5/(U1076-Prams!C$6)</f>
        <v>69.894010909810348</v>
      </c>
      <c r="W1076">
        <f t="shared" ca="1" si="92"/>
        <v>0.75154850440656285</v>
      </c>
    </row>
    <row r="1077" spans="1:23" hidden="1" x14ac:dyDescent="0.55000000000000004">
      <c r="A1077" s="1" t="s">
        <v>2705</v>
      </c>
      <c r="B1077" s="1">
        <v>157</v>
      </c>
      <c r="C1077">
        <v>632</v>
      </c>
      <c r="D1077">
        <v>603.5</v>
      </c>
      <c r="E1077">
        <v>10.012589999999999</v>
      </c>
      <c r="F1077" t="s">
        <v>346</v>
      </c>
      <c r="G1077" s="10" t="s">
        <v>1591</v>
      </c>
      <c r="H1077">
        <v>101</v>
      </c>
      <c r="I1077" t="s">
        <v>2659</v>
      </c>
      <c r="J1077">
        <f ca="1">VLOOKUP(G1077,INDIRECT("球速変換!A$1:B$" &amp; Prams!$B$8),2,)</f>
        <v>92</v>
      </c>
      <c r="K1077" t="str">
        <f ca="1">VLOOKUP(I1077,INDIRECT("投手名変換!A$1:B$" &amp; Prams!$B$9),2,)</f>
        <v>DD024</v>
      </c>
      <c r="L1077">
        <f t="shared" si="88"/>
        <v>56</v>
      </c>
      <c r="M1077">
        <f ca="1">(B1077-VLOOKUP(K1077,INDIRECT("投手データ!B1:D"&amp;Prams!$B$1),3,FALSE)*2)</f>
        <v>63</v>
      </c>
      <c r="N1077" t="str">
        <f ca="1">VLOOKUP(F1077,INDIRECT("球種変換表!A$1:B$" &amp; Prams!$B$2),2,)</f>
        <v>カーブ</v>
      </c>
      <c r="O1077">
        <f ca="1">VLOOKUP(N1077,球種情報!A:B,2,FALSE)</f>
        <v>9</v>
      </c>
      <c r="P1077">
        <f ca="1">VLOOKUP(K1077,投手データ!B:AI,output!O1077+6,FALSE)</f>
        <v>1</v>
      </c>
      <c r="R1077">
        <f t="shared" ca="1" si="89"/>
        <v>1.0869565217391304E-2</v>
      </c>
      <c r="S1077">
        <f t="shared" si="90"/>
        <v>0.93090277777777775</v>
      </c>
      <c r="T1077">
        <f>Prams!B$5/(S1077-Prams!B$6)</f>
        <v>71.011719211146811</v>
      </c>
      <c r="U1077">
        <f t="shared" ca="1" si="91"/>
        <v>1.0475694444444443</v>
      </c>
      <c r="V1077">
        <f ca="1">Prams!C$5/(U1077-Prams!C$6)</f>
        <v>68.390585964987764</v>
      </c>
      <c r="W1077">
        <f t="shared" ca="1" si="92"/>
        <v>0.74337593440204086</v>
      </c>
    </row>
    <row r="1078" spans="1:23" hidden="1" x14ac:dyDescent="0.55000000000000004">
      <c r="A1078" s="1" t="s">
        <v>2707</v>
      </c>
      <c r="B1078" s="1">
        <v>156</v>
      </c>
      <c r="C1078">
        <v>623.5</v>
      </c>
      <c r="D1078">
        <v>602.5</v>
      </c>
      <c r="E1078">
        <v>10.512</v>
      </c>
      <c r="F1078" t="s">
        <v>346</v>
      </c>
      <c r="G1078" s="10" t="s">
        <v>2706</v>
      </c>
      <c r="H1078">
        <v>101</v>
      </c>
      <c r="I1078" t="s">
        <v>2659</v>
      </c>
      <c r="J1078">
        <f ca="1">VLOOKUP(G1078,INDIRECT("球速変換!A$1:B$" &amp; Prams!$B$8),2,)</f>
        <v>94</v>
      </c>
      <c r="K1078" t="str">
        <f ca="1">VLOOKUP(I1078,INDIRECT("投手名変換!A$1:B$" &amp; Prams!$B$9),2,)</f>
        <v>DD024</v>
      </c>
      <c r="L1078">
        <f t="shared" si="88"/>
        <v>55</v>
      </c>
      <c r="M1078">
        <f ca="1">(B1078-VLOOKUP(K1078,INDIRECT("投手データ!B1:D"&amp;Prams!$B$1),3,FALSE)*2)</f>
        <v>62</v>
      </c>
      <c r="N1078" t="str">
        <f ca="1">VLOOKUP(F1078,INDIRECT("球種変換表!A$1:B$" &amp; Prams!$B$2),2,)</f>
        <v>カーブ</v>
      </c>
      <c r="O1078">
        <f ca="1">VLOOKUP(N1078,球種情報!A:B,2,FALSE)</f>
        <v>9</v>
      </c>
      <c r="P1078">
        <f ca="1">VLOOKUP(K1078,投手データ!B:AI,output!O1078+6,FALSE)</f>
        <v>1</v>
      </c>
      <c r="R1078">
        <f t="shared" ca="1" si="89"/>
        <v>1.0638297872340425E-2</v>
      </c>
      <c r="S1078">
        <f t="shared" si="90"/>
        <v>0.91493055555555558</v>
      </c>
      <c r="T1078">
        <f>Prams!B$5/(S1078-Prams!B$6)</f>
        <v>72.338859871224415</v>
      </c>
      <c r="U1078">
        <f t="shared" ca="1" si="91"/>
        <v>1.0315972222222223</v>
      </c>
      <c r="V1078">
        <f ca="1">Prams!C$5/(U1078-Prams!C$6)</f>
        <v>69.620713278006988</v>
      </c>
      <c r="W1078">
        <f t="shared" ca="1" si="92"/>
        <v>0.74064588593624459</v>
      </c>
    </row>
    <row r="1079" spans="1:23" hidden="1" x14ac:dyDescent="0.55000000000000004">
      <c r="A1079" s="1" t="s">
        <v>2709</v>
      </c>
      <c r="B1079" s="1">
        <v>156</v>
      </c>
      <c r="C1079">
        <v>636</v>
      </c>
      <c r="D1079">
        <v>602.5</v>
      </c>
      <c r="E1079">
        <v>11.01146</v>
      </c>
      <c r="F1079" t="s">
        <v>346</v>
      </c>
      <c r="G1079" s="10" t="s">
        <v>2708</v>
      </c>
      <c r="H1079">
        <v>101</v>
      </c>
      <c r="I1079" t="s">
        <v>2659</v>
      </c>
      <c r="J1079">
        <f ca="1">VLOOKUP(G1079,INDIRECT("球速変換!A$1:B$" &amp; Prams!$B$8),2,)</f>
        <v>94</v>
      </c>
      <c r="K1079" t="str">
        <f ca="1">VLOOKUP(I1079,INDIRECT("投手名変換!A$1:B$" &amp; Prams!$B$9),2,)</f>
        <v>DD024</v>
      </c>
      <c r="L1079">
        <f t="shared" si="88"/>
        <v>55</v>
      </c>
      <c r="M1079">
        <f ca="1">(B1079-VLOOKUP(K1079,INDIRECT("投手データ!B1:D"&amp;Prams!$B$1),3,FALSE)*2)</f>
        <v>62</v>
      </c>
      <c r="N1079" t="str">
        <f ca="1">VLOOKUP(F1079,INDIRECT("球種変換表!A$1:B$" &amp; Prams!$B$2),2,)</f>
        <v>カーブ</v>
      </c>
      <c r="O1079">
        <f ca="1">VLOOKUP(N1079,球種情報!A:B,2,FALSE)</f>
        <v>9</v>
      </c>
      <c r="P1079">
        <f ca="1">VLOOKUP(K1079,投手データ!B:AI,output!O1079+6,FALSE)</f>
        <v>1</v>
      </c>
      <c r="R1079">
        <f t="shared" ca="1" si="89"/>
        <v>1.0638297872340425E-2</v>
      </c>
      <c r="S1079">
        <f t="shared" si="90"/>
        <v>0.91493055555555558</v>
      </c>
      <c r="T1079">
        <f>Prams!B$5/(S1079-Prams!B$6)</f>
        <v>72.338859871224415</v>
      </c>
      <c r="U1079">
        <f t="shared" ca="1" si="91"/>
        <v>1.0315972222222223</v>
      </c>
      <c r="V1079">
        <f ca="1">Prams!C$5/(U1079-Prams!C$6)</f>
        <v>69.620713278006988</v>
      </c>
      <c r="W1079">
        <f t="shared" ca="1" si="92"/>
        <v>0.74064588593624459</v>
      </c>
    </row>
    <row r="1080" spans="1:23" hidden="1" x14ac:dyDescent="0.55000000000000004">
      <c r="A1080" s="1" t="s">
        <v>2710</v>
      </c>
      <c r="B1080" s="1">
        <v>157</v>
      </c>
      <c r="C1080">
        <v>632.5</v>
      </c>
      <c r="D1080">
        <v>603.5</v>
      </c>
      <c r="E1080">
        <v>10.512</v>
      </c>
      <c r="F1080" t="s">
        <v>346</v>
      </c>
      <c r="G1080" s="10" t="s">
        <v>741</v>
      </c>
      <c r="H1080">
        <v>101</v>
      </c>
      <c r="I1080" t="s">
        <v>2659</v>
      </c>
      <c r="J1080">
        <f ca="1">VLOOKUP(G1080,INDIRECT("球速変換!A$1:B$" &amp; Prams!$B$8),2,)</f>
        <v>92</v>
      </c>
      <c r="K1080" t="str">
        <f ca="1">VLOOKUP(I1080,INDIRECT("投手名変換!A$1:B$" &amp; Prams!$B$9),2,)</f>
        <v>DD024</v>
      </c>
      <c r="L1080">
        <f t="shared" si="88"/>
        <v>56</v>
      </c>
      <c r="M1080">
        <f ca="1">(B1080-VLOOKUP(K1080,INDIRECT("投手データ!B1:D"&amp;Prams!$B$1),3,FALSE)*2)</f>
        <v>63</v>
      </c>
      <c r="N1080" t="str">
        <f ca="1">VLOOKUP(F1080,INDIRECT("球種変換表!A$1:B$" &amp; Prams!$B$2),2,)</f>
        <v>カーブ</v>
      </c>
      <c r="O1080">
        <f ca="1">VLOOKUP(N1080,球種情報!A:B,2,FALSE)</f>
        <v>9</v>
      </c>
      <c r="P1080">
        <f ca="1">VLOOKUP(K1080,投手データ!B:AI,output!O1080+6,FALSE)</f>
        <v>1</v>
      </c>
      <c r="R1080">
        <f t="shared" ca="1" si="89"/>
        <v>1.0869565217391304E-2</v>
      </c>
      <c r="S1080">
        <f t="shared" si="90"/>
        <v>0.93090277777777775</v>
      </c>
      <c r="T1080">
        <f>Prams!B$5/(S1080-Prams!B$6)</f>
        <v>71.011719211146811</v>
      </c>
      <c r="U1080">
        <f t="shared" ca="1" si="91"/>
        <v>1.0475694444444443</v>
      </c>
      <c r="V1080">
        <f ca="1">Prams!C$5/(U1080-Prams!C$6)</f>
        <v>68.390585964987764</v>
      </c>
      <c r="W1080">
        <f t="shared" ca="1" si="92"/>
        <v>0.74337593440204086</v>
      </c>
    </row>
    <row r="1081" spans="1:23" hidden="1" x14ac:dyDescent="0.55000000000000004">
      <c r="A1081" s="1" t="s">
        <v>2711</v>
      </c>
      <c r="B1081" s="1">
        <v>156</v>
      </c>
      <c r="C1081">
        <v>627</v>
      </c>
      <c r="D1081">
        <v>601.5</v>
      </c>
      <c r="E1081">
        <v>11.01146</v>
      </c>
      <c r="F1081" t="s">
        <v>347</v>
      </c>
      <c r="G1081" s="10" t="s">
        <v>803</v>
      </c>
      <c r="H1081">
        <v>101</v>
      </c>
      <c r="I1081" t="s">
        <v>2659</v>
      </c>
      <c r="J1081">
        <f ca="1">VLOOKUP(G1081,INDIRECT("球速変換!A$1:B$" &amp; Prams!$B$8),2,)</f>
        <v>144</v>
      </c>
      <c r="K1081" t="str">
        <f ca="1">VLOOKUP(I1081,INDIRECT("投手名変換!A$1:B$" &amp; Prams!$B$9),2,)</f>
        <v>DD024</v>
      </c>
      <c r="L1081">
        <f t="shared" si="88"/>
        <v>55</v>
      </c>
      <c r="M1081">
        <f ca="1">(B1081-VLOOKUP(K1081,INDIRECT("投手データ!B1:D"&amp;Prams!$B$1),3,FALSE)*2)</f>
        <v>62</v>
      </c>
      <c r="N1081" t="str">
        <f ca="1">VLOOKUP(F1081,INDIRECT("球種変換表!A$1:B$" &amp; Prams!$B$2),2,)</f>
        <v>カーブ</v>
      </c>
      <c r="O1081">
        <f ca="1">VLOOKUP(N1081,球種情報!A:B,2,FALSE)</f>
        <v>9</v>
      </c>
      <c r="P1081">
        <f ca="1">VLOOKUP(K1081,投手データ!B:AI,output!O1081+6,FALSE)</f>
        <v>1</v>
      </c>
      <c r="R1081">
        <f t="shared" ca="1" si="89"/>
        <v>6.9444444444444441E-3</v>
      </c>
      <c r="S1081">
        <f t="shared" si="90"/>
        <v>0.91562500000000002</v>
      </c>
      <c r="T1081">
        <f>Prams!B$5/(S1081-Prams!B$6)</f>
        <v>72.280127436939182</v>
      </c>
      <c r="U1081">
        <f t="shared" ca="1" si="91"/>
        <v>1.0322916666666666</v>
      </c>
      <c r="V1081">
        <f ca="1">Prams!C$5/(U1081-Prams!C$6)</f>
        <v>69.566310025036813</v>
      </c>
      <c r="W1081">
        <f t="shared" ca="1" si="92"/>
        <v>0.48309937517386675</v>
      </c>
    </row>
    <row r="1082" spans="1:23" hidden="1" x14ac:dyDescent="0.55000000000000004">
      <c r="A1082" s="1" t="s">
        <v>2712</v>
      </c>
      <c r="B1082" s="1">
        <v>157</v>
      </c>
      <c r="C1082">
        <v>635.5</v>
      </c>
      <c r="D1082">
        <v>603.5</v>
      </c>
      <c r="E1082">
        <v>11.510960000000001</v>
      </c>
      <c r="F1082" t="s">
        <v>346</v>
      </c>
      <c r="G1082" s="10" t="s">
        <v>1125</v>
      </c>
      <c r="H1082">
        <v>101</v>
      </c>
      <c r="I1082" t="s">
        <v>2659</v>
      </c>
      <c r="J1082">
        <f ca="1">VLOOKUP(G1082,INDIRECT("球速変換!A$1:B$" &amp; Prams!$B$8),2,)</f>
        <v>92</v>
      </c>
      <c r="K1082" t="str">
        <f ca="1">VLOOKUP(I1082,INDIRECT("投手名変換!A$1:B$" &amp; Prams!$B$9),2,)</f>
        <v>DD024</v>
      </c>
      <c r="L1082">
        <f t="shared" si="88"/>
        <v>56</v>
      </c>
      <c r="M1082">
        <f ca="1">(B1082-VLOOKUP(K1082,INDIRECT("投手データ!B1:D"&amp;Prams!$B$1),3,FALSE)*2)</f>
        <v>63</v>
      </c>
      <c r="N1082" t="str">
        <f ca="1">VLOOKUP(F1082,INDIRECT("球種変換表!A$1:B$" &amp; Prams!$B$2),2,)</f>
        <v>カーブ</v>
      </c>
      <c r="O1082">
        <f ca="1">VLOOKUP(N1082,球種情報!A:B,2,FALSE)</f>
        <v>9</v>
      </c>
      <c r="P1082">
        <f ca="1">VLOOKUP(K1082,投手データ!B:AI,output!O1082+6,FALSE)</f>
        <v>1</v>
      </c>
      <c r="R1082">
        <f t="shared" ca="1" si="89"/>
        <v>1.0869565217391304E-2</v>
      </c>
      <c r="S1082">
        <f t="shared" si="90"/>
        <v>0.93090277777777775</v>
      </c>
      <c r="T1082">
        <f>Prams!B$5/(S1082-Prams!B$6)</f>
        <v>71.011719211146811</v>
      </c>
      <c r="U1082">
        <f t="shared" ca="1" si="91"/>
        <v>1.0475694444444443</v>
      </c>
      <c r="V1082">
        <f ca="1">Prams!C$5/(U1082-Prams!C$6)</f>
        <v>68.390585964987764</v>
      </c>
      <c r="W1082">
        <f t="shared" ca="1" si="92"/>
        <v>0.74337593440204086</v>
      </c>
    </row>
    <row r="1083" spans="1:23" hidden="1" x14ac:dyDescent="0.55000000000000004">
      <c r="A1083" s="1" t="s">
        <v>2768</v>
      </c>
      <c r="B1083" s="1">
        <v>128</v>
      </c>
      <c r="C1083">
        <v>639.5</v>
      </c>
      <c r="D1083">
        <v>604.5</v>
      </c>
      <c r="E1083">
        <v>10.512</v>
      </c>
      <c r="F1083" t="s">
        <v>0</v>
      </c>
      <c r="G1083" s="10" t="s">
        <v>638</v>
      </c>
      <c r="H1083">
        <v>99</v>
      </c>
      <c r="I1083" t="s">
        <v>2767</v>
      </c>
      <c r="J1083">
        <f ca="1">VLOOKUP(G1083,INDIRECT("球速変換!A$1:B$" &amp; Prams!$B$8),2,)</f>
        <v>147</v>
      </c>
      <c r="K1083" t="str">
        <f ca="1">VLOOKUP(I1083,INDIRECT("投手名変換!A$1:B$" &amp; Prams!$B$9),2,)</f>
        <v>KR001</v>
      </c>
      <c r="L1083">
        <f t="shared" ref="L1083:L1132" si="93">B1083-H1083</f>
        <v>29</v>
      </c>
      <c r="M1083">
        <f ca="1">(B1083-VLOOKUP(K1083,INDIRECT("投手データ!B1:D"&amp;Prams!$B$1),3,FALSE)*2)</f>
        <v>34</v>
      </c>
      <c r="N1083" t="str">
        <f ca="1">VLOOKUP(F1083,INDIRECT("球種変換表!A$1:B$" &amp; Prams!$B$2),2,)</f>
        <v>ストレート</v>
      </c>
      <c r="O1083">
        <f ca="1">VLOOKUP(N1083,球種情報!A:B,2,FALSE)</f>
        <v>1</v>
      </c>
      <c r="P1083">
        <f ca="1">VLOOKUP(K1083,投手データ!B:AI,output!O1083+6,FALSE)</f>
        <v>1</v>
      </c>
      <c r="R1083">
        <f t="shared" ref="R1083:R1132" ca="1" si="94">1/J1083</f>
        <v>6.8027210884353739E-3</v>
      </c>
      <c r="S1083">
        <f t="shared" ref="S1083:S1132" si="95">(L1083-(D1083-600)/24)*2/120</f>
        <v>0.48020833333333335</v>
      </c>
      <c r="T1083">
        <f>Prams!B$5/(S1083-Prams!B$6)</f>
        <v>147.22975252535275</v>
      </c>
      <c r="U1083">
        <f t="shared" ref="U1083:U1132" ca="1" si="96">(M1083-(D1083-600)/24)*2/120</f>
        <v>0.56354166666666672</v>
      </c>
      <c r="V1083">
        <f ca="1">Prams!C$5/(U1083-Prams!C$6)</f>
        <v>147.21806600123031</v>
      </c>
      <c r="W1083">
        <f t="shared" ref="W1083:W1132" ca="1" si="97">V1083/J1083</f>
        <v>1.0014834421852403</v>
      </c>
    </row>
    <row r="1084" spans="1:23" hidden="1" x14ac:dyDescent="0.55000000000000004">
      <c r="A1084" s="1" t="s">
        <v>2770</v>
      </c>
      <c r="B1084" s="1">
        <v>128</v>
      </c>
      <c r="C1084">
        <v>639.5</v>
      </c>
      <c r="D1084">
        <v>602.5</v>
      </c>
      <c r="E1084">
        <v>10.512</v>
      </c>
      <c r="F1084" t="s">
        <v>0</v>
      </c>
      <c r="G1084" s="10" t="s">
        <v>638</v>
      </c>
      <c r="H1084">
        <v>99</v>
      </c>
      <c r="I1084" t="s">
        <v>2769</v>
      </c>
      <c r="J1084">
        <f ca="1">VLOOKUP(G1084,INDIRECT("球速変換!A$1:B$" &amp; Prams!$B$8),2,)</f>
        <v>147</v>
      </c>
      <c r="K1084" t="str">
        <f ca="1">VLOOKUP(I1084,INDIRECT("投手名変換!A$1:B$" &amp; Prams!$B$9),2,)</f>
        <v>KR001</v>
      </c>
      <c r="L1084">
        <f t="shared" si="93"/>
        <v>29</v>
      </c>
      <c r="M1084">
        <f ca="1">(B1084-VLOOKUP(K1084,INDIRECT("投手データ!B1:D"&amp;Prams!$B$1),3,FALSE)*2)</f>
        <v>34</v>
      </c>
      <c r="N1084" t="str">
        <f ca="1">VLOOKUP(F1084,INDIRECT("球種変換表!A$1:B$" &amp; Prams!$B$2),2,)</f>
        <v>ストレート</v>
      </c>
      <c r="O1084">
        <f ca="1">VLOOKUP(N1084,球種情報!A:B,2,FALSE)</f>
        <v>1</v>
      </c>
      <c r="P1084">
        <f ca="1">VLOOKUP(K1084,投手データ!B:AI,output!O1084+6,FALSE)</f>
        <v>1</v>
      </c>
      <c r="R1084">
        <f t="shared" ca="1" si="94"/>
        <v>6.8027210884353739E-3</v>
      </c>
      <c r="S1084">
        <f t="shared" si="95"/>
        <v>0.48159722222222218</v>
      </c>
      <c r="T1084">
        <f>Prams!B$5/(S1084-Prams!B$6)</f>
        <v>146.74438078158073</v>
      </c>
      <c r="U1084">
        <f t="shared" ca="1" si="96"/>
        <v>0.5649305555555556</v>
      </c>
      <c r="V1084">
        <f ca="1">Prams!C$5/(U1084-Prams!C$6)</f>
        <v>146.7327711812446</v>
      </c>
      <c r="W1084">
        <f t="shared" ca="1" si="97"/>
        <v>0.99818211687921499</v>
      </c>
    </row>
    <row r="1085" spans="1:23" hidden="1" x14ac:dyDescent="0.55000000000000004">
      <c r="A1085" s="1" t="s">
        <v>2772</v>
      </c>
      <c r="B1085" s="1">
        <v>129</v>
      </c>
      <c r="C1085">
        <v>643.5</v>
      </c>
      <c r="D1085">
        <v>620</v>
      </c>
      <c r="E1085">
        <v>11.5001</v>
      </c>
      <c r="F1085" t="s">
        <v>0</v>
      </c>
      <c r="G1085" s="10" t="s">
        <v>2433</v>
      </c>
      <c r="H1085">
        <v>99</v>
      </c>
      <c r="I1085" t="s">
        <v>2771</v>
      </c>
      <c r="J1085">
        <f ca="1">VLOOKUP(G1085,INDIRECT("球速変換!A$1:B$" &amp; Prams!$B$8),2,)</f>
        <v>146</v>
      </c>
      <c r="K1085" t="str">
        <f ca="1">VLOOKUP(I1085,INDIRECT("投手名変換!A$1:B$" &amp; Prams!$B$9),2,)</f>
        <v>KR001</v>
      </c>
      <c r="L1085">
        <f t="shared" si="93"/>
        <v>30</v>
      </c>
      <c r="M1085">
        <f ca="1">(B1085-VLOOKUP(K1085,INDIRECT("投手データ!B1:D"&amp;Prams!$B$1),3,FALSE)*2)</f>
        <v>35</v>
      </c>
      <c r="N1085" t="str">
        <f ca="1">VLOOKUP(F1085,INDIRECT("球種変換表!A$1:B$" &amp; Prams!$B$2),2,)</f>
        <v>ストレート</v>
      </c>
      <c r="O1085">
        <f ca="1">VLOOKUP(N1085,球種情報!A:B,2,FALSE)</f>
        <v>1</v>
      </c>
      <c r="P1085">
        <f ca="1">VLOOKUP(K1085,投手データ!B:AI,output!O1085+6,FALSE)</f>
        <v>1</v>
      </c>
      <c r="R1085">
        <f t="shared" ca="1" si="94"/>
        <v>6.8493150684931503E-3</v>
      </c>
      <c r="S1085">
        <f t="shared" si="95"/>
        <v>0.4861111111111111</v>
      </c>
      <c r="T1085">
        <f>Prams!B$5/(S1085-Prams!B$6)</f>
        <v>145.18879002165804</v>
      </c>
      <c r="U1085">
        <f t="shared" ca="1" si="96"/>
        <v>0.56944444444444442</v>
      </c>
      <c r="V1085">
        <f ca="1">Prams!C$5/(U1085-Prams!C$6)</f>
        <v>145.17742524656893</v>
      </c>
      <c r="W1085">
        <f t="shared" ca="1" si="97"/>
        <v>0.99436592634636256</v>
      </c>
    </row>
    <row r="1086" spans="1:23" hidden="1" x14ac:dyDescent="0.55000000000000004">
      <c r="A1086" s="1" t="s">
        <v>2773</v>
      </c>
      <c r="B1086" s="1">
        <v>129</v>
      </c>
      <c r="C1086">
        <v>642.45239000000004</v>
      </c>
      <c r="D1086">
        <v>620.5</v>
      </c>
      <c r="E1086">
        <v>10.55955</v>
      </c>
      <c r="F1086" t="s">
        <v>0</v>
      </c>
      <c r="G1086" s="10" t="s">
        <v>2433</v>
      </c>
      <c r="H1086">
        <v>99</v>
      </c>
      <c r="I1086" t="s">
        <v>2769</v>
      </c>
      <c r="J1086">
        <f ca="1">VLOOKUP(G1086,INDIRECT("球速変換!A$1:B$" &amp; Prams!$B$8),2,)</f>
        <v>146</v>
      </c>
      <c r="K1086" t="str">
        <f ca="1">VLOOKUP(I1086,INDIRECT("投手名変換!A$1:B$" &amp; Prams!$B$9),2,)</f>
        <v>KR001</v>
      </c>
      <c r="L1086">
        <f t="shared" si="93"/>
        <v>30</v>
      </c>
      <c r="M1086">
        <f ca="1">(B1086-VLOOKUP(K1086,INDIRECT("投手データ!B1:D"&amp;Prams!$B$1),3,FALSE)*2)</f>
        <v>35</v>
      </c>
      <c r="N1086" t="str">
        <f ca="1">VLOOKUP(F1086,INDIRECT("球種変換表!A$1:B$" &amp; Prams!$B$2),2,)</f>
        <v>ストレート</v>
      </c>
      <c r="O1086">
        <f ca="1">VLOOKUP(N1086,球種情報!A:B,2,FALSE)</f>
        <v>1</v>
      </c>
      <c r="P1086">
        <f ca="1">VLOOKUP(K1086,投手データ!B:AI,output!O1086+6,FALSE)</f>
        <v>1</v>
      </c>
      <c r="R1086">
        <f t="shared" ca="1" si="94"/>
        <v>6.8493150684931503E-3</v>
      </c>
      <c r="S1086">
        <f t="shared" si="95"/>
        <v>0.48576388888888888</v>
      </c>
      <c r="T1086">
        <f>Prams!B$5/(S1086-Prams!B$6)</f>
        <v>145.30727898307077</v>
      </c>
      <c r="U1086">
        <f t="shared" ca="1" si="96"/>
        <v>0.56909722222222225</v>
      </c>
      <c r="V1086">
        <f ca="1">Prams!C$5/(U1086-Prams!C$6)</f>
        <v>145.29589565149269</v>
      </c>
      <c r="W1086">
        <f t="shared" ca="1" si="97"/>
        <v>0.99517736747597729</v>
      </c>
    </row>
    <row r="1087" spans="1:23" hidden="1" x14ac:dyDescent="0.55000000000000004">
      <c r="A1087" s="1" t="s">
        <v>2774</v>
      </c>
      <c r="B1087" s="1">
        <v>128</v>
      </c>
      <c r="C1087">
        <v>637</v>
      </c>
      <c r="D1087">
        <v>604</v>
      </c>
      <c r="E1087">
        <v>10.04998</v>
      </c>
      <c r="F1087" t="s">
        <v>0</v>
      </c>
      <c r="G1087" s="10" t="s">
        <v>638</v>
      </c>
      <c r="H1087">
        <v>99</v>
      </c>
      <c r="I1087" t="s">
        <v>2769</v>
      </c>
      <c r="J1087">
        <f ca="1">VLOOKUP(G1087,INDIRECT("球速変換!A$1:B$" &amp; Prams!$B$8),2,)</f>
        <v>147</v>
      </c>
      <c r="K1087" t="str">
        <f ca="1">VLOOKUP(I1087,INDIRECT("投手名変換!A$1:B$" &amp; Prams!$B$9),2,)</f>
        <v>KR001</v>
      </c>
      <c r="L1087">
        <f t="shared" si="93"/>
        <v>29</v>
      </c>
      <c r="M1087">
        <f ca="1">(B1087-VLOOKUP(K1087,INDIRECT("投手データ!B1:D"&amp;Prams!$B$1),3,FALSE)*2)</f>
        <v>34</v>
      </c>
      <c r="N1087" t="str">
        <f ca="1">VLOOKUP(F1087,INDIRECT("球種変換表!A$1:B$" &amp; Prams!$B$2),2,)</f>
        <v>ストレート</v>
      </c>
      <c r="O1087">
        <f ca="1">VLOOKUP(N1087,球種情報!A:B,2,FALSE)</f>
        <v>1</v>
      </c>
      <c r="P1087">
        <f ca="1">VLOOKUP(K1087,投手データ!B:AI,output!O1087+6,FALSE)</f>
        <v>1</v>
      </c>
      <c r="R1087">
        <f t="shared" ca="1" si="94"/>
        <v>6.8027210884353739E-3</v>
      </c>
      <c r="S1087">
        <f t="shared" si="95"/>
        <v>0.48055555555555551</v>
      </c>
      <c r="T1087">
        <f>Prams!B$5/(S1087-Prams!B$6)</f>
        <v>147.10810882267407</v>
      </c>
      <c r="U1087">
        <f t="shared" ca="1" si="96"/>
        <v>0.56388888888888888</v>
      </c>
      <c r="V1087">
        <f ca="1">Prams!C$5/(U1087-Prams!C$6)</f>
        <v>147.09644160101519</v>
      </c>
      <c r="W1087">
        <f t="shared" ca="1" si="97"/>
        <v>1.0006560653130285</v>
      </c>
    </row>
    <row r="1088" spans="1:23" hidden="1" x14ac:dyDescent="0.55000000000000004">
      <c r="A1088" s="1" t="s">
        <v>2775</v>
      </c>
      <c r="B1088" s="1">
        <v>128</v>
      </c>
      <c r="C1088">
        <v>639</v>
      </c>
      <c r="D1088">
        <v>600.5</v>
      </c>
      <c r="E1088">
        <v>10.012589999999999</v>
      </c>
      <c r="F1088" t="s">
        <v>656</v>
      </c>
      <c r="G1088" s="10" t="s">
        <v>619</v>
      </c>
      <c r="H1088">
        <v>99</v>
      </c>
      <c r="I1088" t="s">
        <v>2769</v>
      </c>
      <c r="J1088">
        <f ca="1">VLOOKUP(G1088,INDIRECT("球速変換!A$1:B$" &amp; Prams!$B$8),2,)</f>
        <v>146</v>
      </c>
      <c r="K1088" t="str">
        <f ca="1">VLOOKUP(I1088,INDIRECT("投手名変換!A$1:B$" &amp; Prams!$B$9),2,)</f>
        <v>KR001</v>
      </c>
      <c r="L1088">
        <f t="shared" si="93"/>
        <v>29</v>
      </c>
      <c r="M1088">
        <f ca="1">(B1088-VLOOKUP(K1088,INDIRECT("投手データ!B1:D"&amp;Prams!$B$1),3,FALSE)*2)</f>
        <v>34</v>
      </c>
      <c r="N1088" t="str">
        <f ca="1">VLOOKUP(F1088,INDIRECT("球種変換表!A$1:B$" &amp; Prams!$B$2),2,)</f>
        <v>ストレート</v>
      </c>
      <c r="O1088">
        <f ca="1">VLOOKUP(N1088,球種情報!A:B,2,FALSE)</f>
        <v>1</v>
      </c>
      <c r="P1088">
        <f ca="1">VLOOKUP(K1088,投手データ!B:AI,output!O1088+6,FALSE)</f>
        <v>1</v>
      </c>
      <c r="R1088">
        <f t="shared" ca="1" si="94"/>
        <v>6.8493150684931503E-3</v>
      </c>
      <c r="S1088">
        <f t="shared" si="95"/>
        <v>0.48298611111111112</v>
      </c>
      <c r="T1088">
        <f>Prams!B$5/(S1088-Prams!B$6)</f>
        <v>146.26219876845835</v>
      </c>
      <c r="U1088">
        <f t="shared" ca="1" si="96"/>
        <v>0.56631944444444438</v>
      </c>
      <c r="V1088">
        <f ca="1">Prams!C$5/(U1088-Prams!C$6)</f>
        <v>146.2506653349017</v>
      </c>
      <c r="W1088">
        <f t="shared" ca="1" si="97"/>
        <v>1.001716885855491</v>
      </c>
    </row>
    <row r="1089" spans="1:24" hidden="1" x14ac:dyDescent="0.55000000000000004">
      <c r="A1089" s="1" t="s">
        <v>2777</v>
      </c>
      <c r="B1089" s="1">
        <v>128</v>
      </c>
      <c r="C1089">
        <v>634.5</v>
      </c>
      <c r="D1089">
        <v>601.5</v>
      </c>
      <c r="E1089">
        <v>10.512</v>
      </c>
      <c r="F1089" t="s">
        <v>716</v>
      </c>
      <c r="G1089" s="10" t="s">
        <v>619</v>
      </c>
      <c r="H1089">
        <v>99</v>
      </c>
      <c r="I1089" t="s">
        <v>2776</v>
      </c>
      <c r="J1089">
        <f ca="1">VLOOKUP(G1089,INDIRECT("球速変換!A$1:B$" &amp; Prams!$B$8),2,)</f>
        <v>146</v>
      </c>
      <c r="K1089" t="str">
        <f ca="1">VLOOKUP(I1089,INDIRECT("投手名変換!A$1:B$" &amp; Prams!$B$9),2,)</f>
        <v>KR001</v>
      </c>
      <c r="L1089">
        <f t="shared" si="93"/>
        <v>29</v>
      </c>
      <c r="M1089">
        <f ca="1">(B1089-VLOOKUP(K1089,INDIRECT("投手データ!B1:D"&amp;Prams!$B$1),3,FALSE)*2)</f>
        <v>34</v>
      </c>
      <c r="N1089" t="str">
        <f ca="1">VLOOKUP(F1089,INDIRECT("球種変換表!A$1:B$" &amp; Prams!$B$2),2,)</f>
        <v>ストレート</v>
      </c>
      <c r="O1089">
        <f ca="1">VLOOKUP(N1089,球種情報!A:B,2,FALSE)</f>
        <v>1</v>
      </c>
      <c r="P1089">
        <f ca="1">VLOOKUP(K1089,投手データ!B:AI,output!O1089+6,FALSE)</f>
        <v>1</v>
      </c>
      <c r="R1089">
        <f t="shared" ca="1" si="94"/>
        <v>6.8493150684931503E-3</v>
      </c>
      <c r="S1089">
        <f t="shared" si="95"/>
        <v>0.48229166666666667</v>
      </c>
      <c r="T1089">
        <f>Prams!B$5/(S1089-Prams!B$6)</f>
        <v>146.50289302711349</v>
      </c>
      <c r="U1089">
        <f t="shared" ca="1" si="96"/>
        <v>0.56562500000000004</v>
      </c>
      <c r="V1089">
        <f ca="1">Prams!C$5/(U1089-Prams!C$6)</f>
        <v>146.49132160417037</v>
      </c>
      <c r="W1089">
        <f t="shared" ca="1" si="97"/>
        <v>1.0033652164669202</v>
      </c>
    </row>
    <row r="1090" spans="1:24" hidden="1" x14ac:dyDescent="0.55000000000000004">
      <c r="A1090" s="1" t="s">
        <v>2779</v>
      </c>
      <c r="B1090" s="1">
        <v>128</v>
      </c>
      <c r="C1090">
        <v>641.95001000000002</v>
      </c>
      <c r="D1090">
        <v>603.5</v>
      </c>
      <c r="E1090">
        <v>10.062519999999999</v>
      </c>
      <c r="F1090" t="s">
        <v>0</v>
      </c>
      <c r="G1090" s="10" t="s">
        <v>638</v>
      </c>
      <c r="H1090">
        <v>99</v>
      </c>
      <c r="I1090" t="s">
        <v>2778</v>
      </c>
      <c r="J1090">
        <f ca="1">VLOOKUP(G1090,INDIRECT("球速変換!A$1:B$" &amp; Prams!$B$8),2,)</f>
        <v>147</v>
      </c>
      <c r="K1090" t="str">
        <f ca="1">VLOOKUP(I1090,INDIRECT("投手名変換!A$1:B$" &amp; Prams!$B$9),2,)</f>
        <v>KR001</v>
      </c>
      <c r="L1090">
        <f t="shared" si="93"/>
        <v>29</v>
      </c>
      <c r="M1090">
        <f ca="1">(B1090-VLOOKUP(K1090,INDIRECT("投手データ!B1:D"&amp;Prams!$B$1),3,FALSE)*2)</f>
        <v>34</v>
      </c>
      <c r="N1090" t="str">
        <f ca="1">VLOOKUP(F1090,INDIRECT("球種変換表!A$1:B$" &amp; Prams!$B$2),2,)</f>
        <v>ストレート</v>
      </c>
      <c r="O1090">
        <f ca="1">VLOOKUP(N1090,球種情報!A:B,2,FALSE)</f>
        <v>1</v>
      </c>
      <c r="P1090">
        <f ca="1">VLOOKUP(K1090,投手データ!B:AI,output!O1090+6,FALSE)</f>
        <v>1</v>
      </c>
      <c r="R1090">
        <f t="shared" ca="1" si="94"/>
        <v>6.8027210884353739E-3</v>
      </c>
      <c r="S1090">
        <f t="shared" si="95"/>
        <v>0.48090277777777779</v>
      </c>
      <c r="T1090">
        <f>Prams!B$5/(S1090-Prams!B$6)</f>
        <v>146.98666596221031</v>
      </c>
      <c r="U1090">
        <f t="shared" ca="1" si="96"/>
        <v>0.56423611111111105</v>
      </c>
      <c r="V1090">
        <f ca="1">Prams!C$5/(U1090-Prams!C$6)</f>
        <v>146.97501799523212</v>
      </c>
      <c r="W1090">
        <f t="shared" ca="1" si="97"/>
        <v>0.99983005438933414</v>
      </c>
    </row>
    <row r="1091" spans="1:24" hidden="1" x14ac:dyDescent="0.55000000000000004">
      <c r="A1091" s="1" t="s">
        <v>2781</v>
      </c>
      <c r="B1091" s="1">
        <v>129</v>
      </c>
      <c r="C1091">
        <v>639</v>
      </c>
      <c r="D1091">
        <v>618.5</v>
      </c>
      <c r="E1091">
        <v>11.01146</v>
      </c>
      <c r="F1091" t="s">
        <v>0</v>
      </c>
      <c r="G1091" s="10" t="s">
        <v>2780</v>
      </c>
      <c r="H1091">
        <v>99</v>
      </c>
      <c r="I1091" t="s">
        <v>2771</v>
      </c>
      <c r="J1091">
        <f ca="1">VLOOKUP(G1091,INDIRECT("球速変換!A$1:B$" &amp; Prams!$B$8),2,)</f>
        <v>144</v>
      </c>
      <c r="K1091" t="str">
        <f ca="1">VLOOKUP(I1091,INDIRECT("投手名変換!A$1:B$" &amp; Prams!$B$9),2,)</f>
        <v>KR001</v>
      </c>
      <c r="L1091">
        <f t="shared" si="93"/>
        <v>30</v>
      </c>
      <c r="M1091">
        <f ca="1">(B1091-VLOOKUP(K1091,INDIRECT("投手データ!B1:D"&amp;Prams!$B$1),3,FALSE)*2)</f>
        <v>35</v>
      </c>
      <c r="N1091" t="str">
        <f ca="1">VLOOKUP(F1091,INDIRECT("球種変換表!A$1:B$" &amp; Prams!$B$2),2,)</f>
        <v>ストレート</v>
      </c>
      <c r="O1091">
        <f ca="1">VLOOKUP(N1091,球種情報!A:B,2,FALSE)</f>
        <v>1</v>
      </c>
      <c r="P1091">
        <f ca="1">VLOOKUP(K1091,投手データ!B:AI,output!O1091+6,FALSE)</f>
        <v>1</v>
      </c>
      <c r="R1091">
        <f t="shared" ca="1" si="94"/>
        <v>6.9444444444444441E-3</v>
      </c>
      <c r="S1091">
        <f t="shared" si="95"/>
        <v>0.48715277777777782</v>
      </c>
      <c r="T1091">
        <f>Prams!B$5/(S1091-Prams!B$6)</f>
        <v>144.83447975167081</v>
      </c>
      <c r="U1091">
        <f t="shared" ca="1" si="96"/>
        <v>0.57048611111111103</v>
      </c>
      <c r="V1091">
        <f ca="1">Prams!C$5/(U1091-Prams!C$6)</f>
        <v>144.82317037461203</v>
      </c>
      <c r="W1091">
        <f t="shared" ca="1" si="97"/>
        <v>1.0057164609348057</v>
      </c>
    </row>
    <row r="1092" spans="1:24" hidden="1" x14ac:dyDescent="0.55000000000000004">
      <c r="A1092" s="1" t="s">
        <v>2783</v>
      </c>
      <c r="B1092" s="1">
        <v>129</v>
      </c>
      <c r="C1092">
        <v>641</v>
      </c>
      <c r="D1092">
        <v>620</v>
      </c>
      <c r="E1092">
        <v>11.0001</v>
      </c>
      <c r="F1092" t="s">
        <v>0</v>
      </c>
      <c r="G1092" s="10" t="s">
        <v>611</v>
      </c>
      <c r="H1092">
        <v>99</v>
      </c>
      <c r="I1092" t="s">
        <v>2782</v>
      </c>
      <c r="J1092">
        <f ca="1">VLOOKUP(G1092,INDIRECT("球速変換!A$1:B$" &amp; Prams!$B$8),2,)</f>
        <v>146</v>
      </c>
      <c r="K1092" t="str">
        <f ca="1">VLOOKUP(I1092,INDIRECT("投手名変換!A$1:B$" &amp; Prams!$B$9),2,)</f>
        <v>KR001</v>
      </c>
      <c r="L1092">
        <f t="shared" si="93"/>
        <v>30</v>
      </c>
      <c r="M1092">
        <f ca="1">(B1092-VLOOKUP(K1092,INDIRECT("投手データ!B1:D"&amp;Prams!$B$1),3,FALSE)*2)</f>
        <v>35</v>
      </c>
      <c r="N1092" t="str">
        <f ca="1">VLOOKUP(F1092,INDIRECT("球種変換表!A$1:B$" &amp; Prams!$B$2),2,)</f>
        <v>ストレート</v>
      </c>
      <c r="O1092">
        <f ca="1">VLOOKUP(N1092,球種情報!A:B,2,FALSE)</f>
        <v>1</v>
      </c>
      <c r="P1092">
        <f ca="1">VLOOKUP(K1092,投手データ!B:AI,output!O1092+6,FALSE)</f>
        <v>1</v>
      </c>
      <c r="R1092">
        <f t="shared" ca="1" si="94"/>
        <v>6.8493150684931503E-3</v>
      </c>
      <c r="S1092">
        <f t="shared" si="95"/>
        <v>0.4861111111111111</v>
      </c>
      <c r="T1092">
        <f>Prams!B$5/(S1092-Prams!B$6)</f>
        <v>145.18879002165804</v>
      </c>
      <c r="U1092">
        <f t="shared" ca="1" si="96"/>
        <v>0.56944444444444442</v>
      </c>
      <c r="V1092">
        <f ca="1">Prams!C$5/(U1092-Prams!C$6)</f>
        <v>145.17742524656893</v>
      </c>
      <c r="W1092">
        <f t="shared" ca="1" si="97"/>
        <v>0.99436592634636256</v>
      </c>
    </row>
    <row r="1093" spans="1:24" hidden="1" x14ac:dyDescent="0.55000000000000004">
      <c r="A1093" s="1" t="s">
        <v>2784</v>
      </c>
      <c r="B1093" s="1">
        <v>125</v>
      </c>
      <c r="C1093">
        <v>641</v>
      </c>
      <c r="D1093">
        <v>614.5</v>
      </c>
      <c r="E1093">
        <v>11.01146</v>
      </c>
      <c r="F1093" t="s">
        <v>343</v>
      </c>
      <c r="G1093" s="10" t="s">
        <v>1034</v>
      </c>
      <c r="H1093">
        <v>98</v>
      </c>
      <c r="I1093" t="s">
        <v>2771</v>
      </c>
      <c r="J1093">
        <f ca="1">VLOOKUP(G1093,INDIRECT("球速変換!A$1:B$" &amp; Prams!$B$8),2,)</f>
        <v>145</v>
      </c>
      <c r="K1093" t="str">
        <f ca="1">VLOOKUP(I1093,INDIRECT("投手名変換!A$1:B$" &amp; Prams!$B$9),2,)</f>
        <v>KR001</v>
      </c>
      <c r="L1093">
        <f t="shared" si="93"/>
        <v>27</v>
      </c>
      <c r="M1093">
        <f ca="1">(B1093-VLOOKUP(K1093,INDIRECT("投手データ!B1:D"&amp;Prams!$B$1),3,FALSE)*2)</f>
        <v>31</v>
      </c>
      <c r="N1093" t="str">
        <f ca="1">VLOOKUP(F1093,INDIRECT("球種変換表!A$1:B$" &amp; Prams!$B$2),2,)</f>
        <v>全力ストレート</v>
      </c>
      <c r="O1093">
        <f ca="1">VLOOKUP(N1093,球種情報!A:B,2,FALSE)</f>
        <v>2</v>
      </c>
      <c r="P1093">
        <f ca="1">VLOOKUP(K1093,投手データ!B:AI,output!O1093+6,FALSE)</f>
        <v>1</v>
      </c>
      <c r="R1093">
        <f t="shared" ca="1" si="94"/>
        <v>6.8965517241379309E-3</v>
      </c>
      <c r="S1093">
        <f t="shared" si="95"/>
        <v>0.43993055555555555</v>
      </c>
      <c r="T1093">
        <f>Prams!B$5/(S1093-Prams!B$6)</f>
        <v>162.85043207211692</v>
      </c>
      <c r="U1093">
        <f t="shared" ca="1" si="96"/>
        <v>0.50659722222222225</v>
      </c>
      <c r="V1093">
        <f ca="1">Prams!C$5/(U1093-Prams!C$6)</f>
        <v>170.31259804559264</v>
      </c>
      <c r="W1093">
        <f t="shared" ca="1" si="97"/>
        <v>1.1745696416937423</v>
      </c>
    </row>
    <row r="1094" spans="1:24" hidden="1" x14ac:dyDescent="0.55000000000000004">
      <c r="A1094" s="1" t="s">
        <v>2786</v>
      </c>
      <c r="B1094" s="1">
        <v>125</v>
      </c>
      <c r="C1094">
        <v>641.95001000000002</v>
      </c>
      <c r="D1094">
        <v>622.5</v>
      </c>
      <c r="E1094">
        <v>10.062519999999999</v>
      </c>
      <c r="F1094" t="s">
        <v>343</v>
      </c>
      <c r="G1094" s="10" t="s">
        <v>967</v>
      </c>
      <c r="H1094">
        <v>98</v>
      </c>
      <c r="I1094" t="s">
        <v>2785</v>
      </c>
      <c r="J1094">
        <f ca="1">VLOOKUP(G1094,INDIRECT("球速変換!A$1:B$" &amp; Prams!$B$8),2,)</f>
        <v>148</v>
      </c>
      <c r="K1094" t="str">
        <f ca="1">VLOOKUP(I1094,INDIRECT("投手名変換!A$1:B$" &amp; Prams!$B$9),2,)</f>
        <v>KR001</v>
      </c>
      <c r="L1094">
        <f t="shared" si="93"/>
        <v>27</v>
      </c>
      <c r="M1094">
        <f ca="1">(B1094-VLOOKUP(K1094,INDIRECT("投手データ!B1:D"&amp;Prams!$B$1),3,FALSE)*2)</f>
        <v>31</v>
      </c>
      <c r="N1094" t="str">
        <f ca="1">VLOOKUP(F1094,INDIRECT("球種変換表!A$1:B$" &amp; Prams!$B$2),2,)</f>
        <v>全力ストレート</v>
      </c>
      <c r="O1094">
        <f ca="1">VLOOKUP(N1094,球種情報!A:B,2,FALSE)</f>
        <v>2</v>
      </c>
      <c r="P1094">
        <f ca="1">VLOOKUP(K1094,投手データ!B:AI,output!O1094+6,FALSE)</f>
        <v>1</v>
      </c>
      <c r="R1094">
        <f t="shared" ca="1" si="94"/>
        <v>6.7567567567567571E-3</v>
      </c>
      <c r="S1094">
        <f t="shared" si="95"/>
        <v>0.43437500000000001</v>
      </c>
      <c r="T1094">
        <f>Prams!B$5/(S1094-Prams!B$6)</f>
        <v>165.26899685891868</v>
      </c>
      <c r="U1094">
        <f t="shared" ca="1" si="96"/>
        <v>0.50104166666666672</v>
      </c>
      <c r="V1094">
        <f ca="1">Prams!C$5/(U1094-Prams!C$6)</f>
        <v>172.9596903923717</v>
      </c>
      <c r="W1094">
        <f t="shared" ca="1" si="97"/>
        <v>1.1686465567052142</v>
      </c>
    </row>
    <row r="1095" spans="1:24" hidden="1" x14ac:dyDescent="0.55000000000000004">
      <c r="A1095" s="1" t="s">
        <v>2788</v>
      </c>
      <c r="B1095" s="1">
        <v>125</v>
      </c>
      <c r="C1095">
        <v>640.5</v>
      </c>
      <c r="D1095">
        <v>614.5</v>
      </c>
      <c r="E1095">
        <v>10.512</v>
      </c>
      <c r="F1095" t="s">
        <v>343</v>
      </c>
      <c r="G1095" s="10" t="s">
        <v>1034</v>
      </c>
      <c r="H1095">
        <v>98</v>
      </c>
      <c r="I1095" t="s">
        <v>2787</v>
      </c>
      <c r="J1095">
        <f ca="1">VLOOKUP(G1095,INDIRECT("球速変換!A$1:B$" &amp; Prams!$B$8),2,)</f>
        <v>145</v>
      </c>
      <c r="K1095" t="str">
        <f ca="1">VLOOKUP(I1095,INDIRECT("投手名変換!A$1:B$" &amp; Prams!$B$9),2,)</f>
        <v>KR001</v>
      </c>
      <c r="L1095">
        <f t="shared" si="93"/>
        <v>27</v>
      </c>
      <c r="M1095">
        <f ca="1">(B1095-VLOOKUP(K1095,INDIRECT("投手データ!B1:D"&amp;Prams!$B$1),3,FALSE)*2)</f>
        <v>31</v>
      </c>
      <c r="N1095" t="str">
        <f ca="1">VLOOKUP(F1095,INDIRECT("球種変換表!A$1:B$" &amp; Prams!$B$2),2,)</f>
        <v>全力ストレート</v>
      </c>
      <c r="O1095">
        <f ca="1">VLOOKUP(N1095,球種情報!A:B,2,FALSE)</f>
        <v>2</v>
      </c>
      <c r="P1095">
        <f ca="1">VLOOKUP(K1095,投手データ!B:AI,output!O1095+6,FALSE)</f>
        <v>1</v>
      </c>
      <c r="R1095">
        <f t="shared" ca="1" si="94"/>
        <v>6.8965517241379309E-3</v>
      </c>
      <c r="S1095">
        <f t="shared" si="95"/>
        <v>0.43993055555555555</v>
      </c>
      <c r="T1095">
        <f>Prams!B$5/(S1095-Prams!B$6)</f>
        <v>162.85043207211692</v>
      </c>
      <c r="U1095">
        <f t="shared" ca="1" si="96"/>
        <v>0.50659722222222225</v>
      </c>
      <c r="V1095">
        <f ca="1">Prams!C$5/(U1095-Prams!C$6)</f>
        <v>170.31259804559264</v>
      </c>
      <c r="W1095">
        <f t="shared" ca="1" si="97"/>
        <v>1.1745696416937423</v>
      </c>
    </row>
    <row r="1096" spans="1:24" hidden="1" x14ac:dyDescent="0.55000000000000004">
      <c r="A1096" s="1" t="s">
        <v>2789</v>
      </c>
      <c r="B1096" s="1">
        <v>125</v>
      </c>
      <c r="C1096">
        <v>640</v>
      </c>
      <c r="D1096">
        <v>608.5</v>
      </c>
      <c r="E1096">
        <v>11.01146</v>
      </c>
      <c r="F1096" t="s">
        <v>343</v>
      </c>
      <c r="G1096" s="10" t="s">
        <v>584</v>
      </c>
      <c r="H1096">
        <v>98</v>
      </c>
      <c r="I1096" t="s">
        <v>2771</v>
      </c>
      <c r="J1096">
        <f ca="1">VLOOKUP(G1096,INDIRECT("球速変換!A$1:B$" &amp; Prams!$B$8),2,)</f>
        <v>141</v>
      </c>
      <c r="K1096" t="str">
        <f ca="1">VLOOKUP(I1096,INDIRECT("投手名変換!A$1:B$" &amp; Prams!$B$9),2,)</f>
        <v>KR001</v>
      </c>
      <c r="L1096">
        <f t="shared" si="93"/>
        <v>27</v>
      </c>
      <c r="M1096">
        <f ca="1">(B1096-VLOOKUP(K1096,INDIRECT("投手データ!B1:D"&amp;Prams!$B$1),3,FALSE)*2)</f>
        <v>31</v>
      </c>
      <c r="N1096" t="str">
        <f ca="1">VLOOKUP(F1096,INDIRECT("球種変換表!A$1:B$" &amp; Prams!$B$2),2,)</f>
        <v>全力ストレート</v>
      </c>
      <c r="O1096">
        <f ca="1">VLOOKUP(N1096,球種情報!A:B,2,FALSE)</f>
        <v>2</v>
      </c>
      <c r="P1096">
        <f ca="1">VLOOKUP(K1096,投手データ!B:AI,output!O1096+6,FALSE)</f>
        <v>1</v>
      </c>
      <c r="R1096">
        <f t="shared" ca="1" si="94"/>
        <v>7.0921985815602835E-3</v>
      </c>
      <c r="S1096">
        <f t="shared" si="95"/>
        <v>0.4440972222222222</v>
      </c>
      <c r="T1096">
        <f>Prams!B$5/(S1096-Prams!B$6)</f>
        <v>161.08245818466062</v>
      </c>
      <c r="U1096">
        <f t="shared" ca="1" si="96"/>
        <v>0.51076388888888891</v>
      </c>
      <c r="V1096">
        <f ca="1">Prams!C$5/(U1096-Prams!C$6)</f>
        <v>168.37984853872399</v>
      </c>
      <c r="W1096">
        <f t="shared" ca="1" si="97"/>
        <v>1.1941833229696737</v>
      </c>
    </row>
    <row r="1097" spans="1:24" hidden="1" x14ac:dyDescent="0.55000000000000004">
      <c r="A1097" s="1" t="s">
        <v>2791</v>
      </c>
      <c r="B1097" s="1">
        <v>125</v>
      </c>
      <c r="C1097">
        <v>640</v>
      </c>
      <c r="D1097">
        <v>611.5</v>
      </c>
      <c r="E1097">
        <v>11.01146</v>
      </c>
      <c r="F1097" t="s">
        <v>343</v>
      </c>
      <c r="G1097" s="10" t="s">
        <v>2790</v>
      </c>
      <c r="H1097">
        <v>98</v>
      </c>
      <c r="I1097" t="s">
        <v>2771</v>
      </c>
      <c r="J1097">
        <f ca="1">VLOOKUP(G1097,INDIRECT("球速変換!A$1:B$" &amp; Prams!$B$8),2,)</f>
        <v>144</v>
      </c>
      <c r="K1097" t="str">
        <f ca="1">VLOOKUP(I1097,INDIRECT("投手名変換!A$1:B$" &amp; Prams!$B$9),2,)</f>
        <v>KR001</v>
      </c>
      <c r="L1097">
        <f t="shared" si="93"/>
        <v>27</v>
      </c>
      <c r="M1097">
        <f ca="1">(B1097-VLOOKUP(K1097,INDIRECT("投手データ!B1:D"&amp;Prams!$B$1),3,FALSE)*2)</f>
        <v>31</v>
      </c>
      <c r="N1097" t="str">
        <f ca="1">VLOOKUP(F1097,INDIRECT("球種変換表!A$1:B$" &amp; Prams!$B$2),2,)</f>
        <v>全力ストレート</v>
      </c>
      <c r="O1097">
        <f ca="1">VLOOKUP(N1097,球種情報!A:B,2,FALSE)</f>
        <v>2</v>
      </c>
      <c r="P1097">
        <f ca="1">VLOOKUP(K1097,投手データ!B:AI,output!O1097+6,FALSE)</f>
        <v>1</v>
      </c>
      <c r="R1097">
        <f t="shared" ca="1" si="94"/>
        <v>6.9444444444444441E-3</v>
      </c>
      <c r="S1097">
        <f t="shared" si="95"/>
        <v>0.44201388888888887</v>
      </c>
      <c r="T1097">
        <f>Prams!B$5/(S1097-Prams!B$6)</f>
        <v>161.96162046908316</v>
      </c>
      <c r="U1097">
        <f t="shared" ca="1" si="96"/>
        <v>0.50868055555555558</v>
      </c>
      <c r="V1097">
        <f ca="1">Prams!C$5/(U1097-Prams!C$6)</f>
        <v>169.34070867160216</v>
      </c>
      <c r="W1097">
        <f t="shared" ca="1" si="97"/>
        <v>1.1759771435527928</v>
      </c>
    </row>
    <row r="1098" spans="1:24" hidden="1" x14ac:dyDescent="0.55000000000000004">
      <c r="A1098" s="1" t="s">
        <v>2792</v>
      </c>
      <c r="B1098" s="1">
        <v>125</v>
      </c>
      <c r="C1098">
        <v>641</v>
      </c>
      <c r="D1098">
        <v>621.5</v>
      </c>
      <c r="E1098">
        <v>11.01146</v>
      </c>
      <c r="F1098" t="s">
        <v>343</v>
      </c>
      <c r="G1098" s="10" t="s">
        <v>638</v>
      </c>
      <c r="H1098">
        <v>98</v>
      </c>
      <c r="I1098" t="s">
        <v>2771</v>
      </c>
      <c r="J1098">
        <f ca="1">VLOOKUP(G1098,INDIRECT("球速変換!A$1:B$" &amp; Prams!$B$8),2,)</f>
        <v>147</v>
      </c>
      <c r="K1098" t="str">
        <f ca="1">VLOOKUP(I1098,INDIRECT("投手名変換!A$1:B$" &amp; Prams!$B$9),2,)</f>
        <v>KR001</v>
      </c>
      <c r="L1098">
        <f t="shared" si="93"/>
        <v>27</v>
      </c>
      <c r="M1098">
        <f ca="1">(B1098-VLOOKUP(K1098,INDIRECT("投手データ!B1:D"&amp;Prams!$B$1),3,FALSE)*2)</f>
        <v>31</v>
      </c>
      <c r="N1098" t="str">
        <f ca="1">VLOOKUP(F1098,INDIRECT("球種変換表!A$1:B$" &amp; Prams!$B$2),2,)</f>
        <v>全力ストレート</v>
      </c>
      <c r="O1098">
        <f ca="1">VLOOKUP(N1098,球種情報!A:B,2,FALSE)</f>
        <v>2</v>
      </c>
      <c r="P1098">
        <f ca="1">VLOOKUP(K1098,投手データ!B:AI,output!O1098+6,FALSE)</f>
        <v>1</v>
      </c>
      <c r="R1098">
        <f t="shared" ca="1" si="94"/>
        <v>6.8027210884353739E-3</v>
      </c>
      <c r="S1098">
        <f t="shared" si="95"/>
        <v>0.43506944444444445</v>
      </c>
      <c r="T1098">
        <f>Prams!B$5/(S1098-Prams!B$6)</f>
        <v>164.96275487892558</v>
      </c>
      <c r="U1098">
        <f t="shared" ca="1" si="96"/>
        <v>0.50173611111111116</v>
      </c>
      <c r="V1098">
        <f ca="1">Prams!C$5/(U1098-Prams!C$6)</f>
        <v>172.62431260616307</v>
      </c>
      <c r="W1098">
        <f t="shared" ca="1" si="97"/>
        <v>1.174315051742606</v>
      </c>
    </row>
    <row r="1099" spans="1:24" hidden="1" x14ac:dyDescent="0.55000000000000004">
      <c r="A1099" s="1" t="s">
        <v>2795</v>
      </c>
      <c r="B1099" s="1">
        <v>125</v>
      </c>
      <c r="C1099">
        <v>640.5</v>
      </c>
      <c r="D1099">
        <v>616.5</v>
      </c>
      <c r="E1099">
        <v>10.512</v>
      </c>
      <c r="F1099" t="s">
        <v>2793</v>
      </c>
      <c r="G1099" s="10" t="s">
        <v>611</v>
      </c>
      <c r="H1099">
        <v>98</v>
      </c>
      <c r="I1099" t="s">
        <v>2794</v>
      </c>
      <c r="J1099">
        <f ca="1">VLOOKUP(G1099,INDIRECT("球速変換!A$1:B$" &amp; Prams!$B$8),2,)</f>
        <v>146</v>
      </c>
      <c r="K1099" t="str">
        <f ca="1">VLOOKUP(I1099,INDIRECT("投手名変換!A$1:B$" &amp; Prams!$B$9),2,)</f>
        <v>KR001</v>
      </c>
      <c r="L1099">
        <f t="shared" si="93"/>
        <v>27</v>
      </c>
      <c r="M1099">
        <f ca="1">(B1099-VLOOKUP(K1099,INDIRECT("投手データ!B1:D"&amp;Prams!$B$1),3,FALSE)*2)</f>
        <v>31</v>
      </c>
      <c r="N1099" t="str">
        <f ca="1">VLOOKUP(F1099,INDIRECT("球種変換表!A$1:B$" &amp; Prams!$B$2),2,)</f>
        <v>全力ストレート</v>
      </c>
      <c r="O1099">
        <f ca="1">VLOOKUP(N1099,球種情報!A:B,2,FALSE)</f>
        <v>2</v>
      </c>
      <c r="P1099">
        <f ca="1">VLOOKUP(K1099,投手データ!B:AI,output!O1099+6,FALSE)</f>
        <v>1</v>
      </c>
      <c r="R1099">
        <f t="shared" ca="1" si="94"/>
        <v>6.8493150684931503E-3</v>
      </c>
      <c r="S1099">
        <f t="shared" si="95"/>
        <v>0.43854166666666666</v>
      </c>
      <c r="T1099">
        <f>Prams!B$5/(S1099-Prams!B$6)</f>
        <v>163.44841261098506</v>
      </c>
      <c r="U1099">
        <f t="shared" ca="1" si="96"/>
        <v>0.50520833333333337</v>
      </c>
      <c r="V1099">
        <f ca="1">Prams!C$5/(U1099-Prams!C$6)</f>
        <v>170.96674578849121</v>
      </c>
      <c r="W1099">
        <f t="shared" ca="1" si="97"/>
        <v>1.1710051081403507</v>
      </c>
    </row>
    <row r="1100" spans="1:24" hidden="1" x14ac:dyDescent="0.55000000000000004">
      <c r="A1100" s="1" t="s">
        <v>2796</v>
      </c>
      <c r="B1100" s="1">
        <v>125</v>
      </c>
      <c r="C1100">
        <v>641</v>
      </c>
      <c r="D1100">
        <v>612</v>
      </c>
      <c r="E1100">
        <v>11.04546</v>
      </c>
      <c r="F1100" t="s">
        <v>92</v>
      </c>
      <c r="G1100" s="10" t="s">
        <v>615</v>
      </c>
      <c r="H1100">
        <v>98</v>
      </c>
      <c r="I1100" t="s">
        <v>2771</v>
      </c>
      <c r="J1100">
        <f ca="1">VLOOKUP(G1100,INDIRECT("球速変換!A$1:B$" &amp; Prams!$B$8),2,)</f>
        <v>144</v>
      </c>
      <c r="K1100" t="str">
        <f ca="1">VLOOKUP(I1100,INDIRECT("投手名変換!A$1:B$" &amp; Prams!$B$9),2,)</f>
        <v>KR001</v>
      </c>
      <c r="L1100">
        <f t="shared" si="93"/>
        <v>27</v>
      </c>
      <c r="M1100">
        <f ca="1">(B1100-VLOOKUP(K1100,INDIRECT("投手データ!B1:D"&amp;Prams!$B$1),3,FALSE)*2)</f>
        <v>31</v>
      </c>
      <c r="N1100" t="str">
        <f ca="1">VLOOKUP(F1100,INDIRECT("球種変換表!A$1:B$" &amp; Prams!$B$2),2,)</f>
        <v>全力ストレート</v>
      </c>
      <c r="O1100">
        <f ca="1">VLOOKUP(N1100,球種情報!A:B,2,FALSE)</f>
        <v>2</v>
      </c>
      <c r="P1100">
        <f ca="1">VLOOKUP(K1100,投手データ!B:AI,output!O1100+6,FALSE)</f>
        <v>1</v>
      </c>
      <c r="R1100">
        <f t="shared" ca="1" si="94"/>
        <v>6.9444444444444441E-3</v>
      </c>
      <c r="S1100">
        <f t="shared" si="95"/>
        <v>0.44166666666666665</v>
      </c>
      <c r="T1100">
        <f>Prams!B$5/(S1100-Prams!B$6)</f>
        <v>162.1090813740058</v>
      </c>
      <c r="U1100">
        <f t="shared" ca="1" si="96"/>
        <v>0.5083333333333333</v>
      </c>
      <c r="V1100">
        <f ca="1">Prams!C$5/(U1100-Prams!C$6)</f>
        <v>169.50191921038203</v>
      </c>
      <c r="W1100">
        <f t="shared" ca="1" si="97"/>
        <v>1.1770966611832085</v>
      </c>
    </row>
    <row r="1101" spans="1:24" hidden="1" x14ac:dyDescent="0.55000000000000004">
      <c r="A1101" s="1" t="s">
        <v>2797</v>
      </c>
      <c r="B1101" s="1">
        <v>125</v>
      </c>
      <c r="C1101">
        <v>640</v>
      </c>
      <c r="D1101">
        <v>611</v>
      </c>
      <c r="E1101">
        <v>11.0001</v>
      </c>
      <c r="F1101" t="s">
        <v>343</v>
      </c>
      <c r="G1101" s="10" t="s">
        <v>972</v>
      </c>
      <c r="H1101">
        <v>98</v>
      </c>
      <c r="I1101" t="s">
        <v>2771</v>
      </c>
      <c r="J1101">
        <f ca="1">VLOOKUP(G1101,INDIRECT("球速変換!A$1:B$" &amp; Prams!$B$8),2,)</f>
        <v>144</v>
      </c>
      <c r="K1101" t="str">
        <f ca="1">VLOOKUP(I1101,INDIRECT("投手名変換!A$1:B$" &amp; Prams!$B$9),2,)</f>
        <v>KR001</v>
      </c>
      <c r="L1101">
        <f t="shared" si="93"/>
        <v>27</v>
      </c>
      <c r="M1101">
        <f ca="1">(B1101-VLOOKUP(K1101,INDIRECT("投手データ!B1:D"&amp;Prams!$B$1),3,FALSE)*2)</f>
        <v>31</v>
      </c>
      <c r="N1101" t="str">
        <f ca="1">VLOOKUP(F1101,INDIRECT("球種変換表!A$1:B$" &amp; Prams!$B$2),2,)</f>
        <v>全力ストレート</v>
      </c>
      <c r="O1101">
        <f ca="1">VLOOKUP(N1101,球種情報!A:B,2,FALSE)</f>
        <v>2</v>
      </c>
      <c r="P1101">
        <f ca="1">VLOOKUP(K1101,投手データ!B:AI,output!O1101+6,FALSE)</f>
        <v>1</v>
      </c>
      <c r="R1101">
        <f t="shared" ca="1" si="94"/>
        <v>6.9444444444444441E-3</v>
      </c>
      <c r="S1101">
        <f t="shared" si="95"/>
        <v>0.44236111111111115</v>
      </c>
      <c r="T1101">
        <f>Prams!B$5/(S1101-Prams!B$6)</f>
        <v>161.81442759302612</v>
      </c>
      <c r="U1101">
        <f t="shared" ca="1" si="96"/>
        <v>0.50902777777777775</v>
      </c>
      <c r="V1101">
        <f ca="1">Prams!C$5/(U1101-Prams!C$6)</f>
        <v>169.1798044909315</v>
      </c>
      <c r="W1101">
        <f t="shared" ca="1" si="97"/>
        <v>1.1748597534092466</v>
      </c>
    </row>
    <row r="1102" spans="1:24" hidden="1" x14ac:dyDescent="0.55000000000000004">
      <c r="A1102" s="1" t="s">
        <v>2798</v>
      </c>
      <c r="B1102" s="1" t="s">
        <v>17</v>
      </c>
      <c r="C1102" t="s">
        <v>17</v>
      </c>
      <c r="D1102" t="s">
        <v>17</v>
      </c>
      <c r="E1102" t="s">
        <v>17</v>
      </c>
      <c r="F1102" t="s">
        <v>1281</v>
      </c>
      <c r="G1102" s="10" t="s">
        <v>1281</v>
      </c>
      <c r="H1102">
        <v>98</v>
      </c>
      <c r="I1102" t="s">
        <v>1281</v>
      </c>
      <c r="J1102" t="e">
        <f ca="1">VLOOKUP(G1102,INDIRECT("球速変換!A$1:B$" &amp; Prams!$B$8),2,)</f>
        <v>#N/A</v>
      </c>
      <c r="K1102" t="e">
        <f ca="1">VLOOKUP(I1102,INDIRECT("投手名変換!A$1:B$" &amp; Prams!$B$9),2,)</f>
        <v>#N/A</v>
      </c>
      <c r="L1102" t="e">
        <f t="shared" si="93"/>
        <v>#VALUE!</v>
      </c>
      <c r="M1102" t="e">
        <f ca="1">(B1102-VLOOKUP(K1102,INDIRECT("投手データ!B1:D"&amp;Prams!$B$1),3,FALSE)*2)</f>
        <v>#VALUE!</v>
      </c>
      <c r="N1102" t="e">
        <f ca="1">VLOOKUP(F1102,INDIRECT("球種変換表!A$1:B$" &amp; Prams!$B$2),2,)</f>
        <v>#N/A</v>
      </c>
      <c r="O1102" t="e">
        <f ca="1">VLOOKUP(N1102,球種情報!A:B,2,FALSE)</f>
        <v>#N/A</v>
      </c>
      <c r="P1102" t="e">
        <f ca="1">VLOOKUP(K1102,投手データ!B:AI,output!O1102+6,FALSE)</f>
        <v>#N/A</v>
      </c>
      <c r="R1102" t="e">
        <f t="shared" ca="1" si="94"/>
        <v>#N/A</v>
      </c>
      <c r="S1102" t="e">
        <f t="shared" si="95"/>
        <v>#VALUE!</v>
      </c>
      <c r="T1102" t="e">
        <f>Prams!B$5/(S1102-Prams!B$6)</f>
        <v>#VALUE!</v>
      </c>
      <c r="U1102" t="e">
        <f t="shared" ca="1" si="96"/>
        <v>#VALUE!</v>
      </c>
      <c r="V1102" t="e">
        <f ca="1">Prams!C$5/(U1102-Prams!C$6)</f>
        <v>#VALUE!</v>
      </c>
      <c r="W1102" t="e">
        <f t="shared" ca="1" si="97"/>
        <v>#VALUE!</v>
      </c>
      <c r="X1102" t="s">
        <v>2738</v>
      </c>
    </row>
    <row r="1103" spans="1:24" hidden="1" x14ac:dyDescent="0.55000000000000004">
      <c r="A1103" s="1" t="s">
        <v>2799</v>
      </c>
      <c r="B1103" s="1">
        <v>135</v>
      </c>
      <c r="C1103">
        <v>661</v>
      </c>
      <c r="D1103">
        <v>617</v>
      </c>
      <c r="E1103">
        <v>10.04998</v>
      </c>
      <c r="F1103" t="s">
        <v>9</v>
      </c>
      <c r="G1103" s="10" t="s">
        <v>2431</v>
      </c>
      <c r="H1103">
        <v>101</v>
      </c>
      <c r="I1103" t="s">
        <v>2771</v>
      </c>
      <c r="J1103">
        <f ca="1">VLOOKUP(G1103,INDIRECT("球速変換!A$1:B$" &amp; Prams!$B$8),2,)</f>
        <v>130</v>
      </c>
      <c r="K1103" t="str">
        <f ca="1">VLOOKUP(I1103,INDIRECT("投手名変換!A$1:B$" &amp; Prams!$B$9),2,)</f>
        <v>KR001</v>
      </c>
      <c r="L1103">
        <f t="shared" si="93"/>
        <v>34</v>
      </c>
      <c r="M1103">
        <f ca="1">(B1103-VLOOKUP(K1103,INDIRECT("投手データ!B1:D"&amp;Prams!$B$1),3,FALSE)*2)</f>
        <v>41</v>
      </c>
      <c r="N1103" t="str">
        <f ca="1">VLOOKUP(F1103,INDIRECT("球種変換表!A$1:B$" &amp; Prams!$B$2),2,)</f>
        <v>スライダー</v>
      </c>
      <c r="O1103">
        <f ca="1">VLOOKUP(N1103,球種情報!A:B,2,FALSE)</f>
        <v>6</v>
      </c>
      <c r="P1103">
        <f ca="1">VLOOKUP(K1103,投手データ!B:AI,output!O1103+6,FALSE)</f>
        <v>3</v>
      </c>
      <c r="R1103">
        <f t="shared" ca="1" si="94"/>
        <v>7.6923076923076927E-3</v>
      </c>
      <c r="S1103">
        <f t="shared" si="95"/>
        <v>0.55486111111111103</v>
      </c>
      <c r="T1103">
        <f>Prams!B$5/(S1103-Prams!B$6)</f>
        <v>125.00578515181813</v>
      </c>
      <c r="U1103">
        <f t="shared" ca="1" si="96"/>
        <v>0.67152777777777772</v>
      </c>
      <c r="V1103">
        <f ca="1">Prams!C$5/(U1103-Prams!C$6)</f>
        <v>117.10503330632346</v>
      </c>
      <c r="W1103">
        <f t="shared" ca="1" si="97"/>
        <v>0.90080794851018053</v>
      </c>
    </row>
    <row r="1104" spans="1:24" hidden="1" x14ac:dyDescent="0.55000000000000004">
      <c r="A1104" s="1" t="s">
        <v>2800</v>
      </c>
      <c r="B1104" s="1">
        <v>134</v>
      </c>
      <c r="C1104">
        <v>665.95001000000002</v>
      </c>
      <c r="D1104">
        <v>608.5</v>
      </c>
      <c r="E1104">
        <v>10.062519999999999</v>
      </c>
      <c r="F1104" t="s">
        <v>9</v>
      </c>
      <c r="G1104" s="10" t="s">
        <v>2463</v>
      </c>
      <c r="H1104">
        <v>101</v>
      </c>
      <c r="I1104" t="s">
        <v>2776</v>
      </c>
      <c r="J1104">
        <f ca="1">VLOOKUP(G1104,INDIRECT("球速変換!A$1:B$" &amp; Prams!$B$8),2,)</f>
        <v>133</v>
      </c>
      <c r="K1104" t="str">
        <f ca="1">VLOOKUP(I1104,INDIRECT("投手名変換!A$1:B$" &amp; Prams!$B$9),2,)</f>
        <v>KR001</v>
      </c>
      <c r="L1104">
        <f t="shared" si="93"/>
        <v>33</v>
      </c>
      <c r="M1104">
        <f ca="1">(B1104-VLOOKUP(K1104,INDIRECT("投手データ!B1:D"&amp;Prams!$B$1),3,FALSE)*2)</f>
        <v>40</v>
      </c>
      <c r="N1104" t="str">
        <f ca="1">VLOOKUP(F1104,INDIRECT("球種変換表!A$1:B$" &amp; Prams!$B$2),2,)</f>
        <v>スライダー</v>
      </c>
      <c r="O1104">
        <f ca="1">VLOOKUP(N1104,球種情報!A:B,2,FALSE)</f>
        <v>6</v>
      </c>
      <c r="P1104">
        <f ca="1">VLOOKUP(K1104,投手データ!B:AI,output!O1104+6,FALSE)</f>
        <v>3</v>
      </c>
      <c r="R1104">
        <f t="shared" ca="1" si="94"/>
        <v>7.5187969924812026E-3</v>
      </c>
      <c r="S1104">
        <f t="shared" si="95"/>
        <v>0.54409722222222223</v>
      </c>
      <c r="T1104">
        <f>Prams!B$5/(S1104-Prams!B$6)</f>
        <v>127.78700902007843</v>
      </c>
      <c r="U1104">
        <f t="shared" ca="1" si="96"/>
        <v>0.66076388888888893</v>
      </c>
      <c r="V1104">
        <f ca="1">Prams!C$5/(U1104-Prams!C$6)</f>
        <v>119.54237588557247</v>
      </c>
      <c r="W1104">
        <f t="shared" ca="1" si="97"/>
        <v>0.8988148562824998</v>
      </c>
    </row>
    <row r="1105" spans="1:23" hidden="1" x14ac:dyDescent="0.55000000000000004">
      <c r="A1105" s="1" t="s">
        <v>2802</v>
      </c>
      <c r="B1105" s="1">
        <v>134</v>
      </c>
      <c r="C1105">
        <v>665.95001000000002</v>
      </c>
      <c r="D1105">
        <v>610.5</v>
      </c>
      <c r="E1105">
        <v>10.062519999999999</v>
      </c>
      <c r="F1105" t="s">
        <v>9</v>
      </c>
      <c r="G1105" s="10" t="s">
        <v>2801</v>
      </c>
      <c r="H1105">
        <v>101</v>
      </c>
      <c r="I1105" t="s">
        <v>2771</v>
      </c>
      <c r="J1105">
        <v>134</v>
      </c>
      <c r="K1105" t="str">
        <f ca="1">VLOOKUP(I1105,INDIRECT("投手名変換!A$1:B$" &amp; Prams!$B$9),2,)</f>
        <v>KR001</v>
      </c>
      <c r="L1105">
        <f t="shared" si="93"/>
        <v>33</v>
      </c>
      <c r="M1105">
        <f ca="1">(B1105-VLOOKUP(K1105,INDIRECT("投手データ!B1:D"&amp;Prams!$B$1),3,FALSE)*2)</f>
        <v>40</v>
      </c>
      <c r="N1105" t="str">
        <f ca="1">VLOOKUP(F1105,INDIRECT("球種変換表!A$1:B$" &amp; Prams!$B$2),2,)</f>
        <v>スライダー</v>
      </c>
      <c r="O1105">
        <f ca="1">VLOOKUP(N1105,球種情報!A:B,2,FALSE)</f>
        <v>6</v>
      </c>
      <c r="P1105">
        <f ca="1">VLOOKUP(K1105,投手データ!B:AI,output!O1105+6,FALSE)</f>
        <v>3</v>
      </c>
      <c r="R1105">
        <f t="shared" si="94"/>
        <v>7.462686567164179E-3</v>
      </c>
      <c r="S1105">
        <f t="shared" si="95"/>
        <v>0.54270833333333335</v>
      </c>
      <c r="T1105">
        <f>Prams!B$5/(S1105-Prams!B$6)</f>
        <v>128.15491716906493</v>
      </c>
      <c r="U1105">
        <f t="shared" ca="1" si="96"/>
        <v>0.65937500000000004</v>
      </c>
      <c r="V1105">
        <f ca="1">Prams!C$5/(U1105-Prams!C$6)</f>
        <v>119.86428190586979</v>
      </c>
      <c r="W1105">
        <f t="shared" ca="1" si="97"/>
        <v>0.89450956646171487</v>
      </c>
    </row>
    <row r="1106" spans="1:23" hidden="1" x14ac:dyDescent="0.55000000000000004">
      <c r="A1106" s="1" t="s">
        <v>2803</v>
      </c>
      <c r="B1106" s="1">
        <v>134</v>
      </c>
      <c r="C1106">
        <v>658.5</v>
      </c>
      <c r="D1106">
        <v>601</v>
      </c>
      <c r="E1106">
        <v>10.5001</v>
      </c>
      <c r="F1106" t="s">
        <v>9</v>
      </c>
      <c r="G1106" s="10" t="s">
        <v>2432</v>
      </c>
      <c r="H1106">
        <v>101</v>
      </c>
      <c r="I1106" t="s">
        <v>2771</v>
      </c>
      <c r="J1106">
        <f ca="1">VLOOKUP(G1106,INDIRECT("球速変換!A$1:B$" &amp; Prams!$B$8),2,)</f>
        <v>131</v>
      </c>
      <c r="K1106" t="str">
        <f ca="1">VLOOKUP(I1106,INDIRECT("投手名変換!A$1:B$" &amp; Prams!$B$9),2,)</f>
        <v>KR001</v>
      </c>
      <c r="L1106">
        <f t="shared" si="93"/>
        <v>33</v>
      </c>
      <c r="M1106">
        <f ca="1">(B1106-VLOOKUP(K1106,INDIRECT("投手データ!B1:D"&amp;Prams!$B$1),3,FALSE)*2)</f>
        <v>40</v>
      </c>
      <c r="N1106" t="str">
        <f ca="1">VLOOKUP(F1106,INDIRECT("球種変換表!A$1:B$" &amp; Prams!$B$2),2,)</f>
        <v>スライダー</v>
      </c>
      <c r="O1106">
        <f ca="1">VLOOKUP(N1106,球種情報!A:B,2,FALSE)</f>
        <v>6</v>
      </c>
      <c r="P1106">
        <f ca="1">VLOOKUP(K1106,投手データ!B:AI,output!O1106+6,FALSE)</f>
        <v>3</v>
      </c>
      <c r="R1106">
        <f t="shared" ca="1" si="94"/>
        <v>7.6335877862595417E-3</v>
      </c>
      <c r="S1106">
        <f t="shared" si="95"/>
        <v>0.5493055555555556</v>
      </c>
      <c r="T1106">
        <f>Prams!B$5/(S1106-Prams!B$6)</f>
        <v>126.42596653071425</v>
      </c>
      <c r="U1106">
        <f t="shared" ca="1" si="96"/>
        <v>0.6659722222222223</v>
      </c>
      <c r="V1106">
        <f ca="1">Prams!C$5/(U1106-Prams!C$6)</f>
        <v>118.3504738000787</v>
      </c>
      <c r="W1106">
        <f t="shared" ca="1" si="97"/>
        <v>0.90343873129831076</v>
      </c>
    </row>
    <row r="1107" spans="1:23" hidden="1" x14ac:dyDescent="0.55000000000000004">
      <c r="A1107" s="1" t="s">
        <v>2804</v>
      </c>
      <c r="B1107" s="1">
        <v>134</v>
      </c>
      <c r="C1107">
        <v>656.5</v>
      </c>
      <c r="D1107">
        <v>603.5</v>
      </c>
      <c r="E1107">
        <v>10.512</v>
      </c>
      <c r="F1107" t="s">
        <v>9</v>
      </c>
      <c r="G1107" s="10" t="s">
        <v>906</v>
      </c>
      <c r="H1107">
        <v>101</v>
      </c>
      <c r="I1107" t="s">
        <v>2767</v>
      </c>
      <c r="J1107">
        <f ca="1">VLOOKUP(G1107,INDIRECT("球速変換!A$1:B$" &amp; Prams!$B$8),2,)</f>
        <v>151</v>
      </c>
      <c r="K1107" t="str">
        <f ca="1">VLOOKUP(I1107,INDIRECT("投手名変換!A$1:B$" &amp; Prams!$B$9),2,)</f>
        <v>KR001</v>
      </c>
      <c r="L1107">
        <f t="shared" si="93"/>
        <v>33</v>
      </c>
      <c r="M1107">
        <f ca="1">(B1107-VLOOKUP(K1107,INDIRECT("投手データ!B1:D"&amp;Prams!$B$1),3,FALSE)*2)</f>
        <v>40</v>
      </c>
      <c r="N1107" t="str">
        <f ca="1">VLOOKUP(F1107,INDIRECT("球種変換表!A$1:B$" &amp; Prams!$B$2),2,)</f>
        <v>スライダー</v>
      </c>
      <c r="O1107">
        <f ca="1">VLOOKUP(N1107,球種情報!A:B,2,FALSE)</f>
        <v>6</v>
      </c>
      <c r="P1107">
        <f ca="1">VLOOKUP(K1107,投手データ!B:AI,output!O1107+6,FALSE)</f>
        <v>3</v>
      </c>
      <c r="R1107">
        <f t="shared" ca="1" si="94"/>
        <v>6.6225165562913907E-3</v>
      </c>
      <c r="S1107">
        <f t="shared" si="95"/>
        <v>0.54756944444444444</v>
      </c>
      <c r="T1107">
        <f>Prams!B$5/(S1107-Prams!B$6)</f>
        <v>126.8764144866233</v>
      </c>
      <c r="U1107">
        <f t="shared" ca="1" si="96"/>
        <v>0.66423611111111103</v>
      </c>
      <c r="V1107">
        <f ca="1">Prams!C$5/(U1107-Prams!C$6)</f>
        <v>118.74512482059875</v>
      </c>
      <c r="W1107">
        <f t="shared" ca="1" si="97"/>
        <v>0.78639155510330294</v>
      </c>
    </row>
    <row r="1108" spans="1:23" hidden="1" x14ac:dyDescent="0.55000000000000004">
      <c r="A1108" s="1" t="s">
        <v>2805</v>
      </c>
      <c r="B1108" s="1">
        <v>134</v>
      </c>
      <c r="C1108">
        <v>654.5</v>
      </c>
      <c r="D1108">
        <v>608.5</v>
      </c>
      <c r="E1108">
        <v>10.512</v>
      </c>
      <c r="F1108" t="s">
        <v>9</v>
      </c>
      <c r="G1108" s="10" t="s">
        <v>2463</v>
      </c>
      <c r="H1108">
        <v>101</v>
      </c>
      <c r="I1108" t="s">
        <v>2794</v>
      </c>
      <c r="J1108">
        <f ca="1">VLOOKUP(G1108,INDIRECT("球速変換!A$1:B$" &amp; Prams!$B$8),2,)</f>
        <v>133</v>
      </c>
      <c r="K1108" t="str">
        <f ca="1">VLOOKUP(I1108,INDIRECT("投手名変換!A$1:B$" &amp; Prams!$B$9),2,)</f>
        <v>KR001</v>
      </c>
      <c r="L1108">
        <f t="shared" si="93"/>
        <v>33</v>
      </c>
      <c r="M1108">
        <f ca="1">(B1108-VLOOKUP(K1108,INDIRECT("投手データ!B1:D"&amp;Prams!$B$1),3,FALSE)*2)</f>
        <v>40</v>
      </c>
      <c r="N1108" t="str">
        <f ca="1">VLOOKUP(F1108,INDIRECT("球種変換表!A$1:B$" &amp; Prams!$B$2),2,)</f>
        <v>スライダー</v>
      </c>
      <c r="O1108">
        <f ca="1">VLOOKUP(N1108,球種情報!A:B,2,FALSE)</f>
        <v>6</v>
      </c>
      <c r="P1108">
        <f ca="1">VLOOKUP(K1108,投手データ!B:AI,output!O1108+6,FALSE)</f>
        <v>3</v>
      </c>
      <c r="R1108">
        <f t="shared" ca="1" si="94"/>
        <v>7.5187969924812026E-3</v>
      </c>
      <c r="S1108">
        <f t="shared" si="95"/>
        <v>0.54409722222222223</v>
      </c>
      <c r="T1108">
        <f>Prams!B$5/(S1108-Prams!B$6)</f>
        <v>127.78700902007843</v>
      </c>
      <c r="U1108">
        <f t="shared" ca="1" si="96"/>
        <v>0.66076388888888893</v>
      </c>
      <c r="V1108">
        <f ca="1">Prams!C$5/(U1108-Prams!C$6)</f>
        <v>119.54237588557247</v>
      </c>
      <c r="W1108">
        <f t="shared" ca="1" si="97"/>
        <v>0.8988148562824998</v>
      </c>
    </row>
    <row r="1109" spans="1:23" hidden="1" x14ac:dyDescent="0.55000000000000004">
      <c r="A1109" s="1" t="s">
        <v>2806</v>
      </c>
      <c r="B1109" s="1">
        <v>134</v>
      </c>
      <c r="C1109">
        <v>663</v>
      </c>
      <c r="D1109">
        <v>608.5</v>
      </c>
      <c r="E1109">
        <v>11.01146</v>
      </c>
      <c r="F1109" t="s">
        <v>9</v>
      </c>
      <c r="G1109" s="10" t="s">
        <v>2463</v>
      </c>
      <c r="H1109">
        <v>101</v>
      </c>
      <c r="I1109" t="s">
        <v>2771</v>
      </c>
      <c r="J1109">
        <f ca="1">VLOOKUP(G1109,INDIRECT("球速変換!A$1:B$" &amp; Prams!$B$8),2,)</f>
        <v>133</v>
      </c>
      <c r="K1109" t="str">
        <f ca="1">VLOOKUP(I1109,INDIRECT("投手名変換!A$1:B$" &amp; Prams!$B$9),2,)</f>
        <v>KR001</v>
      </c>
      <c r="L1109">
        <f t="shared" si="93"/>
        <v>33</v>
      </c>
      <c r="M1109">
        <f ca="1">(B1109-VLOOKUP(K1109,INDIRECT("投手データ!B1:D"&amp;Prams!$B$1),3,FALSE)*2)</f>
        <v>40</v>
      </c>
      <c r="N1109" t="str">
        <f ca="1">VLOOKUP(F1109,INDIRECT("球種変換表!A$1:B$" &amp; Prams!$B$2),2,)</f>
        <v>スライダー</v>
      </c>
      <c r="O1109">
        <f ca="1">VLOOKUP(N1109,球種情報!A:B,2,FALSE)</f>
        <v>6</v>
      </c>
      <c r="P1109">
        <f ca="1">VLOOKUP(K1109,投手データ!B:AI,output!O1109+6,FALSE)</f>
        <v>3</v>
      </c>
      <c r="R1109">
        <f t="shared" ca="1" si="94"/>
        <v>7.5187969924812026E-3</v>
      </c>
      <c r="S1109">
        <f t="shared" si="95"/>
        <v>0.54409722222222223</v>
      </c>
      <c r="T1109">
        <f>Prams!B$5/(S1109-Prams!B$6)</f>
        <v>127.78700902007843</v>
      </c>
      <c r="U1109">
        <f t="shared" ca="1" si="96"/>
        <v>0.66076388888888893</v>
      </c>
      <c r="V1109">
        <f ca="1">Prams!C$5/(U1109-Prams!C$6)</f>
        <v>119.54237588557247</v>
      </c>
      <c r="W1109">
        <f t="shared" ca="1" si="97"/>
        <v>0.8988148562824998</v>
      </c>
    </row>
    <row r="1110" spans="1:23" hidden="1" x14ac:dyDescent="0.55000000000000004">
      <c r="A1110" s="1" t="s">
        <v>2807</v>
      </c>
      <c r="B1110" s="1">
        <v>134</v>
      </c>
      <c r="C1110">
        <v>655.5</v>
      </c>
      <c r="D1110">
        <v>602</v>
      </c>
      <c r="E1110">
        <v>10.5001</v>
      </c>
      <c r="F1110" t="s">
        <v>9</v>
      </c>
      <c r="G1110" s="10" t="s">
        <v>2432</v>
      </c>
      <c r="H1110">
        <v>101</v>
      </c>
      <c r="I1110" t="s">
        <v>2767</v>
      </c>
      <c r="J1110">
        <f ca="1">VLOOKUP(G1110,INDIRECT("球速変換!A$1:B$" &amp; Prams!$B$8),2,)</f>
        <v>131</v>
      </c>
      <c r="K1110" t="str">
        <f ca="1">VLOOKUP(I1110,INDIRECT("投手名変換!A$1:B$" &amp; Prams!$B$9),2,)</f>
        <v>KR001</v>
      </c>
      <c r="L1110">
        <f t="shared" si="93"/>
        <v>33</v>
      </c>
      <c r="M1110">
        <f ca="1">(B1110-VLOOKUP(K1110,INDIRECT("投手データ!B1:D"&amp;Prams!$B$1),3,FALSE)*2)</f>
        <v>40</v>
      </c>
      <c r="N1110" t="str">
        <f ca="1">VLOOKUP(F1110,INDIRECT("球種変換表!A$1:B$" &amp; Prams!$B$2),2,)</f>
        <v>スライダー</v>
      </c>
      <c r="O1110">
        <f ca="1">VLOOKUP(N1110,球種情報!A:B,2,FALSE)</f>
        <v>6</v>
      </c>
      <c r="P1110">
        <f ca="1">VLOOKUP(K1110,投手データ!B:AI,output!O1110+6,FALSE)</f>
        <v>3</v>
      </c>
      <c r="R1110">
        <f t="shared" ca="1" si="94"/>
        <v>7.6335877862595417E-3</v>
      </c>
      <c r="S1110">
        <f t="shared" si="95"/>
        <v>0.54861111111111105</v>
      </c>
      <c r="T1110">
        <f>Prams!B$5/(S1110-Prams!B$6)</f>
        <v>126.60576135432787</v>
      </c>
      <c r="U1110">
        <f t="shared" ca="1" si="96"/>
        <v>0.66527777777777775</v>
      </c>
      <c r="V1110">
        <f ca="1">Prams!C$5/(U1110-Prams!C$6)</f>
        <v>118.5080189985304</v>
      </c>
      <c r="W1110">
        <f t="shared" ca="1" si="97"/>
        <v>0.90464136640099546</v>
      </c>
    </row>
    <row r="1111" spans="1:23" hidden="1" x14ac:dyDescent="0.55000000000000004">
      <c r="A1111" s="1" t="s">
        <v>2809</v>
      </c>
      <c r="B1111" s="1">
        <v>135</v>
      </c>
      <c r="C1111">
        <v>663.97497999999996</v>
      </c>
      <c r="D1111">
        <v>615</v>
      </c>
      <c r="E1111">
        <v>10.025119999999999</v>
      </c>
      <c r="F1111" t="s">
        <v>9</v>
      </c>
      <c r="G1111" s="10" t="s">
        <v>2808</v>
      </c>
      <c r="H1111">
        <v>101</v>
      </c>
      <c r="I1111" t="s">
        <v>2794</v>
      </c>
      <c r="J1111">
        <v>130</v>
      </c>
      <c r="K1111" t="str">
        <f ca="1">VLOOKUP(I1111,INDIRECT("投手名変換!A$1:B$" &amp; Prams!$B$9),2,)</f>
        <v>KR001</v>
      </c>
      <c r="L1111">
        <f t="shared" si="93"/>
        <v>34</v>
      </c>
      <c r="M1111">
        <f ca="1">(B1111-VLOOKUP(K1111,INDIRECT("投手データ!B1:D"&amp;Prams!$B$1),3,FALSE)*2)</f>
        <v>41</v>
      </c>
      <c r="N1111" t="str">
        <f ca="1">VLOOKUP(F1111,INDIRECT("球種変換表!A$1:B$" &amp; Prams!$B$2),2,)</f>
        <v>スライダー</v>
      </c>
      <c r="O1111">
        <f ca="1">VLOOKUP(N1111,球種情報!A:B,2,FALSE)</f>
        <v>6</v>
      </c>
      <c r="P1111">
        <f ca="1">VLOOKUP(K1111,投手データ!B:AI,output!O1111+6,FALSE)</f>
        <v>3</v>
      </c>
      <c r="R1111">
        <f t="shared" si="94"/>
        <v>7.6923076923076927E-3</v>
      </c>
      <c r="S1111">
        <f t="shared" si="95"/>
        <v>0.55625000000000002</v>
      </c>
      <c r="T1111">
        <f>Prams!B$5/(S1111-Prams!B$6)</f>
        <v>124.65571126121584</v>
      </c>
      <c r="U1111">
        <f t="shared" ca="1" si="96"/>
        <v>0.67291666666666672</v>
      </c>
      <c r="V1111">
        <f ca="1">Prams!C$5/(U1111-Prams!C$6)</f>
        <v>116.7977581158097</v>
      </c>
      <c r="W1111">
        <f t="shared" ca="1" si="97"/>
        <v>0.89844429319853614</v>
      </c>
    </row>
    <row r="1112" spans="1:23" hidden="1" x14ac:dyDescent="0.55000000000000004">
      <c r="A1112" s="1" t="s">
        <v>2811</v>
      </c>
      <c r="B1112" s="1">
        <v>134</v>
      </c>
      <c r="C1112">
        <v>663</v>
      </c>
      <c r="D1112">
        <v>606</v>
      </c>
      <c r="E1112">
        <v>10.04998</v>
      </c>
      <c r="F1112" t="s">
        <v>9</v>
      </c>
      <c r="G1112" s="10" t="s">
        <v>608</v>
      </c>
      <c r="H1112">
        <v>101</v>
      </c>
      <c r="I1112" t="s">
        <v>2810</v>
      </c>
      <c r="J1112">
        <f ca="1">VLOOKUP(G1112,INDIRECT("球速変換!A$1:B$" &amp; Prams!$B$8),2,)</f>
        <v>132</v>
      </c>
      <c r="K1112" t="str">
        <f ca="1">VLOOKUP(I1112,INDIRECT("投手名変換!A$1:B$" &amp; Prams!$B$9),2,)</f>
        <v>KR001</v>
      </c>
      <c r="L1112">
        <f t="shared" si="93"/>
        <v>33</v>
      </c>
      <c r="M1112">
        <f ca="1">(B1112-VLOOKUP(K1112,INDIRECT("投手データ!B1:D"&amp;Prams!$B$1),3,FALSE)*2)</f>
        <v>40</v>
      </c>
      <c r="N1112" t="str">
        <f ca="1">VLOOKUP(F1112,INDIRECT("球種変換表!A$1:B$" &amp; Prams!$B$2),2,)</f>
        <v>スライダー</v>
      </c>
      <c r="O1112">
        <f ca="1">VLOOKUP(N1112,球種情報!A:B,2,FALSE)</f>
        <v>6</v>
      </c>
      <c r="P1112">
        <f ca="1">VLOOKUP(K1112,投手データ!B:AI,output!O1112+6,FALSE)</f>
        <v>3</v>
      </c>
      <c r="R1112">
        <f t="shared" ca="1" si="94"/>
        <v>7.575757575757576E-3</v>
      </c>
      <c r="S1112">
        <f t="shared" si="95"/>
        <v>0.54583333333333328</v>
      </c>
      <c r="T1112">
        <f>Prams!B$5/(S1112-Prams!B$6)</f>
        <v>127.3300837566937</v>
      </c>
      <c r="U1112">
        <f t="shared" ca="1" si="96"/>
        <v>0.66249999999999998</v>
      </c>
      <c r="V1112">
        <f ca="1">Prams!C$5/(U1112-Prams!C$6)</f>
        <v>119.14241665060707</v>
      </c>
      <c r="W1112">
        <f t="shared" ca="1" si="97"/>
        <v>0.90259406553490207</v>
      </c>
    </row>
    <row r="1113" spans="1:23" hidden="1" x14ac:dyDescent="0.55000000000000004">
      <c r="A1113" s="1" t="s">
        <v>2812</v>
      </c>
      <c r="B1113" s="1">
        <v>145</v>
      </c>
      <c r="C1113">
        <v>648</v>
      </c>
      <c r="D1113">
        <v>607</v>
      </c>
      <c r="E1113">
        <v>11.0001</v>
      </c>
      <c r="F1113" t="s">
        <v>346</v>
      </c>
      <c r="G1113" s="10" t="s">
        <v>604</v>
      </c>
      <c r="H1113">
        <v>101</v>
      </c>
      <c r="I1113" t="s">
        <v>2771</v>
      </c>
      <c r="J1113">
        <f ca="1">VLOOKUP(G1113,INDIRECT("球速変換!A$1:B$" &amp; Prams!$B$8),2,)</f>
        <v>118</v>
      </c>
      <c r="K1113" t="str">
        <f ca="1">VLOOKUP(I1113,INDIRECT("投手名変換!A$1:B$" &amp; Prams!$B$9),2,)</f>
        <v>KR001</v>
      </c>
      <c r="L1113">
        <f t="shared" si="93"/>
        <v>44</v>
      </c>
      <c r="M1113">
        <f ca="1">(B1113-VLOOKUP(K1113,INDIRECT("投手データ!B1:D"&amp;Prams!$B$1),3,FALSE)*2)</f>
        <v>51</v>
      </c>
      <c r="N1113" t="str">
        <f ca="1">VLOOKUP(F1113,INDIRECT("球種変換表!A$1:B$" &amp; Prams!$B$2),2,)</f>
        <v>カーブ</v>
      </c>
      <c r="O1113">
        <f ca="1">VLOOKUP(N1113,球種情報!A:B,2,FALSE)</f>
        <v>9</v>
      </c>
      <c r="P1113">
        <f ca="1">VLOOKUP(K1113,投手データ!B:AI,output!O1113+6,FALSE)</f>
        <v>3</v>
      </c>
      <c r="R1113">
        <f t="shared" ca="1" si="94"/>
        <v>8.4745762711864406E-3</v>
      </c>
      <c r="S1113">
        <f t="shared" si="95"/>
        <v>0.7284722222222223</v>
      </c>
      <c r="T1113">
        <f>Prams!B$5/(S1113-Prams!B$6)</f>
        <v>92.525546474212391</v>
      </c>
      <c r="U1113">
        <f t="shared" ca="1" si="96"/>
        <v>0.84513888888888888</v>
      </c>
      <c r="V1113">
        <f ca="1">Prams!C$5/(U1113-Prams!C$6)</f>
        <v>88.124836668593645</v>
      </c>
      <c r="W1113">
        <f t="shared" ca="1" si="97"/>
        <v>0.74682064973384443</v>
      </c>
    </row>
    <row r="1114" spans="1:23" hidden="1" x14ac:dyDescent="0.55000000000000004">
      <c r="A1114" s="1" t="s">
        <v>2813</v>
      </c>
      <c r="B1114" s="1">
        <v>145</v>
      </c>
      <c r="C1114">
        <v>643</v>
      </c>
      <c r="D1114">
        <v>605.5</v>
      </c>
      <c r="E1114">
        <v>11.01146</v>
      </c>
      <c r="F1114" t="s">
        <v>346</v>
      </c>
      <c r="G1114" s="10" t="s">
        <v>2465</v>
      </c>
      <c r="H1114">
        <v>101</v>
      </c>
      <c r="I1114" t="s">
        <v>2771</v>
      </c>
      <c r="J1114">
        <f ca="1">VLOOKUP(G1114,INDIRECT("球速変換!A$1:B$" &amp; Prams!$B$8),2,)</f>
        <v>116</v>
      </c>
      <c r="K1114" t="str">
        <f ca="1">VLOOKUP(I1114,INDIRECT("投手名変換!A$1:B$" &amp; Prams!$B$9),2,)</f>
        <v>KR001</v>
      </c>
      <c r="L1114">
        <f t="shared" si="93"/>
        <v>44</v>
      </c>
      <c r="M1114">
        <f ca="1">(B1114-VLOOKUP(K1114,INDIRECT("投手データ!B1:D"&amp;Prams!$B$1),3,FALSE)*2)</f>
        <v>51</v>
      </c>
      <c r="N1114" t="str">
        <f ca="1">VLOOKUP(F1114,INDIRECT("球種変換表!A$1:B$" &amp; Prams!$B$2),2,)</f>
        <v>カーブ</v>
      </c>
      <c r="O1114">
        <f ca="1">VLOOKUP(N1114,球種情報!A:B,2,FALSE)</f>
        <v>9</v>
      </c>
      <c r="P1114">
        <f ca="1">VLOOKUP(K1114,投手データ!B:AI,output!O1114+6,FALSE)</f>
        <v>3</v>
      </c>
      <c r="R1114">
        <f t="shared" ca="1" si="94"/>
        <v>8.6206896551724137E-3</v>
      </c>
      <c r="S1114">
        <f t="shared" si="95"/>
        <v>0.72951388888888891</v>
      </c>
      <c r="T1114">
        <f>Prams!B$5/(S1114-Prams!B$6)</f>
        <v>92.381525587650515</v>
      </c>
      <c r="U1114">
        <f t="shared" ca="1" si="96"/>
        <v>0.8461805555555556</v>
      </c>
      <c r="V1114">
        <f ca="1">Prams!C$5/(U1114-Prams!C$6)</f>
        <v>87.994180184953095</v>
      </c>
      <c r="W1114">
        <f t="shared" ca="1" si="97"/>
        <v>0.75857051883580251</v>
      </c>
    </row>
    <row r="1115" spans="1:23" hidden="1" x14ac:dyDescent="0.55000000000000004">
      <c r="A1115" s="1" t="s">
        <v>2814</v>
      </c>
      <c r="B1115" s="1">
        <v>145</v>
      </c>
      <c r="C1115">
        <v>657.39471000000003</v>
      </c>
      <c r="D1115">
        <v>608</v>
      </c>
      <c r="E1115">
        <v>9.6053899999999999</v>
      </c>
      <c r="F1115" t="s">
        <v>4</v>
      </c>
      <c r="G1115" s="10" t="s">
        <v>1101</v>
      </c>
      <c r="H1115">
        <v>101</v>
      </c>
      <c r="I1115" t="s">
        <v>2782</v>
      </c>
      <c r="J1115">
        <f ca="1">VLOOKUP(G1115,INDIRECT("球速変換!A$1:B$" &amp; Prams!$B$8),2,)</f>
        <v>92</v>
      </c>
      <c r="K1115" t="str">
        <f ca="1">VLOOKUP(I1115,INDIRECT("投手名変換!A$1:B$" &amp; Prams!$B$9),2,)</f>
        <v>KR001</v>
      </c>
      <c r="L1115">
        <f t="shared" si="93"/>
        <v>44</v>
      </c>
      <c r="M1115">
        <f ca="1">(B1115-VLOOKUP(K1115,INDIRECT("投手データ!B1:D"&amp;Prams!$B$1),3,FALSE)*2)</f>
        <v>51</v>
      </c>
      <c r="N1115" t="str">
        <f ca="1">VLOOKUP(F1115,INDIRECT("球種変換表!A$1:B$" &amp; Prams!$B$2),2,)</f>
        <v>カーブ</v>
      </c>
      <c r="O1115">
        <f ca="1">VLOOKUP(N1115,球種情報!A:B,2,FALSE)</f>
        <v>9</v>
      </c>
      <c r="P1115">
        <f ca="1">VLOOKUP(K1115,投手データ!B:AI,output!O1115+6,FALSE)</f>
        <v>3</v>
      </c>
      <c r="R1115">
        <f t="shared" ca="1" si="94"/>
        <v>1.0869565217391304E-2</v>
      </c>
      <c r="S1115">
        <f t="shared" si="95"/>
        <v>0.72777777777777775</v>
      </c>
      <c r="T1115">
        <f>Prams!B$5/(S1115-Prams!B$6)</f>
        <v>92.62181013100728</v>
      </c>
      <c r="U1115">
        <f t="shared" ca="1" si="96"/>
        <v>0.84444444444444444</v>
      </c>
      <c r="V1115">
        <f ca="1">Prams!C$5/(U1115-Prams!C$6)</f>
        <v>88.212156763269718</v>
      </c>
      <c r="W1115">
        <f t="shared" ca="1" si="97"/>
        <v>0.95882779090510561</v>
      </c>
    </row>
    <row r="1116" spans="1:23" hidden="1" x14ac:dyDescent="0.55000000000000004">
      <c r="A1116" s="1" t="s">
        <v>2817</v>
      </c>
      <c r="B1116" s="1">
        <v>145</v>
      </c>
      <c r="C1116">
        <v>651.5</v>
      </c>
      <c r="D1116">
        <v>608</v>
      </c>
      <c r="E1116">
        <v>11.5001</v>
      </c>
      <c r="F1116" t="s">
        <v>2815</v>
      </c>
      <c r="G1116" s="10" t="s">
        <v>1535</v>
      </c>
      <c r="H1116">
        <v>101</v>
      </c>
      <c r="I1116" t="s">
        <v>2816</v>
      </c>
      <c r="J1116">
        <f ca="1">VLOOKUP(G1116,INDIRECT("球速変換!A$1:B$" &amp; Prams!$B$8),2,)</f>
        <v>118</v>
      </c>
      <c r="K1116" t="str">
        <f ca="1">VLOOKUP(I1116,INDIRECT("投手名変換!A$1:B$" &amp; Prams!$B$9),2,)</f>
        <v>KR001</v>
      </c>
      <c r="L1116">
        <f t="shared" si="93"/>
        <v>44</v>
      </c>
      <c r="M1116">
        <f ca="1">(B1116-VLOOKUP(K1116,INDIRECT("投手データ!B1:D"&amp;Prams!$B$1),3,FALSE)*2)</f>
        <v>51</v>
      </c>
      <c r="N1116" t="str">
        <f ca="1">VLOOKUP(F1116,INDIRECT("球種変換表!A$1:B$" &amp; Prams!$B$2),2,)</f>
        <v>カーブ</v>
      </c>
      <c r="O1116">
        <f ca="1">VLOOKUP(N1116,球種情報!A:B,2,FALSE)</f>
        <v>9</v>
      </c>
      <c r="P1116">
        <f ca="1">VLOOKUP(K1116,投手データ!B:AI,output!O1116+6,FALSE)</f>
        <v>3</v>
      </c>
      <c r="R1116">
        <f t="shared" ca="1" si="94"/>
        <v>8.4745762711864406E-3</v>
      </c>
      <c r="S1116">
        <f t="shared" si="95"/>
        <v>0.72777777777777775</v>
      </c>
      <c r="T1116">
        <f>Prams!B$5/(S1116-Prams!B$6)</f>
        <v>92.62181013100728</v>
      </c>
      <c r="U1116">
        <f t="shared" ca="1" si="96"/>
        <v>0.84444444444444444</v>
      </c>
      <c r="V1116">
        <f ca="1">Prams!C$5/(U1116-Prams!C$6)</f>
        <v>88.212156763269718</v>
      </c>
      <c r="W1116">
        <f t="shared" ca="1" si="97"/>
        <v>0.74756065053618403</v>
      </c>
    </row>
    <row r="1117" spans="1:23" hidden="1" x14ac:dyDescent="0.55000000000000004">
      <c r="A1117" s="1" t="s">
        <v>2819</v>
      </c>
      <c r="B1117" s="1">
        <v>145</v>
      </c>
      <c r="C1117">
        <v>646.5</v>
      </c>
      <c r="D1117">
        <v>603.5</v>
      </c>
      <c r="E1117">
        <v>10.512</v>
      </c>
      <c r="F1117" t="s">
        <v>347</v>
      </c>
      <c r="G1117" s="10" t="s">
        <v>2818</v>
      </c>
      <c r="H1117">
        <v>101</v>
      </c>
      <c r="I1117" t="s">
        <v>2769</v>
      </c>
      <c r="J1117">
        <f ca="1">VLOOKUP(G1117,INDIRECT("球速変換!A$1:B$" &amp; Prams!$B$8),2,)</f>
        <v>116</v>
      </c>
      <c r="K1117" t="str">
        <f ca="1">VLOOKUP(I1117,INDIRECT("投手名変換!A$1:B$" &amp; Prams!$B$9),2,)</f>
        <v>KR001</v>
      </c>
      <c r="L1117">
        <f t="shared" si="93"/>
        <v>44</v>
      </c>
      <c r="M1117">
        <f ca="1">(B1117-VLOOKUP(K1117,INDIRECT("投手データ!B1:D"&amp;Prams!$B$1),3,FALSE)*2)</f>
        <v>51</v>
      </c>
      <c r="N1117" t="str">
        <f ca="1">VLOOKUP(F1117,INDIRECT("球種変換表!A$1:B$" &amp; Prams!$B$2),2,)</f>
        <v>カーブ</v>
      </c>
      <c r="O1117">
        <f ca="1">VLOOKUP(N1117,球種情報!A:B,2,FALSE)</f>
        <v>9</v>
      </c>
      <c r="P1117">
        <f ca="1">VLOOKUP(K1117,投手データ!B:AI,output!O1117+6,FALSE)</f>
        <v>3</v>
      </c>
      <c r="R1117">
        <f t="shared" ca="1" si="94"/>
        <v>8.6206896551724137E-3</v>
      </c>
      <c r="S1117">
        <f t="shared" si="95"/>
        <v>0.73090277777777779</v>
      </c>
      <c r="T1117">
        <f>Prams!B$5/(S1117-Prams!B$6)</f>
        <v>92.190193731178837</v>
      </c>
      <c r="U1117">
        <f t="shared" ca="1" si="96"/>
        <v>0.84756944444444438</v>
      </c>
      <c r="V1117">
        <f ca="1">Prams!C$5/(U1117-Prams!C$6)</f>
        <v>87.820573020451491</v>
      </c>
      <c r="W1117">
        <f t="shared" ca="1" si="97"/>
        <v>0.75707390534871977</v>
      </c>
    </row>
    <row r="1118" spans="1:23" hidden="1" x14ac:dyDescent="0.55000000000000004">
      <c r="A1118" s="1" t="s">
        <v>2821</v>
      </c>
      <c r="B1118" s="1">
        <v>145</v>
      </c>
      <c r="C1118">
        <v>647.5</v>
      </c>
      <c r="D1118">
        <v>606</v>
      </c>
      <c r="E1118">
        <v>10.5001</v>
      </c>
      <c r="F1118" t="s">
        <v>347</v>
      </c>
      <c r="G1118" s="10" t="s">
        <v>2820</v>
      </c>
      <c r="H1118">
        <v>101</v>
      </c>
      <c r="I1118" t="s">
        <v>2767</v>
      </c>
      <c r="J1118">
        <f ca="1">VLOOKUP(G1118,INDIRECT("球速変換!A$1:B$" &amp; Prams!$B$8),2,)</f>
        <v>118</v>
      </c>
      <c r="K1118" t="str">
        <f ca="1">VLOOKUP(I1118,INDIRECT("投手名変換!A$1:B$" &amp; Prams!$B$9),2,)</f>
        <v>KR001</v>
      </c>
      <c r="L1118">
        <f t="shared" si="93"/>
        <v>44</v>
      </c>
      <c r="M1118">
        <f ca="1">(B1118-VLOOKUP(K1118,INDIRECT("投手データ!B1:D"&amp;Prams!$B$1),3,FALSE)*2)</f>
        <v>51</v>
      </c>
      <c r="N1118" t="str">
        <f ca="1">VLOOKUP(F1118,INDIRECT("球種変換表!A$1:B$" &amp; Prams!$B$2),2,)</f>
        <v>カーブ</v>
      </c>
      <c r="O1118">
        <f ca="1">VLOOKUP(N1118,球種情報!A:B,2,FALSE)</f>
        <v>9</v>
      </c>
      <c r="P1118">
        <f ca="1">VLOOKUP(K1118,投手データ!B:AI,output!O1118+6,FALSE)</f>
        <v>3</v>
      </c>
      <c r="R1118">
        <f t="shared" ca="1" si="94"/>
        <v>8.4745762711864406E-3</v>
      </c>
      <c r="S1118">
        <f t="shared" si="95"/>
        <v>0.72916666666666663</v>
      </c>
      <c r="T1118">
        <f>Prams!B$5/(S1118-Prams!B$6)</f>
        <v>92.429482707066683</v>
      </c>
      <c r="U1118">
        <f t="shared" ca="1" si="96"/>
        <v>0.84583333333333333</v>
      </c>
      <c r="V1118">
        <f ca="1">Prams!C$5/(U1118-Prams!C$6)</f>
        <v>88.037689277068409</v>
      </c>
      <c r="W1118">
        <f t="shared" ca="1" si="97"/>
        <v>0.74608211251752887</v>
      </c>
    </row>
    <row r="1119" spans="1:23" hidden="1" x14ac:dyDescent="0.55000000000000004">
      <c r="A1119" s="1" t="s">
        <v>2823</v>
      </c>
      <c r="B1119" s="1">
        <v>145</v>
      </c>
      <c r="C1119">
        <v>655</v>
      </c>
      <c r="D1119">
        <v>608</v>
      </c>
      <c r="E1119">
        <v>10.0001</v>
      </c>
      <c r="F1119" t="s">
        <v>346</v>
      </c>
      <c r="G1119" s="10" t="s">
        <v>2822</v>
      </c>
      <c r="H1119">
        <v>101</v>
      </c>
      <c r="I1119" t="s">
        <v>2816</v>
      </c>
      <c r="J1119">
        <f ca="1">VLOOKUP(G1119,INDIRECT("球速変換!A$1:B$" &amp; Prams!$B$8),2,)</f>
        <v>118</v>
      </c>
      <c r="K1119" t="str">
        <f ca="1">VLOOKUP(I1119,INDIRECT("投手名変換!A$1:B$" &amp; Prams!$B$9),2,)</f>
        <v>KR001</v>
      </c>
      <c r="L1119">
        <f t="shared" si="93"/>
        <v>44</v>
      </c>
      <c r="M1119">
        <f ca="1">(B1119-VLOOKUP(K1119,INDIRECT("投手データ!B1:D"&amp;Prams!$B$1),3,FALSE)*2)</f>
        <v>51</v>
      </c>
      <c r="N1119" t="str">
        <f ca="1">VLOOKUP(F1119,INDIRECT("球種変換表!A$1:B$" &amp; Prams!$B$2),2,)</f>
        <v>カーブ</v>
      </c>
      <c r="O1119">
        <f ca="1">VLOOKUP(N1119,球種情報!A:B,2,FALSE)</f>
        <v>9</v>
      </c>
      <c r="P1119">
        <f ca="1">VLOOKUP(K1119,投手データ!B:AI,output!O1119+6,FALSE)</f>
        <v>3</v>
      </c>
      <c r="R1119">
        <f t="shared" ca="1" si="94"/>
        <v>8.4745762711864406E-3</v>
      </c>
      <c r="S1119">
        <f t="shared" si="95"/>
        <v>0.72777777777777775</v>
      </c>
      <c r="T1119">
        <f>Prams!B$5/(S1119-Prams!B$6)</f>
        <v>92.62181013100728</v>
      </c>
      <c r="U1119">
        <f t="shared" ca="1" si="96"/>
        <v>0.84444444444444444</v>
      </c>
      <c r="V1119">
        <f ca="1">Prams!C$5/(U1119-Prams!C$6)</f>
        <v>88.212156763269718</v>
      </c>
      <c r="W1119">
        <f t="shared" ca="1" si="97"/>
        <v>0.74756065053618403</v>
      </c>
    </row>
    <row r="1120" spans="1:23" hidden="1" x14ac:dyDescent="0.55000000000000004">
      <c r="A1120" s="1" t="s">
        <v>2825</v>
      </c>
      <c r="B1120" s="1">
        <v>145</v>
      </c>
      <c r="C1120">
        <v>642</v>
      </c>
      <c r="D1120">
        <v>611</v>
      </c>
      <c r="E1120">
        <v>10.04998</v>
      </c>
      <c r="F1120" t="s">
        <v>345</v>
      </c>
      <c r="G1120" s="10" t="s">
        <v>2427</v>
      </c>
      <c r="H1120">
        <v>101</v>
      </c>
      <c r="I1120" t="s">
        <v>2824</v>
      </c>
      <c r="J1120">
        <f ca="1">VLOOKUP(G1120,INDIRECT("球速変換!A$1:B$" &amp; Prams!$B$8),2,)</f>
        <v>119</v>
      </c>
      <c r="K1120" t="str">
        <f ca="1">VLOOKUP(I1120,INDIRECT("投手名変換!A$1:B$" &amp; Prams!$B$9),2,)</f>
        <v>KR001</v>
      </c>
      <c r="L1120">
        <f t="shared" si="93"/>
        <v>44</v>
      </c>
      <c r="M1120">
        <f ca="1">(B1120-VLOOKUP(K1120,INDIRECT("投手データ!B1:D"&amp;Prams!$B$1),3,FALSE)*2)</f>
        <v>51</v>
      </c>
      <c r="N1120" t="str">
        <f ca="1">VLOOKUP(F1120,INDIRECT("球種変換表!A$1:B$" &amp; Prams!$B$2),2,)</f>
        <v>カーブ</v>
      </c>
      <c r="O1120">
        <f ca="1">VLOOKUP(N1120,球種情報!A:B,2,FALSE)</f>
        <v>9</v>
      </c>
      <c r="P1120">
        <f ca="1">VLOOKUP(K1120,投手データ!B:AI,output!O1120+6,FALSE)</f>
        <v>3</v>
      </c>
      <c r="R1120">
        <f t="shared" ca="1" si="94"/>
        <v>8.4033613445378148E-3</v>
      </c>
      <c r="S1120">
        <f t="shared" si="95"/>
        <v>0.72569444444444442</v>
      </c>
      <c r="T1120">
        <f>Prams!B$5/(S1120-Prams!B$6)</f>
        <v>92.9118066977816</v>
      </c>
      <c r="U1120">
        <f t="shared" ca="1" si="96"/>
        <v>0.84236111111111112</v>
      </c>
      <c r="V1120">
        <f ca="1">Prams!C$5/(U1120-Prams!C$6)</f>
        <v>88.475158415290551</v>
      </c>
      <c r="W1120">
        <f t="shared" ca="1" si="97"/>
        <v>0.74348872617891215</v>
      </c>
    </row>
    <row r="1121" spans="1:23" hidden="1" x14ac:dyDescent="0.55000000000000004">
      <c r="A1121" s="1" t="s">
        <v>2826</v>
      </c>
      <c r="B1121" s="1">
        <v>145</v>
      </c>
      <c r="C1121">
        <v>650</v>
      </c>
      <c r="D1121">
        <v>607</v>
      </c>
      <c r="E1121">
        <v>10.04998</v>
      </c>
      <c r="F1121" t="s">
        <v>345</v>
      </c>
      <c r="G1121" s="10" t="s">
        <v>631</v>
      </c>
      <c r="H1121">
        <v>101</v>
      </c>
      <c r="I1121" t="s">
        <v>2771</v>
      </c>
      <c r="J1121">
        <f ca="1">VLOOKUP(G1121,INDIRECT("球速変換!A$1:B$" &amp; Prams!$B$8),2,)</f>
        <v>117</v>
      </c>
      <c r="K1121" t="str">
        <f ca="1">VLOOKUP(I1121,INDIRECT("投手名変換!A$1:B$" &amp; Prams!$B$9),2,)</f>
        <v>KR001</v>
      </c>
      <c r="L1121">
        <f t="shared" si="93"/>
        <v>44</v>
      </c>
      <c r="M1121">
        <f ca="1">(B1121-VLOOKUP(K1121,INDIRECT("投手データ!B1:D"&amp;Prams!$B$1),3,FALSE)*2)</f>
        <v>51</v>
      </c>
      <c r="N1121" t="str">
        <f ca="1">VLOOKUP(F1121,INDIRECT("球種変換表!A$1:B$" &amp; Prams!$B$2),2,)</f>
        <v>カーブ</v>
      </c>
      <c r="O1121">
        <f ca="1">VLOOKUP(N1121,球種情報!A:B,2,FALSE)</f>
        <v>9</v>
      </c>
      <c r="P1121">
        <f ca="1">VLOOKUP(K1121,投手データ!B:AI,output!O1121+6,FALSE)</f>
        <v>3</v>
      </c>
      <c r="R1121">
        <f t="shared" ca="1" si="94"/>
        <v>8.5470085470085479E-3</v>
      </c>
      <c r="S1121">
        <f t="shared" si="95"/>
        <v>0.7284722222222223</v>
      </c>
      <c r="T1121">
        <f>Prams!B$5/(S1121-Prams!B$6)</f>
        <v>92.525546474212391</v>
      </c>
      <c r="U1121">
        <f t="shared" ca="1" si="96"/>
        <v>0.84513888888888888</v>
      </c>
      <c r="V1121">
        <f ca="1">Prams!C$5/(U1121-Prams!C$6)</f>
        <v>88.124836668593645</v>
      </c>
      <c r="W1121">
        <f t="shared" ca="1" si="97"/>
        <v>0.75320373221020209</v>
      </c>
    </row>
    <row r="1122" spans="1:23" hidden="1" x14ac:dyDescent="0.55000000000000004">
      <c r="A1122" s="1" t="s">
        <v>2827</v>
      </c>
      <c r="B1122" s="1">
        <v>145</v>
      </c>
      <c r="C1122">
        <v>643.5</v>
      </c>
      <c r="D1122">
        <v>605.5</v>
      </c>
      <c r="E1122">
        <v>11.510960000000001</v>
      </c>
      <c r="F1122" t="s">
        <v>346</v>
      </c>
      <c r="G1122" s="10" t="s">
        <v>1948</v>
      </c>
      <c r="H1122">
        <v>101</v>
      </c>
      <c r="I1122" t="s">
        <v>2769</v>
      </c>
      <c r="J1122">
        <f ca="1">VLOOKUP(G1122,INDIRECT("球速変換!A$1:B$" &amp; Prams!$B$8),2,)</f>
        <v>126</v>
      </c>
      <c r="K1122" t="str">
        <f ca="1">VLOOKUP(I1122,INDIRECT("投手名変換!A$1:B$" &amp; Prams!$B$9),2,)</f>
        <v>KR001</v>
      </c>
      <c r="L1122">
        <f t="shared" si="93"/>
        <v>44</v>
      </c>
      <c r="M1122">
        <f ca="1">(B1122-VLOOKUP(K1122,INDIRECT("投手データ!B1:D"&amp;Prams!$B$1),3,FALSE)*2)</f>
        <v>51</v>
      </c>
      <c r="N1122" t="str">
        <f ca="1">VLOOKUP(F1122,INDIRECT("球種変換表!A$1:B$" &amp; Prams!$B$2),2,)</f>
        <v>カーブ</v>
      </c>
      <c r="O1122">
        <f ca="1">VLOOKUP(N1122,球種情報!A:B,2,FALSE)</f>
        <v>9</v>
      </c>
      <c r="P1122">
        <f ca="1">VLOOKUP(K1122,投手データ!B:AI,output!O1122+6,FALSE)</f>
        <v>3</v>
      </c>
      <c r="R1122">
        <f t="shared" ca="1" si="94"/>
        <v>7.9365079365079361E-3</v>
      </c>
      <c r="S1122">
        <f t="shared" si="95"/>
        <v>0.72951388888888891</v>
      </c>
      <c r="T1122">
        <f>Prams!B$5/(S1122-Prams!B$6)</f>
        <v>92.381525587650515</v>
      </c>
      <c r="U1122">
        <f t="shared" ca="1" si="96"/>
        <v>0.8461805555555556</v>
      </c>
      <c r="V1122">
        <f ca="1">Prams!C$5/(U1122-Prams!C$6)</f>
        <v>87.994180184953095</v>
      </c>
      <c r="W1122">
        <f t="shared" ca="1" si="97"/>
        <v>0.6983665094043896</v>
      </c>
    </row>
    <row r="1123" spans="1:23" hidden="1" x14ac:dyDescent="0.55000000000000004">
      <c r="A1123" s="1" t="s">
        <v>2830</v>
      </c>
      <c r="B1123" s="1">
        <v>132</v>
      </c>
      <c r="C1123">
        <v>644.54760999999996</v>
      </c>
      <c r="D1123">
        <v>605.5</v>
      </c>
      <c r="E1123">
        <v>10.55958</v>
      </c>
      <c r="F1123" t="s">
        <v>6</v>
      </c>
      <c r="G1123" s="10" t="s">
        <v>2828</v>
      </c>
      <c r="H1123">
        <v>98</v>
      </c>
      <c r="I1123" t="s">
        <v>2829</v>
      </c>
      <c r="J1123">
        <f ca="1">VLOOKUP(G1123,INDIRECT("球速変換!A$1:B$" &amp; Prams!$B$8),2,)</f>
        <v>129</v>
      </c>
      <c r="K1123" t="str">
        <f ca="1">VLOOKUP(I1123,INDIRECT("投手名変換!A$1:B$" &amp; Prams!$B$9),2,)</f>
        <v>KR001</v>
      </c>
      <c r="L1123">
        <f t="shared" si="93"/>
        <v>34</v>
      </c>
      <c r="M1123">
        <f ca="1">(B1123-VLOOKUP(K1123,INDIRECT("投手データ!B1:D"&amp;Prams!$B$1),3,FALSE)*2)</f>
        <v>38</v>
      </c>
      <c r="N1123" t="str">
        <f ca="1">VLOOKUP(F1123,INDIRECT("球種変換表!A$1:B$" &amp; Prams!$B$2),2,)</f>
        <v>フォーク</v>
      </c>
      <c r="O1123">
        <f ca="1">VLOOKUP(N1123,球種情報!A:B,2,FALSE)</f>
        <v>16</v>
      </c>
      <c r="P1123">
        <f ca="1">VLOOKUP(K1123,投手データ!B:AI,output!O1123+6,FALSE)</f>
        <v>4</v>
      </c>
      <c r="R1123">
        <f t="shared" ca="1" si="94"/>
        <v>7.7519379844961239E-3</v>
      </c>
      <c r="S1123">
        <f t="shared" si="95"/>
        <v>0.56284722222222228</v>
      </c>
      <c r="T1123">
        <f>Prams!B$5/(S1123-Prams!B$6)</f>
        <v>123.01928508653138</v>
      </c>
      <c r="U1123">
        <f t="shared" ca="1" si="96"/>
        <v>0.62951388888888893</v>
      </c>
      <c r="V1123">
        <f ca="1">Prams!C$5/(U1123-Prams!C$6)</f>
        <v>127.23036203259608</v>
      </c>
      <c r="W1123">
        <f t="shared" ca="1" si="97"/>
        <v>0.98628187622167496</v>
      </c>
    </row>
    <row r="1124" spans="1:23" hidden="1" x14ac:dyDescent="0.55000000000000004">
      <c r="A1124" s="1" t="s">
        <v>2831</v>
      </c>
      <c r="B1124" s="1">
        <v>132</v>
      </c>
      <c r="C1124">
        <v>637.02502000000004</v>
      </c>
      <c r="D1124">
        <v>603</v>
      </c>
      <c r="E1124">
        <v>10.025080000000001</v>
      </c>
      <c r="F1124" t="s">
        <v>6</v>
      </c>
      <c r="G1124" s="10" t="s">
        <v>591</v>
      </c>
      <c r="H1124">
        <v>98</v>
      </c>
      <c r="I1124" t="s">
        <v>2771</v>
      </c>
      <c r="J1124">
        <f ca="1">VLOOKUP(G1124,INDIRECT("球速変換!A$1:B$" &amp; Prams!$B$8),2,)</f>
        <v>128</v>
      </c>
      <c r="K1124" t="str">
        <f ca="1">VLOOKUP(I1124,INDIRECT("投手名変換!A$1:B$" &amp; Prams!$B$9),2,)</f>
        <v>KR001</v>
      </c>
      <c r="L1124">
        <f t="shared" si="93"/>
        <v>34</v>
      </c>
      <c r="M1124">
        <f ca="1">(B1124-VLOOKUP(K1124,INDIRECT("投手データ!B1:D"&amp;Prams!$B$1),3,FALSE)*2)</f>
        <v>38</v>
      </c>
      <c r="N1124" t="str">
        <f ca="1">VLOOKUP(F1124,INDIRECT("球種変換表!A$1:B$" &amp; Prams!$B$2),2,)</f>
        <v>フォーク</v>
      </c>
      <c r="O1124">
        <f ca="1">VLOOKUP(N1124,球種情報!A:B,2,FALSE)</f>
        <v>16</v>
      </c>
      <c r="P1124">
        <f ca="1">VLOOKUP(K1124,投手データ!B:AI,output!O1124+6,FALSE)</f>
        <v>4</v>
      </c>
      <c r="R1124">
        <f t="shared" ca="1" si="94"/>
        <v>7.8125E-3</v>
      </c>
      <c r="S1124">
        <f t="shared" si="95"/>
        <v>0.56458333333333333</v>
      </c>
      <c r="T1124">
        <f>Prams!B$5/(S1124-Prams!B$6)</f>
        <v>122.59576296394224</v>
      </c>
      <c r="U1124">
        <f t="shared" ca="1" si="96"/>
        <v>0.63124999999999998</v>
      </c>
      <c r="V1124">
        <f ca="1">Prams!C$5/(U1124-Prams!C$6)</f>
        <v>126.77740182507947</v>
      </c>
      <c r="W1124">
        <f t="shared" ca="1" si="97"/>
        <v>0.99044845175843332</v>
      </c>
    </row>
    <row r="1125" spans="1:23" hidden="1" x14ac:dyDescent="0.55000000000000004">
      <c r="A1125" s="1" t="s">
        <v>2832</v>
      </c>
      <c r="B1125" s="1">
        <v>133</v>
      </c>
      <c r="C1125">
        <v>629.04998999999998</v>
      </c>
      <c r="D1125">
        <v>608.5</v>
      </c>
      <c r="E1125">
        <v>10.06254</v>
      </c>
      <c r="F1125" t="s">
        <v>1152</v>
      </c>
      <c r="G1125" s="10" t="s">
        <v>623</v>
      </c>
      <c r="H1125">
        <v>98</v>
      </c>
      <c r="I1125" t="s">
        <v>2771</v>
      </c>
      <c r="J1125">
        <v>125</v>
      </c>
      <c r="K1125" t="str">
        <f ca="1">VLOOKUP(I1125,INDIRECT("投手名変換!A$1:B$" &amp; Prams!$B$9),2,)</f>
        <v>KR001</v>
      </c>
      <c r="L1125">
        <f t="shared" si="93"/>
        <v>35</v>
      </c>
      <c r="M1125">
        <f ca="1">(B1125-VLOOKUP(K1125,INDIRECT("投手データ!B1:D"&amp;Prams!$B$1),3,FALSE)*2)</f>
        <v>39</v>
      </c>
      <c r="N1125" t="str">
        <f ca="1">VLOOKUP(F1125,INDIRECT("球種変換表!A$1:B$" &amp; Prams!$B$2),2,)</f>
        <v>フォーク</v>
      </c>
      <c r="O1125">
        <f ca="1">VLOOKUP(N1125,球種情報!A:B,2,FALSE)</f>
        <v>16</v>
      </c>
      <c r="P1125">
        <f ca="1">VLOOKUP(K1125,投手データ!B:AI,output!O1125+6,FALSE)</f>
        <v>4</v>
      </c>
      <c r="R1125">
        <f t="shared" si="94"/>
        <v>8.0000000000000002E-3</v>
      </c>
      <c r="S1125">
        <f t="shared" si="95"/>
        <v>0.57743055555555556</v>
      </c>
      <c r="T1125">
        <f>Prams!B$5/(S1125-Prams!B$6)</f>
        <v>119.55008137854722</v>
      </c>
      <c r="U1125">
        <f t="shared" ca="1" si="96"/>
        <v>0.64409722222222221</v>
      </c>
      <c r="V1125">
        <f ca="1">Prams!C$5/(U1125-Prams!C$6)</f>
        <v>123.52316307671818</v>
      </c>
      <c r="W1125">
        <f t="shared" ca="1" si="97"/>
        <v>0.98818530461374543</v>
      </c>
    </row>
    <row r="1126" spans="1:23" hidden="1" x14ac:dyDescent="0.55000000000000004">
      <c r="A1126" s="1" t="s">
        <v>2833</v>
      </c>
      <c r="B1126" s="1">
        <v>132</v>
      </c>
      <c r="C1126">
        <v>637.04998999999998</v>
      </c>
      <c r="D1126">
        <v>604.5</v>
      </c>
      <c r="E1126">
        <v>10.06254</v>
      </c>
      <c r="F1126" t="s">
        <v>6</v>
      </c>
      <c r="G1126" s="10" t="s">
        <v>2461</v>
      </c>
      <c r="H1126">
        <v>98</v>
      </c>
      <c r="I1126" t="s">
        <v>2771</v>
      </c>
      <c r="J1126">
        <f ca="1">VLOOKUP(G1126,INDIRECT("球速変換!A$1:B$" &amp; Prams!$B$8),2,)</f>
        <v>128</v>
      </c>
      <c r="K1126" t="str">
        <f ca="1">VLOOKUP(I1126,INDIRECT("投手名変換!A$1:B$" &amp; Prams!$B$9),2,)</f>
        <v>KR001</v>
      </c>
      <c r="L1126">
        <f t="shared" si="93"/>
        <v>34</v>
      </c>
      <c r="M1126">
        <f ca="1">(B1126-VLOOKUP(K1126,INDIRECT("投手データ!B1:D"&amp;Prams!$B$1),3,FALSE)*2)</f>
        <v>38</v>
      </c>
      <c r="N1126" t="str">
        <f ca="1">VLOOKUP(F1126,INDIRECT("球種変換表!A$1:B$" &amp; Prams!$B$2),2,)</f>
        <v>フォーク</v>
      </c>
      <c r="O1126">
        <f ca="1">VLOOKUP(N1126,球種情報!A:B,2,FALSE)</f>
        <v>16</v>
      </c>
      <c r="P1126">
        <f ca="1">VLOOKUP(K1126,投手データ!B:AI,output!O1126+6,FALSE)</f>
        <v>4</v>
      </c>
      <c r="R1126">
        <f t="shared" ca="1" si="94"/>
        <v>7.8125E-3</v>
      </c>
      <c r="S1126">
        <f t="shared" si="95"/>
        <v>0.56354166666666672</v>
      </c>
      <c r="T1126">
        <f>Prams!B$5/(S1126-Prams!B$6)</f>
        <v>122.8495255758499</v>
      </c>
      <c r="U1126">
        <f t="shared" ca="1" si="96"/>
        <v>0.63020833333333337</v>
      </c>
      <c r="V1126">
        <f ca="1">Prams!C$5/(U1126-Prams!C$6)</f>
        <v>127.04879009470312</v>
      </c>
      <c r="W1126">
        <f t="shared" ca="1" si="97"/>
        <v>0.99256867261486814</v>
      </c>
    </row>
    <row r="1127" spans="1:23" hidden="1" x14ac:dyDescent="0.55000000000000004">
      <c r="A1127" s="1" t="s">
        <v>2835</v>
      </c>
      <c r="B1127" s="1">
        <v>133</v>
      </c>
      <c r="C1127">
        <v>630</v>
      </c>
      <c r="D1127">
        <v>612</v>
      </c>
      <c r="E1127">
        <v>11.04546</v>
      </c>
      <c r="F1127" t="s">
        <v>6</v>
      </c>
      <c r="G1127" s="10" t="s">
        <v>2834</v>
      </c>
      <c r="H1127">
        <v>98</v>
      </c>
      <c r="I1127" t="s">
        <v>2769</v>
      </c>
      <c r="J1127">
        <f ca="1">VLOOKUP(G1127,INDIRECT("球速変換!A$1:B$" &amp; Prams!$B$8),2,)</f>
        <v>126</v>
      </c>
      <c r="K1127" t="str">
        <f ca="1">VLOOKUP(I1127,INDIRECT("投手名変換!A$1:B$" &amp; Prams!$B$9),2,)</f>
        <v>KR001</v>
      </c>
      <c r="L1127">
        <f t="shared" si="93"/>
        <v>35</v>
      </c>
      <c r="M1127">
        <f ca="1">(B1127-VLOOKUP(K1127,INDIRECT("投手データ!B1:D"&amp;Prams!$B$1),3,FALSE)*2)</f>
        <v>39</v>
      </c>
      <c r="N1127" t="str">
        <f ca="1">VLOOKUP(F1127,INDIRECT("球種変換表!A$1:B$" &amp; Prams!$B$2),2,)</f>
        <v>フォーク</v>
      </c>
      <c r="O1127">
        <f ca="1">VLOOKUP(N1127,球種情報!A:B,2,FALSE)</f>
        <v>16</v>
      </c>
      <c r="P1127">
        <f ca="1">VLOOKUP(K1127,投手データ!B:AI,output!O1127+6,FALSE)</f>
        <v>4</v>
      </c>
      <c r="R1127">
        <f t="shared" ca="1" si="94"/>
        <v>7.9365079365079361E-3</v>
      </c>
      <c r="S1127">
        <f t="shared" si="95"/>
        <v>0.57499999999999996</v>
      </c>
      <c r="T1127">
        <f>Prams!B$5/(S1127-Prams!B$6)</f>
        <v>120.11462988148438</v>
      </c>
      <c r="U1127">
        <f t="shared" ca="1" si="96"/>
        <v>0.64166666666666672</v>
      </c>
      <c r="V1127">
        <f ca="1">Prams!C$5/(U1127-Prams!C$6)</f>
        <v>124.12595368759202</v>
      </c>
      <c r="W1127">
        <f t="shared" ca="1" si="97"/>
        <v>0.98512661656819056</v>
      </c>
    </row>
    <row r="1128" spans="1:23" hidden="1" x14ac:dyDescent="0.55000000000000004">
      <c r="A1128" s="1" t="s">
        <v>2836</v>
      </c>
      <c r="B1128" s="1">
        <v>132</v>
      </c>
      <c r="C1128">
        <v>645.55260999999996</v>
      </c>
      <c r="D1128">
        <v>600.5</v>
      </c>
      <c r="E1128">
        <v>9.5658300000000001</v>
      </c>
      <c r="F1128" t="s">
        <v>6</v>
      </c>
      <c r="G1128" s="10" t="s">
        <v>589</v>
      </c>
      <c r="H1128">
        <v>98</v>
      </c>
      <c r="I1128" t="s">
        <v>2767</v>
      </c>
      <c r="J1128">
        <f ca="1">VLOOKUP(G1128,INDIRECT("球速変換!A$1:B$" &amp; Prams!$B$8),2,)</f>
        <v>127</v>
      </c>
      <c r="K1128" t="str">
        <f ca="1">VLOOKUP(I1128,INDIRECT("投手名変換!A$1:B$" &amp; Prams!$B$9),2,)</f>
        <v>KR001</v>
      </c>
      <c r="L1128">
        <f t="shared" si="93"/>
        <v>34</v>
      </c>
      <c r="M1128">
        <f ca="1">(B1128-VLOOKUP(K1128,INDIRECT("投手データ!B1:D"&amp;Prams!$B$1),3,FALSE)*2)</f>
        <v>38</v>
      </c>
      <c r="N1128" t="str">
        <f ca="1">VLOOKUP(F1128,INDIRECT("球種変換表!A$1:B$" &amp; Prams!$B$2),2,)</f>
        <v>フォーク</v>
      </c>
      <c r="O1128">
        <f ca="1">VLOOKUP(N1128,球種情報!A:B,2,FALSE)</f>
        <v>16</v>
      </c>
      <c r="P1128">
        <f ca="1">VLOOKUP(K1128,投手データ!B:AI,output!O1128+6,FALSE)</f>
        <v>4</v>
      </c>
      <c r="R1128">
        <f t="shared" ca="1" si="94"/>
        <v>7.874015748031496E-3</v>
      </c>
      <c r="S1128">
        <f t="shared" si="95"/>
        <v>0.56631944444444438</v>
      </c>
      <c r="T1128">
        <f>Prams!B$5/(S1128-Prams!B$6)</f>
        <v>122.17514698051789</v>
      </c>
      <c r="U1128">
        <f t="shared" ca="1" si="96"/>
        <v>0.63298611111111103</v>
      </c>
      <c r="V1128">
        <f ca="1">Prams!C$5/(U1128-Prams!C$6)</f>
        <v>126.32765539593257</v>
      </c>
      <c r="W1128">
        <f t="shared" ca="1" si="97"/>
        <v>0.99470594799946899</v>
      </c>
    </row>
    <row r="1129" spans="1:23" hidden="1" x14ac:dyDescent="0.55000000000000004">
      <c r="A1129" s="1" t="s">
        <v>2837</v>
      </c>
      <c r="B1129" s="1">
        <v>132</v>
      </c>
      <c r="C1129">
        <v>635.5</v>
      </c>
      <c r="D1129">
        <v>605.5</v>
      </c>
      <c r="E1129">
        <v>11.510960000000001</v>
      </c>
      <c r="F1129" t="s">
        <v>6</v>
      </c>
      <c r="G1129" s="10" t="s">
        <v>2418</v>
      </c>
      <c r="H1129">
        <v>98</v>
      </c>
      <c r="I1129" t="s">
        <v>2769</v>
      </c>
      <c r="J1129">
        <f ca="1">VLOOKUP(G1129,INDIRECT("球速変換!A$1:B$" &amp; Prams!$B$8),2,)</f>
        <v>129</v>
      </c>
      <c r="K1129" t="str">
        <f ca="1">VLOOKUP(I1129,INDIRECT("投手名変換!A$1:B$" &amp; Prams!$B$9),2,)</f>
        <v>KR001</v>
      </c>
      <c r="L1129">
        <f t="shared" si="93"/>
        <v>34</v>
      </c>
      <c r="M1129">
        <f ca="1">(B1129-VLOOKUP(K1129,INDIRECT("投手データ!B1:D"&amp;Prams!$B$1),3,FALSE)*2)</f>
        <v>38</v>
      </c>
      <c r="N1129" t="str">
        <f ca="1">VLOOKUP(F1129,INDIRECT("球種変換表!A$1:B$" &amp; Prams!$B$2),2,)</f>
        <v>フォーク</v>
      </c>
      <c r="O1129">
        <f ca="1">VLOOKUP(N1129,球種情報!A:B,2,FALSE)</f>
        <v>16</v>
      </c>
      <c r="P1129">
        <f ca="1">VLOOKUP(K1129,投手データ!B:AI,output!O1129+6,FALSE)</f>
        <v>4</v>
      </c>
      <c r="R1129">
        <f t="shared" ca="1" si="94"/>
        <v>7.7519379844961239E-3</v>
      </c>
      <c r="S1129">
        <f t="shared" si="95"/>
        <v>0.56284722222222228</v>
      </c>
      <c r="T1129">
        <f>Prams!B$5/(S1129-Prams!B$6)</f>
        <v>123.01928508653138</v>
      </c>
      <c r="U1129">
        <f t="shared" ca="1" si="96"/>
        <v>0.62951388888888893</v>
      </c>
      <c r="V1129">
        <f ca="1">Prams!C$5/(U1129-Prams!C$6)</f>
        <v>127.23036203259608</v>
      </c>
      <c r="W1129">
        <f t="shared" ca="1" si="97"/>
        <v>0.98628187622167496</v>
      </c>
    </row>
    <row r="1130" spans="1:23" hidden="1" x14ac:dyDescent="0.55000000000000004">
      <c r="A1130" s="1" t="s">
        <v>2838</v>
      </c>
      <c r="B1130" s="1">
        <v>133</v>
      </c>
      <c r="C1130">
        <v>631</v>
      </c>
      <c r="D1130">
        <v>608.5</v>
      </c>
      <c r="E1130">
        <v>10.012589999999999</v>
      </c>
      <c r="F1130" t="s">
        <v>6</v>
      </c>
      <c r="G1130" s="10" t="s">
        <v>629</v>
      </c>
      <c r="H1130">
        <v>98</v>
      </c>
      <c r="I1130" t="s">
        <v>2771</v>
      </c>
      <c r="J1130">
        <v>125</v>
      </c>
      <c r="K1130" t="str">
        <f ca="1">VLOOKUP(I1130,INDIRECT("投手名変換!A$1:B$" &amp; Prams!$B$9),2,)</f>
        <v>KR001</v>
      </c>
      <c r="L1130">
        <f t="shared" si="93"/>
        <v>35</v>
      </c>
      <c r="M1130">
        <f ca="1">(B1130-VLOOKUP(K1130,INDIRECT("投手データ!B1:D"&amp;Prams!$B$1),3,FALSE)*2)</f>
        <v>39</v>
      </c>
      <c r="N1130" t="str">
        <f ca="1">VLOOKUP(F1130,INDIRECT("球種変換表!A$1:B$" &amp; Prams!$B$2),2,)</f>
        <v>フォーク</v>
      </c>
      <c r="O1130">
        <v>16</v>
      </c>
      <c r="P1130">
        <f ca="1">VLOOKUP(K1130,投手データ!B:AI,output!O1130+6,FALSE)</f>
        <v>4</v>
      </c>
      <c r="R1130">
        <f t="shared" si="94"/>
        <v>8.0000000000000002E-3</v>
      </c>
      <c r="S1130">
        <f t="shared" si="95"/>
        <v>0.57743055555555556</v>
      </c>
      <c r="T1130">
        <f>Prams!B$5/(S1130-Prams!B$6)</f>
        <v>119.55008137854722</v>
      </c>
      <c r="U1130">
        <f t="shared" ca="1" si="96"/>
        <v>0.64409722222222221</v>
      </c>
      <c r="V1130">
        <f ca="1">Prams!C$5/(U1130-Prams!C$6)</f>
        <v>123.52316307671818</v>
      </c>
      <c r="W1130">
        <f t="shared" ca="1" si="97"/>
        <v>0.98818530461374543</v>
      </c>
    </row>
    <row r="1131" spans="1:23" hidden="1" x14ac:dyDescent="0.55000000000000004">
      <c r="A1131" s="1" t="s">
        <v>2839</v>
      </c>
      <c r="B1131" s="1">
        <v>132</v>
      </c>
      <c r="C1131">
        <v>638.52380000000005</v>
      </c>
      <c r="D1131">
        <v>603</v>
      </c>
      <c r="E1131">
        <v>10.52392</v>
      </c>
      <c r="F1131" t="s">
        <v>6</v>
      </c>
      <c r="G1131" s="10" t="s">
        <v>623</v>
      </c>
      <c r="H1131">
        <v>98</v>
      </c>
      <c r="I1131" t="s">
        <v>2769</v>
      </c>
      <c r="J1131">
        <v>128</v>
      </c>
      <c r="K1131" t="str">
        <f ca="1">VLOOKUP(I1131,INDIRECT("投手名変換!A$1:B$" &amp; Prams!$B$9),2,)</f>
        <v>KR001</v>
      </c>
      <c r="L1131">
        <f t="shared" si="93"/>
        <v>34</v>
      </c>
      <c r="M1131">
        <f ca="1">(B1131-VLOOKUP(K1131,INDIRECT("投手データ!B1:D"&amp;Prams!$B$1),3,FALSE)*2)</f>
        <v>38</v>
      </c>
      <c r="N1131" t="str">
        <f ca="1">VLOOKUP(F1131,INDIRECT("球種変換表!A$1:B$" &amp; Prams!$B$2),2,)</f>
        <v>フォーク</v>
      </c>
      <c r="O1131">
        <f ca="1">VLOOKUP(N1131,球種情報!A:B,2,FALSE)</f>
        <v>16</v>
      </c>
      <c r="P1131">
        <f ca="1">VLOOKUP(K1131,投手データ!B:AI,output!O1131+6,FALSE)</f>
        <v>4</v>
      </c>
      <c r="R1131">
        <f t="shared" si="94"/>
        <v>7.8125E-3</v>
      </c>
      <c r="S1131">
        <f t="shared" si="95"/>
        <v>0.56458333333333333</v>
      </c>
      <c r="T1131">
        <f>Prams!B$5/(S1131-Prams!B$6)</f>
        <v>122.59576296394224</v>
      </c>
      <c r="U1131">
        <f t="shared" ca="1" si="96"/>
        <v>0.63124999999999998</v>
      </c>
      <c r="V1131">
        <f ca="1">Prams!C$5/(U1131-Prams!C$6)</f>
        <v>126.77740182507947</v>
      </c>
      <c r="W1131">
        <f t="shared" ca="1" si="97"/>
        <v>0.99044845175843332</v>
      </c>
    </row>
    <row r="1132" spans="1:23" hidden="1" x14ac:dyDescent="0.55000000000000004">
      <c r="A1132" s="1" t="s">
        <v>2840</v>
      </c>
      <c r="B1132" s="1">
        <v>132</v>
      </c>
      <c r="C1132">
        <v>638.5</v>
      </c>
      <c r="D1132">
        <v>601.5</v>
      </c>
      <c r="E1132">
        <v>10.512</v>
      </c>
      <c r="F1132" t="s">
        <v>6</v>
      </c>
      <c r="G1132" s="10" t="s">
        <v>624</v>
      </c>
      <c r="H1132">
        <v>98</v>
      </c>
      <c r="I1132" t="s">
        <v>2769</v>
      </c>
      <c r="J1132">
        <f ca="1">VLOOKUP(G1132,INDIRECT("球速変換!A$1:B$" &amp; Prams!$B$8),2,)</f>
        <v>128</v>
      </c>
      <c r="K1132" t="str">
        <f ca="1">VLOOKUP(I1132,INDIRECT("投手名変換!A$1:B$" &amp; Prams!$B$9),2,)</f>
        <v>KR001</v>
      </c>
      <c r="L1132">
        <f t="shared" si="93"/>
        <v>34</v>
      </c>
      <c r="M1132">
        <f ca="1">(B1132-VLOOKUP(K1132,INDIRECT("投手データ!B1:D"&amp;Prams!$B$1),3,FALSE)*2)</f>
        <v>38</v>
      </c>
      <c r="N1132" t="str">
        <f ca="1">VLOOKUP(F1132,INDIRECT("球種変換表!A$1:B$" &amp; Prams!$B$2),2,)</f>
        <v>フォーク</v>
      </c>
      <c r="O1132">
        <f ca="1">VLOOKUP(N1132,球種情報!A:B,2,FALSE)</f>
        <v>16</v>
      </c>
      <c r="P1132">
        <f ca="1">VLOOKUP(K1132,投手データ!B:AI,output!O1132+6,FALSE)</f>
        <v>4</v>
      </c>
      <c r="R1132">
        <f t="shared" ca="1" si="94"/>
        <v>7.8125E-3</v>
      </c>
      <c r="S1132">
        <f t="shared" si="95"/>
        <v>0.56562500000000004</v>
      </c>
      <c r="T1132">
        <f>Prams!B$5/(S1132-Prams!B$6)</f>
        <v>122.34304655419778</v>
      </c>
      <c r="U1132">
        <f t="shared" ca="1" si="96"/>
        <v>0.6322916666666667</v>
      </c>
      <c r="V1132">
        <f ca="1">Prams!C$5/(U1132-Prams!C$6)</f>
        <v>126.50717050628379</v>
      </c>
      <c r="W1132">
        <f t="shared" ca="1" si="97"/>
        <v>0.98833726958034207</v>
      </c>
    </row>
    <row r="1133" spans="1:23" hidden="1" x14ac:dyDescent="0.55000000000000004">
      <c r="A1133" s="1" t="s">
        <v>2866</v>
      </c>
      <c r="B1133" s="1">
        <v>132</v>
      </c>
      <c r="C1133">
        <v>637.5</v>
      </c>
      <c r="D1133">
        <v>603.5</v>
      </c>
      <c r="E1133">
        <v>9.6177899999999994</v>
      </c>
      <c r="F1133" t="s">
        <v>6</v>
      </c>
      <c r="G1133" s="10" t="s">
        <v>591</v>
      </c>
      <c r="H1133">
        <v>98</v>
      </c>
      <c r="I1133" t="s">
        <v>2865</v>
      </c>
      <c r="J1133">
        <f ca="1">VLOOKUP(G1133,INDIRECT("球速変換!A$1:B$" &amp; Prams!$B$8),2,)</f>
        <v>128</v>
      </c>
      <c r="K1133" t="str">
        <f ca="1">VLOOKUP(I1133,INDIRECT("投手名変換!A$1:B$" &amp; Prams!$B$9),2,)</f>
        <v>DD026</v>
      </c>
      <c r="L1133">
        <f t="shared" ref="L1133:L1196" si="98">B1133-H1133</f>
        <v>34</v>
      </c>
      <c r="M1133">
        <f ca="1">(B1133-VLOOKUP(K1133,INDIRECT("投手データ!B1:D"&amp;Prams!$B$1),3,FALSE)*2)</f>
        <v>38</v>
      </c>
      <c r="N1133" t="str">
        <f ca="1">VLOOKUP(F1133,INDIRECT("球種変換表!A$1:B$" &amp; Prams!$B$2),2,)</f>
        <v>フォーク</v>
      </c>
      <c r="O1133">
        <f ca="1">VLOOKUP(N1133,球種情報!A:B,2,FALSE)</f>
        <v>16</v>
      </c>
      <c r="P1133">
        <f ca="1">VLOOKUP(K1133,投手データ!B:AI,output!O1133+6,FALSE)</f>
        <v>4</v>
      </c>
      <c r="R1133">
        <f t="shared" ref="R1133:R1196" ca="1" si="99">1/J1133</f>
        <v>7.8125E-3</v>
      </c>
      <c r="S1133">
        <f t="shared" ref="S1133:S1196" si="100">(L1133-(D1133-600)/24)*2/120</f>
        <v>0.56423611111111105</v>
      </c>
      <c r="T1133">
        <f>Prams!B$5/(S1133-Prams!B$6)</f>
        <v>122.6802339361802</v>
      </c>
      <c r="U1133">
        <f t="shared" ref="U1133:U1196" ca="1" si="101">(M1133-(D1133-600)/24)*2/120</f>
        <v>0.6309027777777777</v>
      </c>
      <c r="V1133">
        <f ca="1">Prams!C$5/(U1133-Prams!C$6)</f>
        <v>126.8677356651409</v>
      </c>
      <c r="W1133">
        <f t="shared" ref="W1133:W1196" ca="1" si="102">V1133/J1133</f>
        <v>0.99115418488391327</v>
      </c>
    </row>
    <row r="1134" spans="1:23" hidden="1" x14ac:dyDescent="0.55000000000000004">
      <c r="A1134" s="1" t="s">
        <v>2867</v>
      </c>
      <c r="B1134" s="1">
        <v>133</v>
      </c>
      <c r="C1134">
        <v>645.5</v>
      </c>
      <c r="D1134">
        <v>613.5</v>
      </c>
      <c r="E1134">
        <v>11.59751</v>
      </c>
      <c r="F1134" t="s">
        <v>6</v>
      </c>
      <c r="G1134" s="10" t="s">
        <v>588</v>
      </c>
      <c r="H1134">
        <v>98</v>
      </c>
      <c r="I1134" t="s">
        <v>2865</v>
      </c>
      <c r="J1134">
        <f ca="1">VLOOKUP(G1134,INDIRECT("球速変換!A$1:B$" &amp; Prams!$B$8),2,)</f>
        <v>126</v>
      </c>
      <c r="K1134" t="str">
        <f ca="1">VLOOKUP(I1134,INDIRECT("投手名変換!A$1:B$" &amp; Prams!$B$9),2,)</f>
        <v>DD026</v>
      </c>
      <c r="L1134">
        <f t="shared" si="98"/>
        <v>35</v>
      </c>
      <c r="M1134">
        <f ca="1">(B1134-VLOOKUP(K1134,INDIRECT("投手データ!B1:D"&amp;Prams!$B$1),3,FALSE)*2)</f>
        <v>39</v>
      </c>
      <c r="N1134" t="str">
        <f ca="1">VLOOKUP(F1134,INDIRECT("球種変換表!A$1:B$" &amp; Prams!$B$2),2,)</f>
        <v>フォーク</v>
      </c>
      <c r="O1134">
        <f ca="1">VLOOKUP(N1134,球種情報!A:B,2,FALSE)</f>
        <v>16</v>
      </c>
      <c r="P1134">
        <f ca="1">VLOOKUP(K1134,投手データ!B:AI,output!O1134+6,FALSE)</f>
        <v>4</v>
      </c>
      <c r="R1134">
        <f t="shared" ca="1" si="99"/>
        <v>7.9365079365079361E-3</v>
      </c>
      <c r="S1134">
        <f t="shared" si="100"/>
        <v>0.57395833333333335</v>
      </c>
      <c r="T1134">
        <f>Prams!B$5/(S1134-Prams!B$6)</f>
        <v>120.35821476662503</v>
      </c>
      <c r="U1134">
        <f t="shared" ca="1" si="101"/>
        <v>0.640625</v>
      </c>
      <c r="V1134">
        <f ca="1">Prams!C$5/(U1134-Prams!C$6)</f>
        <v>124.38609727880892</v>
      </c>
      <c r="W1134">
        <f t="shared" ca="1" si="102"/>
        <v>0.98719124824451521</v>
      </c>
    </row>
    <row r="1135" spans="1:23" hidden="1" x14ac:dyDescent="0.55000000000000004">
      <c r="A1135" s="1" t="s">
        <v>2869</v>
      </c>
      <c r="B1135" s="1">
        <v>133</v>
      </c>
      <c r="C1135">
        <v>642.45239000000004</v>
      </c>
      <c r="D1135">
        <v>615.5</v>
      </c>
      <c r="E1135">
        <v>10.55955</v>
      </c>
      <c r="F1135" t="s">
        <v>6</v>
      </c>
      <c r="G1135" s="10" t="s">
        <v>589</v>
      </c>
      <c r="H1135">
        <v>98</v>
      </c>
      <c r="I1135" t="s">
        <v>2868</v>
      </c>
      <c r="J1135">
        <f ca="1">VLOOKUP(G1135,INDIRECT("球速変換!A$1:B$" &amp; Prams!$B$8),2,)</f>
        <v>127</v>
      </c>
      <c r="K1135" t="str">
        <f ca="1">VLOOKUP(I1135,INDIRECT("投手名変換!A$1:B$" &amp; Prams!$B$9),2,)</f>
        <v>DD026</v>
      </c>
      <c r="L1135">
        <f t="shared" si="98"/>
        <v>35</v>
      </c>
      <c r="M1135">
        <f ca="1">(B1135-VLOOKUP(K1135,INDIRECT("投手データ!B1:D"&amp;Prams!$B$1),3,FALSE)*2)</f>
        <v>39</v>
      </c>
      <c r="N1135" t="str">
        <f ca="1">VLOOKUP(F1135,INDIRECT("球種変換表!A$1:B$" &amp; Prams!$B$2),2,)</f>
        <v>フォーク</v>
      </c>
      <c r="O1135">
        <f ca="1">VLOOKUP(N1135,球種情報!A:B,2,FALSE)</f>
        <v>16</v>
      </c>
      <c r="P1135">
        <f ca="1">VLOOKUP(K1135,投手データ!B:AI,output!O1135+6,FALSE)</f>
        <v>4</v>
      </c>
      <c r="R1135">
        <f t="shared" ca="1" si="99"/>
        <v>7.874015748031496E-3</v>
      </c>
      <c r="S1135">
        <f t="shared" si="100"/>
        <v>0.57256944444444435</v>
      </c>
      <c r="T1135">
        <f>Prams!B$5/(S1135-Prams!B$6)</f>
        <v>120.6845355905367</v>
      </c>
      <c r="U1135">
        <f t="shared" ca="1" si="101"/>
        <v>0.63923611111111112</v>
      </c>
      <c r="V1135">
        <f ca="1">Prams!C$5/(U1135-Prams!C$6)</f>
        <v>124.73465636191426</v>
      </c>
      <c r="W1135">
        <f t="shared" ca="1" si="102"/>
        <v>0.98216264851900992</v>
      </c>
    </row>
    <row r="1136" spans="1:23" hidden="1" x14ac:dyDescent="0.55000000000000004">
      <c r="A1136" s="1" t="s">
        <v>2871</v>
      </c>
      <c r="B1136" s="1">
        <v>133</v>
      </c>
      <c r="C1136">
        <v>641.5</v>
      </c>
      <c r="D1136">
        <v>614</v>
      </c>
      <c r="E1136">
        <v>10.547610000000001</v>
      </c>
      <c r="F1136" t="s">
        <v>6</v>
      </c>
      <c r="G1136" s="10" t="s">
        <v>2870</v>
      </c>
      <c r="H1136">
        <v>98</v>
      </c>
      <c r="I1136" t="s">
        <v>2865</v>
      </c>
      <c r="J1136">
        <f ca="1">VLOOKUP(G1136,INDIRECT("球速変換!A$1:B$" &amp; Prams!$B$8),2,)</f>
        <v>126</v>
      </c>
      <c r="K1136" t="str">
        <f ca="1">VLOOKUP(I1136,INDIRECT("投手名変換!A$1:B$" &amp; Prams!$B$9),2,)</f>
        <v>DD026</v>
      </c>
      <c r="L1136">
        <f t="shared" si="98"/>
        <v>35</v>
      </c>
      <c r="M1136">
        <f ca="1">(B1136-VLOOKUP(K1136,INDIRECT("投手データ!B1:D"&amp;Prams!$B$1),3,FALSE)*2)</f>
        <v>39</v>
      </c>
      <c r="N1136" t="str">
        <f ca="1">VLOOKUP(F1136,INDIRECT("球種変換表!A$1:B$" &amp; Prams!$B$2),2,)</f>
        <v>フォーク</v>
      </c>
      <c r="O1136">
        <f ca="1">VLOOKUP(N1136,球種情報!A:B,2,FALSE)</f>
        <v>16</v>
      </c>
      <c r="P1136">
        <f ca="1">VLOOKUP(K1136,投手データ!B:AI,output!O1136+6,FALSE)</f>
        <v>4</v>
      </c>
      <c r="R1136">
        <f t="shared" ca="1" si="99"/>
        <v>7.9365079365079361E-3</v>
      </c>
      <c r="S1136">
        <f t="shared" si="100"/>
        <v>0.57361111111111107</v>
      </c>
      <c r="T1136">
        <f>Prams!B$5/(S1136-Prams!B$6)</f>
        <v>120.43962942118708</v>
      </c>
      <c r="U1136">
        <f t="shared" ca="1" si="101"/>
        <v>0.64027777777777772</v>
      </c>
      <c r="V1136">
        <f ca="1">Prams!C$5/(U1136-Prams!C$6)</f>
        <v>124.47305429408739</v>
      </c>
      <c r="W1136">
        <f t="shared" ca="1" si="102"/>
        <v>0.98788138328640784</v>
      </c>
    </row>
    <row r="1137" spans="1:23" hidden="1" x14ac:dyDescent="0.55000000000000004">
      <c r="A1137" s="1" t="s">
        <v>2872</v>
      </c>
      <c r="B1137" s="1">
        <v>133</v>
      </c>
      <c r="C1137">
        <v>635.47826999999995</v>
      </c>
      <c r="D1137">
        <v>615</v>
      </c>
      <c r="E1137">
        <v>11.52183</v>
      </c>
      <c r="F1137" t="s">
        <v>6</v>
      </c>
      <c r="G1137" s="10" t="s">
        <v>629</v>
      </c>
      <c r="H1137">
        <v>98</v>
      </c>
      <c r="I1137" t="s">
        <v>2865</v>
      </c>
      <c r="J1137">
        <f ca="1">VLOOKUP(G1137,INDIRECT("球速変換!A$1:B$" &amp; Prams!$B$8),2,)</f>
        <v>121</v>
      </c>
      <c r="K1137" t="str">
        <f ca="1">VLOOKUP(I1137,INDIRECT("投手名変換!A$1:B$" &amp; Prams!$B$9),2,)</f>
        <v>DD026</v>
      </c>
      <c r="L1137">
        <f t="shared" si="98"/>
        <v>35</v>
      </c>
      <c r="M1137">
        <f ca="1">(B1137-VLOOKUP(K1137,INDIRECT("投手データ!B1:D"&amp;Prams!$B$1),3,FALSE)*2)</f>
        <v>39</v>
      </c>
      <c r="N1137" t="str">
        <f ca="1">VLOOKUP(F1137,INDIRECT("球種変換表!A$1:B$" &amp; Prams!$B$2),2,)</f>
        <v>フォーク</v>
      </c>
      <c r="O1137">
        <f ca="1">VLOOKUP(N1137,球種情報!A:B,2,FALSE)</f>
        <v>16</v>
      </c>
      <c r="P1137">
        <f ca="1">VLOOKUP(K1137,投手データ!B:AI,output!O1137+6,FALSE)</f>
        <v>4</v>
      </c>
      <c r="R1137">
        <f t="shared" ca="1" si="99"/>
        <v>8.2644628099173556E-3</v>
      </c>
      <c r="S1137">
        <f t="shared" si="100"/>
        <v>0.57291666666666663</v>
      </c>
      <c r="T1137">
        <f>Prams!B$5/(S1137-Prams!B$6)</f>
        <v>120.60278960886954</v>
      </c>
      <c r="U1137">
        <f t="shared" ca="1" si="101"/>
        <v>0.63958333333333328</v>
      </c>
      <c r="V1137">
        <f ca="1">Prams!C$5/(U1137-Prams!C$6)</f>
        <v>124.6473335797574</v>
      </c>
      <c r="W1137">
        <f t="shared" ca="1" si="102"/>
        <v>1.0301432527252679</v>
      </c>
    </row>
    <row r="1138" spans="1:23" hidden="1" x14ac:dyDescent="0.55000000000000004">
      <c r="A1138" s="1" t="s">
        <v>2873</v>
      </c>
      <c r="B1138" s="1">
        <v>133</v>
      </c>
      <c r="C1138">
        <v>640.5</v>
      </c>
      <c r="D1138">
        <v>613.5</v>
      </c>
      <c r="E1138">
        <v>10.6067</v>
      </c>
      <c r="F1138" t="s">
        <v>6</v>
      </c>
      <c r="G1138" s="10" t="s">
        <v>2419</v>
      </c>
      <c r="H1138">
        <v>98</v>
      </c>
      <c r="I1138" t="s">
        <v>2865</v>
      </c>
      <c r="J1138">
        <f ca="1">VLOOKUP(G1138,INDIRECT("球速変換!A$1:B$" &amp; Prams!$B$8),2,)</f>
        <v>126</v>
      </c>
      <c r="K1138" t="str">
        <f ca="1">VLOOKUP(I1138,INDIRECT("投手名変換!A$1:B$" &amp; Prams!$B$9),2,)</f>
        <v>DD026</v>
      </c>
      <c r="L1138">
        <f t="shared" si="98"/>
        <v>35</v>
      </c>
      <c r="M1138">
        <f ca="1">(B1138-VLOOKUP(K1138,INDIRECT("投手データ!B1:D"&amp;Prams!$B$1),3,FALSE)*2)</f>
        <v>39</v>
      </c>
      <c r="N1138" t="str">
        <f ca="1">VLOOKUP(F1138,INDIRECT("球種変換表!A$1:B$" &amp; Prams!$B$2),2,)</f>
        <v>フォーク</v>
      </c>
      <c r="O1138">
        <f ca="1">VLOOKUP(N1138,球種情報!A:B,2,FALSE)</f>
        <v>16</v>
      </c>
      <c r="P1138">
        <f ca="1">VLOOKUP(K1138,投手データ!B:AI,output!O1138+6,FALSE)</f>
        <v>4</v>
      </c>
      <c r="R1138">
        <f t="shared" ca="1" si="99"/>
        <v>7.9365079365079361E-3</v>
      </c>
      <c r="S1138">
        <f t="shared" si="100"/>
        <v>0.57395833333333335</v>
      </c>
      <c r="T1138">
        <f>Prams!B$5/(S1138-Prams!B$6)</f>
        <v>120.35821476662503</v>
      </c>
      <c r="U1138">
        <f t="shared" ca="1" si="101"/>
        <v>0.640625</v>
      </c>
      <c r="V1138">
        <f ca="1">Prams!C$5/(U1138-Prams!C$6)</f>
        <v>124.38609727880892</v>
      </c>
      <c r="W1138">
        <f t="shared" ca="1" si="102"/>
        <v>0.98719124824451521</v>
      </c>
    </row>
    <row r="1139" spans="1:23" hidden="1" x14ac:dyDescent="0.55000000000000004">
      <c r="A1139" s="1" t="s">
        <v>2874</v>
      </c>
      <c r="B1139" s="1">
        <v>133</v>
      </c>
      <c r="C1139">
        <v>639</v>
      </c>
      <c r="D1139">
        <v>613.5</v>
      </c>
      <c r="E1139">
        <v>11.01146</v>
      </c>
      <c r="F1139" t="s">
        <v>6</v>
      </c>
      <c r="G1139" s="10" t="s">
        <v>2419</v>
      </c>
      <c r="H1139">
        <v>98</v>
      </c>
      <c r="I1139" t="s">
        <v>2865</v>
      </c>
      <c r="J1139">
        <f ca="1">VLOOKUP(G1139,INDIRECT("球速変換!A$1:B$" &amp; Prams!$B$8),2,)</f>
        <v>126</v>
      </c>
      <c r="K1139" t="str">
        <f ca="1">VLOOKUP(I1139,INDIRECT("投手名変換!A$1:B$" &amp; Prams!$B$9),2,)</f>
        <v>DD026</v>
      </c>
      <c r="L1139">
        <f t="shared" si="98"/>
        <v>35</v>
      </c>
      <c r="M1139">
        <f ca="1">(B1139-VLOOKUP(K1139,INDIRECT("投手データ!B1:D"&amp;Prams!$B$1),3,FALSE)*2)</f>
        <v>39</v>
      </c>
      <c r="N1139" t="str">
        <f ca="1">VLOOKUP(F1139,INDIRECT("球種変換表!A$1:B$" &amp; Prams!$B$2),2,)</f>
        <v>フォーク</v>
      </c>
      <c r="O1139">
        <f ca="1">VLOOKUP(N1139,球種情報!A:B,2,FALSE)</f>
        <v>16</v>
      </c>
      <c r="P1139">
        <f ca="1">VLOOKUP(K1139,投手データ!B:AI,output!O1139+6,FALSE)</f>
        <v>4</v>
      </c>
      <c r="R1139">
        <f t="shared" ca="1" si="99"/>
        <v>7.9365079365079361E-3</v>
      </c>
      <c r="S1139">
        <f t="shared" si="100"/>
        <v>0.57395833333333335</v>
      </c>
      <c r="T1139">
        <f>Prams!B$5/(S1139-Prams!B$6)</f>
        <v>120.35821476662503</v>
      </c>
      <c r="U1139">
        <f t="shared" ca="1" si="101"/>
        <v>0.640625</v>
      </c>
      <c r="V1139">
        <f ca="1">Prams!C$5/(U1139-Prams!C$6)</f>
        <v>124.38609727880892</v>
      </c>
      <c r="W1139">
        <f t="shared" ca="1" si="102"/>
        <v>0.98719124824451521</v>
      </c>
    </row>
    <row r="1140" spans="1:23" hidden="1" x14ac:dyDescent="0.55000000000000004">
      <c r="A1140" s="1" t="s">
        <v>2875</v>
      </c>
      <c r="B1140" s="1">
        <v>132</v>
      </c>
      <c r="C1140">
        <v>628.02270999999996</v>
      </c>
      <c r="D1140">
        <v>602</v>
      </c>
      <c r="E1140">
        <v>11.02285</v>
      </c>
      <c r="F1140" t="s">
        <v>6</v>
      </c>
      <c r="G1140" s="10" t="s">
        <v>591</v>
      </c>
      <c r="H1140">
        <v>98</v>
      </c>
      <c r="I1140" t="s">
        <v>2865</v>
      </c>
      <c r="J1140">
        <f ca="1">VLOOKUP(G1140,INDIRECT("球速変換!A$1:B$" &amp; Prams!$B$8),2,)</f>
        <v>128</v>
      </c>
      <c r="K1140" t="str">
        <f ca="1">VLOOKUP(I1140,INDIRECT("投手名変換!A$1:B$" &amp; Prams!$B$9),2,)</f>
        <v>DD026</v>
      </c>
      <c r="L1140">
        <f t="shared" si="98"/>
        <v>34</v>
      </c>
      <c r="M1140">
        <f ca="1">(B1140-VLOOKUP(K1140,INDIRECT("投手データ!B1:D"&amp;Prams!$B$1),3,FALSE)*2)</f>
        <v>38</v>
      </c>
      <c r="N1140" t="str">
        <f ca="1">VLOOKUP(F1140,INDIRECT("球種変換表!A$1:B$" &amp; Prams!$B$2),2,)</f>
        <v>フォーク</v>
      </c>
      <c r="O1140">
        <f ca="1">VLOOKUP(N1140,球種情報!A:B,2,FALSE)</f>
        <v>16</v>
      </c>
      <c r="P1140">
        <f ca="1">VLOOKUP(K1140,投手データ!B:AI,output!O1140+6,FALSE)</f>
        <v>4</v>
      </c>
      <c r="R1140">
        <f t="shared" ca="1" si="99"/>
        <v>7.8125E-3</v>
      </c>
      <c r="S1140">
        <f t="shared" si="100"/>
        <v>0.56527777777777777</v>
      </c>
      <c r="T1140">
        <f>Prams!B$5/(S1140-Prams!B$6)</f>
        <v>122.42716951240979</v>
      </c>
      <c r="U1140">
        <f t="shared" ca="1" si="101"/>
        <v>0.63194444444444442</v>
      </c>
      <c r="V1140">
        <f ca="1">Prams!C$5/(U1140-Prams!C$6)</f>
        <v>126.59711951946487</v>
      </c>
      <c r="W1140">
        <f t="shared" ca="1" si="102"/>
        <v>0.98903999624581929</v>
      </c>
    </row>
    <row r="1141" spans="1:23" hidden="1" x14ac:dyDescent="0.55000000000000004">
      <c r="A1141" s="1" t="s">
        <v>2876</v>
      </c>
      <c r="B1141" s="1">
        <v>133</v>
      </c>
      <c r="C1141">
        <v>647.5</v>
      </c>
      <c r="D1141">
        <v>608.5</v>
      </c>
      <c r="E1141">
        <v>10.512</v>
      </c>
      <c r="F1141" t="s">
        <v>6</v>
      </c>
      <c r="G1141" s="10" t="s">
        <v>2434</v>
      </c>
      <c r="H1141">
        <v>98</v>
      </c>
      <c r="I1141" t="s">
        <v>2865</v>
      </c>
      <c r="J1141">
        <f ca="1">VLOOKUP(G1141,INDIRECT("球速変換!A$1:B$" &amp; Prams!$B$8),2,)</f>
        <v>125</v>
      </c>
      <c r="K1141" t="str">
        <f ca="1">VLOOKUP(I1141,INDIRECT("投手名変換!A$1:B$" &amp; Prams!$B$9),2,)</f>
        <v>DD026</v>
      </c>
      <c r="L1141">
        <f t="shared" si="98"/>
        <v>35</v>
      </c>
      <c r="M1141">
        <f ca="1">(B1141-VLOOKUP(K1141,INDIRECT("投手データ!B1:D"&amp;Prams!$B$1),3,FALSE)*2)</f>
        <v>39</v>
      </c>
      <c r="N1141" t="str">
        <f ca="1">VLOOKUP(F1141,INDIRECT("球種変換表!A$1:B$" &amp; Prams!$B$2),2,)</f>
        <v>フォーク</v>
      </c>
      <c r="O1141">
        <f ca="1">VLOOKUP(N1141,球種情報!A:B,2,FALSE)</f>
        <v>16</v>
      </c>
      <c r="P1141">
        <f ca="1">VLOOKUP(K1141,投手データ!B:AI,output!O1141+6,FALSE)</f>
        <v>4</v>
      </c>
      <c r="R1141">
        <f t="shared" ca="1" si="99"/>
        <v>8.0000000000000002E-3</v>
      </c>
      <c r="S1141">
        <f t="shared" si="100"/>
        <v>0.57743055555555556</v>
      </c>
      <c r="T1141">
        <f>Prams!B$5/(S1141-Prams!B$6)</f>
        <v>119.55008137854722</v>
      </c>
      <c r="U1141">
        <f t="shared" ca="1" si="101"/>
        <v>0.64409722222222221</v>
      </c>
      <c r="V1141">
        <f ca="1">Prams!C$5/(U1141-Prams!C$6)</f>
        <v>123.52316307671818</v>
      </c>
      <c r="W1141">
        <f t="shared" ca="1" si="102"/>
        <v>0.98818530461374543</v>
      </c>
    </row>
    <row r="1142" spans="1:23" hidden="1" x14ac:dyDescent="0.55000000000000004">
      <c r="A1142" s="1" t="s">
        <v>2877</v>
      </c>
      <c r="B1142" s="1">
        <v>132</v>
      </c>
      <c r="C1142">
        <v>640</v>
      </c>
      <c r="D1142">
        <v>603.5</v>
      </c>
      <c r="E1142">
        <v>10.012589999999999</v>
      </c>
      <c r="F1142" t="s">
        <v>6</v>
      </c>
      <c r="G1142" s="10" t="s">
        <v>623</v>
      </c>
      <c r="H1142">
        <v>98</v>
      </c>
      <c r="I1142" t="s">
        <v>2865</v>
      </c>
      <c r="J1142">
        <f ca="1">VLOOKUP(G1142,INDIRECT("球速変換!A$1:B$" &amp; Prams!$B$8),2,)</f>
        <v>120</v>
      </c>
      <c r="K1142" t="str">
        <f ca="1">VLOOKUP(I1142,INDIRECT("投手名変換!A$1:B$" &amp; Prams!$B$9),2,)</f>
        <v>DD026</v>
      </c>
      <c r="L1142">
        <f t="shared" si="98"/>
        <v>34</v>
      </c>
      <c r="M1142">
        <f ca="1">(B1142-VLOOKUP(K1142,INDIRECT("投手データ!B1:D"&amp;Prams!$B$1),3,FALSE)*2)</f>
        <v>38</v>
      </c>
      <c r="N1142" t="str">
        <f ca="1">VLOOKUP(F1142,INDIRECT("球種変換表!A$1:B$" &amp; Prams!$B$2),2,)</f>
        <v>フォーク</v>
      </c>
      <c r="O1142">
        <f ca="1">VLOOKUP(N1142,球種情報!A:B,2,FALSE)</f>
        <v>16</v>
      </c>
      <c r="P1142">
        <f ca="1">VLOOKUP(K1142,投手データ!B:AI,output!O1142+6,FALSE)</f>
        <v>4</v>
      </c>
      <c r="R1142">
        <f t="shared" ca="1" si="99"/>
        <v>8.3333333333333332E-3</v>
      </c>
      <c r="S1142">
        <f t="shared" si="100"/>
        <v>0.56423611111111105</v>
      </c>
      <c r="T1142">
        <f>Prams!B$5/(S1142-Prams!B$6)</f>
        <v>122.6802339361802</v>
      </c>
      <c r="U1142">
        <f t="shared" ca="1" si="101"/>
        <v>0.6309027777777777</v>
      </c>
      <c r="V1142">
        <f ca="1">Prams!C$5/(U1142-Prams!C$6)</f>
        <v>126.8677356651409</v>
      </c>
      <c r="W1142">
        <f t="shared" ca="1" si="102"/>
        <v>1.0572311305428408</v>
      </c>
    </row>
    <row r="1143" spans="1:23" hidden="1" x14ac:dyDescent="0.55000000000000004">
      <c r="A1143" s="1" t="s">
        <v>2878</v>
      </c>
      <c r="B1143" s="1">
        <v>133</v>
      </c>
      <c r="C1143">
        <v>642.95452999999998</v>
      </c>
      <c r="D1143">
        <v>614.5</v>
      </c>
      <c r="E1143">
        <v>11.05688</v>
      </c>
      <c r="F1143" t="s">
        <v>6</v>
      </c>
      <c r="G1143" s="10" t="s">
        <v>2243</v>
      </c>
      <c r="H1143">
        <v>98</v>
      </c>
      <c r="I1143" t="s">
        <v>2865</v>
      </c>
      <c r="J1143">
        <f ca="1">VLOOKUP(G1143,INDIRECT("球速変換!A$1:B$" &amp; Prams!$B$8),2,)</f>
        <v>126</v>
      </c>
      <c r="K1143" t="str">
        <f ca="1">VLOOKUP(I1143,INDIRECT("投手名変換!A$1:B$" &amp; Prams!$B$9),2,)</f>
        <v>DD026</v>
      </c>
      <c r="L1143">
        <f t="shared" si="98"/>
        <v>35</v>
      </c>
      <c r="M1143">
        <f ca="1">(B1143-VLOOKUP(K1143,INDIRECT("投手データ!B1:D"&amp;Prams!$B$1),3,FALSE)*2)</f>
        <v>39</v>
      </c>
      <c r="N1143" t="str">
        <f ca="1">VLOOKUP(F1143,INDIRECT("球種変換表!A$1:B$" &amp; Prams!$B$2),2,)</f>
        <v>フォーク</v>
      </c>
      <c r="O1143">
        <f ca="1">VLOOKUP(N1143,球種情報!A:B,2,FALSE)</f>
        <v>16</v>
      </c>
      <c r="P1143">
        <f ca="1">VLOOKUP(K1143,投手データ!B:AI,output!O1143+6,FALSE)</f>
        <v>4</v>
      </c>
      <c r="R1143">
        <f t="shared" ca="1" si="99"/>
        <v>7.9365079365079361E-3</v>
      </c>
      <c r="S1143">
        <f t="shared" si="100"/>
        <v>0.57326388888888891</v>
      </c>
      <c r="T1143">
        <f>Prams!B$5/(S1143-Prams!B$6)</f>
        <v>120.52115429394532</v>
      </c>
      <c r="U1143">
        <f t="shared" ca="1" si="101"/>
        <v>0.63993055555555556</v>
      </c>
      <c r="V1143">
        <f ca="1">Prams!C$5/(U1143-Prams!C$6)</f>
        <v>124.56013297589533</v>
      </c>
      <c r="W1143">
        <f t="shared" ca="1" si="102"/>
        <v>0.9885724839356772</v>
      </c>
    </row>
    <row r="1144" spans="1:23" hidden="1" x14ac:dyDescent="0.55000000000000004">
      <c r="A1144" s="1" t="s">
        <v>2879</v>
      </c>
      <c r="B1144" s="1">
        <v>132</v>
      </c>
      <c r="C1144">
        <v>633.95001000000002</v>
      </c>
      <c r="D1144">
        <v>601.5</v>
      </c>
      <c r="E1144">
        <v>10.062519999999999</v>
      </c>
      <c r="F1144" t="s">
        <v>6</v>
      </c>
      <c r="G1144" s="10" t="s">
        <v>591</v>
      </c>
      <c r="H1144">
        <v>98</v>
      </c>
      <c r="I1144" t="s">
        <v>2865</v>
      </c>
      <c r="J1144">
        <f ca="1">VLOOKUP(G1144,INDIRECT("球速変換!A$1:B$" &amp; Prams!$B$8),2,)</f>
        <v>128</v>
      </c>
      <c r="K1144" t="str">
        <f ca="1">VLOOKUP(I1144,INDIRECT("投手名変換!A$1:B$" &amp; Prams!$B$9),2,)</f>
        <v>DD026</v>
      </c>
      <c r="L1144">
        <f t="shared" si="98"/>
        <v>34</v>
      </c>
      <c r="M1144">
        <f ca="1">(B1144-VLOOKUP(K1144,INDIRECT("投手データ!B1:D"&amp;Prams!$B$1),3,FALSE)*2)</f>
        <v>38</v>
      </c>
      <c r="N1144" t="str">
        <f ca="1">VLOOKUP(F1144,INDIRECT("球種変換表!A$1:B$" &amp; Prams!$B$2),2,)</f>
        <v>フォーク</v>
      </c>
      <c r="O1144">
        <f ca="1">VLOOKUP(N1144,球種情報!A:B,2,FALSE)</f>
        <v>16</v>
      </c>
      <c r="P1144">
        <f ca="1">VLOOKUP(K1144,投手データ!B:AI,output!O1144+6,FALSE)</f>
        <v>4</v>
      </c>
      <c r="R1144">
        <f t="shared" ca="1" si="99"/>
        <v>7.8125E-3</v>
      </c>
      <c r="S1144">
        <f t="shared" si="100"/>
        <v>0.56562500000000004</v>
      </c>
      <c r="T1144">
        <f>Prams!B$5/(S1144-Prams!B$6)</f>
        <v>122.34304655419778</v>
      </c>
      <c r="U1144">
        <f t="shared" ca="1" si="101"/>
        <v>0.6322916666666667</v>
      </c>
      <c r="V1144">
        <f ca="1">Prams!C$5/(U1144-Prams!C$6)</f>
        <v>126.50717050628379</v>
      </c>
      <c r="W1144">
        <f t="shared" ca="1" si="102"/>
        <v>0.98833726958034207</v>
      </c>
    </row>
    <row r="1145" spans="1:23" hidden="1" x14ac:dyDescent="0.55000000000000004">
      <c r="A1145" s="1" t="s">
        <v>2881</v>
      </c>
      <c r="B1145" s="1">
        <v>132</v>
      </c>
      <c r="C1145">
        <v>631.5</v>
      </c>
      <c r="D1145">
        <v>606</v>
      </c>
      <c r="E1145">
        <v>10.547610000000001</v>
      </c>
      <c r="F1145" t="s">
        <v>6</v>
      </c>
      <c r="G1145" s="10" t="s">
        <v>2418</v>
      </c>
      <c r="H1145">
        <v>98</v>
      </c>
      <c r="I1145" t="s">
        <v>2880</v>
      </c>
      <c r="J1145">
        <f ca="1">VLOOKUP(G1145,INDIRECT("球速変換!A$1:B$" &amp; Prams!$B$8),2,)</f>
        <v>129</v>
      </c>
      <c r="K1145" t="str">
        <f ca="1">VLOOKUP(I1145,INDIRECT("投手名変換!A$1:B$" &amp; Prams!$B$9),2,)</f>
        <v>DD026</v>
      </c>
      <c r="L1145">
        <f t="shared" si="98"/>
        <v>34</v>
      </c>
      <c r="M1145">
        <f ca="1">(B1145-VLOOKUP(K1145,INDIRECT("投手データ!B1:D"&amp;Prams!$B$1),3,FALSE)*2)</f>
        <v>38</v>
      </c>
      <c r="N1145" t="str">
        <f ca="1">VLOOKUP(F1145,INDIRECT("球種変換表!A$1:B$" &amp; Prams!$B$2),2,)</f>
        <v>フォーク</v>
      </c>
      <c r="O1145">
        <f ca="1">VLOOKUP(N1145,球種情報!A:B,2,FALSE)</f>
        <v>16</v>
      </c>
      <c r="P1145">
        <f ca="1">VLOOKUP(K1145,投手データ!B:AI,output!O1145+6,FALSE)</f>
        <v>4</v>
      </c>
      <c r="R1145">
        <f t="shared" ca="1" si="99"/>
        <v>7.7519379844961239E-3</v>
      </c>
      <c r="S1145">
        <f t="shared" si="100"/>
        <v>0.5625</v>
      </c>
      <c r="T1145">
        <f>Prams!B$5/(S1145-Prams!B$6)</f>
        <v>123.10434090003983</v>
      </c>
      <c r="U1145">
        <f t="shared" ca="1" si="101"/>
        <v>0.62916666666666665</v>
      </c>
      <c r="V1145">
        <f ca="1">Prams!C$5/(U1145-Prams!C$6)</f>
        <v>127.32134276103523</v>
      </c>
      <c r="W1145">
        <f t="shared" ca="1" si="102"/>
        <v>0.98698715318631958</v>
      </c>
    </row>
    <row r="1146" spans="1:23" hidden="1" x14ac:dyDescent="0.55000000000000004">
      <c r="A1146" s="1" t="s">
        <v>2882</v>
      </c>
      <c r="B1146" s="1">
        <v>132</v>
      </c>
      <c r="C1146">
        <v>633.97497999999996</v>
      </c>
      <c r="D1146">
        <v>601</v>
      </c>
      <c r="E1146">
        <v>10.025119999999999</v>
      </c>
      <c r="F1146" t="s">
        <v>6</v>
      </c>
      <c r="G1146" s="10" t="s">
        <v>591</v>
      </c>
      <c r="H1146">
        <v>98</v>
      </c>
      <c r="I1146" t="s">
        <v>2865</v>
      </c>
      <c r="J1146">
        <f ca="1">VLOOKUP(G1146,INDIRECT("球速変換!A$1:B$" &amp; Prams!$B$8),2,)</f>
        <v>128</v>
      </c>
      <c r="K1146" t="str">
        <f ca="1">VLOOKUP(I1146,INDIRECT("投手名変換!A$1:B$" &amp; Prams!$B$9),2,)</f>
        <v>DD026</v>
      </c>
      <c r="L1146">
        <f t="shared" si="98"/>
        <v>34</v>
      </c>
      <c r="M1146">
        <f ca="1">(B1146-VLOOKUP(K1146,INDIRECT("投手データ!B1:D"&amp;Prams!$B$1),3,FALSE)*2)</f>
        <v>38</v>
      </c>
      <c r="N1146" t="str">
        <f ca="1">VLOOKUP(F1146,INDIRECT("球種変換表!A$1:B$" &amp; Prams!$B$2),2,)</f>
        <v>フォーク</v>
      </c>
      <c r="O1146">
        <f ca="1">VLOOKUP(N1146,球種情報!A:B,2,FALSE)</f>
        <v>16</v>
      </c>
      <c r="P1146">
        <f ca="1">VLOOKUP(K1146,投手データ!B:AI,output!O1146+6,FALSE)</f>
        <v>4</v>
      </c>
      <c r="R1146">
        <f t="shared" ca="1" si="99"/>
        <v>7.8125E-3</v>
      </c>
      <c r="S1146">
        <f t="shared" si="100"/>
        <v>0.56597222222222221</v>
      </c>
      <c r="T1146">
        <f>Prams!B$5/(S1146-Prams!B$6)</f>
        <v>122.25903912283979</v>
      </c>
      <c r="U1146">
        <f t="shared" ca="1" si="101"/>
        <v>0.63263888888888897</v>
      </c>
      <c r="V1146">
        <f ca="1">Prams!C$5/(U1146-Prams!C$6)</f>
        <v>126.41734922239766</v>
      </c>
      <c r="W1146">
        <f t="shared" ca="1" si="102"/>
        <v>0.98763554079998173</v>
      </c>
    </row>
    <row r="1147" spans="1:23" hidden="1" x14ac:dyDescent="0.55000000000000004">
      <c r="A1147" s="1" t="s">
        <v>2883</v>
      </c>
      <c r="B1147" s="1">
        <v>133</v>
      </c>
      <c r="C1147">
        <v>638.5</v>
      </c>
      <c r="D1147">
        <v>608</v>
      </c>
      <c r="E1147">
        <v>11.5001</v>
      </c>
      <c r="F1147" t="s">
        <v>6</v>
      </c>
      <c r="G1147" s="10" t="s">
        <v>623</v>
      </c>
      <c r="H1147">
        <v>98</v>
      </c>
      <c r="I1147" t="s">
        <v>2865</v>
      </c>
      <c r="J1147">
        <f ca="1">VLOOKUP(G1147,INDIRECT("球速変換!A$1:B$" &amp; Prams!$B$8),2,)</f>
        <v>120</v>
      </c>
      <c r="K1147" t="str">
        <f ca="1">VLOOKUP(I1147,INDIRECT("投手名変換!A$1:B$" &amp; Prams!$B$9),2,)</f>
        <v>DD026</v>
      </c>
      <c r="L1147">
        <f t="shared" si="98"/>
        <v>35</v>
      </c>
      <c r="M1147">
        <f ca="1">(B1147-VLOOKUP(K1147,INDIRECT("投手データ!B1:D"&amp;Prams!$B$1),3,FALSE)*2)</f>
        <v>39</v>
      </c>
      <c r="N1147" t="str">
        <f ca="1">VLOOKUP(F1147,INDIRECT("球種変換表!A$1:B$" &amp; Prams!$B$2),2,)</f>
        <v>フォーク</v>
      </c>
      <c r="O1147">
        <f ca="1">VLOOKUP(N1147,球種情報!A:B,2,FALSE)</f>
        <v>16</v>
      </c>
      <c r="P1147">
        <f ca="1">VLOOKUP(K1147,投手データ!B:AI,output!O1147+6,FALSE)</f>
        <v>4</v>
      </c>
      <c r="R1147">
        <f t="shared" ca="1" si="99"/>
        <v>8.3333333333333332E-3</v>
      </c>
      <c r="S1147">
        <f t="shared" si="100"/>
        <v>0.57777777777777772</v>
      </c>
      <c r="T1147">
        <f>Prams!B$5/(S1147-Prams!B$6)</f>
        <v>119.4698645137741</v>
      </c>
      <c r="U1147">
        <f t="shared" ca="1" si="101"/>
        <v>0.64444444444444438</v>
      </c>
      <c r="V1147">
        <f ca="1">Prams!C$5/(U1147-Prams!C$6)</f>
        <v>123.4375277309433</v>
      </c>
      <c r="W1147">
        <f t="shared" ca="1" si="102"/>
        <v>1.0286460644245274</v>
      </c>
    </row>
    <row r="1148" spans="1:23" hidden="1" x14ac:dyDescent="0.55000000000000004">
      <c r="A1148" s="1" t="s">
        <v>2884</v>
      </c>
      <c r="B1148" s="1">
        <v>132</v>
      </c>
      <c r="C1148">
        <v>633.95001000000002</v>
      </c>
      <c r="D1148">
        <v>603.5</v>
      </c>
      <c r="E1148">
        <v>10.062519999999999</v>
      </c>
      <c r="F1148" t="s">
        <v>6</v>
      </c>
      <c r="G1148" s="10" t="s">
        <v>622</v>
      </c>
      <c r="H1148">
        <v>98</v>
      </c>
      <c r="I1148" t="s">
        <v>2865</v>
      </c>
      <c r="J1148">
        <f ca="1">VLOOKUP(G1148,INDIRECT("球速変換!A$1:B$" &amp; Prams!$B$8),2,)</f>
        <v>128</v>
      </c>
      <c r="K1148" t="str">
        <f ca="1">VLOOKUP(I1148,INDIRECT("投手名変換!A$1:B$" &amp; Prams!$B$9),2,)</f>
        <v>DD026</v>
      </c>
      <c r="L1148">
        <f t="shared" si="98"/>
        <v>34</v>
      </c>
      <c r="M1148">
        <f ca="1">(B1148-VLOOKUP(K1148,INDIRECT("投手データ!B1:D"&amp;Prams!$B$1),3,FALSE)*2)</f>
        <v>38</v>
      </c>
      <c r="N1148" t="str">
        <f ca="1">VLOOKUP(F1148,INDIRECT("球種変換表!A$1:B$" &amp; Prams!$B$2),2,)</f>
        <v>フォーク</v>
      </c>
      <c r="O1148">
        <f ca="1">VLOOKUP(N1148,球種情報!A:B,2,FALSE)</f>
        <v>16</v>
      </c>
      <c r="P1148">
        <f ca="1">VLOOKUP(K1148,投手データ!B:AI,output!O1148+6,FALSE)</f>
        <v>4</v>
      </c>
      <c r="R1148">
        <f t="shared" ca="1" si="99"/>
        <v>7.8125E-3</v>
      </c>
      <c r="S1148">
        <f t="shared" si="100"/>
        <v>0.56423611111111105</v>
      </c>
      <c r="T1148">
        <f>Prams!B$5/(S1148-Prams!B$6)</f>
        <v>122.6802339361802</v>
      </c>
      <c r="U1148">
        <f t="shared" ca="1" si="101"/>
        <v>0.6309027777777777</v>
      </c>
      <c r="V1148">
        <f ca="1">Prams!C$5/(U1148-Prams!C$6)</f>
        <v>126.8677356651409</v>
      </c>
      <c r="W1148">
        <f t="shared" ca="1" si="102"/>
        <v>0.99115418488391327</v>
      </c>
    </row>
    <row r="1149" spans="1:23" hidden="1" x14ac:dyDescent="0.55000000000000004">
      <c r="A1149" s="1" t="s">
        <v>2885</v>
      </c>
      <c r="B1149" s="1">
        <v>133</v>
      </c>
      <c r="C1149">
        <v>635.5</v>
      </c>
      <c r="D1149">
        <v>610.5</v>
      </c>
      <c r="E1149">
        <v>11.510960000000001</v>
      </c>
      <c r="F1149" t="s">
        <v>6</v>
      </c>
      <c r="G1149" s="10" t="s">
        <v>623</v>
      </c>
      <c r="H1149">
        <v>98</v>
      </c>
      <c r="I1149" t="s">
        <v>2865</v>
      </c>
      <c r="J1149">
        <f ca="1">VLOOKUP(G1149,INDIRECT("球速変換!A$1:B$" &amp; Prams!$B$8),2,)</f>
        <v>120</v>
      </c>
      <c r="K1149" t="str">
        <f ca="1">VLOOKUP(I1149,INDIRECT("投手名変換!A$1:B$" &amp; Prams!$B$9),2,)</f>
        <v>DD026</v>
      </c>
      <c r="L1149">
        <f t="shared" si="98"/>
        <v>35</v>
      </c>
      <c r="M1149">
        <f ca="1">(B1149-VLOOKUP(K1149,INDIRECT("投手データ!B1:D"&amp;Prams!$B$1),3,FALSE)*2)</f>
        <v>39</v>
      </c>
      <c r="N1149" t="str">
        <f ca="1">VLOOKUP(F1149,INDIRECT("球種変換表!A$1:B$" &amp; Prams!$B$2),2,)</f>
        <v>フォーク</v>
      </c>
      <c r="O1149">
        <f ca="1">VLOOKUP(N1149,球種情報!A:B,2,FALSE)</f>
        <v>16</v>
      </c>
      <c r="P1149">
        <f ca="1">VLOOKUP(K1149,投手データ!B:AI,output!O1149+6,FALSE)</f>
        <v>4</v>
      </c>
      <c r="R1149">
        <f t="shared" ca="1" si="99"/>
        <v>8.3333333333333332E-3</v>
      </c>
      <c r="S1149">
        <f t="shared" si="100"/>
        <v>0.57604166666666667</v>
      </c>
      <c r="T1149">
        <f>Prams!B$5/(S1149-Prams!B$6)</f>
        <v>119.87202895506472</v>
      </c>
      <c r="U1149">
        <f t="shared" ca="1" si="101"/>
        <v>0.64270833333333333</v>
      </c>
      <c r="V1149">
        <f ca="1">Prams!C$5/(U1149-Prams!C$6)</f>
        <v>123.86689596446998</v>
      </c>
      <c r="W1149">
        <f t="shared" ca="1" si="102"/>
        <v>1.0322241330372497</v>
      </c>
    </row>
    <row r="1150" spans="1:23" hidden="1" x14ac:dyDescent="0.55000000000000004">
      <c r="A1150" s="1" t="s">
        <v>2886</v>
      </c>
      <c r="B1150" s="1">
        <v>133</v>
      </c>
      <c r="C1150">
        <v>639.5</v>
      </c>
      <c r="D1150">
        <v>614</v>
      </c>
      <c r="E1150">
        <v>10.547610000000001</v>
      </c>
      <c r="F1150" t="s">
        <v>6</v>
      </c>
      <c r="G1150" s="10" t="s">
        <v>2170</v>
      </c>
      <c r="H1150">
        <v>98</v>
      </c>
      <c r="I1150" t="s">
        <v>2865</v>
      </c>
      <c r="J1150">
        <f ca="1">VLOOKUP(G1150,INDIRECT("球速変換!A$1:B$" &amp; Prams!$B$8),2,)</f>
        <v>126</v>
      </c>
      <c r="K1150" t="str">
        <f ca="1">VLOOKUP(I1150,INDIRECT("投手名変換!A$1:B$" &amp; Prams!$B$9),2,)</f>
        <v>DD026</v>
      </c>
      <c r="L1150">
        <f t="shared" si="98"/>
        <v>35</v>
      </c>
      <c r="M1150">
        <f ca="1">(B1150-VLOOKUP(K1150,INDIRECT("投手データ!B1:D"&amp;Prams!$B$1),3,FALSE)*2)</f>
        <v>39</v>
      </c>
      <c r="N1150" t="str">
        <f ca="1">VLOOKUP(F1150,INDIRECT("球種変換表!A$1:B$" &amp; Prams!$B$2),2,)</f>
        <v>フォーク</v>
      </c>
      <c r="O1150">
        <f ca="1">VLOOKUP(N1150,球種情報!A:B,2,FALSE)</f>
        <v>16</v>
      </c>
      <c r="P1150">
        <f ca="1">VLOOKUP(K1150,投手データ!B:AI,output!O1150+6,FALSE)</f>
        <v>4</v>
      </c>
      <c r="R1150">
        <f t="shared" ca="1" si="99"/>
        <v>7.9365079365079361E-3</v>
      </c>
      <c r="S1150">
        <f t="shared" si="100"/>
        <v>0.57361111111111107</v>
      </c>
      <c r="T1150">
        <f>Prams!B$5/(S1150-Prams!B$6)</f>
        <v>120.43962942118708</v>
      </c>
      <c r="U1150">
        <f t="shared" ca="1" si="101"/>
        <v>0.64027777777777772</v>
      </c>
      <c r="V1150">
        <f ca="1">Prams!C$5/(U1150-Prams!C$6)</f>
        <v>124.47305429408739</v>
      </c>
      <c r="W1150">
        <f t="shared" ca="1" si="102"/>
        <v>0.98788138328640784</v>
      </c>
    </row>
    <row r="1151" spans="1:23" hidden="1" x14ac:dyDescent="0.55000000000000004">
      <c r="A1151" s="1" t="s">
        <v>2888</v>
      </c>
      <c r="B1151" s="1">
        <v>132</v>
      </c>
      <c r="C1151">
        <v>634.5</v>
      </c>
      <c r="D1151">
        <v>604</v>
      </c>
      <c r="E1151">
        <v>10.547610000000001</v>
      </c>
      <c r="F1151" t="s">
        <v>6</v>
      </c>
      <c r="G1151" s="10" t="s">
        <v>2461</v>
      </c>
      <c r="H1151">
        <v>98</v>
      </c>
      <c r="I1151" t="s">
        <v>2887</v>
      </c>
      <c r="J1151">
        <f ca="1">VLOOKUP(G1151,INDIRECT("球速変換!A$1:B$" &amp; Prams!$B$8),2,)</f>
        <v>128</v>
      </c>
      <c r="K1151" t="str">
        <f ca="1">VLOOKUP(I1151,INDIRECT("投手名変換!A$1:B$" &amp; Prams!$B$9),2,)</f>
        <v>DD026</v>
      </c>
      <c r="L1151">
        <f t="shared" si="98"/>
        <v>34</v>
      </c>
      <c r="M1151">
        <f ca="1">(B1151-VLOOKUP(K1151,INDIRECT("投手データ!B1:D"&amp;Prams!$B$1),3,FALSE)*2)</f>
        <v>38</v>
      </c>
      <c r="N1151" t="str">
        <f ca="1">VLOOKUP(F1151,INDIRECT("球種変換表!A$1:B$" &amp; Prams!$B$2),2,)</f>
        <v>フォーク</v>
      </c>
      <c r="O1151">
        <f ca="1">VLOOKUP(N1151,球種情報!A:B,2,FALSE)</f>
        <v>16</v>
      </c>
      <c r="P1151">
        <f ca="1">VLOOKUP(K1151,投手データ!B:AI,output!O1151+6,FALSE)</f>
        <v>4</v>
      </c>
      <c r="R1151">
        <f t="shared" ca="1" si="99"/>
        <v>7.8125E-3</v>
      </c>
      <c r="S1151">
        <f t="shared" si="100"/>
        <v>0.56388888888888888</v>
      </c>
      <c r="T1151">
        <f>Prams!B$5/(S1151-Prams!B$6)</f>
        <v>122.76482139311167</v>
      </c>
      <c r="U1151">
        <f t="shared" ca="1" si="101"/>
        <v>0.63055555555555565</v>
      </c>
      <c r="V1151">
        <f ca="1">Prams!C$5/(U1151-Prams!C$6)</f>
        <v>126.95819832975857</v>
      </c>
      <c r="W1151">
        <f t="shared" ca="1" si="102"/>
        <v>0.99186092445123886</v>
      </c>
    </row>
    <row r="1152" spans="1:23" hidden="1" x14ac:dyDescent="0.55000000000000004">
      <c r="A1152" s="1" t="s">
        <v>2889</v>
      </c>
      <c r="B1152" s="1">
        <v>132</v>
      </c>
      <c r="C1152">
        <v>631.5</v>
      </c>
      <c r="D1152">
        <v>602.5</v>
      </c>
      <c r="E1152">
        <v>10.512</v>
      </c>
      <c r="F1152" t="s">
        <v>6</v>
      </c>
      <c r="G1152" s="10" t="s">
        <v>2461</v>
      </c>
      <c r="H1152">
        <v>98</v>
      </c>
      <c r="I1152" t="s">
        <v>2865</v>
      </c>
      <c r="J1152">
        <f ca="1">VLOOKUP(G1152,INDIRECT("球速変換!A$1:B$" &amp; Prams!$B$8),2,)</f>
        <v>128</v>
      </c>
      <c r="K1152" t="str">
        <f ca="1">VLOOKUP(I1152,INDIRECT("投手名変換!A$1:B$" &amp; Prams!$B$9),2,)</f>
        <v>DD026</v>
      </c>
      <c r="L1152">
        <f t="shared" si="98"/>
        <v>34</v>
      </c>
      <c r="M1152">
        <f ca="1">(B1152-VLOOKUP(K1152,INDIRECT("投手データ!B1:D"&amp;Prams!$B$1),3,FALSE)*2)</f>
        <v>38</v>
      </c>
      <c r="N1152" t="str">
        <f ca="1">VLOOKUP(F1152,INDIRECT("球種変換表!A$1:B$" &amp; Prams!$B$2),2,)</f>
        <v>フォーク</v>
      </c>
      <c r="O1152">
        <f ca="1">VLOOKUP(N1152,球種情報!A:B,2,FALSE)</f>
        <v>16</v>
      </c>
      <c r="P1152">
        <f ca="1">VLOOKUP(K1152,投手データ!B:AI,output!O1152+6,FALSE)</f>
        <v>4</v>
      </c>
      <c r="R1152">
        <f t="shared" ca="1" si="99"/>
        <v>7.8125E-3</v>
      </c>
      <c r="S1152">
        <f t="shared" si="100"/>
        <v>0.5649305555555556</v>
      </c>
      <c r="T1152">
        <f>Prams!B$5/(S1152-Prams!B$6)</f>
        <v>122.51140823594818</v>
      </c>
      <c r="U1152">
        <f t="shared" ca="1" si="101"/>
        <v>0.63159722222222225</v>
      </c>
      <c r="V1152">
        <f ca="1">Prams!C$5/(U1152-Prams!C$6)</f>
        <v>126.68719653458865</v>
      </c>
      <c r="W1152">
        <f t="shared" ca="1" si="102"/>
        <v>0.98974372292647383</v>
      </c>
    </row>
    <row r="1153" spans="1:23" hidden="1" x14ac:dyDescent="0.55000000000000004">
      <c r="A1153" s="1" t="s">
        <v>2890</v>
      </c>
      <c r="B1153" s="1">
        <v>133</v>
      </c>
      <c r="C1153">
        <v>632</v>
      </c>
      <c r="D1153">
        <v>612.5</v>
      </c>
      <c r="E1153">
        <v>11.01146</v>
      </c>
      <c r="F1153" t="s">
        <v>1152</v>
      </c>
      <c r="G1153" s="10" t="s">
        <v>588</v>
      </c>
      <c r="H1153">
        <v>98</v>
      </c>
      <c r="I1153" t="s">
        <v>2865</v>
      </c>
      <c r="J1153">
        <f ca="1">VLOOKUP(G1153,INDIRECT("球速変換!A$1:B$" &amp; Prams!$B$8),2,)</f>
        <v>126</v>
      </c>
      <c r="K1153" t="str">
        <f ca="1">VLOOKUP(I1153,INDIRECT("投手名変換!A$1:B$" &amp; Prams!$B$9),2,)</f>
        <v>DD026</v>
      </c>
      <c r="L1153">
        <f t="shared" si="98"/>
        <v>35</v>
      </c>
      <c r="M1153">
        <f ca="1">(B1153-VLOOKUP(K1153,INDIRECT("投手データ!B1:D"&amp;Prams!$B$1),3,FALSE)*2)</f>
        <v>39</v>
      </c>
      <c r="N1153" t="str">
        <f ca="1">VLOOKUP(F1153,INDIRECT("球種変換表!A$1:B$" &amp; Prams!$B$2),2,)</f>
        <v>フォーク</v>
      </c>
      <c r="O1153">
        <f ca="1">VLOOKUP(N1153,球種情報!A:B,2,FALSE)</f>
        <v>16</v>
      </c>
      <c r="P1153">
        <f ca="1">VLOOKUP(K1153,投手データ!B:AI,output!O1153+6,FALSE)</f>
        <v>4</v>
      </c>
      <c r="R1153">
        <f t="shared" ca="1" si="99"/>
        <v>7.9365079365079361E-3</v>
      </c>
      <c r="S1153">
        <f t="shared" si="100"/>
        <v>0.57465277777777779</v>
      </c>
      <c r="T1153">
        <f>Prams!B$5/(S1153-Prams!B$6)</f>
        <v>120.19571521923453</v>
      </c>
      <c r="U1153">
        <f t="shared" ca="1" si="101"/>
        <v>0.64131944444444444</v>
      </c>
      <c r="V1153">
        <f ca="1">Prams!C$5/(U1153-Prams!C$6)</f>
        <v>124.21254722930701</v>
      </c>
      <c r="W1153">
        <f t="shared" ca="1" si="102"/>
        <v>0.98581386689926198</v>
      </c>
    </row>
    <row r="1154" spans="1:23" hidden="1" x14ac:dyDescent="0.55000000000000004">
      <c r="A1154" s="1" t="s">
        <v>2891</v>
      </c>
      <c r="B1154" s="1">
        <v>133</v>
      </c>
      <c r="C1154">
        <v>639.5</v>
      </c>
      <c r="D1154">
        <v>609</v>
      </c>
      <c r="E1154">
        <v>10.547610000000001</v>
      </c>
      <c r="F1154" t="s">
        <v>6</v>
      </c>
      <c r="G1154" s="10" t="s">
        <v>623</v>
      </c>
      <c r="H1154">
        <v>98</v>
      </c>
      <c r="I1154" t="s">
        <v>2865</v>
      </c>
      <c r="J1154">
        <f ca="1">VLOOKUP(G1154,INDIRECT("球速変換!A$1:B$" &amp; Prams!$B$8),2,)</f>
        <v>120</v>
      </c>
      <c r="K1154" t="str">
        <f ca="1">VLOOKUP(I1154,INDIRECT("投手名変換!A$1:B$" &amp; Prams!$B$9),2,)</f>
        <v>DD026</v>
      </c>
      <c r="L1154">
        <f t="shared" si="98"/>
        <v>35</v>
      </c>
      <c r="M1154">
        <f ca="1">(B1154-VLOOKUP(K1154,INDIRECT("投手データ!B1:D"&amp;Prams!$B$1),3,FALSE)*2)</f>
        <v>39</v>
      </c>
      <c r="N1154" t="str">
        <f ca="1">VLOOKUP(F1154,INDIRECT("球種変換表!A$1:B$" &amp; Prams!$B$2),2,)</f>
        <v>フォーク</v>
      </c>
      <c r="O1154">
        <f ca="1">VLOOKUP(N1154,球種情報!A:B,2,FALSE)</f>
        <v>16</v>
      </c>
      <c r="P1154">
        <f ca="1">VLOOKUP(K1154,投手データ!B:AI,output!O1154+6,FALSE)</f>
        <v>4</v>
      </c>
      <c r="R1154">
        <f t="shared" ca="1" si="99"/>
        <v>8.3333333333333332E-3</v>
      </c>
      <c r="S1154">
        <f t="shared" si="100"/>
        <v>0.57708333333333328</v>
      </c>
      <c r="T1154">
        <f>Prams!B$5/(S1154-Prams!B$6)</f>
        <v>119.63040603734642</v>
      </c>
      <c r="U1154">
        <f t="shared" ca="1" si="101"/>
        <v>0.64375000000000004</v>
      </c>
      <c r="V1154">
        <f ca="1">Prams!C$5/(U1154-Prams!C$6)</f>
        <v>123.60891732480253</v>
      </c>
      <c r="W1154">
        <f t="shared" ca="1" si="102"/>
        <v>1.030074311040021</v>
      </c>
    </row>
    <row r="1155" spans="1:23" hidden="1" x14ac:dyDescent="0.55000000000000004">
      <c r="A1155" s="1" t="s">
        <v>2892</v>
      </c>
      <c r="B1155" s="1">
        <v>133</v>
      </c>
      <c r="C1155">
        <v>643.5</v>
      </c>
      <c r="D1155">
        <v>618.5</v>
      </c>
      <c r="E1155">
        <v>11.510960000000001</v>
      </c>
      <c r="F1155" t="s">
        <v>6</v>
      </c>
      <c r="G1155" s="10" t="s">
        <v>589</v>
      </c>
      <c r="H1155">
        <v>98</v>
      </c>
      <c r="I1155" t="s">
        <v>2865</v>
      </c>
      <c r="J1155">
        <f ca="1">VLOOKUP(G1155,INDIRECT("球速変換!A$1:B$" &amp; Prams!$B$8),2,)</f>
        <v>127</v>
      </c>
      <c r="K1155" t="str">
        <f ca="1">VLOOKUP(I1155,INDIRECT("投手名変換!A$1:B$" &amp; Prams!$B$9),2,)</f>
        <v>DD026</v>
      </c>
      <c r="L1155">
        <f t="shared" si="98"/>
        <v>35</v>
      </c>
      <c r="M1155">
        <f ca="1">(B1155-VLOOKUP(K1155,INDIRECT("投手データ!B1:D"&amp;Prams!$B$1),3,FALSE)*2)</f>
        <v>39</v>
      </c>
      <c r="N1155" t="str">
        <f ca="1">VLOOKUP(F1155,INDIRECT("球種変換表!A$1:B$" &amp; Prams!$B$2),2,)</f>
        <v>フォーク</v>
      </c>
      <c r="O1155">
        <f ca="1">VLOOKUP(N1155,球種情報!A:B,2,FALSE)</f>
        <v>16</v>
      </c>
      <c r="P1155">
        <f ca="1">VLOOKUP(K1155,投手データ!B:AI,output!O1155+6,FALSE)</f>
        <v>4</v>
      </c>
      <c r="R1155">
        <f t="shared" ca="1" si="99"/>
        <v>7.874015748031496E-3</v>
      </c>
      <c r="S1155">
        <f t="shared" si="100"/>
        <v>0.57048611111111103</v>
      </c>
      <c r="T1155">
        <f>Prams!B$5/(S1155-Prams!B$6)</f>
        <v>121.17734813548435</v>
      </c>
      <c r="U1155">
        <f t="shared" ca="1" si="101"/>
        <v>0.63715277777777779</v>
      </c>
      <c r="V1155">
        <f ca="1">Prams!C$5/(U1155-Prams!C$6)</f>
        <v>125.26117323938114</v>
      </c>
      <c r="W1155">
        <f t="shared" ca="1" si="102"/>
        <v>0.98630845070378848</v>
      </c>
    </row>
    <row r="1156" spans="1:23" hidden="1" x14ac:dyDescent="0.55000000000000004">
      <c r="A1156" s="1" t="s">
        <v>2893</v>
      </c>
      <c r="B1156" s="1">
        <v>132</v>
      </c>
      <c r="C1156">
        <v>632</v>
      </c>
      <c r="D1156">
        <v>601</v>
      </c>
      <c r="E1156">
        <v>10.04998</v>
      </c>
      <c r="F1156" t="s">
        <v>6</v>
      </c>
      <c r="G1156" s="10" t="s">
        <v>591</v>
      </c>
      <c r="H1156">
        <v>98</v>
      </c>
      <c r="I1156" t="s">
        <v>2865</v>
      </c>
      <c r="J1156">
        <f ca="1">VLOOKUP(G1156,INDIRECT("球速変換!A$1:B$" &amp; Prams!$B$8),2,)</f>
        <v>128</v>
      </c>
      <c r="K1156" t="str">
        <f ca="1">VLOOKUP(I1156,INDIRECT("投手名変換!A$1:B$" &amp; Prams!$B$9),2,)</f>
        <v>DD026</v>
      </c>
      <c r="L1156">
        <f t="shared" si="98"/>
        <v>34</v>
      </c>
      <c r="M1156">
        <f ca="1">(B1156-VLOOKUP(K1156,INDIRECT("投手データ!B1:D"&amp;Prams!$B$1),3,FALSE)*2)</f>
        <v>38</v>
      </c>
      <c r="N1156" t="str">
        <f ca="1">VLOOKUP(F1156,INDIRECT("球種変換表!A$1:B$" &amp; Prams!$B$2),2,)</f>
        <v>フォーク</v>
      </c>
      <c r="O1156">
        <f ca="1">VLOOKUP(N1156,球種情報!A:B,2,FALSE)</f>
        <v>16</v>
      </c>
      <c r="P1156">
        <f ca="1">VLOOKUP(K1156,投手データ!B:AI,output!O1156+6,FALSE)</f>
        <v>4</v>
      </c>
      <c r="R1156">
        <f t="shared" ca="1" si="99"/>
        <v>7.8125E-3</v>
      </c>
      <c r="S1156">
        <f t="shared" si="100"/>
        <v>0.56597222222222221</v>
      </c>
      <c r="T1156">
        <f>Prams!B$5/(S1156-Prams!B$6)</f>
        <v>122.25903912283979</v>
      </c>
      <c r="U1156">
        <f t="shared" ca="1" si="101"/>
        <v>0.63263888888888897</v>
      </c>
      <c r="V1156">
        <f ca="1">Prams!C$5/(U1156-Prams!C$6)</f>
        <v>126.41734922239766</v>
      </c>
      <c r="W1156">
        <f t="shared" ca="1" si="102"/>
        <v>0.98763554079998173</v>
      </c>
    </row>
    <row r="1157" spans="1:23" hidden="1" x14ac:dyDescent="0.55000000000000004">
      <c r="A1157" s="1" t="s">
        <v>2894</v>
      </c>
      <c r="B1157" s="1">
        <v>133</v>
      </c>
      <c r="C1157">
        <v>636.54760999999996</v>
      </c>
      <c r="D1157">
        <v>614.5</v>
      </c>
      <c r="E1157">
        <v>10.55958</v>
      </c>
      <c r="F1157" t="s">
        <v>6</v>
      </c>
      <c r="G1157" s="10" t="s">
        <v>589</v>
      </c>
      <c r="H1157">
        <v>98</v>
      </c>
      <c r="I1157" t="s">
        <v>2865</v>
      </c>
      <c r="J1157">
        <f ca="1">VLOOKUP(G1157,INDIRECT("球速変換!A$1:B$" &amp; Prams!$B$8),2,)</f>
        <v>127</v>
      </c>
      <c r="K1157" t="str">
        <f ca="1">VLOOKUP(I1157,INDIRECT("投手名変換!A$1:B$" &amp; Prams!$B$9),2,)</f>
        <v>DD026</v>
      </c>
      <c r="L1157">
        <f t="shared" si="98"/>
        <v>35</v>
      </c>
      <c r="M1157">
        <f ca="1">(B1157-VLOOKUP(K1157,INDIRECT("投手データ!B1:D"&amp;Prams!$B$1),3,FALSE)*2)</f>
        <v>39</v>
      </c>
      <c r="N1157" t="str">
        <f ca="1">VLOOKUP(F1157,INDIRECT("球種変換表!A$1:B$" &amp; Prams!$B$2),2,)</f>
        <v>フォーク</v>
      </c>
      <c r="O1157">
        <f ca="1">VLOOKUP(N1157,球種情報!A:B,2,FALSE)</f>
        <v>16</v>
      </c>
      <c r="P1157">
        <f ca="1">VLOOKUP(K1157,投手データ!B:AI,output!O1157+6,FALSE)</f>
        <v>4</v>
      </c>
      <c r="R1157">
        <f t="shared" ca="1" si="99"/>
        <v>7.874015748031496E-3</v>
      </c>
      <c r="S1157">
        <f t="shared" si="100"/>
        <v>0.57326388888888891</v>
      </c>
      <c r="T1157">
        <f>Prams!B$5/(S1157-Prams!B$6)</f>
        <v>120.52115429394532</v>
      </c>
      <c r="U1157">
        <f t="shared" ca="1" si="101"/>
        <v>0.63993055555555556</v>
      </c>
      <c r="V1157">
        <f ca="1">Prams!C$5/(U1157-Prams!C$6)</f>
        <v>124.56013297589533</v>
      </c>
      <c r="W1157">
        <f t="shared" ca="1" si="102"/>
        <v>0.98078844862909709</v>
      </c>
    </row>
    <row r="1158" spans="1:23" hidden="1" x14ac:dyDescent="0.55000000000000004">
      <c r="A1158" s="1" t="s">
        <v>2895</v>
      </c>
      <c r="B1158" s="1">
        <v>132</v>
      </c>
      <c r="C1158">
        <v>641.95001000000002</v>
      </c>
      <c r="D1158">
        <v>605.5</v>
      </c>
      <c r="E1158">
        <v>10.062519999999999</v>
      </c>
      <c r="F1158" t="s">
        <v>6</v>
      </c>
      <c r="G1158" s="10" t="s">
        <v>2418</v>
      </c>
      <c r="H1158">
        <v>98</v>
      </c>
      <c r="I1158" t="s">
        <v>2865</v>
      </c>
      <c r="J1158">
        <f ca="1">VLOOKUP(G1158,INDIRECT("球速変換!A$1:B$" &amp; Prams!$B$8),2,)</f>
        <v>129</v>
      </c>
      <c r="K1158" t="str">
        <f ca="1">VLOOKUP(I1158,INDIRECT("投手名変換!A$1:B$" &amp; Prams!$B$9),2,)</f>
        <v>DD026</v>
      </c>
      <c r="L1158">
        <f t="shared" si="98"/>
        <v>34</v>
      </c>
      <c r="M1158">
        <f ca="1">(B1158-VLOOKUP(K1158,INDIRECT("投手データ!B1:D"&amp;Prams!$B$1),3,FALSE)*2)</f>
        <v>38</v>
      </c>
      <c r="N1158" t="str">
        <f ca="1">VLOOKUP(F1158,INDIRECT("球種変換表!A$1:B$" &amp; Prams!$B$2),2,)</f>
        <v>フォーク</v>
      </c>
      <c r="O1158">
        <f ca="1">VLOOKUP(N1158,球種情報!A:B,2,FALSE)</f>
        <v>16</v>
      </c>
      <c r="P1158">
        <f ca="1">VLOOKUP(K1158,投手データ!B:AI,output!O1158+6,FALSE)</f>
        <v>4</v>
      </c>
      <c r="R1158">
        <f t="shared" ca="1" si="99"/>
        <v>7.7519379844961239E-3</v>
      </c>
      <c r="S1158">
        <f t="shared" si="100"/>
        <v>0.56284722222222228</v>
      </c>
      <c r="T1158">
        <f>Prams!B$5/(S1158-Prams!B$6)</f>
        <v>123.01928508653138</v>
      </c>
      <c r="U1158">
        <f t="shared" ca="1" si="101"/>
        <v>0.62951388888888893</v>
      </c>
      <c r="V1158">
        <f ca="1">Prams!C$5/(U1158-Prams!C$6)</f>
        <v>127.23036203259608</v>
      </c>
      <c r="W1158">
        <f t="shared" ca="1" si="102"/>
        <v>0.98628187622167496</v>
      </c>
    </row>
    <row r="1159" spans="1:23" hidden="1" x14ac:dyDescent="0.55000000000000004">
      <c r="A1159" s="1" t="s">
        <v>2896</v>
      </c>
      <c r="B1159" s="1">
        <v>132</v>
      </c>
      <c r="C1159">
        <v>637.55260999999996</v>
      </c>
      <c r="D1159">
        <v>600.5</v>
      </c>
      <c r="E1159">
        <v>9.5658300000000001</v>
      </c>
      <c r="F1159" t="s">
        <v>6</v>
      </c>
      <c r="G1159" s="10" t="s">
        <v>2420</v>
      </c>
      <c r="H1159">
        <v>98</v>
      </c>
      <c r="I1159" t="s">
        <v>2865</v>
      </c>
      <c r="J1159">
        <f ca="1">VLOOKUP(G1159,INDIRECT("球速変換!A$1:B$" &amp; Prams!$B$8),2,)</f>
        <v>127</v>
      </c>
      <c r="K1159" t="str">
        <f ca="1">VLOOKUP(I1159,INDIRECT("投手名変換!A$1:B$" &amp; Prams!$B$9),2,)</f>
        <v>DD026</v>
      </c>
      <c r="L1159">
        <f t="shared" si="98"/>
        <v>34</v>
      </c>
      <c r="M1159">
        <f ca="1">(B1159-VLOOKUP(K1159,INDIRECT("投手データ!B1:D"&amp;Prams!$B$1),3,FALSE)*2)</f>
        <v>38</v>
      </c>
      <c r="N1159" t="str">
        <f ca="1">VLOOKUP(F1159,INDIRECT("球種変換表!A$1:B$" &amp; Prams!$B$2),2,)</f>
        <v>フォーク</v>
      </c>
      <c r="O1159">
        <f ca="1">VLOOKUP(N1159,球種情報!A:B,2,FALSE)</f>
        <v>16</v>
      </c>
      <c r="P1159">
        <f ca="1">VLOOKUP(K1159,投手データ!B:AI,output!O1159+6,FALSE)</f>
        <v>4</v>
      </c>
      <c r="R1159">
        <f t="shared" ca="1" si="99"/>
        <v>7.874015748031496E-3</v>
      </c>
      <c r="S1159">
        <f t="shared" si="100"/>
        <v>0.56631944444444438</v>
      </c>
      <c r="T1159">
        <f>Prams!B$5/(S1159-Prams!B$6)</f>
        <v>122.17514698051789</v>
      </c>
      <c r="U1159">
        <f t="shared" ca="1" si="101"/>
        <v>0.63298611111111103</v>
      </c>
      <c r="V1159">
        <f ca="1">Prams!C$5/(U1159-Prams!C$6)</f>
        <v>126.32765539593257</v>
      </c>
      <c r="W1159">
        <f t="shared" ca="1" si="102"/>
        <v>0.99470594799946899</v>
      </c>
    </row>
    <row r="1160" spans="1:23" hidden="1" x14ac:dyDescent="0.55000000000000004">
      <c r="A1160" s="1" t="s">
        <v>2897</v>
      </c>
      <c r="B1160" s="1">
        <v>133</v>
      </c>
      <c r="C1160">
        <v>629.47619999999995</v>
      </c>
      <c r="D1160">
        <v>614</v>
      </c>
      <c r="E1160">
        <v>10.523899999999999</v>
      </c>
      <c r="F1160" t="s">
        <v>6</v>
      </c>
      <c r="G1160" s="10" t="s">
        <v>2602</v>
      </c>
      <c r="H1160">
        <v>98</v>
      </c>
      <c r="I1160" t="s">
        <v>2865</v>
      </c>
      <c r="J1160">
        <f ca="1">VLOOKUP(G1160,INDIRECT("球速変換!A$1:B$" &amp; Prams!$B$8),2,)</f>
        <v>126</v>
      </c>
      <c r="K1160" t="str">
        <f ca="1">VLOOKUP(I1160,INDIRECT("投手名変換!A$1:B$" &amp; Prams!$B$9),2,)</f>
        <v>DD026</v>
      </c>
      <c r="L1160">
        <f t="shared" si="98"/>
        <v>35</v>
      </c>
      <c r="M1160">
        <f ca="1">(B1160-VLOOKUP(K1160,INDIRECT("投手データ!B1:D"&amp;Prams!$B$1),3,FALSE)*2)</f>
        <v>39</v>
      </c>
      <c r="N1160" t="str">
        <f ca="1">VLOOKUP(F1160,INDIRECT("球種変換表!A$1:B$" &amp; Prams!$B$2),2,)</f>
        <v>フォーク</v>
      </c>
      <c r="O1160">
        <f ca="1">VLOOKUP(N1160,球種情報!A:B,2,FALSE)</f>
        <v>16</v>
      </c>
      <c r="P1160">
        <f ca="1">VLOOKUP(K1160,投手データ!B:AI,output!O1160+6,FALSE)</f>
        <v>4</v>
      </c>
      <c r="R1160">
        <f t="shared" ca="1" si="99"/>
        <v>7.9365079365079361E-3</v>
      </c>
      <c r="S1160">
        <f t="shared" si="100"/>
        <v>0.57361111111111107</v>
      </c>
      <c r="T1160">
        <f>Prams!B$5/(S1160-Prams!B$6)</f>
        <v>120.43962942118708</v>
      </c>
      <c r="U1160">
        <f t="shared" ca="1" si="101"/>
        <v>0.64027777777777772</v>
      </c>
      <c r="V1160">
        <f ca="1">Prams!C$5/(U1160-Prams!C$6)</f>
        <v>124.47305429408739</v>
      </c>
      <c r="W1160">
        <f t="shared" ca="1" si="102"/>
        <v>0.98788138328640784</v>
      </c>
    </row>
    <row r="1161" spans="1:23" hidden="1" x14ac:dyDescent="0.55000000000000004">
      <c r="A1161" s="1" t="s">
        <v>2898</v>
      </c>
      <c r="B1161" s="1">
        <v>133</v>
      </c>
      <c r="C1161">
        <v>636.5</v>
      </c>
      <c r="D1161">
        <v>610</v>
      </c>
      <c r="E1161">
        <v>10.547610000000001</v>
      </c>
      <c r="F1161" t="s">
        <v>6</v>
      </c>
      <c r="G1161" s="10" t="s">
        <v>623</v>
      </c>
      <c r="H1161">
        <v>98</v>
      </c>
      <c r="I1161" t="s">
        <v>2865</v>
      </c>
      <c r="J1161">
        <f ca="1">VLOOKUP(G1161,INDIRECT("球速変換!A$1:B$" &amp; Prams!$B$8),2,)</f>
        <v>120</v>
      </c>
      <c r="K1161" t="str">
        <f ca="1">VLOOKUP(I1161,INDIRECT("投手名変換!A$1:B$" &amp; Prams!$B$9),2,)</f>
        <v>DD026</v>
      </c>
      <c r="L1161">
        <f t="shared" si="98"/>
        <v>35</v>
      </c>
      <c r="M1161">
        <f ca="1">(B1161-VLOOKUP(K1161,INDIRECT("投手データ!B1:D"&amp;Prams!$B$1),3,FALSE)*2)</f>
        <v>39</v>
      </c>
      <c r="N1161" t="str">
        <f ca="1">VLOOKUP(F1161,INDIRECT("球種変換表!A$1:B$" &amp; Prams!$B$2),2,)</f>
        <v>フォーク</v>
      </c>
      <c r="O1161">
        <f ca="1">VLOOKUP(N1161,球種情報!A:B,2,FALSE)</f>
        <v>16</v>
      </c>
      <c r="P1161">
        <f ca="1">VLOOKUP(K1161,投手データ!B:AI,output!O1161+6,FALSE)</f>
        <v>4</v>
      </c>
      <c r="R1161">
        <f t="shared" ca="1" si="99"/>
        <v>8.3333333333333332E-3</v>
      </c>
      <c r="S1161">
        <f t="shared" si="100"/>
        <v>0.57638888888888895</v>
      </c>
      <c r="T1161">
        <f>Prams!B$5/(S1161-Prams!B$6)</f>
        <v>119.79137960730279</v>
      </c>
      <c r="U1161">
        <f t="shared" ca="1" si="101"/>
        <v>0.6430555555555556</v>
      </c>
      <c r="V1161">
        <f ca="1">Prams!C$5/(U1161-Prams!C$6)</f>
        <v>123.7807835198327</v>
      </c>
      <c r="W1161">
        <f t="shared" ca="1" si="102"/>
        <v>1.0315065293319392</v>
      </c>
    </row>
    <row r="1162" spans="1:23" hidden="1" x14ac:dyDescent="0.55000000000000004">
      <c r="A1162" s="1" t="s">
        <v>2899</v>
      </c>
      <c r="B1162" s="1">
        <v>133</v>
      </c>
      <c r="C1162">
        <v>639.5</v>
      </c>
      <c r="D1162">
        <v>616.5</v>
      </c>
      <c r="E1162">
        <v>10.512</v>
      </c>
      <c r="F1162" t="s">
        <v>6</v>
      </c>
      <c r="G1162" s="10" t="s">
        <v>629</v>
      </c>
      <c r="H1162">
        <v>98</v>
      </c>
      <c r="I1162" t="s">
        <v>2865</v>
      </c>
      <c r="J1162">
        <f ca="1">VLOOKUP(G1162,INDIRECT("球速変換!A$1:B$" &amp; Prams!$B$8),2,)</f>
        <v>121</v>
      </c>
      <c r="K1162" t="str">
        <f ca="1">VLOOKUP(I1162,INDIRECT("投手名変換!A$1:B$" &amp; Prams!$B$9),2,)</f>
        <v>DD026</v>
      </c>
      <c r="L1162">
        <f t="shared" si="98"/>
        <v>35</v>
      </c>
      <c r="M1162">
        <f ca="1">(B1162-VLOOKUP(K1162,INDIRECT("投手データ!B1:D"&amp;Prams!$B$1),3,FALSE)*2)</f>
        <v>39</v>
      </c>
      <c r="N1162" t="str">
        <f ca="1">VLOOKUP(F1162,INDIRECT("球種変換表!A$1:B$" &amp; Prams!$B$2),2,)</f>
        <v>フォーク</v>
      </c>
      <c r="O1162">
        <f ca="1">VLOOKUP(N1162,球種情報!A:B,2,FALSE)</f>
        <v>16</v>
      </c>
      <c r="P1162">
        <f ca="1">VLOOKUP(K1162,投手データ!B:AI,output!O1162+6,FALSE)</f>
        <v>4</v>
      </c>
      <c r="R1162">
        <f t="shared" ca="1" si="99"/>
        <v>8.2644628099173556E-3</v>
      </c>
      <c r="S1162">
        <f t="shared" si="100"/>
        <v>0.57187500000000002</v>
      </c>
      <c r="T1162">
        <f>Prams!B$5/(S1162-Prams!B$6)</f>
        <v>120.84836045545619</v>
      </c>
      <c r="U1162">
        <f t="shared" ca="1" si="101"/>
        <v>0.63854166666666667</v>
      </c>
      <c r="V1162">
        <f ca="1">Prams!C$5/(U1162-Prams!C$6)</f>
        <v>124.90966948967051</v>
      </c>
      <c r="W1162">
        <f t="shared" ca="1" si="102"/>
        <v>1.0323113180964505</v>
      </c>
    </row>
    <row r="1163" spans="1:23" hidden="1" x14ac:dyDescent="0.55000000000000004">
      <c r="A1163" s="1" t="s">
        <v>2900</v>
      </c>
      <c r="B1163" s="1">
        <v>132</v>
      </c>
      <c r="C1163">
        <v>633</v>
      </c>
      <c r="D1163">
        <v>605.5</v>
      </c>
      <c r="E1163">
        <v>11.01146</v>
      </c>
      <c r="F1163" t="s">
        <v>6</v>
      </c>
      <c r="G1163" s="10" t="s">
        <v>2418</v>
      </c>
      <c r="H1163">
        <v>98</v>
      </c>
      <c r="I1163" t="s">
        <v>2865</v>
      </c>
      <c r="J1163">
        <f ca="1">VLOOKUP(G1163,INDIRECT("球速変換!A$1:B$" &amp; Prams!$B$8),2,)</f>
        <v>129</v>
      </c>
      <c r="K1163" t="str">
        <f ca="1">VLOOKUP(I1163,INDIRECT("投手名変換!A$1:B$" &amp; Prams!$B$9),2,)</f>
        <v>DD026</v>
      </c>
      <c r="L1163">
        <f t="shared" si="98"/>
        <v>34</v>
      </c>
      <c r="M1163">
        <f ca="1">(B1163-VLOOKUP(K1163,INDIRECT("投手データ!B1:D"&amp;Prams!$B$1),3,FALSE)*2)</f>
        <v>38</v>
      </c>
      <c r="N1163" t="str">
        <f ca="1">VLOOKUP(F1163,INDIRECT("球種変換表!A$1:B$" &amp; Prams!$B$2),2,)</f>
        <v>フォーク</v>
      </c>
      <c r="O1163">
        <f ca="1">VLOOKUP(N1163,球種情報!A:B,2,FALSE)</f>
        <v>16</v>
      </c>
      <c r="P1163">
        <f ca="1">VLOOKUP(K1163,投手データ!B:AI,output!O1163+6,FALSE)</f>
        <v>4</v>
      </c>
      <c r="R1163">
        <f t="shared" ca="1" si="99"/>
        <v>7.7519379844961239E-3</v>
      </c>
      <c r="S1163">
        <f t="shared" si="100"/>
        <v>0.56284722222222228</v>
      </c>
      <c r="T1163">
        <f>Prams!B$5/(S1163-Prams!B$6)</f>
        <v>123.01928508653138</v>
      </c>
      <c r="U1163">
        <f t="shared" ca="1" si="101"/>
        <v>0.62951388888888893</v>
      </c>
      <c r="V1163">
        <f ca="1">Prams!C$5/(U1163-Prams!C$6)</f>
        <v>127.23036203259608</v>
      </c>
      <c r="W1163">
        <f t="shared" ca="1" si="102"/>
        <v>0.98628187622167496</v>
      </c>
    </row>
    <row r="1164" spans="1:23" hidden="1" x14ac:dyDescent="0.55000000000000004">
      <c r="A1164" s="1" t="s">
        <v>2902</v>
      </c>
      <c r="B1164" s="1">
        <v>133</v>
      </c>
      <c r="C1164">
        <v>639</v>
      </c>
      <c r="D1164">
        <v>613.5</v>
      </c>
      <c r="E1164">
        <v>11.01146</v>
      </c>
      <c r="F1164" t="s">
        <v>6</v>
      </c>
      <c r="G1164" s="10" t="s">
        <v>2901</v>
      </c>
      <c r="H1164">
        <v>98</v>
      </c>
      <c r="I1164" t="s">
        <v>2865</v>
      </c>
      <c r="J1164">
        <f ca="1">VLOOKUP(G1164,INDIRECT("球速変換!A$1:B$" &amp; Prams!$B$8),2,)</f>
        <v>126</v>
      </c>
      <c r="K1164" t="str">
        <f ca="1">VLOOKUP(I1164,INDIRECT("投手名変換!A$1:B$" &amp; Prams!$B$9),2,)</f>
        <v>DD026</v>
      </c>
      <c r="L1164">
        <f t="shared" si="98"/>
        <v>35</v>
      </c>
      <c r="M1164">
        <f ca="1">(B1164-VLOOKUP(K1164,INDIRECT("投手データ!B1:D"&amp;Prams!$B$1),3,FALSE)*2)</f>
        <v>39</v>
      </c>
      <c r="N1164" t="str">
        <f ca="1">VLOOKUP(F1164,INDIRECT("球種変換表!A$1:B$" &amp; Prams!$B$2),2,)</f>
        <v>フォーク</v>
      </c>
      <c r="O1164">
        <f ca="1">VLOOKUP(N1164,球種情報!A:B,2,FALSE)</f>
        <v>16</v>
      </c>
      <c r="P1164">
        <f ca="1">VLOOKUP(K1164,投手データ!B:AI,output!O1164+6,FALSE)</f>
        <v>4</v>
      </c>
      <c r="R1164">
        <f t="shared" ca="1" si="99"/>
        <v>7.9365079365079361E-3</v>
      </c>
      <c r="S1164">
        <f t="shared" si="100"/>
        <v>0.57395833333333335</v>
      </c>
      <c r="T1164">
        <f>Prams!B$5/(S1164-Prams!B$6)</f>
        <v>120.35821476662503</v>
      </c>
      <c r="U1164">
        <f t="shared" ca="1" si="101"/>
        <v>0.640625</v>
      </c>
      <c r="V1164">
        <f ca="1">Prams!C$5/(U1164-Prams!C$6)</f>
        <v>124.38609727880892</v>
      </c>
      <c r="W1164">
        <f t="shared" ca="1" si="102"/>
        <v>0.98719124824451521</v>
      </c>
    </row>
    <row r="1165" spans="1:23" hidden="1" x14ac:dyDescent="0.55000000000000004">
      <c r="A1165" s="1" t="s">
        <v>2903</v>
      </c>
      <c r="B1165" s="1">
        <v>132</v>
      </c>
      <c r="C1165">
        <v>640.5</v>
      </c>
      <c r="D1165">
        <v>600.5</v>
      </c>
      <c r="E1165">
        <v>9.5132499999999993</v>
      </c>
      <c r="F1165" t="s">
        <v>6</v>
      </c>
      <c r="G1165" s="10" t="s">
        <v>629</v>
      </c>
      <c r="H1165">
        <v>98</v>
      </c>
      <c r="I1165" t="s">
        <v>2865</v>
      </c>
      <c r="J1165">
        <f ca="1">VLOOKUP(G1165,INDIRECT("球速変換!A$1:B$" &amp; Prams!$B$8),2,)</f>
        <v>121</v>
      </c>
      <c r="K1165" t="str">
        <f ca="1">VLOOKUP(I1165,INDIRECT("投手名変換!A$1:B$" &amp; Prams!$B$9),2,)</f>
        <v>DD026</v>
      </c>
      <c r="L1165">
        <f t="shared" si="98"/>
        <v>34</v>
      </c>
      <c r="M1165">
        <f ca="1">(B1165-VLOOKUP(K1165,INDIRECT("投手データ!B1:D"&amp;Prams!$B$1),3,FALSE)*2)</f>
        <v>38</v>
      </c>
      <c r="N1165" t="str">
        <f ca="1">VLOOKUP(F1165,INDIRECT("球種変換表!A$1:B$" &amp; Prams!$B$2),2,)</f>
        <v>フォーク</v>
      </c>
      <c r="O1165">
        <f ca="1">VLOOKUP(N1165,球種情報!A:B,2,FALSE)</f>
        <v>16</v>
      </c>
      <c r="P1165">
        <f ca="1">VLOOKUP(K1165,投手データ!B:AI,output!O1165+6,FALSE)</f>
        <v>4</v>
      </c>
      <c r="R1165">
        <f t="shared" ca="1" si="99"/>
        <v>8.2644628099173556E-3</v>
      </c>
      <c r="S1165">
        <f t="shared" si="100"/>
        <v>0.56631944444444438</v>
      </c>
      <c r="T1165">
        <f>Prams!B$5/(S1165-Prams!B$6)</f>
        <v>122.17514698051789</v>
      </c>
      <c r="U1165">
        <f t="shared" ca="1" si="101"/>
        <v>0.63298611111111103</v>
      </c>
      <c r="V1165">
        <f ca="1">Prams!C$5/(U1165-Prams!C$6)</f>
        <v>126.32765539593257</v>
      </c>
      <c r="W1165">
        <f t="shared" ca="1" si="102"/>
        <v>1.0440302098837402</v>
      </c>
    </row>
    <row r="1166" spans="1:23" hidden="1" x14ac:dyDescent="0.55000000000000004">
      <c r="A1166" s="1" t="s">
        <v>2904</v>
      </c>
      <c r="B1166" s="1">
        <v>133</v>
      </c>
      <c r="C1166">
        <v>632.5</v>
      </c>
      <c r="D1166">
        <v>608.5</v>
      </c>
      <c r="E1166">
        <v>10.512</v>
      </c>
      <c r="F1166" t="s">
        <v>6</v>
      </c>
      <c r="G1166" s="10" t="s">
        <v>623</v>
      </c>
      <c r="H1166">
        <v>98</v>
      </c>
      <c r="I1166" t="s">
        <v>2865</v>
      </c>
      <c r="J1166">
        <f ca="1">VLOOKUP(G1166,INDIRECT("球速変換!A$1:B$" &amp; Prams!$B$8),2,)</f>
        <v>120</v>
      </c>
      <c r="K1166" t="str">
        <f ca="1">VLOOKUP(I1166,INDIRECT("投手名変換!A$1:B$" &amp; Prams!$B$9),2,)</f>
        <v>DD026</v>
      </c>
      <c r="L1166">
        <f t="shared" si="98"/>
        <v>35</v>
      </c>
      <c r="M1166">
        <f ca="1">(B1166-VLOOKUP(K1166,INDIRECT("投手データ!B1:D"&amp;Prams!$B$1),3,FALSE)*2)</f>
        <v>39</v>
      </c>
      <c r="N1166" t="str">
        <f ca="1">VLOOKUP(F1166,INDIRECT("球種変換表!A$1:B$" &amp; Prams!$B$2),2,)</f>
        <v>フォーク</v>
      </c>
      <c r="O1166">
        <f ca="1">VLOOKUP(N1166,球種情報!A:B,2,FALSE)</f>
        <v>16</v>
      </c>
      <c r="P1166">
        <f ca="1">VLOOKUP(K1166,投手データ!B:AI,output!O1166+6,FALSE)</f>
        <v>4</v>
      </c>
      <c r="R1166">
        <f t="shared" ca="1" si="99"/>
        <v>8.3333333333333332E-3</v>
      </c>
      <c r="S1166">
        <f t="shared" si="100"/>
        <v>0.57743055555555556</v>
      </c>
      <c r="T1166">
        <f>Prams!B$5/(S1166-Prams!B$6)</f>
        <v>119.55008137854722</v>
      </c>
      <c r="U1166">
        <f t="shared" ca="1" si="101"/>
        <v>0.64409722222222221</v>
      </c>
      <c r="V1166">
        <f ca="1">Prams!C$5/(U1166-Prams!C$6)</f>
        <v>123.52316307671818</v>
      </c>
      <c r="W1166">
        <f t="shared" ca="1" si="102"/>
        <v>1.0293596923059849</v>
      </c>
    </row>
    <row r="1167" spans="1:23" hidden="1" x14ac:dyDescent="0.55000000000000004">
      <c r="A1167" s="1" t="s">
        <v>2905</v>
      </c>
      <c r="B1167" s="1">
        <v>133</v>
      </c>
      <c r="C1167">
        <v>645.5</v>
      </c>
      <c r="D1167">
        <v>614</v>
      </c>
      <c r="E1167">
        <v>10.547610000000001</v>
      </c>
      <c r="F1167" t="s">
        <v>6</v>
      </c>
      <c r="G1167" s="10" t="s">
        <v>588</v>
      </c>
      <c r="H1167">
        <v>98</v>
      </c>
      <c r="I1167" t="s">
        <v>2865</v>
      </c>
      <c r="J1167">
        <f ca="1">VLOOKUP(G1167,INDIRECT("球速変換!A$1:B$" &amp; Prams!$B$8),2,)</f>
        <v>126</v>
      </c>
      <c r="K1167" t="str">
        <f ca="1">VLOOKUP(I1167,INDIRECT("投手名変換!A$1:B$" &amp; Prams!$B$9),2,)</f>
        <v>DD026</v>
      </c>
      <c r="L1167">
        <f t="shared" si="98"/>
        <v>35</v>
      </c>
      <c r="M1167">
        <f ca="1">(B1167-VLOOKUP(K1167,INDIRECT("投手データ!B1:D"&amp;Prams!$B$1),3,FALSE)*2)</f>
        <v>39</v>
      </c>
      <c r="N1167" t="str">
        <f ca="1">VLOOKUP(F1167,INDIRECT("球種変換表!A$1:B$" &amp; Prams!$B$2),2,)</f>
        <v>フォーク</v>
      </c>
      <c r="O1167">
        <f ca="1">VLOOKUP(N1167,球種情報!A:B,2,FALSE)</f>
        <v>16</v>
      </c>
      <c r="P1167">
        <f ca="1">VLOOKUP(K1167,投手データ!B:AI,output!O1167+6,FALSE)</f>
        <v>4</v>
      </c>
      <c r="R1167">
        <f t="shared" ca="1" si="99"/>
        <v>7.9365079365079361E-3</v>
      </c>
      <c r="S1167">
        <f t="shared" si="100"/>
        <v>0.57361111111111107</v>
      </c>
      <c r="T1167">
        <f>Prams!B$5/(S1167-Prams!B$6)</f>
        <v>120.43962942118708</v>
      </c>
      <c r="U1167">
        <f t="shared" ca="1" si="101"/>
        <v>0.64027777777777772</v>
      </c>
      <c r="V1167">
        <f ca="1">Prams!C$5/(U1167-Prams!C$6)</f>
        <v>124.47305429408739</v>
      </c>
      <c r="W1167">
        <f t="shared" ca="1" si="102"/>
        <v>0.98788138328640784</v>
      </c>
    </row>
    <row r="1168" spans="1:23" hidden="1" x14ac:dyDescent="0.55000000000000004">
      <c r="A1168" s="1" t="s">
        <v>2906</v>
      </c>
      <c r="B1168" s="1">
        <v>132</v>
      </c>
      <c r="C1168">
        <v>637.04998999999998</v>
      </c>
      <c r="D1168">
        <v>604.5</v>
      </c>
      <c r="E1168">
        <v>10.06254</v>
      </c>
      <c r="F1168" t="s">
        <v>6</v>
      </c>
      <c r="G1168" s="10" t="s">
        <v>622</v>
      </c>
      <c r="H1168">
        <v>98</v>
      </c>
      <c r="I1168" t="s">
        <v>2865</v>
      </c>
      <c r="J1168">
        <f ca="1">VLOOKUP(G1168,INDIRECT("球速変換!A$1:B$" &amp; Prams!$B$8),2,)</f>
        <v>128</v>
      </c>
      <c r="K1168" t="str">
        <f ca="1">VLOOKUP(I1168,INDIRECT("投手名変換!A$1:B$" &amp; Prams!$B$9),2,)</f>
        <v>DD026</v>
      </c>
      <c r="L1168">
        <f t="shared" si="98"/>
        <v>34</v>
      </c>
      <c r="M1168">
        <f ca="1">(B1168-VLOOKUP(K1168,INDIRECT("投手データ!B1:D"&amp;Prams!$B$1),3,FALSE)*2)</f>
        <v>38</v>
      </c>
      <c r="N1168" t="str">
        <f ca="1">VLOOKUP(F1168,INDIRECT("球種変換表!A$1:B$" &amp; Prams!$B$2),2,)</f>
        <v>フォーク</v>
      </c>
      <c r="O1168">
        <f ca="1">VLOOKUP(N1168,球種情報!A:B,2,FALSE)</f>
        <v>16</v>
      </c>
      <c r="P1168">
        <f ca="1">VLOOKUP(K1168,投手データ!B:AI,output!O1168+6,FALSE)</f>
        <v>4</v>
      </c>
      <c r="R1168">
        <f t="shared" ca="1" si="99"/>
        <v>7.8125E-3</v>
      </c>
      <c r="S1168">
        <f t="shared" si="100"/>
        <v>0.56354166666666672</v>
      </c>
      <c r="T1168">
        <f>Prams!B$5/(S1168-Prams!B$6)</f>
        <v>122.8495255758499</v>
      </c>
      <c r="U1168">
        <f t="shared" ca="1" si="101"/>
        <v>0.63020833333333337</v>
      </c>
      <c r="V1168">
        <f ca="1">Prams!C$5/(U1168-Prams!C$6)</f>
        <v>127.04879009470312</v>
      </c>
      <c r="W1168">
        <f t="shared" ca="1" si="102"/>
        <v>0.99256867261486814</v>
      </c>
    </row>
    <row r="1169" spans="1:23" hidden="1" x14ac:dyDescent="0.55000000000000004">
      <c r="A1169" s="1" t="s">
        <v>2907</v>
      </c>
      <c r="B1169" s="1">
        <v>132</v>
      </c>
      <c r="C1169">
        <v>638.5</v>
      </c>
      <c r="D1169">
        <v>606</v>
      </c>
      <c r="E1169">
        <v>10.547610000000001</v>
      </c>
      <c r="F1169" t="s">
        <v>6</v>
      </c>
      <c r="G1169" s="10" t="s">
        <v>2418</v>
      </c>
      <c r="H1169">
        <v>98</v>
      </c>
      <c r="I1169" t="s">
        <v>2887</v>
      </c>
      <c r="J1169">
        <f ca="1">VLOOKUP(G1169,INDIRECT("球速変換!A$1:B$" &amp; Prams!$B$8),2,)</f>
        <v>129</v>
      </c>
      <c r="K1169" t="str">
        <f ca="1">VLOOKUP(I1169,INDIRECT("投手名変換!A$1:B$" &amp; Prams!$B$9),2,)</f>
        <v>DD026</v>
      </c>
      <c r="L1169">
        <f t="shared" si="98"/>
        <v>34</v>
      </c>
      <c r="M1169">
        <f ca="1">(B1169-VLOOKUP(K1169,INDIRECT("投手データ!B1:D"&amp;Prams!$B$1),3,FALSE)*2)</f>
        <v>38</v>
      </c>
      <c r="N1169" t="str">
        <f ca="1">VLOOKUP(F1169,INDIRECT("球種変換表!A$1:B$" &amp; Prams!$B$2),2,)</f>
        <v>フォーク</v>
      </c>
      <c r="O1169">
        <f ca="1">VLOOKUP(N1169,球種情報!A:B,2,FALSE)</f>
        <v>16</v>
      </c>
      <c r="P1169">
        <f ca="1">VLOOKUP(K1169,投手データ!B:AI,output!O1169+6,FALSE)</f>
        <v>4</v>
      </c>
      <c r="R1169">
        <f t="shared" ca="1" si="99"/>
        <v>7.7519379844961239E-3</v>
      </c>
      <c r="S1169">
        <f t="shared" si="100"/>
        <v>0.5625</v>
      </c>
      <c r="T1169">
        <f>Prams!B$5/(S1169-Prams!B$6)</f>
        <v>123.10434090003983</v>
      </c>
      <c r="U1169">
        <f t="shared" ca="1" si="101"/>
        <v>0.62916666666666665</v>
      </c>
      <c r="V1169">
        <f ca="1">Prams!C$5/(U1169-Prams!C$6)</f>
        <v>127.32134276103523</v>
      </c>
      <c r="W1169">
        <f t="shared" ca="1" si="102"/>
        <v>0.98698715318631958</v>
      </c>
    </row>
    <row r="1170" spans="1:23" hidden="1" x14ac:dyDescent="0.55000000000000004">
      <c r="A1170" s="1" t="s">
        <v>2908</v>
      </c>
      <c r="B1170" s="1">
        <v>133</v>
      </c>
      <c r="C1170">
        <v>635.45654000000002</v>
      </c>
      <c r="D1170">
        <v>614.5</v>
      </c>
      <c r="E1170">
        <v>11.55438</v>
      </c>
      <c r="F1170" t="s">
        <v>6</v>
      </c>
      <c r="G1170" s="10" t="s">
        <v>2420</v>
      </c>
      <c r="H1170">
        <v>98</v>
      </c>
      <c r="I1170" t="s">
        <v>2865</v>
      </c>
      <c r="J1170">
        <f ca="1">VLOOKUP(G1170,INDIRECT("球速変換!A$1:B$" &amp; Prams!$B$8),2,)</f>
        <v>127</v>
      </c>
      <c r="K1170" t="str">
        <f ca="1">VLOOKUP(I1170,INDIRECT("投手名変換!A$1:B$" &amp; Prams!$B$9),2,)</f>
        <v>DD026</v>
      </c>
      <c r="L1170">
        <f t="shared" si="98"/>
        <v>35</v>
      </c>
      <c r="M1170">
        <f ca="1">(B1170-VLOOKUP(K1170,INDIRECT("投手データ!B1:D"&amp;Prams!$B$1),3,FALSE)*2)</f>
        <v>39</v>
      </c>
      <c r="N1170" t="str">
        <f ca="1">VLOOKUP(F1170,INDIRECT("球種変換表!A$1:B$" &amp; Prams!$B$2),2,)</f>
        <v>フォーク</v>
      </c>
      <c r="O1170">
        <f ca="1">VLOOKUP(N1170,球種情報!A:B,2,FALSE)</f>
        <v>16</v>
      </c>
      <c r="P1170">
        <f ca="1">VLOOKUP(K1170,投手データ!B:AI,output!O1170+6,FALSE)</f>
        <v>4</v>
      </c>
      <c r="R1170">
        <f t="shared" ca="1" si="99"/>
        <v>7.874015748031496E-3</v>
      </c>
      <c r="S1170">
        <f t="shared" si="100"/>
        <v>0.57326388888888891</v>
      </c>
      <c r="T1170">
        <f>Prams!B$5/(S1170-Prams!B$6)</f>
        <v>120.52115429394532</v>
      </c>
      <c r="U1170">
        <f t="shared" ca="1" si="101"/>
        <v>0.63993055555555556</v>
      </c>
      <c r="V1170">
        <f ca="1">Prams!C$5/(U1170-Prams!C$6)</f>
        <v>124.56013297589533</v>
      </c>
      <c r="W1170">
        <f t="shared" ca="1" si="102"/>
        <v>0.98078844862909709</v>
      </c>
    </row>
    <row r="1171" spans="1:23" hidden="1" x14ac:dyDescent="0.55000000000000004">
      <c r="A1171" s="1" t="s">
        <v>2909</v>
      </c>
      <c r="B1171" s="1">
        <v>132</v>
      </c>
      <c r="C1171">
        <v>637.5</v>
      </c>
      <c r="D1171">
        <v>603.5</v>
      </c>
      <c r="E1171">
        <v>9.6177899999999994</v>
      </c>
      <c r="F1171" t="s">
        <v>6</v>
      </c>
      <c r="G1171" s="10" t="s">
        <v>624</v>
      </c>
      <c r="H1171">
        <v>98</v>
      </c>
      <c r="I1171" t="s">
        <v>2865</v>
      </c>
      <c r="J1171">
        <f ca="1">VLOOKUP(G1171,INDIRECT("球速変換!A$1:B$" &amp; Prams!$B$8),2,)</f>
        <v>128</v>
      </c>
      <c r="K1171" t="str">
        <f ca="1">VLOOKUP(I1171,INDIRECT("投手名変換!A$1:B$" &amp; Prams!$B$9),2,)</f>
        <v>DD026</v>
      </c>
      <c r="L1171">
        <f t="shared" si="98"/>
        <v>34</v>
      </c>
      <c r="M1171">
        <f ca="1">(B1171-VLOOKUP(K1171,INDIRECT("投手データ!B1:D"&amp;Prams!$B$1),3,FALSE)*2)</f>
        <v>38</v>
      </c>
      <c r="N1171" t="str">
        <f ca="1">VLOOKUP(F1171,INDIRECT("球種変換表!A$1:B$" &amp; Prams!$B$2),2,)</f>
        <v>フォーク</v>
      </c>
      <c r="O1171">
        <f ca="1">VLOOKUP(N1171,球種情報!A:B,2,FALSE)</f>
        <v>16</v>
      </c>
      <c r="P1171">
        <f ca="1">VLOOKUP(K1171,投手データ!B:AI,output!O1171+6,FALSE)</f>
        <v>4</v>
      </c>
      <c r="R1171">
        <f t="shared" ca="1" si="99"/>
        <v>7.8125E-3</v>
      </c>
      <c r="S1171">
        <f t="shared" si="100"/>
        <v>0.56423611111111105</v>
      </c>
      <c r="T1171">
        <f>Prams!B$5/(S1171-Prams!B$6)</f>
        <v>122.6802339361802</v>
      </c>
      <c r="U1171">
        <f t="shared" ca="1" si="101"/>
        <v>0.6309027777777777</v>
      </c>
      <c r="V1171">
        <f ca="1">Prams!C$5/(U1171-Prams!C$6)</f>
        <v>126.8677356651409</v>
      </c>
      <c r="W1171">
        <f t="shared" ca="1" si="102"/>
        <v>0.99115418488391327</v>
      </c>
    </row>
    <row r="1172" spans="1:23" hidden="1" x14ac:dyDescent="0.55000000000000004">
      <c r="A1172" s="1" t="s">
        <v>2911</v>
      </c>
      <c r="B1172" s="1">
        <v>133</v>
      </c>
      <c r="C1172">
        <v>649</v>
      </c>
      <c r="D1172">
        <v>612.5</v>
      </c>
      <c r="E1172">
        <v>10.012589999999999</v>
      </c>
      <c r="F1172" t="s">
        <v>6</v>
      </c>
      <c r="G1172" s="10" t="s">
        <v>2602</v>
      </c>
      <c r="H1172">
        <v>98</v>
      </c>
      <c r="I1172" t="s">
        <v>2910</v>
      </c>
      <c r="J1172">
        <f ca="1">VLOOKUP(G1172,INDIRECT("球速変換!A$1:B$" &amp; Prams!$B$8),2,)</f>
        <v>126</v>
      </c>
      <c r="K1172" t="str">
        <f ca="1">VLOOKUP(I1172,INDIRECT("投手名変換!A$1:B$" &amp; Prams!$B$9),2,)</f>
        <v>KR001</v>
      </c>
      <c r="L1172">
        <f t="shared" si="98"/>
        <v>35</v>
      </c>
      <c r="M1172">
        <f ca="1">(B1172-VLOOKUP(K1172,INDIRECT("投手データ!B1:D"&amp;Prams!$B$1),3,FALSE)*2)</f>
        <v>39</v>
      </c>
      <c r="N1172" t="str">
        <f ca="1">VLOOKUP(F1172,INDIRECT("球種変換表!A$1:B$" &amp; Prams!$B$2),2,)</f>
        <v>フォーク</v>
      </c>
      <c r="O1172">
        <f ca="1">VLOOKUP(N1172,球種情報!A:B,2,FALSE)</f>
        <v>16</v>
      </c>
      <c r="P1172">
        <f ca="1">VLOOKUP(K1172,投手データ!B:AI,output!O1172+6,FALSE)</f>
        <v>4</v>
      </c>
      <c r="R1172">
        <f t="shared" ca="1" si="99"/>
        <v>7.9365079365079361E-3</v>
      </c>
      <c r="S1172">
        <f t="shared" si="100"/>
        <v>0.57465277777777779</v>
      </c>
      <c r="T1172">
        <f>Prams!B$5/(S1172-Prams!B$6)</f>
        <v>120.19571521923453</v>
      </c>
      <c r="U1172">
        <f t="shared" ca="1" si="101"/>
        <v>0.64131944444444444</v>
      </c>
      <c r="V1172">
        <f ca="1">Prams!C$5/(U1172-Prams!C$6)</f>
        <v>124.21254722930701</v>
      </c>
      <c r="W1172">
        <f t="shared" ca="1" si="102"/>
        <v>0.98581386689926198</v>
      </c>
    </row>
    <row r="1173" spans="1:23" hidden="1" x14ac:dyDescent="0.55000000000000004">
      <c r="A1173" s="1" t="s">
        <v>2912</v>
      </c>
      <c r="B1173" s="1">
        <v>133</v>
      </c>
      <c r="C1173">
        <v>643.52173000000005</v>
      </c>
      <c r="D1173">
        <v>614</v>
      </c>
      <c r="E1173">
        <v>11.521850000000001</v>
      </c>
      <c r="F1173" t="s">
        <v>6</v>
      </c>
      <c r="G1173" s="10" t="s">
        <v>2834</v>
      </c>
      <c r="H1173">
        <v>98</v>
      </c>
      <c r="I1173" t="s">
        <v>2769</v>
      </c>
      <c r="J1173">
        <f ca="1">VLOOKUP(G1173,INDIRECT("球速変換!A$1:B$" &amp; Prams!$B$8),2,)</f>
        <v>126</v>
      </c>
      <c r="K1173" t="str">
        <f ca="1">VLOOKUP(I1173,INDIRECT("投手名変換!A$1:B$" &amp; Prams!$B$9),2,)</f>
        <v>KR001</v>
      </c>
      <c r="L1173">
        <f t="shared" si="98"/>
        <v>35</v>
      </c>
      <c r="M1173">
        <f ca="1">(B1173-VLOOKUP(K1173,INDIRECT("投手データ!B1:D"&amp;Prams!$B$1),3,FALSE)*2)</f>
        <v>39</v>
      </c>
      <c r="N1173" t="str">
        <f ca="1">VLOOKUP(F1173,INDIRECT("球種変換表!A$1:B$" &amp; Prams!$B$2),2,)</f>
        <v>フォーク</v>
      </c>
      <c r="O1173">
        <f ca="1">VLOOKUP(N1173,球種情報!A:B,2,FALSE)</f>
        <v>16</v>
      </c>
      <c r="P1173">
        <f ca="1">VLOOKUP(K1173,投手データ!B:AI,output!O1173+6,FALSE)</f>
        <v>4</v>
      </c>
      <c r="R1173">
        <f t="shared" ca="1" si="99"/>
        <v>7.9365079365079361E-3</v>
      </c>
      <c r="S1173">
        <f t="shared" si="100"/>
        <v>0.57361111111111107</v>
      </c>
      <c r="T1173">
        <f>Prams!B$5/(S1173-Prams!B$6)</f>
        <v>120.43962942118708</v>
      </c>
      <c r="U1173">
        <f t="shared" ca="1" si="101"/>
        <v>0.64027777777777772</v>
      </c>
      <c r="V1173">
        <f ca="1">Prams!C$5/(U1173-Prams!C$6)</f>
        <v>124.47305429408739</v>
      </c>
      <c r="W1173">
        <f t="shared" ca="1" si="102"/>
        <v>0.98788138328640784</v>
      </c>
    </row>
    <row r="1174" spans="1:23" hidden="1" x14ac:dyDescent="0.55000000000000004">
      <c r="A1174" s="1" t="s">
        <v>2913</v>
      </c>
      <c r="B1174" s="1">
        <v>133</v>
      </c>
      <c r="C1174">
        <v>633.90002000000004</v>
      </c>
      <c r="D1174">
        <v>608</v>
      </c>
      <c r="E1174">
        <v>10.10008</v>
      </c>
      <c r="F1174" t="s">
        <v>6</v>
      </c>
      <c r="G1174" s="10" t="s">
        <v>625</v>
      </c>
      <c r="H1174">
        <v>98</v>
      </c>
      <c r="I1174" t="s">
        <v>2771</v>
      </c>
      <c r="J1174">
        <f ca="1">VLOOKUP(G1174,INDIRECT("球速変換!A$1:B$" &amp; Prams!$B$8),2,)</f>
        <v>123</v>
      </c>
      <c r="K1174" t="str">
        <f ca="1">VLOOKUP(I1174,INDIRECT("投手名変換!A$1:B$" &amp; Prams!$B$9),2,)</f>
        <v>KR001</v>
      </c>
      <c r="L1174">
        <f t="shared" si="98"/>
        <v>35</v>
      </c>
      <c r="M1174">
        <f ca="1">(B1174-VLOOKUP(K1174,INDIRECT("投手データ!B1:D"&amp;Prams!$B$1),3,FALSE)*2)</f>
        <v>39</v>
      </c>
      <c r="N1174" t="str">
        <f ca="1">VLOOKUP(F1174,INDIRECT("球種変換表!A$1:B$" &amp; Prams!$B$2),2,)</f>
        <v>フォーク</v>
      </c>
      <c r="O1174">
        <f ca="1">VLOOKUP(N1174,球種情報!A:B,2,FALSE)</f>
        <v>16</v>
      </c>
      <c r="P1174">
        <f ca="1">VLOOKUP(K1174,投手データ!B:AI,output!O1174+6,FALSE)</f>
        <v>4</v>
      </c>
      <c r="R1174">
        <f t="shared" ca="1" si="99"/>
        <v>8.130081300813009E-3</v>
      </c>
      <c r="S1174">
        <f t="shared" si="100"/>
        <v>0.57777777777777772</v>
      </c>
      <c r="T1174">
        <f>Prams!B$5/(S1174-Prams!B$6)</f>
        <v>119.4698645137741</v>
      </c>
      <c r="U1174">
        <f t="shared" ca="1" si="101"/>
        <v>0.64444444444444438</v>
      </c>
      <c r="V1174">
        <f ca="1">Prams!C$5/(U1174-Prams!C$6)</f>
        <v>123.4375277309433</v>
      </c>
      <c r="W1174">
        <f t="shared" ca="1" si="102"/>
        <v>1.0035571360239293</v>
      </c>
    </row>
    <row r="1175" spans="1:23" hidden="1" x14ac:dyDescent="0.55000000000000004">
      <c r="A1175" s="1" t="s">
        <v>2914</v>
      </c>
      <c r="B1175" s="1">
        <v>132</v>
      </c>
      <c r="C1175">
        <v>634</v>
      </c>
      <c r="D1175">
        <v>605.5</v>
      </c>
      <c r="E1175">
        <v>10.111969999999999</v>
      </c>
      <c r="F1175" t="s">
        <v>6</v>
      </c>
      <c r="G1175" s="10" t="s">
        <v>2418</v>
      </c>
      <c r="H1175">
        <v>98</v>
      </c>
      <c r="I1175" t="s">
        <v>2824</v>
      </c>
      <c r="J1175">
        <f ca="1">VLOOKUP(G1175,INDIRECT("球速変換!A$1:B$" &amp; Prams!$B$8),2,)</f>
        <v>129</v>
      </c>
      <c r="K1175" t="str">
        <f ca="1">VLOOKUP(I1175,INDIRECT("投手名変換!A$1:B$" &amp; Prams!$B$9),2,)</f>
        <v>KR001</v>
      </c>
      <c r="L1175">
        <f t="shared" si="98"/>
        <v>34</v>
      </c>
      <c r="M1175">
        <f ca="1">(B1175-VLOOKUP(K1175,INDIRECT("投手データ!B1:D"&amp;Prams!$B$1),3,FALSE)*2)</f>
        <v>38</v>
      </c>
      <c r="N1175" t="str">
        <f ca="1">VLOOKUP(F1175,INDIRECT("球種変換表!A$1:B$" &amp; Prams!$B$2),2,)</f>
        <v>フォーク</v>
      </c>
      <c r="O1175">
        <f ca="1">VLOOKUP(N1175,球種情報!A:B,2,FALSE)</f>
        <v>16</v>
      </c>
      <c r="P1175">
        <f ca="1">VLOOKUP(K1175,投手データ!B:AI,output!O1175+6,FALSE)</f>
        <v>4</v>
      </c>
      <c r="R1175">
        <f t="shared" ca="1" si="99"/>
        <v>7.7519379844961239E-3</v>
      </c>
      <c r="S1175">
        <f t="shared" si="100"/>
        <v>0.56284722222222228</v>
      </c>
      <c r="T1175">
        <f>Prams!B$5/(S1175-Prams!B$6)</f>
        <v>123.01928508653138</v>
      </c>
      <c r="U1175">
        <f t="shared" ca="1" si="101"/>
        <v>0.62951388888888893</v>
      </c>
      <c r="V1175">
        <f ca="1">Prams!C$5/(U1175-Prams!C$6)</f>
        <v>127.23036203259608</v>
      </c>
      <c r="W1175">
        <f t="shared" ca="1" si="102"/>
        <v>0.98628187622167496</v>
      </c>
    </row>
    <row r="1176" spans="1:23" hidden="1" x14ac:dyDescent="0.55000000000000004">
      <c r="A1176" s="1" t="s">
        <v>2916</v>
      </c>
      <c r="B1176" s="1">
        <v>132</v>
      </c>
      <c r="C1176">
        <v>637.04998999999998</v>
      </c>
      <c r="D1176">
        <v>603.5</v>
      </c>
      <c r="E1176">
        <v>10.06254</v>
      </c>
      <c r="F1176" t="s">
        <v>6</v>
      </c>
      <c r="G1176" s="10" t="s">
        <v>591</v>
      </c>
      <c r="H1176">
        <v>98</v>
      </c>
      <c r="I1176" t="s">
        <v>2915</v>
      </c>
      <c r="J1176">
        <f ca="1">VLOOKUP(G1176,INDIRECT("球速変換!A$1:B$" &amp; Prams!$B$8),2,)</f>
        <v>128</v>
      </c>
      <c r="K1176" t="str">
        <f ca="1">VLOOKUP(I1176,INDIRECT("投手名変換!A$1:B$" &amp; Prams!$B$9),2,)</f>
        <v>KR001</v>
      </c>
      <c r="L1176">
        <f t="shared" si="98"/>
        <v>34</v>
      </c>
      <c r="M1176">
        <f ca="1">(B1176-VLOOKUP(K1176,INDIRECT("投手データ!B1:D"&amp;Prams!$B$1),3,FALSE)*2)</f>
        <v>38</v>
      </c>
      <c r="N1176" t="str">
        <f ca="1">VLOOKUP(F1176,INDIRECT("球種変換表!A$1:B$" &amp; Prams!$B$2),2,)</f>
        <v>フォーク</v>
      </c>
      <c r="O1176">
        <f ca="1">VLOOKUP(N1176,球種情報!A:B,2,FALSE)</f>
        <v>16</v>
      </c>
      <c r="P1176">
        <f ca="1">VLOOKUP(K1176,投手データ!B:AI,output!O1176+6,FALSE)</f>
        <v>4</v>
      </c>
      <c r="R1176">
        <f t="shared" ca="1" si="99"/>
        <v>7.8125E-3</v>
      </c>
      <c r="S1176">
        <f t="shared" si="100"/>
        <v>0.56423611111111105</v>
      </c>
      <c r="T1176">
        <f>Prams!B$5/(S1176-Prams!B$6)</f>
        <v>122.6802339361802</v>
      </c>
      <c r="U1176">
        <f t="shared" ca="1" si="101"/>
        <v>0.6309027777777777</v>
      </c>
      <c r="V1176">
        <f ca="1">Prams!C$5/(U1176-Prams!C$6)</f>
        <v>126.8677356651409</v>
      </c>
      <c r="W1176">
        <f t="shared" ca="1" si="102"/>
        <v>0.99115418488391327</v>
      </c>
    </row>
    <row r="1177" spans="1:23" hidden="1" x14ac:dyDescent="0.55000000000000004">
      <c r="A1177" s="1" t="s">
        <v>2917</v>
      </c>
      <c r="B1177" s="1">
        <v>132</v>
      </c>
      <c r="C1177">
        <v>641.95001000000002</v>
      </c>
      <c r="D1177">
        <v>602.5</v>
      </c>
      <c r="E1177">
        <v>10.062519999999999</v>
      </c>
      <c r="F1177" t="s">
        <v>6</v>
      </c>
      <c r="G1177" s="10" t="s">
        <v>591</v>
      </c>
      <c r="H1177">
        <v>98</v>
      </c>
      <c r="I1177" t="s">
        <v>2771</v>
      </c>
      <c r="J1177">
        <f ca="1">VLOOKUP(G1177,INDIRECT("球速変換!A$1:B$" &amp; Prams!$B$8),2,)</f>
        <v>128</v>
      </c>
      <c r="K1177" t="str">
        <f ca="1">VLOOKUP(I1177,INDIRECT("投手名変換!A$1:B$" &amp; Prams!$B$9),2,)</f>
        <v>KR001</v>
      </c>
      <c r="L1177">
        <f t="shared" si="98"/>
        <v>34</v>
      </c>
      <c r="M1177">
        <f ca="1">(B1177-VLOOKUP(K1177,INDIRECT("投手データ!B1:D"&amp;Prams!$B$1),3,FALSE)*2)</f>
        <v>38</v>
      </c>
      <c r="N1177" t="str">
        <f ca="1">VLOOKUP(F1177,INDIRECT("球種変換表!A$1:B$" &amp; Prams!$B$2),2,)</f>
        <v>フォーク</v>
      </c>
      <c r="O1177">
        <f ca="1">VLOOKUP(N1177,球種情報!A:B,2,FALSE)</f>
        <v>16</v>
      </c>
      <c r="P1177">
        <f ca="1">VLOOKUP(K1177,投手データ!B:AI,output!O1177+6,FALSE)</f>
        <v>4</v>
      </c>
      <c r="R1177">
        <f t="shared" ca="1" si="99"/>
        <v>7.8125E-3</v>
      </c>
      <c r="S1177">
        <f t="shared" si="100"/>
        <v>0.5649305555555556</v>
      </c>
      <c r="T1177">
        <f>Prams!B$5/(S1177-Prams!B$6)</f>
        <v>122.51140823594818</v>
      </c>
      <c r="U1177">
        <f t="shared" ca="1" si="101"/>
        <v>0.63159722222222225</v>
      </c>
      <c r="V1177">
        <f ca="1">Prams!C$5/(U1177-Prams!C$6)</f>
        <v>126.68719653458865</v>
      </c>
      <c r="W1177">
        <f t="shared" ca="1" si="102"/>
        <v>0.98974372292647383</v>
      </c>
    </row>
    <row r="1178" spans="1:23" hidden="1" x14ac:dyDescent="0.55000000000000004">
      <c r="A1178" s="1" t="s">
        <v>2919</v>
      </c>
      <c r="B1178" s="1">
        <v>133</v>
      </c>
      <c r="C1178">
        <v>641.95001000000002</v>
      </c>
      <c r="D1178">
        <v>613.5</v>
      </c>
      <c r="E1178">
        <v>10.062519999999999</v>
      </c>
      <c r="F1178" t="s">
        <v>6</v>
      </c>
      <c r="G1178" s="10" t="s">
        <v>2419</v>
      </c>
      <c r="H1178">
        <v>98</v>
      </c>
      <c r="I1178" t="s">
        <v>2918</v>
      </c>
      <c r="J1178">
        <f ca="1">VLOOKUP(G1178,INDIRECT("球速変換!A$1:B$" &amp; Prams!$B$8),2,)</f>
        <v>126</v>
      </c>
      <c r="K1178" t="str">
        <f ca="1">VLOOKUP(I1178,INDIRECT("投手名変換!A$1:B$" &amp; Prams!$B$9),2,)</f>
        <v>KR001</v>
      </c>
      <c r="L1178">
        <f t="shared" si="98"/>
        <v>35</v>
      </c>
      <c r="M1178">
        <f ca="1">(B1178-VLOOKUP(K1178,INDIRECT("投手データ!B1:D"&amp;Prams!$B$1),3,FALSE)*2)</f>
        <v>39</v>
      </c>
      <c r="N1178" t="str">
        <f ca="1">VLOOKUP(F1178,INDIRECT("球種変換表!A$1:B$" &amp; Prams!$B$2),2,)</f>
        <v>フォーク</v>
      </c>
      <c r="O1178">
        <f ca="1">VLOOKUP(N1178,球種情報!A:B,2,FALSE)</f>
        <v>16</v>
      </c>
      <c r="P1178">
        <f ca="1">VLOOKUP(K1178,投手データ!B:AI,output!O1178+6,FALSE)</f>
        <v>4</v>
      </c>
      <c r="R1178">
        <f t="shared" ca="1" si="99"/>
        <v>7.9365079365079361E-3</v>
      </c>
      <c r="S1178">
        <f t="shared" si="100"/>
        <v>0.57395833333333335</v>
      </c>
      <c r="T1178">
        <f>Prams!B$5/(S1178-Prams!B$6)</f>
        <v>120.35821476662503</v>
      </c>
      <c r="U1178">
        <f t="shared" ca="1" si="101"/>
        <v>0.640625</v>
      </c>
      <c r="V1178">
        <f ca="1">Prams!C$5/(U1178-Prams!C$6)</f>
        <v>124.38609727880892</v>
      </c>
      <c r="W1178">
        <f t="shared" ca="1" si="102"/>
        <v>0.98719124824451521</v>
      </c>
    </row>
    <row r="1179" spans="1:23" hidden="1" x14ac:dyDescent="0.55000000000000004">
      <c r="A1179" s="1" t="s">
        <v>2920</v>
      </c>
      <c r="B1179" s="1">
        <v>133</v>
      </c>
      <c r="C1179">
        <v>640</v>
      </c>
      <c r="D1179">
        <v>614.5</v>
      </c>
      <c r="E1179">
        <v>11.01146</v>
      </c>
      <c r="F1179" t="s">
        <v>6</v>
      </c>
      <c r="G1179" s="10" t="s">
        <v>589</v>
      </c>
      <c r="H1179">
        <v>98</v>
      </c>
      <c r="I1179" t="s">
        <v>2771</v>
      </c>
      <c r="J1179">
        <f ca="1">VLOOKUP(G1179,INDIRECT("球速変換!A$1:B$" &amp; Prams!$B$8),2,)</f>
        <v>127</v>
      </c>
      <c r="K1179" t="str">
        <f ca="1">VLOOKUP(I1179,INDIRECT("投手名変換!A$1:B$" &amp; Prams!$B$9),2,)</f>
        <v>KR001</v>
      </c>
      <c r="L1179">
        <f t="shared" si="98"/>
        <v>35</v>
      </c>
      <c r="M1179">
        <f ca="1">(B1179-VLOOKUP(K1179,INDIRECT("投手データ!B1:D"&amp;Prams!$B$1),3,FALSE)*2)</f>
        <v>39</v>
      </c>
      <c r="N1179" t="str">
        <f ca="1">VLOOKUP(F1179,INDIRECT("球種変換表!A$1:B$" &amp; Prams!$B$2),2,)</f>
        <v>フォーク</v>
      </c>
      <c r="O1179">
        <f ca="1">VLOOKUP(N1179,球種情報!A:B,2,FALSE)</f>
        <v>16</v>
      </c>
      <c r="P1179">
        <f ca="1">VLOOKUP(K1179,投手データ!B:AI,output!O1179+6,FALSE)</f>
        <v>4</v>
      </c>
      <c r="R1179">
        <f t="shared" ca="1" si="99"/>
        <v>7.874015748031496E-3</v>
      </c>
      <c r="S1179">
        <f t="shared" si="100"/>
        <v>0.57326388888888891</v>
      </c>
      <c r="T1179">
        <f>Prams!B$5/(S1179-Prams!B$6)</f>
        <v>120.52115429394532</v>
      </c>
      <c r="U1179">
        <f t="shared" ca="1" si="101"/>
        <v>0.63993055555555556</v>
      </c>
      <c r="V1179">
        <f ca="1">Prams!C$5/(U1179-Prams!C$6)</f>
        <v>124.56013297589533</v>
      </c>
      <c r="W1179">
        <f t="shared" ca="1" si="102"/>
        <v>0.98078844862909709</v>
      </c>
    </row>
    <row r="1180" spans="1:23" hidden="1" x14ac:dyDescent="0.55000000000000004">
      <c r="A1180" s="1" t="s">
        <v>2922</v>
      </c>
      <c r="B1180" s="1">
        <v>133</v>
      </c>
      <c r="C1180">
        <v>646.5</v>
      </c>
      <c r="D1180">
        <v>613</v>
      </c>
      <c r="E1180">
        <v>10.547610000000001</v>
      </c>
      <c r="F1180" t="s">
        <v>6</v>
      </c>
      <c r="G1180" s="10" t="s">
        <v>2419</v>
      </c>
      <c r="H1180">
        <v>98</v>
      </c>
      <c r="I1180" t="s">
        <v>2921</v>
      </c>
      <c r="J1180">
        <f ca="1">VLOOKUP(G1180,INDIRECT("球速変換!A$1:B$" &amp; Prams!$B$8),2,)</f>
        <v>126</v>
      </c>
      <c r="K1180" t="str">
        <f ca="1">VLOOKUP(I1180,INDIRECT("投手名変換!A$1:B$" &amp; Prams!$B$9),2,)</f>
        <v>KR001</v>
      </c>
      <c r="L1180">
        <f t="shared" si="98"/>
        <v>35</v>
      </c>
      <c r="M1180">
        <f ca="1">(B1180-VLOOKUP(K1180,INDIRECT("投手データ!B1:D"&amp;Prams!$B$1),3,FALSE)*2)</f>
        <v>39</v>
      </c>
      <c r="N1180" t="str">
        <f ca="1">VLOOKUP(F1180,INDIRECT("球種変換表!A$1:B$" &amp; Prams!$B$2),2,)</f>
        <v>フォーク</v>
      </c>
      <c r="O1180">
        <f ca="1">VLOOKUP(N1180,球種情報!A:B,2,FALSE)</f>
        <v>16</v>
      </c>
      <c r="P1180">
        <f ca="1">VLOOKUP(K1180,投手データ!B:AI,output!O1180+6,FALSE)</f>
        <v>4</v>
      </c>
      <c r="R1180">
        <f t="shared" ca="1" si="99"/>
        <v>7.9365079365079361E-3</v>
      </c>
      <c r="S1180">
        <f t="shared" si="100"/>
        <v>0.57430555555555562</v>
      </c>
      <c r="T1180">
        <f>Prams!B$5/(S1180-Prams!B$6)</f>
        <v>120.27691010689465</v>
      </c>
      <c r="U1180">
        <f t="shared" ca="1" si="101"/>
        <v>0.64097222222222228</v>
      </c>
      <c r="V1180">
        <f ca="1">Prams!C$5/(U1180-Prams!C$6)</f>
        <v>124.2992616752488</v>
      </c>
      <c r="W1180">
        <f t="shared" ca="1" si="102"/>
        <v>0.98650207678768886</v>
      </c>
    </row>
    <row r="1181" spans="1:23" hidden="1" x14ac:dyDescent="0.55000000000000004">
      <c r="A1181" s="1" t="s">
        <v>2923</v>
      </c>
      <c r="B1181" s="1">
        <v>132</v>
      </c>
      <c r="C1181">
        <v>638</v>
      </c>
      <c r="D1181">
        <v>606.5</v>
      </c>
      <c r="E1181">
        <v>11.01146</v>
      </c>
      <c r="F1181" t="s">
        <v>6</v>
      </c>
      <c r="G1181" s="10" t="s">
        <v>2418</v>
      </c>
      <c r="H1181">
        <v>98</v>
      </c>
      <c r="I1181" t="s">
        <v>2771</v>
      </c>
      <c r="J1181">
        <f ca="1">VLOOKUP(G1181,INDIRECT("球速変換!A$1:B$" &amp; Prams!$B$8),2,)</f>
        <v>129</v>
      </c>
      <c r="K1181" t="str">
        <f ca="1">VLOOKUP(I1181,INDIRECT("投手名変換!A$1:B$" &amp; Prams!$B$9),2,)</f>
        <v>KR001</v>
      </c>
      <c r="L1181">
        <f t="shared" si="98"/>
        <v>34</v>
      </c>
      <c r="M1181">
        <f ca="1">(B1181-VLOOKUP(K1181,INDIRECT("投手データ!B1:D"&amp;Prams!$B$1),3,FALSE)*2)</f>
        <v>38</v>
      </c>
      <c r="N1181" t="str">
        <f ca="1">VLOOKUP(F1181,INDIRECT("球種変換表!A$1:B$" &amp; Prams!$B$2),2,)</f>
        <v>フォーク</v>
      </c>
      <c r="O1181">
        <f ca="1">VLOOKUP(N1181,球種情報!A:B,2,FALSE)</f>
        <v>16</v>
      </c>
      <c r="P1181">
        <f ca="1">VLOOKUP(K1181,投手データ!B:AI,output!O1181+6,FALSE)</f>
        <v>4</v>
      </c>
      <c r="R1181">
        <f t="shared" ca="1" si="99"/>
        <v>7.7519379844961239E-3</v>
      </c>
      <c r="S1181">
        <f t="shared" si="100"/>
        <v>0.56215277777777772</v>
      </c>
      <c r="T1181">
        <f>Prams!B$5/(S1181-Prams!B$6)</f>
        <v>123.18951441049003</v>
      </c>
      <c r="U1181">
        <f t="shared" ca="1" si="101"/>
        <v>0.62881944444444438</v>
      </c>
      <c r="V1181">
        <f ca="1">Prams!C$5/(U1181-Prams!C$6)</f>
        <v>127.41245370078832</v>
      </c>
      <c r="W1181">
        <f t="shared" ca="1" si="102"/>
        <v>0.98769343954099476</v>
      </c>
    </row>
    <row r="1182" spans="1:23" hidden="1" x14ac:dyDescent="0.55000000000000004">
      <c r="A1182" s="1" t="s">
        <v>2924</v>
      </c>
      <c r="B1182" s="1">
        <v>133</v>
      </c>
      <c r="C1182">
        <v>639</v>
      </c>
      <c r="D1182">
        <v>614.5</v>
      </c>
      <c r="E1182">
        <v>11.01146</v>
      </c>
      <c r="F1182" t="s">
        <v>6</v>
      </c>
      <c r="G1182" s="10" t="s">
        <v>2419</v>
      </c>
      <c r="H1182">
        <v>98</v>
      </c>
      <c r="I1182" t="s">
        <v>2769</v>
      </c>
      <c r="J1182">
        <f ca="1">VLOOKUP(G1182,INDIRECT("球速変換!A$1:B$" &amp; Prams!$B$8),2,)</f>
        <v>126</v>
      </c>
      <c r="K1182" t="str">
        <f ca="1">VLOOKUP(I1182,INDIRECT("投手名変換!A$1:B$" &amp; Prams!$B$9),2,)</f>
        <v>KR001</v>
      </c>
      <c r="L1182">
        <f t="shared" si="98"/>
        <v>35</v>
      </c>
      <c r="M1182">
        <f ca="1">(B1182-VLOOKUP(K1182,INDIRECT("投手データ!B1:D"&amp;Prams!$B$1),3,FALSE)*2)</f>
        <v>39</v>
      </c>
      <c r="N1182" t="str">
        <f ca="1">VLOOKUP(F1182,INDIRECT("球種変換表!A$1:B$" &amp; Prams!$B$2),2,)</f>
        <v>フォーク</v>
      </c>
      <c r="O1182">
        <f ca="1">VLOOKUP(N1182,球種情報!A:B,2,FALSE)</f>
        <v>16</v>
      </c>
      <c r="P1182">
        <f ca="1">VLOOKUP(K1182,投手データ!B:AI,output!O1182+6,FALSE)</f>
        <v>4</v>
      </c>
      <c r="R1182">
        <f t="shared" ca="1" si="99"/>
        <v>7.9365079365079361E-3</v>
      </c>
      <c r="S1182">
        <f t="shared" si="100"/>
        <v>0.57326388888888891</v>
      </c>
      <c r="T1182">
        <f>Prams!B$5/(S1182-Prams!B$6)</f>
        <v>120.52115429394532</v>
      </c>
      <c r="U1182">
        <f t="shared" ca="1" si="101"/>
        <v>0.63993055555555556</v>
      </c>
      <c r="V1182">
        <f ca="1">Prams!C$5/(U1182-Prams!C$6)</f>
        <v>124.56013297589533</v>
      </c>
      <c r="W1182">
        <f t="shared" ca="1" si="102"/>
        <v>0.9885724839356772</v>
      </c>
    </row>
    <row r="1183" spans="1:23" hidden="1" x14ac:dyDescent="0.55000000000000004">
      <c r="A1183" s="1" t="s">
        <v>2925</v>
      </c>
      <c r="B1183" s="1">
        <v>133</v>
      </c>
      <c r="C1183">
        <v>636.54760999999996</v>
      </c>
      <c r="D1183">
        <v>617.5</v>
      </c>
      <c r="E1183">
        <v>10.55958</v>
      </c>
      <c r="F1183" t="s">
        <v>6</v>
      </c>
      <c r="G1183" s="10" t="s">
        <v>652</v>
      </c>
      <c r="H1183">
        <v>98</v>
      </c>
      <c r="I1183" t="s">
        <v>2769</v>
      </c>
      <c r="J1183">
        <f ca="1">VLOOKUP(G1183,INDIRECT("球速変換!A$1:B$" &amp; Prams!$B$8),2,)</f>
        <v>127</v>
      </c>
      <c r="K1183" t="str">
        <f ca="1">VLOOKUP(I1183,INDIRECT("投手名変換!A$1:B$" &amp; Prams!$B$9),2,)</f>
        <v>KR001</v>
      </c>
      <c r="L1183">
        <f t="shared" si="98"/>
        <v>35</v>
      </c>
      <c r="M1183">
        <f ca="1">(B1183-VLOOKUP(K1183,INDIRECT("投手データ!B1:D"&amp;Prams!$B$1),3,FALSE)*2)</f>
        <v>39</v>
      </c>
      <c r="N1183" t="str">
        <f ca="1">VLOOKUP(F1183,INDIRECT("球種変換表!A$1:B$" &amp; Prams!$B$2),2,)</f>
        <v>フォーク</v>
      </c>
      <c r="O1183">
        <f ca="1">VLOOKUP(N1183,球種情報!A:B,2,FALSE)</f>
        <v>16</v>
      </c>
      <c r="P1183">
        <f ca="1">VLOOKUP(K1183,投手データ!B:AI,output!O1183+6,FALSE)</f>
        <v>4</v>
      </c>
      <c r="R1183">
        <f t="shared" ca="1" si="99"/>
        <v>7.874015748031496E-3</v>
      </c>
      <c r="S1183">
        <f t="shared" si="100"/>
        <v>0.57118055555555558</v>
      </c>
      <c r="T1183">
        <f>Prams!B$5/(S1183-Prams!B$6)</f>
        <v>121.01263069754292</v>
      </c>
      <c r="U1183">
        <f t="shared" ca="1" si="101"/>
        <v>0.63784722222222223</v>
      </c>
      <c r="V1183">
        <f ca="1">Prams!C$5/(U1183-Prams!C$6)</f>
        <v>125.085174423506</v>
      </c>
      <c r="W1183">
        <f t="shared" ca="1" si="102"/>
        <v>0.98492263325595275</v>
      </c>
    </row>
    <row r="1184" spans="1:23" hidden="1" x14ac:dyDescent="0.55000000000000004">
      <c r="A1184" s="1" t="s">
        <v>2926</v>
      </c>
      <c r="B1184" s="1">
        <v>132</v>
      </c>
      <c r="C1184">
        <v>635.5</v>
      </c>
      <c r="D1184">
        <v>604.5</v>
      </c>
      <c r="E1184">
        <v>11.510960000000001</v>
      </c>
      <c r="F1184" t="s">
        <v>6</v>
      </c>
      <c r="G1184" s="10" t="s">
        <v>591</v>
      </c>
      <c r="H1184">
        <v>98</v>
      </c>
      <c r="I1184" t="s">
        <v>2771</v>
      </c>
      <c r="J1184">
        <f ca="1">VLOOKUP(G1184,INDIRECT("球速変換!A$1:B$" &amp; Prams!$B$8),2,)</f>
        <v>128</v>
      </c>
      <c r="K1184" t="str">
        <f ca="1">VLOOKUP(I1184,INDIRECT("投手名変換!A$1:B$" &amp; Prams!$B$9),2,)</f>
        <v>KR001</v>
      </c>
      <c r="L1184">
        <f t="shared" si="98"/>
        <v>34</v>
      </c>
      <c r="M1184">
        <f ca="1">(B1184-VLOOKUP(K1184,INDIRECT("投手データ!B1:D"&amp;Prams!$B$1),3,FALSE)*2)</f>
        <v>38</v>
      </c>
      <c r="N1184" t="str">
        <f ca="1">VLOOKUP(F1184,INDIRECT("球種変換表!A$1:B$" &amp; Prams!$B$2),2,)</f>
        <v>フォーク</v>
      </c>
      <c r="O1184">
        <f ca="1">VLOOKUP(N1184,球種情報!A:B,2,FALSE)</f>
        <v>16</v>
      </c>
      <c r="P1184">
        <f ca="1">VLOOKUP(K1184,投手データ!B:AI,output!O1184+6,FALSE)</f>
        <v>4</v>
      </c>
      <c r="R1184">
        <f t="shared" ca="1" si="99"/>
        <v>7.8125E-3</v>
      </c>
      <c r="S1184">
        <f t="shared" si="100"/>
        <v>0.56354166666666672</v>
      </c>
      <c r="T1184">
        <f>Prams!B$5/(S1184-Prams!B$6)</f>
        <v>122.8495255758499</v>
      </c>
      <c r="U1184">
        <f t="shared" ca="1" si="101"/>
        <v>0.63020833333333337</v>
      </c>
      <c r="V1184">
        <f ca="1">Prams!C$5/(U1184-Prams!C$6)</f>
        <v>127.04879009470312</v>
      </c>
      <c r="W1184">
        <f t="shared" ca="1" si="102"/>
        <v>0.99256867261486814</v>
      </c>
    </row>
    <row r="1185" spans="1:23" hidden="1" x14ac:dyDescent="0.55000000000000004">
      <c r="A1185" s="1" t="s">
        <v>2928</v>
      </c>
      <c r="B1185" s="1">
        <v>133</v>
      </c>
      <c r="C1185">
        <v>639.5</v>
      </c>
      <c r="D1185">
        <v>615</v>
      </c>
      <c r="E1185">
        <v>11.5001</v>
      </c>
      <c r="F1185" t="s">
        <v>6</v>
      </c>
      <c r="G1185" s="10" t="s">
        <v>589</v>
      </c>
      <c r="H1185">
        <v>98</v>
      </c>
      <c r="I1185" t="s">
        <v>2927</v>
      </c>
      <c r="J1185">
        <f ca="1">VLOOKUP(G1185,INDIRECT("球速変換!A$1:B$" &amp; Prams!$B$8),2,)</f>
        <v>127</v>
      </c>
      <c r="K1185" t="str">
        <f ca="1">VLOOKUP(I1185,INDIRECT("投手名変換!A$1:B$" &amp; Prams!$B$9),2,)</f>
        <v>KR001</v>
      </c>
      <c r="L1185">
        <f t="shared" si="98"/>
        <v>35</v>
      </c>
      <c r="M1185">
        <f ca="1">(B1185-VLOOKUP(K1185,INDIRECT("投手データ!B1:D"&amp;Prams!$B$1),3,FALSE)*2)</f>
        <v>39</v>
      </c>
      <c r="N1185" t="str">
        <f ca="1">VLOOKUP(F1185,INDIRECT("球種変換表!A$1:B$" &amp; Prams!$B$2),2,)</f>
        <v>フォーク</v>
      </c>
      <c r="O1185">
        <f ca="1">VLOOKUP(N1185,球種情報!A:B,2,FALSE)</f>
        <v>16</v>
      </c>
      <c r="P1185">
        <f ca="1">VLOOKUP(K1185,投手データ!B:AI,output!O1185+6,FALSE)</f>
        <v>4</v>
      </c>
      <c r="R1185">
        <f t="shared" ca="1" si="99"/>
        <v>7.874015748031496E-3</v>
      </c>
      <c r="S1185">
        <f t="shared" si="100"/>
        <v>0.57291666666666663</v>
      </c>
      <c r="T1185">
        <f>Prams!B$5/(S1185-Prams!B$6)</f>
        <v>120.60278960886954</v>
      </c>
      <c r="U1185">
        <f t="shared" ca="1" si="101"/>
        <v>0.63958333333333328</v>
      </c>
      <c r="V1185">
        <f ca="1">Prams!C$5/(U1185-Prams!C$6)</f>
        <v>124.6473335797574</v>
      </c>
      <c r="W1185">
        <f t="shared" ca="1" si="102"/>
        <v>0.98147506755714486</v>
      </c>
    </row>
    <row r="1186" spans="1:23" hidden="1" x14ac:dyDescent="0.55000000000000004">
      <c r="A1186" s="1" t="s">
        <v>2929</v>
      </c>
      <c r="B1186" s="1">
        <v>133</v>
      </c>
      <c r="C1186">
        <v>647.5</v>
      </c>
      <c r="D1186">
        <v>608.5</v>
      </c>
      <c r="E1186">
        <v>10.512</v>
      </c>
      <c r="F1186" t="s">
        <v>6</v>
      </c>
      <c r="G1186" s="10" t="s">
        <v>623</v>
      </c>
      <c r="H1186">
        <v>98</v>
      </c>
      <c r="I1186" t="s">
        <v>2771</v>
      </c>
      <c r="J1186">
        <f ca="1">VLOOKUP(G1186,INDIRECT("球速変換!A$1:B$" &amp; Prams!$B$8),2,)</f>
        <v>120</v>
      </c>
      <c r="K1186" t="str">
        <f ca="1">VLOOKUP(I1186,INDIRECT("投手名変換!A$1:B$" &amp; Prams!$B$9),2,)</f>
        <v>KR001</v>
      </c>
      <c r="L1186">
        <f t="shared" si="98"/>
        <v>35</v>
      </c>
      <c r="M1186">
        <f ca="1">(B1186-VLOOKUP(K1186,INDIRECT("投手データ!B1:D"&amp;Prams!$B$1),3,FALSE)*2)</f>
        <v>39</v>
      </c>
      <c r="N1186" t="str">
        <f ca="1">VLOOKUP(F1186,INDIRECT("球種変換表!A$1:B$" &amp; Prams!$B$2),2,)</f>
        <v>フォーク</v>
      </c>
      <c r="O1186">
        <f ca="1">VLOOKUP(N1186,球種情報!A:B,2,FALSE)</f>
        <v>16</v>
      </c>
      <c r="P1186">
        <f ca="1">VLOOKUP(K1186,投手データ!B:AI,output!O1186+6,FALSE)</f>
        <v>4</v>
      </c>
      <c r="R1186">
        <f t="shared" ca="1" si="99"/>
        <v>8.3333333333333332E-3</v>
      </c>
      <c r="S1186">
        <f t="shared" si="100"/>
        <v>0.57743055555555556</v>
      </c>
      <c r="T1186">
        <f>Prams!B$5/(S1186-Prams!B$6)</f>
        <v>119.55008137854722</v>
      </c>
      <c r="U1186">
        <f t="shared" ca="1" si="101"/>
        <v>0.64409722222222221</v>
      </c>
      <c r="V1186">
        <f ca="1">Prams!C$5/(U1186-Prams!C$6)</f>
        <v>123.52316307671818</v>
      </c>
      <c r="W1186">
        <f t="shared" ca="1" si="102"/>
        <v>1.0293596923059849</v>
      </c>
    </row>
    <row r="1187" spans="1:23" hidden="1" x14ac:dyDescent="0.55000000000000004">
      <c r="A1187" s="1" t="s">
        <v>2930</v>
      </c>
      <c r="B1187" s="1">
        <v>133</v>
      </c>
      <c r="C1187">
        <v>639</v>
      </c>
      <c r="D1187">
        <v>610.5</v>
      </c>
      <c r="E1187">
        <v>11.01146</v>
      </c>
      <c r="F1187" t="s">
        <v>6</v>
      </c>
      <c r="G1187" s="10" t="s">
        <v>626</v>
      </c>
      <c r="H1187">
        <v>98</v>
      </c>
      <c r="I1187" t="s">
        <v>2771</v>
      </c>
      <c r="J1187">
        <f ca="1">VLOOKUP(G1187,INDIRECT("球速変換!A$1:B$" &amp; Prams!$B$8),2,)</f>
        <v>125</v>
      </c>
      <c r="K1187" t="str">
        <f ca="1">VLOOKUP(I1187,INDIRECT("投手名変換!A$1:B$" &amp; Prams!$B$9),2,)</f>
        <v>KR001</v>
      </c>
      <c r="L1187">
        <f t="shared" si="98"/>
        <v>35</v>
      </c>
      <c r="M1187">
        <f ca="1">(B1187-VLOOKUP(K1187,INDIRECT("投手データ!B1:D"&amp;Prams!$B$1),3,FALSE)*2)</f>
        <v>39</v>
      </c>
      <c r="N1187" t="str">
        <f ca="1">VLOOKUP(F1187,INDIRECT("球種変換表!A$1:B$" &amp; Prams!$B$2),2,)</f>
        <v>フォーク</v>
      </c>
      <c r="O1187">
        <f ca="1">VLOOKUP(N1187,球種情報!A:B,2,FALSE)</f>
        <v>16</v>
      </c>
      <c r="P1187">
        <f ca="1">VLOOKUP(K1187,投手データ!B:AI,output!O1187+6,FALSE)</f>
        <v>4</v>
      </c>
      <c r="R1187">
        <f t="shared" ca="1" si="99"/>
        <v>8.0000000000000002E-3</v>
      </c>
      <c r="S1187">
        <f t="shared" si="100"/>
        <v>0.57604166666666667</v>
      </c>
      <c r="T1187">
        <f>Prams!B$5/(S1187-Prams!B$6)</f>
        <v>119.87202895506472</v>
      </c>
      <c r="U1187">
        <f t="shared" ca="1" si="101"/>
        <v>0.64270833333333333</v>
      </c>
      <c r="V1187">
        <f ca="1">Prams!C$5/(U1187-Prams!C$6)</f>
        <v>123.86689596446998</v>
      </c>
      <c r="W1187">
        <f t="shared" ca="1" si="102"/>
        <v>0.99093516771575985</v>
      </c>
    </row>
    <row r="1188" spans="1:23" hidden="1" x14ac:dyDescent="0.55000000000000004">
      <c r="A1188" s="1" t="s">
        <v>2931</v>
      </c>
      <c r="B1188" s="1">
        <v>132</v>
      </c>
      <c r="C1188">
        <v>637.55260999999996</v>
      </c>
      <c r="D1188">
        <v>600.5</v>
      </c>
      <c r="E1188">
        <v>9.5658300000000001</v>
      </c>
      <c r="F1188" t="s">
        <v>6</v>
      </c>
      <c r="G1188" s="10" t="s">
        <v>629</v>
      </c>
      <c r="H1188">
        <v>98</v>
      </c>
      <c r="I1188" t="s">
        <v>2787</v>
      </c>
      <c r="J1188">
        <f ca="1">VLOOKUP(G1188,INDIRECT("球速変換!A$1:B$" &amp; Prams!$B$8),2,)</f>
        <v>121</v>
      </c>
      <c r="K1188" t="str">
        <f ca="1">VLOOKUP(I1188,INDIRECT("投手名変換!A$1:B$" &amp; Prams!$B$9),2,)</f>
        <v>KR001</v>
      </c>
      <c r="L1188">
        <f t="shared" si="98"/>
        <v>34</v>
      </c>
      <c r="M1188">
        <f ca="1">(B1188-VLOOKUP(K1188,INDIRECT("投手データ!B1:D"&amp;Prams!$B$1),3,FALSE)*2)</f>
        <v>38</v>
      </c>
      <c r="N1188" t="str">
        <f ca="1">VLOOKUP(F1188,INDIRECT("球種変換表!A$1:B$" &amp; Prams!$B$2),2,)</f>
        <v>フォーク</v>
      </c>
      <c r="O1188">
        <f ca="1">VLOOKUP(N1188,球種情報!A:B,2,FALSE)</f>
        <v>16</v>
      </c>
      <c r="P1188">
        <f ca="1">VLOOKUP(K1188,投手データ!B:AI,output!O1188+6,FALSE)</f>
        <v>4</v>
      </c>
      <c r="R1188">
        <f t="shared" ca="1" si="99"/>
        <v>8.2644628099173556E-3</v>
      </c>
      <c r="S1188">
        <f t="shared" si="100"/>
        <v>0.56631944444444438</v>
      </c>
      <c r="T1188">
        <f>Prams!B$5/(S1188-Prams!B$6)</f>
        <v>122.17514698051789</v>
      </c>
      <c r="U1188">
        <f t="shared" ca="1" si="101"/>
        <v>0.63298611111111103</v>
      </c>
      <c r="V1188">
        <f ca="1">Prams!C$5/(U1188-Prams!C$6)</f>
        <v>126.32765539593257</v>
      </c>
      <c r="W1188">
        <f t="shared" ca="1" si="102"/>
        <v>1.0440302098837402</v>
      </c>
    </row>
    <row r="1189" spans="1:23" hidden="1" x14ac:dyDescent="0.55000000000000004">
      <c r="A1189" s="1" t="s">
        <v>2932</v>
      </c>
      <c r="B1189" s="1">
        <v>132</v>
      </c>
      <c r="C1189">
        <v>636.52380000000005</v>
      </c>
      <c r="D1189">
        <v>602</v>
      </c>
      <c r="E1189">
        <v>10.52392</v>
      </c>
      <c r="F1189" t="s">
        <v>6</v>
      </c>
      <c r="G1189" s="10" t="s">
        <v>625</v>
      </c>
      <c r="H1189">
        <v>98</v>
      </c>
      <c r="I1189" t="s">
        <v>2771</v>
      </c>
      <c r="J1189">
        <f ca="1">VLOOKUP(G1189,INDIRECT("球速変換!A$1:B$" &amp; Prams!$B$8),2,)</f>
        <v>123</v>
      </c>
      <c r="K1189" t="str">
        <f ca="1">VLOOKUP(I1189,INDIRECT("投手名変換!A$1:B$" &amp; Prams!$B$9),2,)</f>
        <v>KR001</v>
      </c>
      <c r="L1189">
        <f t="shared" si="98"/>
        <v>34</v>
      </c>
      <c r="M1189">
        <f ca="1">(B1189-VLOOKUP(K1189,INDIRECT("投手データ!B1:D"&amp;Prams!$B$1),3,FALSE)*2)</f>
        <v>38</v>
      </c>
      <c r="N1189" t="str">
        <f ca="1">VLOOKUP(F1189,INDIRECT("球種変換表!A$1:B$" &amp; Prams!$B$2),2,)</f>
        <v>フォーク</v>
      </c>
      <c r="O1189">
        <f ca="1">VLOOKUP(N1189,球種情報!A:B,2,FALSE)</f>
        <v>16</v>
      </c>
      <c r="P1189">
        <f ca="1">VLOOKUP(K1189,投手データ!B:AI,output!O1189+6,FALSE)</f>
        <v>4</v>
      </c>
      <c r="R1189">
        <f t="shared" ca="1" si="99"/>
        <v>8.130081300813009E-3</v>
      </c>
      <c r="S1189">
        <f t="shared" si="100"/>
        <v>0.56527777777777777</v>
      </c>
      <c r="T1189">
        <f>Prams!B$5/(S1189-Prams!B$6)</f>
        <v>122.42716951240979</v>
      </c>
      <c r="U1189">
        <f t="shared" ca="1" si="101"/>
        <v>0.63194444444444442</v>
      </c>
      <c r="V1189">
        <f ca="1">Prams!C$5/(U1189-Prams!C$6)</f>
        <v>126.59711951946487</v>
      </c>
      <c r="W1189">
        <f t="shared" ca="1" si="102"/>
        <v>1.0292448741419908</v>
      </c>
    </row>
    <row r="1190" spans="1:23" hidden="1" x14ac:dyDescent="0.55000000000000004">
      <c r="A1190" s="1" t="s">
        <v>2933</v>
      </c>
      <c r="B1190" s="1">
        <v>132</v>
      </c>
      <c r="C1190">
        <v>631.04998999999998</v>
      </c>
      <c r="D1190">
        <v>601.5</v>
      </c>
      <c r="E1190">
        <v>10.06254</v>
      </c>
      <c r="F1190" t="s">
        <v>6</v>
      </c>
      <c r="G1190" s="10" t="s">
        <v>622</v>
      </c>
      <c r="H1190">
        <v>98</v>
      </c>
      <c r="I1190" t="s">
        <v>2769</v>
      </c>
      <c r="J1190">
        <f ca="1">VLOOKUP(G1190,INDIRECT("球速変換!A$1:B$" &amp; Prams!$B$8),2,)</f>
        <v>128</v>
      </c>
      <c r="K1190" t="str">
        <f ca="1">VLOOKUP(I1190,INDIRECT("投手名変換!A$1:B$" &amp; Prams!$B$9),2,)</f>
        <v>KR001</v>
      </c>
      <c r="L1190">
        <f t="shared" si="98"/>
        <v>34</v>
      </c>
      <c r="M1190">
        <f ca="1">(B1190-VLOOKUP(K1190,INDIRECT("投手データ!B1:D"&amp;Prams!$B$1),3,FALSE)*2)</f>
        <v>38</v>
      </c>
      <c r="N1190" t="str">
        <f ca="1">VLOOKUP(F1190,INDIRECT("球種変換表!A$1:B$" &amp; Prams!$B$2),2,)</f>
        <v>フォーク</v>
      </c>
      <c r="O1190">
        <f ca="1">VLOOKUP(N1190,球種情報!A:B,2,FALSE)</f>
        <v>16</v>
      </c>
      <c r="P1190">
        <f ca="1">VLOOKUP(K1190,投手データ!B:AI,output!O1190+6,FALSE)</f>
        <v>4</v>
      </c>
      <c r="R1190">
        <f t="shared" ca="1" si="99"/>
        <v>7.8125E-3</v>
      </c>
      <c r="S1190">
        <f t="shared" si="100"/>
        <v>0.56562500000000004</v>
      </c>
      <c r="T1190">
        <f>Prams!B$5/(S1190-Prams!B$6)</f>
        <v>122.34304655419778</v>
      </c>
      <c r="U1190">
        <f t="shared" ca="1" si="101"/>
        <v>0.6322916666666667</v>
      </c>
      <c r="V1190">
        <f ca="1">Prams!C$5/(U1190-Prams!C$6)</f>
        <v>126.50717050628379</v>
      </c>
      <c r="W1190">
        <f t="shared" ca="1" si="102"/>
        <v>0.98833726958034207</v>
      </c>
    </row>
    <row r="1191" spans="1:23" hidden="1" x14ac:dyDescent="0.55000000000000004">
      <c r="A1191" s="1" t="s">
        <v>2935</v>
      </c>
      <c r="B1191" s="1">
        <v>133</v>
      </c>
      <c r="C1191">
        <v>635.5</v>
      </c>
      <c r="D1191">
        <v>618</v>
      </c>
      <c r="E1191">
        <v>11.5001</v>
      </c>
      <c r="F1191" t="s">
        <v>6</v>
      </c>
      <c r="G1191" s="10" t="s">
        <v>2420</v>
      </c>
      <c r="H1191">
        <v>98</v>
      </c>
      <c r="I1191" t="s">
        <v>2934</v>
      </c>
      <c r="J1191">
        <f ca="1">VLOOKUP(G1191,INDIRECT("球速変換!A$1:B$" &amp; Prams!$B$8),2,)</f>
        <v>127</v>
      </c>
      <c r="K1191" t="str">
        <f ca="1">VLOOKUP(I1191,INDIRECT("投手名変換!A$1:B$" &amp; Prams!$B$9),2,)</f>
        <v>KR001</v>
      </c>
      <c r="L1191">
        <f t="shared" si="98"/>
        <v>35</v>
      </c>
      <c r="M1191">
        <f ca="1">(B1191-VLOOKUP(K1191,INDIRECT("投手データ!B1:D"&amp;Prams!$B$1),3,FALSE)*2)</f>
        <v>39</v>
      </c>
      <c r="N1191" t="str">
        <f ca="1">VLOOKUP(F1191,INDIRECT("球種変換表!A$1:B$" &amp; Prams!$B$2),2,)</f>
        <v>フォーク</v>
      </c>
      <c r="O1191">
        <f ca="1">VLOOKUP(N1191,球種情報!A:B,2,FALSE)</f>
        <v>16</v>
      </c>
      <c r="P1191">
        <f ca="1">VLOOKUP(K1191,投手データ!B:AI,output!O1191+6,FALSE)</f>
        <v>4</v>
      </c>
      <c r="R1191">
        <f t="shared" ca="1" si="99"/>
        <v>7.874015748031496E-3</v>
      </c>
      <c r="S1191">
        <f t="shared" si="100"/>
        <v>0.5708333333333333</v>
      </c>
      <c r="T1191">
        <f>Prams!B$5/(S1191-Prams!B$6)</f>
        <v>121.09493340297729</v>
      </c>
      <c r="U1191">
        <f t="shared" ca="1" si="101"/>
        <v>0.63749999999999996</v>
      </c>
      <c r="V1191">
        <f ca="1">Prams!C$5/(U1191-Prams!C$6)</f>
        <v>125.17311196598503</v>
      </c>
      <c r="W1191">
        <f t="shared" ca="1" si="102"/>
        <v>0.98561505485027578</v>
      </c>
    </row>
    <row r="1192" spans="1:23" hidden="1" x14ac:dyDescent="0.55000000000000004">
      <c r="A1192" s="1" t="s">
        <v>2936</v>
      </c>
      <c r="B1192" s="1">
        <v>132</v>
      </c>
      <c r="C1192">
        <v>631.5</v>
      </c>
      <c r="D1192">
        <v>600.5</v>
      </c>
      <c r="E1192">
        <v>10.512</v>
      </c>
      <c r="F1192" t="s">
        <v>6</v>
      </c>
      <c r="G1192" s="10" t="s">
        <v>629</v>
      </c>
      <c r="H1192">
        <v>98</v>
      </c>
      <c r="I1192" t="s">
        <v>2771</v>
      </c>
      <c r="J1192">
        <f ca="1">VLOOKUP(G1192,INDIRECT("球速変換!A$1:B$" &amp; Prams!$B$8),2,)</f>
        <v>121</v>
      </c>
      <c r="K1192" t="str">
        <f ca="1">VLOOKUP(I1192,INDIRECT("投手名変換!A$1:B$" &amp; Prams!$B$9),2,)</f>
        <v>KR001</v>
      </c>
      <c r="L1192">
        <f t="shared" si="98"/>
        <v>34</v>
      </c>
      <c r="M1192">
        <f ca="1">(B1192-VLOOKUP(K1192,INDIRECT("投手データ!B1:D"&amp;Prams!$B$1),3,FALSE)*2)</f>
        <v>38</v>
      </c>
      <c r="N1192" t="str">
        <f ca="1">VLOOKUP(F1192,INDIRECT("球種変換表!A$1:B$" &amp; Prams!$B$2),2,)</f>
        <v>フォーク</v>
      </c>
      <c r="O1192">
        <f ca="1">VLOOKUP(N1192,球種情報!A:B,2,FALSE)</f>
        <v>16</v>
      </c>
      <c r="P1192">
        <f ca="1">VLOOKUP(K1192,投手データ!B:AI,output!O1192+6,FALSE)</f>
        <v>4</v>
      </c>
      <c r="R1192">
        <f t="shared" ca="1" si="99"/>
        <v>8.2644628099173556E-3</v>
      </c>
      <c r="S1192">
        <f t="shared" si="100"/>
        <v>0.56631944444444438</v>
      </c>
      <c r="T1192">
        <f>Prams!B$5/(S1192-Prams!B$6)</f>
        <v>122.17514698051789</v>
      </c>
      <c r="U1192">
        <f t="shared" ca="1" si="101"/>
        <v>0.63298611111111103</v>
      </c>
      <c r="V1192">
        <f ca="1">Prams!C$5/(U1192-Prams!C$6)</f>
        <v>126.32765539593257</v>
      </c>
      <c r="W1192">
        <f t="shared" ca="1" si="102"/>
        <v>1.0440302098837402</v>
      </c>
    </row>
    <row r="1193" spans="1:23" hidden="1" x14ac:dyDescent="0.55000000000000004">
      <c r="A1193" s="1" t="s">
        <v>2937</v>
      </c>
      <c r="B1193" s="1">
        <v>133</v>
      </c>
      <c r="C1193">
        <v>639.5</v>
      </c>
      <c r="D1193">
        <v>615</v>
      </c>
      <c r="E1193">
        <v>11.5001</v>
      </c>
      <c r="F1193" t="s">
        <v>6</v>
      </c>
      <c r="G1193" s="10" t="s">
        <v>2420</v>
      </c>
      <c r="H1193">
        <v>98</v>
      </c>
      <c r="I1193" t="s">
        <v>2769</v>
      </c>
      <c r="J1193">
        <f ca="1">VLOOKUP(G1193,INDIRECT("球速変換!A$1:B$" &amp; Prams!$B$8),2,)</f>
        <v>127</v>
      </c>
      <c r="K1193" t="str">
        <f ca="1">VLOOKUP(I1193,INDIRECT("投手名変換!A$1:B$" &amp; Prams!$B$9),2,)</f>
        <v>KR001</v>
      </c>
      <c r="L1193">
        <f t="shared" si="98"/>
        <v>35</v>
      </c>
      <c r="M1193">
        <f ca="1">(B1193-VLOOKUP(K1193,INDIRECT("投手データ!B1:D"&amp;Prams!$B$1),3,FALSE)*2)</f>
        <v>39</v>
      </c>
      <c r="N1193" t="str">
        <f ca="1">VLOOKUP(F1193,INDIRECT("球種変換表!A$1:B$" &amp; Prams!$B$2),2,)</f>
        <v>フォーク</v>
      </c>
      <c r="O1193">
        <f ca="1">VLOOKUP(N1193,球種情報!A:B,2,FALSE)</f>
        <v>16</v>
      </c>
      <c r="P1193">
        <f ca="1">VLOOKUP(K1193,投手データ!B:AI,output!O1193+6,FALSE)</f>
        <v>4</v>
      </c>
      <c r="R1193">
        <f t="shared" ca="1" si="99"/>
        <v>7.874015748031496E-3</v>
      </c>
      <c r="S1193">
        <f t="shared" si="100"/>
        <v>0.57291666666666663</v>
      </c>
      <c r="T1193">
        <f>Prams!B$5/(S1193-Prams!B$6)</f>
        <v>120.60278960886954</v>
      </c>
      <c r="U1193">
        <f t="shared" ca="1" si="101"/>
        <v>0.63958333333333328</v>
      </c>
      <c r="V1193">
        <f ca="1">Prams!C$5/(U1193-Prams!C$6)</f>
        <v>124.6473335797574</v>
      </c>
      <c r="W1193">
        <f t="shared" ca="1" si="102"/>
        <v>0.98147506755714486</v>
      </c>
    </row>
    <row r="1194" spans="1:23" hidden="1" x14ac:dyDescent="0.55000000000000004">
      <c r="A1194" s="1" t="s">
        <v>2938</v>
      </c>
      <c r="B1194" s="1">
        <v>133</v>
      </c>
      <c r="C1194">
        <v>641.95001000000002</v>
      </c>
      <c r="D1194">
        <v>613.5</v>
      </c>
      <c r="E1194">
        <v>10.062519999999999</v>
      </c>
      <c r="F1194" t="s">
        <v>6</v>
      </c>
      <c r="G1194" s="10" t="s">
        <v>2419</v>
      </c>
      <c r="H1194">
        <v>98</v>
      </c>
      <c r="I1194" t="s">
        <v>2771</v>
      </c>
      <c r="J1194">
        <f ca="1">VLOOKUP(G1194,INDIRECT("球速変換!A$1:B$" &amp; Prams!$B$8),2,)</f>
        <v>126</v>
      </c>
      <c r="K1194" t="str">
        <f ca="1">VLOOKUP(I1194,INDIRECT("投手名変換!A$1:B$" &amp; Prams!$B$9),2,)</f>
        <v>KR001</v>
      </c>
      <c r="L1194">
        <f t="shared" si="98"/>
        <v>35</v>
      </c>
      <c r="M1194">
        <f ca="1">(B1194-VLOOKUP(K1194,INDIRECT("投手データ!B1:D"&amp;Prams!$B$1),3,FALSE)*2)</f>
        <v>39</v>
      </c>
      <c r="N1194" t="str">
        <f ca="1">VLOOKUP(F1194,INDIRECT("球種変換表!A$1:B$" &amp; Prams!$B$2),2,)</f>
        <v>フォーク</v>
      </c>
      <c r="O1194">
        <f ca="1">VLOOKUP(N1194,球種情報!A:B,2,FALSE)</f>
        <v>16</v>
      </c>
      <c r="P1194">
        <f ca="1">VLOOKUP(K1194,投手データ!B:AI,output!O1194+6,FALSE)</f>
        <v>4</v>
      </c>
      <c r="R1194">
        <f t="shared" ca="1" si="99"/>
        <v>7.9365079365079361E-3</v>
      </c>
      <c r="S1194">
        <f t="shared" si="100"/>
        <v>0.57395833333333335</v>
      </c>
      <c r="T1194">
        <f>Prams!B$5/(S1194-Prams!B$6)</f>
        <v>120.35821476662503</v>
      </c>
      <c r="U1194">
        <f t="shared" ca="1" si="101"/>
        <v>0.640625</v>
      </c>
      <c r="V1194">
        <f ca="1">Prams!C$5/(U1194-Prams!C$6)</f>
        <v>124.38609727880892</v>
      </c>
      <c r="W1194">
        <f t="shared" ca="1" si="102"/>
        <v>0.98719124824451521</v>
      </c>
    </row>
    <row r="1195" spans="1:23" hidden="1" x14ac:dyDescent="0.55000000000000004">
      <c r="A1195" s="1" t="s">
        <v>2939</v>
      </c>
      <c r="B1195" s="1">
        <v>133</v>
      </c>
      <c r="C1195">
        <v>634.97729000000004</v>
      </c>
      <c r="D1195">
        <v>612</v>
      </c>
      <c r="E1195">
        <v>11.02281</v>
      </c>
      <c r="F1195" t="s">
        <v>6</v>
      </c>
      <c r="G1195" s="10" t="s">
        <v>2602</v>
      </c>
      <c r="H1195">
        <v>98</v>
      </c>
      <c r="I1195" t="s">
        <v>2769</v>
      </c>
      <c r="J1195">
        <f ca="1">VLOOKUP(G1195,INDIRECT("球速変換!A$1:B$" &amp; Prams!$B$8),2,)</f>
        <v>126</v>
      </c>
      <c r="K1195" t="str">
        <f ca="1">VLOOKUP(I1195,INDIRECT("投手名変換!A$1:B$" &amp; Prams!$B$9),2,)</f>
        <v>KR001</v>
      </c>
      <c r="L1195">
        <f t="shared" si="98"/>
        <v>35</v>
      </c>
      <c r="M1195">
        <f ca="1">(B1195-VLOOKUP(K1195,INDIRECT("投手データ!B1:D"&amp;Prams!$B$1),3,FALSE)*2)</f>
        <v>39</v>
      </c>
      <c r="N1195" t="str">
        <f ca="1">VLOOKUP(F1195,INDIRECT("球種変換表!A$1:B$" &amp; Prams!$B$2),2,)</f>
        <v>フォーク</v>
      </c>
      <c r="O1195">
        <f ca="1">VLOOKUP(N1195,球種情報!A:B,2,FALSE)</f>
        <v>16</v>
      </c>
      <c r="P1195">
        <f ca="1">VLOOKUP(K1195,投手データ!B:AI,output!O1195+6,FALSE)</f>
        <v>4</v>
      </c>
      <c r="R1195">
        <f t="shared" ca="1" si="99"/>
        <v>7.9365079365079361E-3</v>
      </c>
      <c r="S1195">
        <f t="shared" si="100"/>
        <v>0.57499999999999996</v>
      </c>
      <c r="T1195">
        <f>Prams!B$5/(S1195-Prams!B$6)</f>
        <v>120.11462988148438</v>
      </c>
      <c r="U1195">
        <f t="shared" ca="1" si="101"/>
        <v>0.64166666666666672</v>
      </c>
      <c r="V1195">
        <f ca="1">Prams!C$5/(U1195-Prams!C$6)</f>
        <v>124.12595368759202</v>
      </c>
      <c r="W1195">
        <f t="shared" ca="1" si="102"/>
        <v>0.98512661656819056</v>
      </c>
    </row>
    <row r="1196" spans="1:23" hidden="1" x14ac:dyDescent="0.55000000000000004">
      <c r="A1196" s="1" t="s">
        <v>2940</v>
      </c>
      <c r="B1196" s="1">
        <v>133</v>
      </c>
      <c r="C1196">
        <v>643</v>
      </c>
      <c r="D1196">
        <v>617</v>
      </c>
      <c r="E1196">
        <v>11.04546</v>
      </c>
      <c r="F1196" t="s">
        <v>6</v>
      </c>
      <c r="G1196" s="10" t="s">
        <v>629</v>
      </c>
      <c r="H1196">
        <v>98</v>
      </c>
      <c r="I1196" t="s">
        <v>2767</v>
      </c>
      <c r="J1196">
        <f ca="1">VLOOKUP(G1196,INDIRECT("球速変換!A$1:B$" &amp; Prams!$B$8),2,)</f>
        <v>121</v>
      </c>
      <c r="K1196" t="str">
        <f ca="1">VLOOKUP(I1196,INDIRECT("投手名変換!A$1:B$" &amp; Prams!$B$9),2,)</f>
        <v>KR001</v>
      </c>
      <c r="L1196">
        <f t="shared" si="98"/>
        <v>35</v>
      </c>
      <c r="M1196">
        <f ca="1">(B1196-VLOOKUP(K1196,INDIRECT("投手データ!B1:D"&amp;Prams!$B$1),3,FALSE)*2)</f>
        <v>39</v>
      </c>
      <c r="N1196" t="str">
        <f ca="1">VLOOKUP(F1196,INDIRECT("球種変換表!A$1:B$" &amp; Prams!$B$2),2,)</f>
        <v>フォーク</v>
      </c>
      <c r="O1196">
        <f ca="1">VLOOKUP(N1196,球種情報!A:B,2,FALSE)</f>
        <v>16</v>
      </c>
      <c r="P1196">
        <f ca="1">VLOOKUP(K1196,投手データ!B:AI,output!O1196+6,FALSE)</f>
        <v>4</v>
      </c>
      <c r="R1196">
        <f t="shared" ca="1" si="99"/>
        <v>8.2644628099173556E-3</v>
      </c>
      <c r="S1196">
        <f t="shared" si="100"/>
        <v>0.57152777777777775</v>
      </c>
      <c r="T1196">
        <f>Prams!B$5/(S1196-Prams!B$6)</f>
        <v>120.9304397909173</v>
      </c>
      <c r="U1196">
        <f t="shared" ca="1" si="101"/>
        <v>0.6381944444444444</v>
      </c>
      <c r="V1196">
        <f ca="1">Prams!C$5/(U1196-Prams!C$6)</f>
        <v>124.9973603513541</v>
      </c>
      <c r="W1196">
        <f t="shared" ca="1" si="102"/>
        <v>1.0330360359616042</v>
      </c>
    </row>
    <row r="1197" spans="1:23" hidden="1" x14ac:dyDescent="0.55000000000000004">
      <c r="A1197" s="1" t="s">
        <v>2941</v>
      </c>
      <c r="B1197" s="1">
        <v>132</v>
      </c>
      <c r="C1197">
        <v>639.5</v>
      </c>
      <c r="D1197">
        <v>606</v>
      </c>
      <c r="E1197">
        <v>10.547610000000001</v>
      </c>
      <c r="F1197" t="s">
        <v>6</v>
      </c>
      <c r="G1197" s="10" t="s">
        <v>2418</v>
      </c>
      <c r="H1197">
        <v>98</v>
      </c>
      <c r="I1197" t="s">
        <v>2771</v>
      </c>
      <c r="J1197">
        <f ca="1">VLOOKUP(G1197,INDIRECT("球速変換!A$1:B$" &amp; Prams!$B$8),2,)</f>
        <v>129</v>
      </c>
      <c r="K1197" t="str">
        <f ca="1">VLOOKUP(I1197,INDIRECT("投手名変換!A$1:B$" &amp; Prams!$B$9),2,)</f>
        <v>KR001</v>
      </c>
      <c r="L1197">
        <f t="shared" ref="L1197:L1211" si="103">B1197-H1197</f>
        <v>34</v>
      </c>
      <c r="M1197">
        <f ca="1">(B1197-VLOOKUP(K1197,INDIRECT("投手データ!B1:D"&amp;Prams!$B$1),3,FALSE)*2)</f>
        <v>38</v>
      </c>
      <c r="N1197" t="str">
        <f ca="1">VLOOKUP(F1197,INDIRECT("球種変換表!A$1:B$" &amp; Prams!$B$2),2,)</f>
        <v>フォーク</v>
      </c>
      <c r="O1197">
        <f ca="1">VLOOKUP(N1197,球種情報!A:B,2,FALSE)</f>
        <v>16</v>
      </c>
      <c r="P1197">
        <f ca="1">VLOOKUP(K1197,投手データ!B:AI,output!O1197+6,FALSE)</f>
        <v>4</v>
      </c>
      <c r="R1197">
        <f t="shared" ref="R1197:R1211" ca="1" si="104">1/J1197</f>
        <v>7.7519379844961239E-3</v>
      </c>
      <c r="S1197">
        <f t="shared" ref="S1197:S1211" si="105">(L1197-(D1197-600)/24)*2/120</f>
        <v>0.5625</v>
      </c>
      <c r="T1197">
        <f>Prams!B$5/(S1197-Prams!B$6)</f>
        <v>123.10434090003983</v>
      </c>
      <c r="U1197">
        <f t="shared" ref="U1197:U1211" ca="1" si="106">(M1197-(D1197-600)/24)*2/120</f>
        <v>0.62916666666666665</v>
      </c>
      <c r="V1197">
        <f ca="1">Prams!C$5/(U1197-Prams!C$6)</f>
        <v>127.32134276103523</v>
      </c>
      <c r="W1197">
        <f t="shared" ref="W1197:W1211" ca="1" si="107">V1197/J1197</f>
        <v>0.98698715318631958</v>
      </c>
    </row>
    <row r="1198" spans="1:23" hidden="1" x14ac:dyDescent="0.55000000000000004">
      <c r="A1198" s="1" t="s">
        <v>2942</v>
      </c>
      <c r="B1198" s="1">
        <v>132</v>
      </c>
      <c r="C1198">
        <v>634.45239000000004</v>
      </c>
      <c r="D1198">
        <v>605.5</v>
      </c>
      <c r="E1198">
        <v>10.55955</v>
      </c>
      <c r="F1198" t="s">
        <v>1152</v>
      </c>
      <c r="G1198" s="10" t="s">
        <v>2418</v>
      </c>
      <c r="H1198">
        <v>98</v>
      </c>
      <c r="I1198" t="s">
        <v>2769</v>
      </c>
      <c r="J1198">
        <f ca="1">VLOOKUP(G1198,INDIRECT("球速変換!A$1:B$" &amp; Prams!$B$8),2,)</f>
        <v>129</v>
      </c>
      <c r="K1198" t="str">
        <f ca="1">VLOOKUP(I1198,INDIRECT("投手名変換!A$1:B$" &amp; Prams!$B$9),2,)</f>
        <v>KR001</v>
      </c>
      <c r="L1198">
        <f t="shared" si="103"/>
        <v>34</v>
      </c>
      <c r="M1198">
        <f ca="1">(B1198-VLOOKUP(K1198,INDIRECT("投手データ!B1:D"&amp;Prams!$B$1),3,FALSE)*2)</f>
        <v>38</v>
      </c>
      <c r="N1198" t="str">
        <f ca="1">VLOOKUP(F1198,INDIRECT("球種変換表!A$1:B$" &amp; Prams!$B$2),2,)</f>
        <v>フォーク</v>
      </c>
      <c r="O1198">
        <f ca="1">VLOOKUP(N1198,球種情報!A:B,2,FALSE)</f>
        <v>16</v>
      </c>
      <c r="P1198">
        <f ca="1">VLOOKUP(K1198,投手データ!B:AI,output!O1198+6,FALSE)</f>
        <v>4</v>
      </c>
      <c r="R1198">
        <f t="shared" ca="1" si="104"/>
        <v>7.7519379844961239E-3</v>
      </c>
      <c r="S1198">
        <f t="shared" si="105"/>
        <v>0.56284722222222228</v>
      </c>
      <c r="T1198">
        <f>Prams!B$5/(S1198-Prams!B$6)</f>
        <v>123.01928508653138</v>
      </c>
      <c r="U1198">
        <f t="shared" ca="1" si="106"/>
        <v>0.62951388888888893</v>
      </c>
      <c r="V1198">
        <f ca="1">Prams!C$5/(U1198-Prams!C$6)</f>
        <v>127.23036203259608</v>
      </c>
      <c r="W1198">
        <f t="shared" ca="1" si="107"/>
        <v>0.98628187622167496</v>
      </c>
    </row>
    <row r="1199" spans="1:23" hidden="1" x14ac:dyDescent="0.55000000000000004">
      <c r="A1199" s="1" t="s">
        <v>2943</v>
      </c>
      <c r="B1199" s="1">
        <v>133</v>
      </c>
      <c r="C1199">
        <v>632.5</v>
      </c>
      <c r="D1199">
        <v>609</v>
      </c>
      <c r="E1199">
        <v>10.547610000000001</v>
      </c>
      <c r="F1199" t="s">
        <v>6</v>
      </c>
      <c r="G1199" s="10" t="s">
        <v>625</v>
      </c>
      <c r="H1199">
        <v>98</v>
      </c>
      <c r="I1199" t="s">
        <v>2787</v>
      </c>
      <c r="J1199">
        <f ca="1">VLOOKUP(G1199,INDIRECT("球速変換!A$1:B$" &amp; Prams!$B$8),2,)</f>
        <v>123</v>
      </c>
      <c r="K1199" t="str">
        <f ca="1">VLOOKUP(I1199,INDIRECT("投手名変換!A$1:B$" &amp; Prams!$B$9),2,)</f>
        <v>KR001</v>
      </c>
      <c r="L1199">
        <f t="shared" si="103"/>
        <v>35</v>
      </c>
      <c r="M1199">
        <f ca="1">(B1199-VLOOKUP(K1199,INDIRECT("投手データ!B1:D"&amp;Prams!$B$1),3,FALSE)*2)</f>
        <v>39</v>
      </c>
      <c r="N1199" t="str">
        <f ca="1">VLOOKUP(F1199,INDIRECT("球種変換表!A$1:B$" &amp; Prams!$B$2),2,)</f>
        <v>フォーク</v>
      </c>
      <c r="O1199">
        <f ca="1">VLOOKUP(N1199,球種情報!A:B,2,FALSE)</f>
        <v>16</v>
      </c>
      <c r="P1199">
        <f ca="1">VLOOKUP(K1199,投手データ!B:AI,output!O1199+6,FALSE)</f>
        <v>4</v>
      </c>
      <c r="R1199">
        <f t="shared" ca="1" si="104"/>
        <v>8.130081300813009E-3</v>
      </c>
      <c r="S1199">
        <f t="shared" si="105"/>
        <v>0.57708333333333328</v>
      </c>
      <c r="T1199">
        <f>Prams!B$5/(S1199-Prams!B$6)</f>
        <v>119.63040603734642</v>
      </c>
      <c r="U1199">
        <f t="shared" ca="1" si="106"/>
        <v>0.64375000000000004</v>
      </c>
      <c r="V1199">
        <f ca="1">Prams!C$5/(U1199-Prams!C$6)</f>
        <v>123.60891732480253</v>
      </c>
      <c r="W1199">
        <f t="shared" ca="1" si="107"/>
        <v>1.0049505473561182</v>
      </c>
    </row>
    <row r="1200" spans="1:23" hidden="1" x14ac:dyDescent="0.55000000000000004">
      <c r="A1200" s="1" t="s">
        <v>2945</v>
      </c>
      <c r="B1200" s="1">
        <v>133</v>
      </c>
      <c r="C1200">
        <v>640</v>
      </c>
      <c r="D1200">
        <v>614.5</v>
      </c>
      <c r="E1200">
        <v>11.01146</v>
      </c>
      <c r="F1200" t="s">
        <v>6</v>
      </c>
      <c r="G1200" s="10" t="s">
        <v>2944</v>
      </c>
      <c r="H1200">
        <v>98</v>
      </c>
      <c r="I1200" t="s">
        <v>2771</v>
      </c>
      <c r="J1200">
        <f ca="1">VLOOKUP(G1200,INDIRECT("球速変換!A$1:B$" &amp; Prams!$B$8),2,)</f>
        <v>126</v>
      </c>
      <c r="K1200" t="str">
        <f ca="1">VLOOKUP(I1200,INDIRECT("投手名変換!A$1:B$" &amp; Prams!$B$9),2,)</f>
        <v>KR001</v>
      </c>
      <c r="L1200">
        <f t="shared" si="103"/>
        <v>35</v>
      </c>
      <c r="M1200">
        <f ca="1">(B1200-VLOOKUP(K1200,INDIRECT("投手データ!B1:D"&amp;Prams!$B$1),3,FALSE)*2)</f>
        <v>39</v>
      </c>
      <c r="N1200" t="str">
        <f ca="1">VLOOKUP(F1200,INDIRECT("球種変換表!A$1:B$" &amp; Prams!$B$2),2,)</f>
        <v>フォーク</v>
      </c>
      <c r="O1200">
        <f ca="1">VLOOKUP(N1200,球種情報!A:B,2,FALSE)</f>
        <v>16</v>
      </c>
      <c r="P1200">
        <f ca="1">VLOOKUP(K1200,投手データ!B:AI,output!O1200+6,FALSE)</f>
        <v>4</v>
      </c>
      <c r="R1200">
        <f t="shared" ca="1" si="104"/>
        <v>7.9365079365079361E-3</v>
      </c>
      <c r="S1200">
        <f t="shared" si="105"/>
        <v>0.57326388888888891</v>
      </c>
      <c r="T1200">
        <f>Prams!B$5/(S1200-Prams!B$6)</f>
        <v>120.52115429394532</v>
      </c>
      <c r="U1200">
        <f t="shared" ca="1" si="106"/>
        <v>0.63993055555555556</v>
      </c>
      <c r="V1200">
        <f ca="1">Prams!C$5/(U1200-Prams!C$6)</f>
        <v>124.56013297589533</v>
      </c>
      <c r="W1200">
        <f t="shared" ca="1" si="107"/>
        <v>0.9885724839356772</v>
      </c>
    </row>
    <row r="1201" spans="1:23" hidden="1" x14ac:dyDescent="0.55000000000000004">
      <c r="A1201" s="1" t="s">
        <v>2947</v>
      </c>
      <c r="B1201" s="1">
        <v>133</v>
      </c>
      <c r="C1201">
        <v>631.5</v>
      </c>
      <c r="D1201">
        <v>617</v>
      </c>
      <c r="E1201">
        <v>10.547610000000001</v>
      </c>
      <c r="F1201" t="s">
        <v>6</v>
      </c>
      <c r="G1201" s="10" t="s">
        <v>2946</v>
      </c>
      <c r="H1201">
        <v>98</v>
      </c>
      <c r="I1201" t="s">
        <v>2782</v>
      </c>
      <c r="J1201">
        <f ca="1">VLOOKUP(G1201,INDIRECT("球速変換!A$1:B$" &amp; Prams!$B$8),2,)</f>
        <v>127</v>
      </c>
      <c r="K1201" t="str">
        <f ca="1">VLOOKUP(I1201,INDIRECT("投手名変換!A$1:B$" &amp; Prams!$B$9),2,)</f>
        <v>KR001</v>
      </c>
      <c r="L1201">
        <f t="shared" si="103"/>
        <v>35</v>
      </c>
      <c r="M1201">
        <f ca="1">(B1201-VLOOKUP(K1201,INDIRECT("投手データ!B1:D"&amp;Prams!$B$1),3,FALSE)*2)</f>
        <v>39</v>
      </c>
      <c r="N1201" t="str">
        <f ca="1">VLOOKUP(F1201,INDIRECT("球種変換表!A$1:B$" &amp; Prams!$B$2),2,)</f>
        <v>フォーク</v>
      </c>
      <c r="O1201">
        <f ca="1">VLOOKUP(N1201,球種情報!A:B,2,FALSE)</f>
        <v>16</v>
      </c>
      <c r="P1201">
        <f ca="1">VLOOKUP(K1201,投手データ!B:AI,output!O1201+6,FALSE)</f>
        <v>4</v>
      </c>
      <c r="R1201">
        <f t="shared" ca="1" si="104"/>
        <v>7.874015748031496E-3</v>
      </c>
      <c r="S1201">
        <f t="shared" si="105"/>
        <v>0.57152777777777775</v>
      </c>
      <c r="T1201">
        <f>Prams!B$5/(S1201-Prams!B$6)</f>
        <v>120.9304397909173</v>
      </c>
      <c r="U1201">
        <f t="shared" ca="1" si="106"/>
        <v>0.6381944444444444</v>
      </c>
      <c r="V1201">
        <f ca="1">Prams!C$5/(U1201-Prams!C$6)</f>
        <v>124.9973603513541</v>
      </c>
      <c r="W1201">
        <f t="shared" ca="1" si="107"/>
        <v>0.98423118386892994</v>
      </c>
    </row>
    <row r="1202" spans="1:23" hidden="1" x14ac:dyDescent="0.55000000000000004">
      <c r="A1202" s="1" t="s">
        <v>2949</v>
      </c>
      <c r="B1202" s="1">
        <v>133</v>
      </c>
      <c r="C1202">
        <v>647.5</v>
      </c>
      <c r="D1202">
        <v>612</v>
      </c>
      <c r="E1202">
        <v>10.547610000000001</v>
      </c>
      <c r="F1202" t="s">
        <v>6</v>
      </c>
      <c r="G1202" s="10" t="s">
        <v>2419</v>
      </c>
      <c r="H1202">
        <v>98</v>
      </c>
      <c r="I1202" t="s">
        <v>2948</v>
      </c>
      <c r="J1202">
        <f ca="1">VLOOKUP(G1202,INDIRECT("球速変換!A$1:B$" &amp; Prams!$B$8),2,)</f>
        <v>126</v>
      </c>
      <c r="K1202" t="str">
        <f ca="1">VLOOKUP(I1202,INDIRECT("投手名変換!A$1:B$" &amp; Prams!$B$9),2,)</f>
        <v>KR001</v>
      </c>
      <c r="L1202">
        <f t="shared" si="103"/>
        <v>35</v>
      </c>
      <c r="M1202">
        <f ca="1">(B1202-VLOOKUP(K1202,INDIRECT("投手データ!B1:D"&amp;Prams!$B$1),3,FALSE)*2)</f>
        <v>39</v>
      </c>
      <c r="N1202" t="str">
        <f ca="1">VLOOKUP(F1202,INDIRECT("球種変換表!A$1:B$" &amp; Prams!$B$2),2,)</f>
        <v>フォーク</v>
      </c>
      <c r="O1202">
        <f ca="1">VLOOKUP(N1202,球種情報!A:B,2,FALSE)</f>
        <v>16</v>
      </c>
      <c r="P1202">
        <f ca="1">VLOOKUP(K1202,投手データ!B:AI,output!O1202+6,FALSE)</f>
        <v>4</v>
      </c>
      <c r="R1202">
        <f t="shared" ca="1" si="104"/>
        <v>7.9365079365079361E-3</v>
      </c>
      <c r="S1202">
        <f t="shared" si="105"/>
        <v>0.57499999999999996</v>
      </c>
      <c r="T1202">
        <f>Prams!B$5/(S1202-Prams!B$6)</f>
        <v>120.11462988148438</v>
      </c>
      <c r="U1202">
        <f t="shared" ca="1" si="106"/>
        <v>0.64166666666666672</v>
      </c>
      <c r="V1202">
        <f ca="1">Prams!C$5/(U1202-Prams!C$6)</f>
        <v>124.12595368759202</v>
      </c>
      <c r="W1202">
        <f t="shared" ca="1" si="107"/>
        <v>0.98512661656819056</v>
      </c>
    </row>
    <row r="1203" spans="1:23" hidden="1" x14ac:dyDescent="0.55000000000000004">
      <c r="A1203" s="1" t="s">
        <v>2951</v>
      </c>
      <c r="B1203" s="1">
        <v>133</v>
      </c>
      <c r="C1203">
        <v>637.5</v>
      </c>
      <c r="D1203">
        <v>614</v>
      </c>
      <c r="E1203">
        <v>10.547610000000001</v>
      </c>
      <c r="F1203" t="s">
        <v>6</v>
      </c>
      <c r="G1203" s="10" t="s">
        <v>2950</v>
      </c>
      <c r="H1203">
        <v>98</v>
      </c>
      <c r="I1203" t="s">
        <v>2769</v>
      </c>
      <c r="J1203">
        <f ca="1">VLOOKUP(G1203,INDIRECT("球速変換!A$1:B$" &amp; Prams!$B$8),2,)</f>
        <v>126</v>
      </c>
      <c r="K1203" t="str">
        <f ca="1">VLOOKUP(I1203,INDIRECT("投手名変換!A$1:B$" &amp; Prams!$B$9),2,)</f>
        <v>KR001</v>
      </c>
      <c r="L1203">
        <f t="shared" si="103"/>
        <v>35</v>
      </c>
      <c r="M1203">
        <f ca="1">(B1203-VLOOKUP(K1203,INDIRECT("投手データ!B1:D"&amp;Prams!$B$1),3,FALSE)*2)</f>
        <v>39</v>
      </c>
      <c r="N1203" t="str">
        <f ca="1">VLOOKUP(F1203,INDIRECT("球種変換表!A$1:B$" &amp; Prams!$B$2),2,)</f>
        <v>フォーク</v>
      </c>
      <c r="O1203">
        <f ca="1">VLOOKUP(N1203,球種情報!A:B,2,FALSE)</f>
        <v>16</v>
      </c>
      <c r="P1203">
        <f ca="1">VLOOKUP(K1203,投手データ!B:AI,output!O1203+6,FALSE)</f>
        <v>4</v>
      </c>
      <c r="R1203">
        <f t="shared" ca="1" si="104"/>
        <v>7.9365079365079361E-3</v>
      </c>
      <c r="S1203">
        <f t="shared" si="105"/>
        <v>0.57361111111111107</v>
      </c>
      <c r="T1203">
        <f>Prams!B$5/(S1203-Prams!B$6)</f>
        <v>120.43962942118708</v>
      </c>
      <c r="U1203">
        <f t="shared" ca="1" si="106"/>
        <v>0.64027777777777772</v>
      </c>
      <c r="V1203">
        <f ca="1">Prams!C$5/(U1203-Prams!C$6)</f>
        <v>124.47305429408739</v>
      </c>
      <c r="W1203">
        <f t="shared" ca="1" si="107"/>
        <v>0.98788138328640784</v>
      </c>
    </row>
    <row r="1204" spans="1:23" hidden="1" x14ac:dyDescent="0.55000000000000004">
      <c r="A1204" s="1" t="s">
        <v>2952</v>
      </c>
      <c r="B1204" s="1">
        <v>133</v>
      </c>
      <c r="C1204">
        <v>642.5</v>
      </c>
      <c r="D1204">
        <v>610</v>
      </c>
      <c r="E1204">
        <v>10.547610000000001</v>
      </c>
      <c r="F1204" t="s">
        <v>6</v>
      </c>
      <c r="G1204" s="10" t="s">
        <v>629</v>
      </c>
      <c r="H1204">
        <v>98</v>
      </c>
      <c r="I1204" t="s">
        <v>2778</v>
      </c>
      <c r="J1204">
        <f ca="1">VLOOKUP(G1204,INDIRECT("球速変換!A$1:B$" &amp; Prams!$B$8),2,)</f>
        <v>121</v>
      </c>
      <c r="K1204" t="str">
        <f ca="1">VLOOKUP(I1204,INDIRECT("投手名変換!A$1:B$" &amp; Prams!$B$9),2,)</f>
        <v>KR001</v>
      </c>
      <c r="L1204">
        <f t="shared" si="103"/>
        <v>35</v>
      </c>
      <c r="M1204">
        <f ca="1">(B1204-VLOOKUP(K1204,INDIRECT("投手データ!B1:D"&amp;Prams!$B$1),3,FALSE)*2)</f>
        <v>39</v>
      </c>
      <c r="N1204" t="str">
        <f ca="1">VLOOKUP(F1204,INDIRECT("球種変換表!A$1:B$" &amp; Prams!$B$2),2,)</f>
        <v>フォーク</v>
      </c>
      <c r="O1204">
        <f ca="1">VLOOKUP(N1204,球種情報!A:B,2,FALSE)</f>
        <v>16</v>
      </c>
      <c r="P1204">
        <f ca="1">VLOOKUP(K1204,投手データ!B:AI,output!O1204+6,FALSE)</f>
        <v>4</v>
      </c>
      <c r="R1204">
        <f t="shared" ca="1" si="104"/>
        <v>8.2644628099173556E-3</v>
      </c>
      <c r="S1204">
        <f t="shared" si="105"/>
        <v>0.57638888888888895</v>
      </c>
      <c r="T1204">
        <f>Prams!B$5/(S1204-Prams!B$6)</f>
        <v>119.79137960730279</v>
      </c>
      <c r="U1204">
        <f t="shared" ca="1" si="106"/>
        <v>0.6430555555555556</v>
      </c>
      <c r="V1204">
        <f ca="1">Prams!C$5/(U1204-Prams!C$6)</f>
        <v>123.7807835198327</v>
      </c>
      <c r="W1204">
        <f t="shared" ca="1" si="107"/>
        <v>1.0229816819820885</v>
      </c>
    </row>
    <row r="1205" spans="1:23" hidden="1" x14ac:dyDescent="0.55000000000000004">
      <c r="A1205" s="1" t="s">
        <v>2953</v>
      </c>
      <c r="B1205" s="1">
        <v>133</v>
      </c>
      <c r="C1205">
        <v>634.45239000000004</v>
      </c>
      <c r="D1205">
        <v>613.5</v>
      </c>
      <c r="E1205">
        <v>10.55955</v>
      </c>
      <c r="F1205" t="s">
        <v>6</v>
      </c>
      <c r="G1205" s="10" t="s">
        <v>2419</v>
      </c>
      <c r="H1205">
        <v>98</v>
      </c>
      <c r="I1205" t="s">
        <v>2769</v>
      </c>
      <c r="J1205">
        <f ca="1">VLOOKUP(G1205,INDIRECT("球速変換!A$1:B$" &amp; Prams!$B$8),2,)</f>
        <v>126</v>
      </c>
      <c r="K1205" t="str">
        <f ca="1">VLOOKUP(I1205,INDIRECT("投手名変換!A$1:B$" &amp; Prams!$B$9),2,)</f>
        <v>KR001</v>
      </c>
      <c r="L1205">
        <f t="shared" si="103"/>
        <v>35</v>
      </c>
      <c r="M1205">
        <f ca="1">(B1205-VLOOKUP(K1205,INDIRECT("投手データ!B1:D"&amp;Prams!$B$1),3,FALSE)*2)</f>
        <v>39</v>
      </c>
      <c r="N1205" t="str">
        <f ca="1">VLOOKUP(F1205,INDIRECT("球種変換表!A$1:B$" &amp; Prams!$B$2),2,)</f>
        <v>フォーク</v>
      </c>
      <c r="O1205">
        <f ca="1">VLOOKUP(N1205,球種情報!A:B,2,FALSE)</f>
        <v>16</v>
      </c>
      <c r="P1205">
        <f ca="1">VLOOKUP(K1205,投手データ!B:AI,output!O1205+6,FALSE)</f>
        <v>4</v>
      </c>
      <c r="R1205">
        <f t="shared" ca="1" si="104"/>
        <v>7.9365079365079361E-3</v>
      </c>
      <c r="S1205">
        <f t="shared" si="105"/>
        <v>0.57395833333333335</v>
      </c>
      <c r="T1205">
        <f>Prams!B$5/(S1205-Prams!B$6)</f>
        <v>120.35821476662503</v>
      </c>
      <c r="U1205">
        <f t="shared" ca="1" si="106"/>
        <v>0.640625</v>
      </c>
      <c r="V1205">
        <f ca="1">Prams!C$5/(U1205-Prams!C$6)</f>
        <v>124.38609727880892</v>
      </c>
      <c r="W1205">
        <f t="shared" ca="1" si="107"/>
        <v>0.98719124824451521</v>
      </c>
    </row>
    <row r="1206" spans="1:23" hidden="1" x14ac:dyDescent="0.55000000000000004">
      <c r="A1206" s="1" t="s">
        <v>2954</v>
      </c>
      <c r="B1206" s="1">
        <v>132</v>
      </c>
      <c r="C1206">
        <v>635</v>
      </c>
      <c r="D1206">
        <v>602</v>
      </c>
      <c r="E1206">
        <v>11.0001</v>
      </c>
      <c r="F1206" t="s">
        <v>6</v>
      </c>
      <c r="G1206" s="10" t="s">
        <v>591</v>
      </c>
      <c r="H1206">
        <v>98</v>
      </c>
      <c r="I1206" t="s">
        <v>2771</v>
      </c>
      <c r="J1206">
        <f ca="1">VLOOKUP(G1206,INDIRECT("球速変換!A$1:B$" &amp; Prams!$B$8),2,)</f>
        <v>128</v>
      </c>
      <c r="K1206" t="str">
        <f ca="1">VLOOKUP(I1206,INDIRECT("投手名変換!A$1:B$" &amp; Prams!$B$9),2,)</f>
        <v>KR001</v>
      </c>
      <c r="L1206">
        <f t="shared" si="103"/>
        <v>34</v>
      </c>
      <c r="M1206">
        <f ca="1">(B1206-VLOOKUP(K1206,INDIRECT("投手データ!B1:D"&amp;Prams!$B$1),3,FALSE)*2)</f>
        <v>38</v>
      </c>
      <c r="N1206" t="str">
        <f ca="1">VLOOKUP(F1206,INDIRECT("球種変換表!A$1:B$" &amp; Prams!$B$2),2,)</f>
        <v>フォーク</v>
      </c>
      <c r="O1206">
        <f ca="1">VLOOKUP(N1206,球種情報!A:B,2,FALSE)</f>
        <v>16</v>
      </c>
      <c r="P1206">
        <f ca="1">VLOOKUP(K1206,投手データ!B:AI,output!O1206+6,FALSE)</f>
        <v>4</v>
      </c>
      <c r="R1206">
        <f t="shared" ca="1" si="104"/>
        <v>7.8125E-3</v>
      </c>
      <c r="S1206">
        <f t="shared" si="105"/>
        <v>0.56527777777777777</v>
      </c>
      <c r="T1206">
        <f>Prams!B$5/(S1206-Prams!B$6)</f>
        <v>122.42716951240979</v>
      </c>
      <c r="U1206">
        <f t="shared" ca="1" si="106"/>
        <v>0.63194444444444442</v>
      </c>
      <c r="V1206">
        <f ca="1">Prams!C$5/(U1206-Prams!C$6)</f>
        <v>126.59711951946487</v>
      </c>
      <c r="W1206">
        <f t="shared" ca="1" si="107"/>
        <v>0.98903999624581929</v>
      </c>
    </row>
    <row r="1207" spans="1:23" hidden="1" x14ac:dyDescent="0.55000000000000004">
      <c r="A1207" s="1" t="s">
        <v>2955</v>
      </c>
      <c r="B1207" s="1">
        <v>133</v>
      </c>
      <c r="C1207">
        <v>639.5</v>
      </c>
      <c r="D1207">
        <v>608.5</v>
      </c>
      <c r="E1207">
        <v>10.512</v>
      </c>
      <c r="F1207" t="s">
        <v>6</v>
      </c>
      <c r="G1207" s="10" t="s">
        <v>626</v>
      </c>
      <c r="H1207">
        <v>98</v>
      </c>
      <c r="I1207" t="s">
        <v>2771</v>
      </c>
      <c r="J1207">
        <f ca="1">VLOOKUP(G1207,INDIRECT("球速変換!A$1:B$" &amp; Prams!$B$8),2,)</f>
        <v>125</v>
      </c>
      <c r="K1207" t="str">
        <f ca="1">VLOOKUP(I1207,INDIRECT("投手名変換!A$1:B$" &amp; Prams!$B$9),2,)</f>
        <v>KR001</v>
      </c>
      <c r="L1207">
        <f t="shared" si="103"/>
        <v>35</v>
      </c>
      <c r="M1207">
        <f ca="1">(B1207-VLOOKUP(K1207,INDIRECT("投手データ!B1:D"&amp;Prams!$B$1),3,FALSE)*2)</f>
        <v>39</v>
      </c>
      <c r="N1207" t="str">
        <f ca="1">VLOOKUP(F1207,INDIRECT("球種変換表!A$1:B$" &amp; Prams!$B$2),2,)</f>
        <v>フォーク</v>
      </c>
      <c r="O1207">
        <f ca="1">VLOOKUP(N1207,球種情報!A:B,2,FALSE)</f>
        <v>16</v>
      </c>
      <c r="P1207">
        <f ca="1">VLOOKUP(K1207,投手データ!B:AI,output!O1207+6,FALSE)</f>
        <v>4</v>
      </c>
      <c r="R1207">
        <f t="shared" ca="1" si="104"/>
        <v>8.0000000000000002E-3</v>
      </c>
      <c r="S1207">
        <f t="shared" si="105"/>
        <v>0.57743055555555556</v>
      </c>
      <c r="T1207">
        <f>Prams!B$5/(S1207-Prams!B$6)</f>
        <v>119.55008137854722</v>
      </c>
      <c r="U1207">
        <f t="shared" ca="1" si="106"/>
        <v>0.64409722222222221</v>
      </c>
      <c r="V1207">
        <f ca="1">Prams!C$5/(U1207-Prams!C$6)</f>
        <v>123.52316307671818</v>
      </c>
      <c r="W1207">
        <f t="shared" ca="1" si="107"/>
        <v>0.98818530461374543</v>
      </c>
    </row>
    <row r="1208" spans="1:23" hidden="1" x14ac:dyDescent="0.55000000000000004">
      <c r="A1208" s="1" t="s">
        <v>2956</v>
      </c>
      <c r="B1208" s="1">
        <v>133</v>
      </c>
      <c r="C1208">
        <v>639.5</v>
      </c>
      <c r="D1208">
        <v>615</v>
      </c>
      <c r="E1208">
        <v>11.5001</v>
      </c>
      <c r="F1208" t="s">
        <v>6</v>
      </c>
      <c r="G1208" s="10" t="s">
        <v>629</v>
      </c>
      <c r="H1208">
        <v>98</v>
      </c>
      <c r="I1208" t="s">
        <v>2787</v>
      </c>
      <c r="J1208">
        <f ca="1">VLOOKUP(G1208,INDIRECT("球速変換!A$1:B$" &amp; Prams!$B$8),2,)</f>
        <v>121</v>
      </c>
      <c r="K1208" t="str">
        <f ca="1">VLOOKUP(I1208,INDIRECT("投手名変換!A$1:B$" &amp; Prams!$B$9),2,)</f>
        <v>KR001</v>
      </c>
      <c r="L1208">
        <f t="shared" si="103"/>
        <v>35</v>
      </c>
      <c r="M1208">
        <f ca="1">(B1208-VLOOKUP(K1208,INDIRECT("投手データ!B1:D"&amp;Prams!$B$1),3,FALSE)*2)</f>
        <v>39</v>
      </c>
      <c r="N1208" t="str">
        <f ca="1">VLOOKUP(F1208,INDIRECT("球種変換表!A$1:B$" &amp; Prams!$B$2),2,)</f>
        <v>フォーク</v>
      </c>
      <c r="O1208">
        <f ca="1">VLOOKUP(N1208,球種情報!A:B,2,FALSE)</f>
        <v>16</v>
      </c>
      <c r="P1208">
        <f ca="1">VLOOKUP(K1208,投手データ!B:AI,output!O1208+6,FALSE)</f>
        <v>4</v>
      </c>
      <c r="R1208">
        <f t="shared" ca="1" si="104"/>
        <v>8.2644628099173556E-3</v>
      </c>
      <c r="S1208">
        <f t="shared" si="105"/>
        <v>0.57291666666666663</v>
      </c>
      <c r="T1208">
        <f>Prams!B$5/(S1208-Prams!B$6)</f>
        <v>120.60278960886954</v>
      </c>
      <c r="U1208">
        <f t="shared" ca="1" si="106"/>
        <v>0.63958333333333328</v>
      </c>
      <c r="V1208">
        <f ca="1">Prams!C$5/(U1208-Prams!C$6)</f>
        <v>124.6473335797574</v>
      </c>
      <c r="W1208">
        <f t="shared" ca="1" si="107"/>
        <v>1.0301432527252679</v>
      </c>
    </row>
    <row r="1209" spans="1:23" hidden="1" x14ac:dyDescent="0.55000000000000004">
      <c r="A1209" s="1" t="s">
        <v>2958</v>
      </c>
      <c r="B1209" s="1">
        <v>133</v>
      </c>
      <c r="C1209">
        <v>636.5</v>
      </c>
      <c r="D1209">
        <v>609</v>
      </c>
      <c r="E1209">
        <v>10.547610000000001</v>
      </c>
      <c r="F1209" t="s">
        <v>2957</v>
      </c>
      <c r="G1209" s="10" t="s">
        <v>623</v>
      </c>
      <c r="H1209">
        <v>98</v>
      </c>
      <c r="I1209" t="s">
        <v>2771</v>
      </c>
      <c r="J1209">
        <f ca="1">VLOOKUP(G1209,INDIRECT("球速変換!A$1:B$" &amp; Prams!$B$8),2,)</f>
        <v>120</v>
      </c>
      <c r="K1209" t="str">
        <f ca="1">VLOOKUP(I1209,INDIRECT("投手名変換!A$1:B$" &amp; Prams!$B$9),2,)</f>
        <v>KR001</v>
      </c>
      <c r="L1209">
        <f t="shared" si="103"/>
        <v>35</v>
      </c>
      <c r="M1209">
        <f ca="1">(B1209-VLOOKUP(K1209,INDIRECT("投手データ!B1:D"&amp;Prams!$B$1),3,FALSE)*2)</f>
        <v>39</v>
      </c>
      <c r="N1209" t="str">
        <f ca="1">VLOOKUP(F1209,INDIRECT("球種変換表!A$1:B$" &amp; Prams!$B$2),2,)</f>
        <v>フォーク</v>
      </c>
      <c r="O1209">
        <f ca="1">VLOOKUP(N1209,球種情報!A:B,2,FALSE)</f>
        <v>16</v>
      </c>
      <c r="P1209">
        <f ca="1">VLOOKUP(K1209,投手データ!B:AI,output!O1209+6,FALSE)</f>
        <v>4</v>
      </c>
      <c r="R1209">
        <f t="shared" ca="1" si="104"/>
        <v>8.3333333333333332E-3</v>
      </c>
      <c r="S1209">
        <f t="shared" si="105"/>
        <v>0.57708333333333328</v>
      </c>
      <c r="T1209">
        <f>Prams!B$5/(S1209-Prams!B$6)</f>
        <v>119.63040603734642</v>
      </c>
      <c r="U1209">
        <f t="shared" ca="1" si="106"/>
        <v>0.64375000000000004</v>
      </c>
      <c r="V1209">
        <f ca="1">Prams!C$5/(U1209-Prams!C$6)</f>
        <v>123.60891732480253</v>
      </c>
      <c r="W1209">
        <f t="shared" ca="1" si="107"/>
        <v>1.030074311040021</v>
      </c>
    </row>
    <row r="1210" spans="1:23" hidden="1" x14ac:dyDescent="0.55000000000000004">
      <c r="A1210" s="1" t="s">
        <v>2959</v>
      </c>
      <c r="B1210" s="1">
        <v>133</v>
      </c>
      <c r="C1210">
        <v>631</v>
      </c>
      <c r="D1210">
        <v>616.5</v>
      </c>
      <c r="E1210">
        <v>11.01146</v>
      </c>
      <c r="F1210" t="s">
        <v>6</v>
      </c>
      <c r="G1210" s="10" t="s">
        <v>2420</v>
      </c>
      <c r="H1210">
        <v>98</v>
      </c>
      <c r="I1210" t="s">
        <v>2782</v>
      </c>
      <c r="J1210">
        <f ca="1">VLOOKUP(G1210,INDIRECT("球速変換!A$1:B$" &amp; Prams!$B$8),2,)</f>
        <v>127</v>
      </c>
      <c r="K1210" t="str">
        <f ca="1">VLOOKUP(I1210,INDIRECT("投手名変換!A$1:B$" &amp; Prams!$B$9),2,)</f>
        <v>KR001</v>
      </c>
      <c r="L1210">
        <f t="shared" si="103"/>
        <v>35</v>
      </c>
      <c r="M1210">
        <f ca="1">(B1210-VLOOKUP(K1210,INDIRECT("投手データ!B1:D"&amp;Prams!$B$1),3,FALSE)*2)</f>
        <v>39</v>
      </c>
      <c r="N1210" t="str">
        <f ca="1">VLOOKUP(F1210,INDIRECT("球種変換表!A$1:B$" &amp; Prams!$B$2),2,)</f>
        <v>フォーク</v>
      </c>
      <c r="O1210">
        <f ca="1">VLOOKUP(N1210,球種情報!A:B,2,FALSE)</f>
        <v>16</v>
      </c>
      <c r="P1210">
        <f ca="1">VLOOKUP(K1210,投手データ!B:AI,output!O1210+6,FALSE)</f>
        <v>4</v>
      </c>
      <c r="R1210">
        <f t="shared" ca="1" si="104"/>
        <v>7.874015748031496E-3</v>
      </c>
      <c r="S1210">
        <f t="shared" si="105"/>
        <v>0.57187500000000002</v>
      </c>
      <c r="T1210">
        <f>Prams!B$5/(S1210-Prams!B$6)</f>
        <v>120.84836045545619</v>
      </c>
      <c r="U1210">
        <f t="shared" ca="1" si="106"/>
        <v>0.63854166666666667</v>
      </c>
      <c r="V1210">
        <f ca="1">Prams!C$5/(U1210-Prams!C$6)</f>
        <v>124.90966948967051</v>
      </c>
      <c r="W1210">
        <f t="shared" ca="1" si="107"/>
        <v>0.98354070464307486</v>
      </c>
    </row>
    <row r="1211" spans="1:23" hidden="1" x14ac:dyDescent="0.55000000000000004">
      <c r="A1211" s="1" t="s">
        <v>2960</v>
      </c>
      <c r="B1211" s="1">
        <v>133</v>
      </c>
      <c r="C1211">
        <v>634.45239000000004</v>
      </c>
      <c r="D1211">
        <v>613.5</v>
      </c>
      <c r="E1211">
        <v>10.55955</v>
      </c>
      <c r="F1211" t="s">
        <v>6</v>
      </c>
      <c r="G1211" s="10" t="s">
        <v>2419</v>
      </c>
      <c r="H1211">
        <v>98</v>
      </c>
      <c r="I1211" t="s">
        <v>2769</v>
      </c>
      <c r="J1211">
        <f ca="1">VLOOKUP(G1211,INDIRECT("球速変換!A$1:B$" &amp; Prams!$B$8),2,)</f>
        <v>126</v>
      </c>
      <c r="K1211" t="str">
        <f ca="1">VLOOKUP(I1211,INDIRECT("投手名変換!A$1:B$" &amp; Prams!$B$9),2,)</f>
        <v>KR001</v>
      </c>
      <c r="L1211">
        <f t="shared" si="103"/>
        <v>35</v>
      </c>
      <c r="M1211">
        <f ca="1">(B1211-VLOOKUP(K1211,INDIRECT("投手データ!B1:D"&amp;Prams!$B$1),3,FALSE)*2)</f>
        <v>39</v>
      </c>
      <c r="N1211" t="str">
        <f ca="1">VLOOKUP(F1211,INDIRECT("球種変換表!A$1:B$" &amp; Prams!$B$2),2,)</f>
        <v>フォーク</v>
      </c>
      <c r="O1211">
        <f ca="1">VLOOKUP(N1211,球種情報!A:B,2,FALSE)</f>
        <v>16</v>
      </c>
      <c r="P1211">
        <f ca="1">VLOOKUP(K1211,投手データ!B:AI,output!O1211+6,FALSE)</f>
        <v>4</v>
      </c>
      <c r="R1211">
        <f t="shared" ca="1" si="104"/>
        <v>7.9365079365079361E-3</v>
      </c>
      <c r="S1211">
        <f t="shared" si="105"/>
        <v>0.57395833333333335</v>
      </c>
      <c r="T1211">
        <f>Prams!B$5/(S1211-Prams!B$6)</f>
        <v>120.35821476662503</v>
      </c>
      <c r="U1211">
        <f t="shared" ca="1" si="106"/>
        <v>0.640625</v>
      </c>
      <c r="V1211">
        <f ca="1">Prams!C$5/(U1211-Prams!C$6)</f>
        <v>124.38609727880892</v>
      </c>
      <c r="W1211">
        <f t="shared" ca="1" si="107"/>
        <v>0.98719124824451521</v>
      </c>
    </row>
    <row r="1212" spans="1:23" hidden="1" x14ac:dyDescent="0.55000000000000004">
      <c r="A1212" s="1" t="s">
        <v>3085</v>
      </c>
      <c r="B1212" s="1">
        <v>124</v>
      </c>
      <c r="C1212">
        <v>640</v>
      </c>
      <c r="D1212">
        <v>610.5</v>
      </c>
      <c r="E1212">
        <v>11.01146</v>
      </c>
      <c r="F1212" t="s">
        <v>3082</v>
      </c>
      <c r="G1212" s="10" t="s">
        <v>3083</v>
      </c>
      <c r="H1212">
        <v>99</v>
      </c>
      <c r="I1212" t="s">
        <v>3084</v>
      </c>
      <c r="J1212">
        <f ca="1">VLOOKUP(G1212,INDIRECT("球速変換!A$1:B$" &amp; Prams!$B$8),2,)</f>
        <v>168</v>
      </c>
      <c r="K1212" t="str">
        <f ca="1">VLOOKUP(I1212,INDIRECT("投手名変換!A$1:B$" &amp; Prams!$B$9),2,)</f>
        <v>AD001</v>
      </c>
      <c r="L1212">
        <f t="shared" ref="L1212:L1275" si="108">B1212-H1212</f>
        <v>25</v>
      </c>
      <c r="M1212">
        <f ca="1">(B1212-VLOOKUP(K1212,INDIRECT("投手データ!B1:D"&amp;Prams!$B$1),3,FALSE)*2)</f>
        <v>30</v>
      </c>
      <c r="N1212" t="str">
        <f ca="1">VLOOKUP(F1212,INDIRECT("球種変換表!A$1:B$" &amp; Prams!$B$2),2,)</f>
        <v>ストレート</v>
      </c>
      <c r="O1212">
        <f ca="1">VLOOKUP(N1212,球種情報!A:B,2,FALSE)</f>
        <v>1</v>
      </c>
      <c r="P1212">
        <f ca="1">VLOOKUP(K1212,投手データ!B:AI,output!O1212+6,FALSE)</f>
        <v>1</v>
      </c>
      <c r="R1212">
        <f t="shared" ref="R1212:R1275" ca="1" si="109">1/J1212</f>
        <v>5.9523809523809521E-3</v>
      </c>
      <c r="S1212">
        <f t="shared" ref="S1212:S1275" si="110">(L1212-(D1212-600)/24)*2/120</f>
        <v>0.40937499999999999</v>
      </c>
      <c r="T1212">
        <f>Prams!B$5/(S1212-Prams!B$6)</f>
        <v>177.1052066174891</v>
      </c>
      <c r="U1212">
        <f t="shared" ref="U1212:U1275" ca="1" si="111">(M1212-(D1212-600)/24)*2/120</f>
        <v>0.49270833333333336</v>
      </c>
      <c r="V1212">
        <f ca="1">Prams!C$5/(U1212-Prams!C$6)</f>
        <v>177.0882963740959</v>
      </c>
      <c r="W1212">
        <f t="shared" ref="W1212:W1275" ca="1" si="112">V1212/J1212</f>
        <v>1.0540970022267613</v>
      </c>
    </row>
    <row r="1213" spans="1:23" hidden="1" x14ac:dyDescent="0.55000000000000004">
      <c r="A1213" s="1" t="s">
        <v>3088</v>
      </c>
      <c r="B1213" s="1">
        <v>124</v>
      </c>
      <c r="C1213">
        <v>643.5</v>
      </c>
      <c r="D1213">
        <v>620.5</v>
      </c>
      <c r="E1213">
        <v>11.510960000000001</v>
      </c>
      <c r="F1213" t="s">
        <v>3082</v>
      </c>
      <c r="G1213" s="10" t="s">
        <v>3086</v>
      </c>
      <c r="H1213">
        <v>99</v>
      </c>
      <c r="I1213" t="s">
        <v>3087</v>
      </c>
      <c r="J1213">
        <f ca="1">VLOOKUP(G1213,INDIRECT("球速変換!A$1:B$" &amp; Prams!$B$8),2,)</f>
        <v>172</v>
      </c>
      <c r="K1213" t="str">
        <f ca="1">VLOOKUP(I1213,INDIRECT("投手名変換!A$1:B$" &amp; Prams!$B$9),2,)</f>
        <v>AD001</v>
      </c>
      <c r="L1213">
        <f t="shared" si="108"/>
        <v>25</v>
      </c>
      <c r="M1213">
        <f ca="1">(B1213-VLOOKUP(K1213,INDIRECT("投手データ!B1:D"&amp;Prams!$B$1),3,FALSE)*2)</f>
        <v>30</v>
      </c>
      <c r="N1213" t="str">
        <f ca="1">VLOOKUP(F1213,INDIRECT("球種変換表!A$1:B$" &amp; Prams!$B$2),2,)</f>
        <v>ストレート</v>
      </c>
      <c r="O1213">
        <f ca="1">VLOOKUP(N1213,球種情報!A:B,2,FALSE)</f>
        <v>1</v>
      </c>
      <c r="P1213">
        <f ca="1">VLOOKUP(K1213,投手データ!B:AI,output!O1213+6,FALSE)</f>
        <v>1</v>
      </c>
      <c r="R1213">
        <f t="shared" ca="1" si="109"/>
        <v>5.8139534883720929E-3</v>
      </c>
      <c r="S1213">
        <f t="shared" si="110"/>
        <v>0.40243055555555551</v>
      </c>
      <c r="T1213">
        <f>Prams!B$5/(S1213-Prams!B$6)</f>
        <v>180.70002516907942</v>
      </c>
      <c r="U1213">
        <f t="shared" ca="1" si="111"/>
        <v>0.48576388888888888</v>
      </c>
      <c r="V1213">
        <f ca="1">Prams!C$5/(U1213-Prams!C$6)</f>
        <v>180.68242151665464</v>
      </c>
      <c r="W1213">
        <f t="shared" ca="1" si="112"/>
        <v>1.0504791948642711</v>
      </c>
    </row>
    <row r="1214" spans="1:23" hidden="1" x14ac:dyDescent="0.55000000000000004">
      <c r="A1214" s="1" t="s">
        <v>3091</v>
      </c>
      <c r="B1214" s="1">
        <v>124</v>
      </c>
      <c r="C1214">
        <v>645.5</v>
      </c>
      <c r="D1214">
        <v>623</v>
      </c>
      <c r="E1214">
        <v>10.5001</v>
      </c>
      <c r="F1214" t="s">
        <v>3082</v>
      </c>
      <c r="G1214" s="10" t="s">
        <v>3089</v>
      </c>
      <c r="H1214">
        <v>99</v>
      </c>
      <c r="I1214" t="s">
        <v>3090</v>
      </c>
      <c r="J1214">
        <f ca="1">VLOOKUP(G1214,INDIRECT("球速変換!A$1:B$" &amp; Prams!$B$8),2,)</f>
        <v>172</v>
      </c>
      <c r="K1214" t="str">
        <f ca="1">VLOOKUP(I1214,INDIRECT("投手名変換!A$1:B$" &amp; Prams!$B$9),2,)</f>
        <v>AD001</v>
      </c>
      <c r="L1214">
        <f t="shared" si="108"/>
        <v>25</v>
      </c>
      <c r="M1214">
        <f ca="1">(B1214-VLOOKUP(K1214,INDIRECT("投手データ!B1:D"&amp;Prams!$B$1),3,FALSE)*2)</f>
        <v>30</v>
      </c>
      <c r="N1214" t="str">
        <f ca="1">VLOOKUP(F1214,INDIRECT("球種変換表!A$1:B$" &amp; Prams!$B$2),2,)</f>
        <v>ストレート</v>
      </c>
      <c r="O1214">
        <f ca="1">VLOOKUP(N1214,球種情報!A:B,2,FALSE)</f>
        <v>1</v>
      </c>
      <c r="P1214">
        <f ca="1">VLOOKUP(K1214,投手データ!B:AI,output!O1214+6,FALSE)</f>
        <v>1</v>
      </c>
      <c r="R1214">
        <f t="shared" ca="1" si="109"/>
        <v>5.8139534883720929E-3</v>
      </c>
      <c r="S1214">
        <f t="shared" si="110"/>
        <v>0.40069444444444446</v>
      </c>
      <c r="T1214">
        <f>Prams!B$5/(S1214-Prams!B$6)</f>
        <v>181.62164808800247</v>
      </c>
      <c r="U1214">
        <f t="shared" ca="1" si="111"/>
        <v>0.48402777777777778</v>
      </c>
      <c r="V1214">
        <f ca="1">Prams!C$5/(U1214-Prams!C$6)</f>
        <v>181.60386441895002</v>
      </c>
      <c r="W1214">
        <f t="shared" ca="1" si="112"/>
        <v>1.0558364210404072</v>
      </c>
    </row>
    <row r="1215" spans="1:23" hidden="1" x14ac:dyDescent="0.55000000000000004">
      <c r="A1215" s="1" t="s">
        <v>3094</v>
      </c>
      <c r="B1215" s="1">
        <v>124</v>
      </c>
      <c r="C1215">
        <v>643.5</v>
      </c>
      <c r="D1215">
        <v>613.5</v>
      </c>
      <c r="E1215">
        <v>11.510960000000001</v>
      </c>
      <c r="F1215" t="s">
        <v>3082</v>
      </c>
      <c r="G1215" s="10" t="s">
        <v>3092</v>
      </c>
      <c r="H1215">
        <v>99</v>
      </c>
      <c r="I1215" t="s">
        <v>3093</v>
      </c>
      <c r="J1215">
        <f ca="1">VLOOKUP(G1215,INDIRECT("球速変換!A$1:B$" &amp; Prams!$B$8),2,)</f>
        <v>169</v>
      </c>
      <c r="K1215" t="str">
        <f ca="1">VLOOKUP(I1215,INDIRECT("投手名変換!A$1:B$" &amp; Prams!$B$9),2,)</f>
        <v>AD001</v>
      </c>
      <c r="L1215">
        <f t="shared" si="108"/>
        <v>25</v>
      </c>
      <c r="M1215">
        <f ca="1">(B1215-VLOOKUP(K1215,INDIRECT("投手データ!B1:D"&amp;Prams!$B$1),3,FALSE)*2)</f>
        <v>30</v>
      </c>
      <c r="N1215" t="str">
        <f ca="1">VLOOKUP(F1215,INDIRECT("球種変換表!A$1:B$" &amp; Prams!$B$2),2,)</f>
        <v>ストレート</v>
      </c>
      <c r="O1215">
        <f ca="1">VLOOKUP(N1215,球種情報!A:B,2,FALSE)</f>
        <v>1</v>
      </c>
      <c r="P1215">
        <f ca="1">VLOOKUP(K1215,投手データ!B:AI,output!O1215+6,FALSE)</f>
        <v>1</v>
      </c>
      <c r="R1215">
        <f t="shared" ca="1" si="109"/>
        <v>5.9171597633136093E-3</v>
      </c>
      <c r="S1215">
        <f t="shared" si="110"/>
        <v>0.40729166666666666</v>
      </c>
      <c r="T1215">
        <f>Prams!B$5/(S1215-Prams!B$6)</f>
        <v>178.16854391315835</v>
      </c>
      <c r="U1215">
        <f t="shared" ca="1" si="111"/>
        <v>0.49062499999999998</v>
      </c>
      <c r="V1215">
        <f ca="1">Prams!C$5/(U1215-Prams!C$6)</f>
        <v>178.15143001224698</v>
      </c>
      <c r="W1215">
        <f t="shared" ca="1" si="112"/>
        <v>1.0541504734452485</v>
      </c>
    </row>
    <row r="1216" spans="1:23" hidden="1" x14ac:dyDescent="0.55000000000000004">
      <c r="A1216" s="1" t="s">
        <v>3097</v>
      </c>
      <c r="B1216" s="1">
        <v>124</v>
      </c>
      <c r="C1216">
        <v>637</v>
      </c>
      <c r="D1216">
        <v>609</v>
      </c>
      <c r="E1216">
        <v>10.04998</v>
      </c>
      <c r="F1216" t="s">
        <v>3082</v>
      </c>
      <c r="G1216" s="10" t="s">
        <v>3095</v>
      </c>
      <c r="H1216">
        <v>99</v>
      </c>
      <c r="I1216" t="s">
        <v>3096</v>
      </c>
      <c r="J1216">
        <v>168</v>
      </c>
      <c r="K1216" t="str">
        <f ca="1">VLOOKUP(I1216,INDIRECT("投手名変換!A$1:B$" &amp; Prams!$B$9),2,)</f>
        <v>AD001</v>
      </c>
      <c r="L1216">
        <f t="shared" si="108"/>
        <v>25</v>
      </c>
      <c r="M1216">
        <f ca="1">(B1216-VLOOKUP(K1216,INDIRECT("投手データ!B1:D"&amp;Prams!$B$1),3,FALSE)*2)</f>
        <v>30</v>
      </c>
      <c r="N1216" t="str">
        <f ca="1">VLOOKUP(F1216,INDIRECT("球種変換表!A$1:B$" &amp; Prams!$B$2),2,)</f>
        <v>ストレート</v>
      </c>
      <c r="O1216">
        <f ca="1">VLOOKUP(N1216,球種情報!A:B,2,FALSE)</f>
        <v>1</v>
      </c>
      <c r="P1216">
        <f ca="1">VLOOKUP(K1216,投手データ!B:AI,output!O1216+6,FALSE)</f>
        <v>1</v>
      </c>
      <c r="R1216">
        <f t="shared" si="109"/>
        <v>5.9523809523809521E-3</v>
      </c>
      <c r="S1216">
        <f t="shared" si="110"/>
        <v>0.41041666666666665</v>
      </c>
      <c r="T1216">
        <f>Prams!B$5/(S1216-Prams!B$6)</f>
        <v>176.57828342933311</v>
      </c>
      <c r="U1216">
        <f t="shared" ca="1" si="111"/>
        <v>0.49375000000000002</v>
      </c>
      <c r="V1216">
        <f ca="1">Prams!C$5/(U1216-Prams!C$6)</f>
        <v>176.56147365414822</v>
      </c>
      <c r="W1216">
        <f t="shared" ca="1" si="112"/>
        <v>1.0509611527032632</v>
      </c>
    </row>
    <row r="1217" spans="1:24" hidden="1" x14ac:dyDescent="0.55000000000000004">
      <c r="A1217" s="1" t="s">
        <v>3100</v>
      </c>
      <c r="B1217" s="1">
        <v>124</v>
      </c>
      <c r="C1217">
        <v>643.5</v>
      </c>
      <c r="D1217">
        <v>615</v>
      </c>
      <c r="E1217">
        <v>11.5001</v>
      </c>
      <c r="F1217" t="s">
        <v>3082</v>
      </c>
      <c r="G1217" s="10" t="s">
        <v>3098</v>
      </c>
      <c r="H1217">
        <v>99</v>
      </c>
      <c r="I1217" t="s">
        <v>3099</v>
      </c>
      <c r="J1217">
        <f ca="1">VLOOKUP(G1217,INDIRECT("球速変換!A$1:B$" &amp; Prams!$B$8),2,)</f>
        <v>170</v>
      </c>
      <c r="K1217" t="str">
        <f ca="1">VLOOKUP(I1217,INDIRECT("投手名変換!A$1:B$" &amp; Prams!$B$9),2,)</f>
        <v>AD001</v>
      </c>
      <c r="L1217">
        <f t="shared" si="108"/>
        <v>25</v>
      </c>
      <c r="M1217">
        <f ca="1">(B1217-VLOOKUP(K1217,INDIRECT("投手データ!B1:D"&amp;Prams!$B$1),3,FALSE)*2)</f>
        <v>30</v>
      </c>
      <c r="N1217" t="str">
        <f ca="1">VLOOKUP(F1217,INDIRECT("球種変換表!A$1:B$" &amp; Prams!$B$2),2,)</f>
        <v>ストレート</v>
      </c>
      <c r="O1217">
        <f ca="1">VLOOKUP(N1217,球種情報!A:B,2,FALSE)</f>
        <v>1</v>
      </c>
      <c r="P1217">
        <f ca="1">VLOOKUP(K1217,投手データ!B:AI,output!O1217+6,FALSE)</f>
        <v>1</v>
      </c>
      <c r="R1217">
        <f t="shared" ca="1" si="109"/>
        <v>5.8823529411764705E-3</v>
      </c>
      <c r="S1217">
        <f t="shared" si="110"/>
        <v>0.40625</v>
      </c>
      <c r="T1217">
        <f>Prams!B$5/(S1217-Prams!B$6)</f>
        <v>178.70501517560342</v>
      </c>
      <c r="U1217">
        <f t="shared" ca="1" si="111"/>
        <v>0.48958333333333331</v>
      </c>
      <c r="V1217">
        <f ca="1">Prams!C$5/(U1217-Prams!C$6)</f>
        <v>178.68779806349056</v>
      </c>
      <c r="W1217">
        <f t="shared" ca="1" si="112"/>
        <v>1.0511046944911209</v>
      </c>
    </row>
    <row r="1218" spans="1:24" hidden="1" x14ac:dyDescent="0.55000000000000004">
      <c r="A1218" s="1" t="s">
        <v>3103</v>
      </c>
      <c r="B1218" s="1">
        <v>124</v>
      </c>
      <c r="C1218">
        <v>643.5</v>
      </c>
      <c r="D1218">
        <v>617.5</v>
      </c>
      <c r="E1218">
        <v>11.510960000000001</v>
      </c>
      <c r="F1218" t="s">
        <v>3082</v>
      </c>
      <c r="G1218" s="10" t="s">
        <v>3101</v>
      </c>
      <c r="H1218">
        <v>99</v>
      </c>
      <c r="I1218" t="s">
        <v>3102</v>
      </c>
      <c r="J1218">
        <f ca="1">VLOOKUP(G1218,INDIRECT("球速変換!A$1:B$" &amp; Prams!$B$8),2,)</f>
        <v>171</v>
      </c>
      <c r="K1218" t="str">
        <f ca="1">VLOOKUP(I1218,INDIRECT("投手名変換!A$1:B$" &amp; Prams!$B$9),2,)</f>
        <v>AD001</v>
      </c>
      <c r="L1218">
        <f t="shared" si="108"/>
        <v>25</v>
      </c>
      <c r="M1218">
        <f ca="1">(B1218-VLOOKUP(K1218,INDIRECT("投手データ!B1:D"&amp;Prams!$B$1),3,FALSE)*2)</f>
        <v>30</v>
      </c>
      <c r="N1218" t="str">
        <f ca="1">VLOOKUP(F1218,INDIRECT("球種変換表!A$1:B$" &amp; Prams!$B$2),2,)</f>
        <v>ストレート</v>
      </c>
      <c r="O1218">
        <f ca="1">VLOOKUP(N1218,球種情報!A:B,2,FALSE)</f>
        <v>1</v>
      </c>
      <c r="P1218">
        <f ca="1">VLOOKUP(K1218,投手データ!B:AI,output!O1218+6,FALSE)</f>
        <v>1</v>
      </c>
      <c r="R1218">
        <f t="shared" ca="1" si="109"/>
        <v>5.8479532163742687E-3</v>
      </c>
      <c r="S1218">
        <f t="shared" si="110"/>
        <v>0.4045138888888889</v>
      </c>
      <c r="T1218">
        <f>Prams!B$5/(S1218-Prams!B$6)</f>
        <v>179.6063494112995</v>
      </c>
      <c r="U1218">
        <f t="shared" ca="1" si="111"/>
        <v>0.48784722222222221</v>
      </c>
      <c r="V1218">
        <f ca="1">Prams!C$5/(U1218-Prams!C$6)</f>
        <v>179.58895819380453</v>
      </c>
      <c r="W1218">
        <f t="shared" ca="1" si="112"/>
        <v>1.0502278256947633</v>
      </c>
    </row>
    <row r="1219" spans="1:24" hidden="1" x14ac:dyDescent="0.55000000000000004">
      <c r="A1219" s="1" t="s">
        <v>3105</v>
      </c>
      <c r="B1219" s="1">
        <v>124</v>
      </c>
      <c r="C1219">
        <v>640</v>
      </c>
      <c r="D1219">
        <v>622.5</v>
      </c>
      <c r="E1219">
        <v>11.01146</v>
      </c>
      <c r="F1219" t="s">
        <v>3082</v>
      </c>
      <c r="G1219" s="10" t="s">
        <v>3104</v>
      </c>
      <c r="H1219">
        <v>99</v>
      </c>
      <c r="I1219" t="s">
        <v>3087</v>
      </c>
      <c r="J1219">
        <f ca="1">VLOOKUP(G1219,INDIRECT("球速変換!A$1:B$" &amp; Prams!$B$8),2,)</f>
        <v>172</v>
      </c>
      <c r="K1219" t="str">
        <f ca="1">VLOOKUP(I1219,INDIRECT("投手名変換!A$1:B$" &amp; Prams!$B$9),2,)</f>
        <v>AD001</v>
      </c>
      <c r="L1219">
        <f t="shared" si="108"/>
        <v>25</v>
      </c>
      <c r="M1219">
        <f ca="1">(B1219-VLOOKUP(K1219,INDIRECT("投手データ!B1:D"&amp;Prams!$B$1),3,FALSE)*2)</f>
        <v>30</v>
      </c>
      <c r="N1219" t="str">
        <f ca="1">VLOOKUP(F1219,INDIRECT("球種変換表!A$1:B$" &amp; Prams!$B$2),2,)</f>
        <v>ストレート</v>
      </c>
      <c r="O1219">
        <f ca="1">VLOOKUP(N1219,球種情報!A:B,2,FALSE)</f>
        <v>1</v>
      </c>
      <c r="P1219">
        <f ca="1">VLOOKUP(K1219,投手データ!B:AI,output!O1219+6,FALSE)</f>
        <v>1</v>
      </c>
      <c r="R1219">
        <f t="shared" ca="1" si="109"/>
        <v>5.8139534883720929E-3</v>
      </c>
      <c r="S1219">
        <f t="shared" si="110"/>
        <v>0.40104166666666669</v>
      </c>
      <c r="T1219">
        <f>Prams!B$5/(S1219-Prams!B$6)</f>
        <v>181.43657218322775</v>
      </c>
      <c r="U1219">
        <f t="shared" ca="1" si="111"/>
        <v>0.484375</v>
      </c>
      <c r="V1219">
        <f ca="1">Prams!C$5/(U1219-Prams!C$6)</f>
        <v>181.41882473773018</v>
      </c>
      <c r="W1219">
        <f t="shared" ca="1" si="112"/>
        <v>1.0547606089402917</v>
      </c>
    </row>
    <row r="1220" spans="1:24" hidden="1" x14ac:dyDescent="0.55000000000000004">
      <c r="A1220" s="1" t="s">
        <v>3107</v>
      </c>
      <c r="B1220" s="1">
        <v>124</v>
      </c>
      <c r="C1220">
        <v>636.54760999999996</v>
      </c>
      <c r="D1220">
        <v>623.5</v>
      </c>
      <c r="E1220">
        <v>10.55958</v>
      </c>
      <c r="F1220" t="s">
        <v>3082</v>
      </c>
      <c r="G1220" s="10" t="s">
        <v>3106</v>
      </c>
      <c r="H1220">
        <v>99</v>
      </c>
      <c r="I1220" t="s">
        <v>3090</v>
      </c>
      <c r="J1220">
        <f ca="1">VLOOKUP(G1220,INDIRECT("球速変換!A$1:B$" &amp; Prams!$B$8),2,)</f>
        <v>173</v>
      </c>
      <c r="K1220" t="str">
        <f ca="1">VLOOKUP(I1220,INDIRECT("投手名変換!A$1:B$" &amp; Prams!$B$9),2,)</f>
        <v>AD001</v>
      </c>
      <c r="L1220">
        <f t="shared" si="108"/>
        <v>25</v>
      </c>
      <c r="M1220">
        <f ca="1">(B1220-VLOOKUP(K1220,INDIRECT("投手データ!B1:D"&amp;Prams!$B$1),3,FALSE)*2)</f>
        <v>30</v>
      </c>
      <c r="N1220" t="str">
        <f ca="1">VLOOKUP(F1220,INDIRECT("球種変換表!A$1:B$" &amp; Prams!$B$2),2,)</f>
        <v>ストレート</v>
      </c>
      <c r="O1220">
        <f ca="1">VLOOKUP(N1220,球種情報!A:B,2,FALSE)</f>
        <v>1</v>
      </c>
      <c r="P1220">
        <f ca="1">VLOOKUP(K1220,投手データ!B:AI,output!O1220+6,FALSE)</f>
        <v>1</v>
      </c>
      <c r="R1220">
        <f t="shared" ca="1" si="109"/>
        <v>5.7803468208092483E-3</v>
      </c>
      <c r="S1220">
        <f t="shared" si="110"/>
        <v>0.40034722222222219</v>
      </c>
      <c r="T1220">
        <f>Prams!B$5/(S1220-Prams!B$6)</f>
        <v>181.80710195479389</v>
      </c>
      <c r="U1220">
        <f t="shared" ca="1" si="111"/>
        <v>0.48368055555555556</v>
      </c>
      <c r="V1220">
        <f ca="1">Prams!C$5/(U1220-Prams!C$6)</f>
        <v>181.78928195117172</v>
      </c>
      <c r="W1220">
        <f t="shared" ca="1" si="112"/>
        <v>1.0508050979836516</v>
      </c>
    </row>
    <row r="1221" spans="1:24" hidden="1" x14ac:dyDescent="0.55000000000000004">
      <c r="A1221" s="1" t="s">
        <v>3109</v>
      </c>
      <c r="B1221" s="1">
        <v>124</v>
      </c>
      <c r="C1221">
        <v>638</v>
      </c>
      <c r="D1221">
        <v>608.5</v>
      </c>
      <c r="E1221">
        <v>10.012589999999999</v>
      </c>
      <c r="F1221" t="s">
        <v>3108</v>
      </c>
      <c r="G1221" s="10" t="s">
        <v>3108</v>
      </c>
      <c r="H1221">
        <v>99</v>
      </c>
      <c r="I1221" t="s">
        <v>3108</v>
      </c>
      <c r="J1221" t="e">
        <f ca="1">VLOOKUP(G1221,INDIRECT("球速変換!A$1:B$" &amp; Prams!$B$8),2,)</f>
        <v>#N/A</v>
      </c>
      <c r="K1221" t="e">
        <f ca="1">VLOOKUP(I1221,INDIRECT("投手名変換!A$1:B$" &amp; Prams!$B$9),2,)</f>
        <v>#N/A</v>
      </c>
      <c r="L1221">
        <f t="shared" si="108"/>
        <v>25</v>
      </c>
      <c r="M1221" t="e">
        <f ca="1">(B1221-VLOOKUP(K1221,INDIRECT("投手データ!B1:D"&amp;Prams!$B$1),3,FALSE)*2)</f>
        <v>#N/A</v>
      </c>
      <c r="N1221" t="e">
        <f ca="1">VLOOKUP(F1221,INDIRECT("球種変換表!A$1:B$" &amp; Prams!$B$2),2,)</f>
        <v>#N/A</v>
      </c>
      <c r="O1221" t="e">
        <f ca="1">VLOOKUP(N1221,球種情報!A:B,2,FALSE)</f>
        <v>#N/A</v>
      </c>
      <c r="P1221" t="e">
        <f ca="1">VLOOKUP(K1221,投手データ!B:AI,output!O1221+6,FALSE)</f>
        <v>#N/A</v>
      </c>
      <c r="R1221" t="e">
        <f t="shared" ca="1" si="109"/>
        <v>#N/A</v>
      </c>
      <c r="S1221">
        <f t="shared" si="110"/>
        <v>0.41076388888888887</v>
      </c>
      <c r="T1221">
        <f>Prams!B$5/(S1221-Prams!B$6)</f>
        <v>176.40333843239517</v>
      </c>
      <c r="U1221" t="e">
        <f t="shared" ca="1" si="111"/>
        <v>#N/A</v>
      </c>
      <c r="V1221" t="e">
        <f ca="1">Prams!C$5/(U1221-Prams!C$6)</f>
        <v>#N/A</v>
      </c>
      <c r="W1221" t="e">
        <f t="shared" ca="1" si="112"/>
        <v>#N/A</v>
      </c>
      <c r="X1221" t="s">
        <v>3049</v>
      </c>
    </row>
    <row r="1222" spans="1:24" hidden="1" x14ac:dyDescent="0.55000000000000004">
      <c r="A1222" s="1" t="s">
        <v>3111</v>
      </c>
      <c r="B1222" s="1">
        <v>235</v>
      </c>
      <c r="C1222">
        <v>607.5</v>
      </c>
      <c r="D1222">
        <v>642.5</v>
      </c>
      <c r="E1222">
        <v>2.5496099999999999</v>
      </c>
      <c r="F1222" t="s">
        <v>3110</v>
      </c>
      <c r="G1222" s="10" t="s">
        <v>1978</v>
      </c>
      <c r="H1222">
        <v>1</v>
      </c>
      <c r="J1222" t="e">
        <f ca="1">VLOOKUP(G1222,INDIRECT("球速変換!A$1:B$" &amp; Prams!$B$8),2,)</f>
        <v>#N/A</v>
      </c>
      <c r="K1222" t="str">
        <f ca="1">VLOOKUP(I1222,INDIRECT("投手名変換!A$1:B$" &amp; Prams!$B$9),2,)</f>
        <v>DD022</v>
      </c>
      <c r="L1222">
        <f t="shared" si="108"/>
        <v>234</v>
      </c>
      <c r="M1222">
        <f ca="1">(B1222-VLOOKUP(K1222,INDIRECT("投手データ!B1:D"&amp;Prams!$B$1),3,FALSE)*2)</f>
        <v>141</v>
      </c>
      <c r="N1222" t="e">
        <f ca="1">VLOOKUP(F1222,INDIRECT("球種変換表!A$1:B$" &amp; Prams!$B$2),2,)</f>
        <v>#N/A</v>
      </c>
      <c r="O1222" t="e">
        <f ca="1">VLOOKUP(N1222,球種情報!A:B,2,FALSE)</f>
        <v>#N/A</v>
      </c>
      <c r="P1222" t="e">
        <f ca="1">VLOOKUP(K1222,投手データ!B:AI,output!O1222+6,FALSE)</f>
        <v>#N/A</v>
      </c>
      <c r="R1222" t="e">
        <f t="shared" ca="1" si="109"/>
        <v>#N/A</v>
      </c>
      <c r="S1222">
        <f t="shared" si="110"/>
        <v>3.8704861111111111</v>
      </c>
      <c r="T1222">
        <f>Prams!B$5/(S1222-Prams!B$6)</f>
        <v>16.225716591563405</v>
      </c>
      <c r="U1222">
        <f t="shared" ca="1" si="111"/>
        <v>2.3204861111111108</v>
      </c>
      <c r="V1222">
        <f ca="1">Prams!C$5/(U1222-Prams!C$6)</f>
        <v>28.399740199750159</v>
      </c>
      <c r="W1222" t="e">
        <f t="shared" ca="1" si="112"/>
        <v>#N/A</v>
      </c>
      <c r="X1222" t="s">
        <v>3049</v>
      </c>
    </row>
    <row r="1223" spans="1:24" hidden="1" x14ac:dyDescent="0.55000000000000004">
      <c r="A1223" s="1" t="s">
        <v>3113</v>
      </c>
      <c r="B1223" s="1">
        <v>121</v>
      </c>
      <c r="C1223">
        <v>639</v>
      </c>
      <c r="D1223">
        <v>603.5</v>
      </c>
      <c r="E1223">
        <v>10.012589999999999</v>
      </c>
      <c r="F1223" t="s">
        <v>3112</v>
      </c>
      <c r="G1223" s="10" t="s">
        <v>3098</v>
      </c>
      <c r="H1223">
        <v>98</v>
      </c>
      <c r="I1223" t="s">
        <v>3087</v>
      </c>
      <c r="J1223">
        <f ca="1">VLOOKUP(G1223,INDIRECT("球速変換!A$1:B$" &amp; Prams!$B$8),2,)</f>
        <v>170</v>
      </c>
      <c r="K1223" t="str">
        <f ca="1">VLOOKUP(I1223,INDIRECT("投手名変換!A$1:B$" &amp; Prams!$B$9),2,)</f>
        <v>AD001</v>
      </c>
      <c r="L1223">
        <f t="shared" si="108"/>
        <v>23</v>
      </c>
      <c r="M1223">
        <f ca="1">(B1223-VLOOKUP(K1223,INDIRECT("投手データ!B1:D"&amp;Prams!$B$1),3,FALSE)*2)</f>
        <v>27</v>
      </c>
      <c r="N1223" t="str">
        <f ca="1">VLOOKUP(F1223,INDIRECT("球種変換表!A$1:B$" &amp; Prams!$B$2),2,)</f>
        <v>全力ストレート</v>
      </c>
      <c r="O1223">
        <f ca="1">VLOOKUP(N1223,球種情報!A:B,2,FALSE)</f>
        <v>2</v>
      </c>
      <c r="P1223">
        <f ca="1">VLOOKUP(K1223,投手データ!B:AI,output!O1223+6,FALSE)</f>
        <v>1</v>
      </c>
      <c r="R1223">
        <f t="shared" ca="1" si="109"/>
        <v>5.8823529411764705E-3</v>
      </c>
      <c r="S1223">
        <f t="shared" si="110"/>
        <v>0.38090277777777781</v>
      </c>
      <c r="T1223">
        <f>Prams!B$5/(S1223-Prams!B$6)</f>
        <v>192.83363802559415</v>
      </c>
      <c r="U1223">
        <f t="shared" ca="1" si="111"/>
        <v>0.44756944444444446</v>
      </c>
      <c r="V1223">
        <f ca="1">Prams!C$5/(U1223-Prams!C$6)</f>
        <v>203.3855742079339</v>
      </c>
      <c r="W1223">
        <f t="shared" ca="1" si="112"/>
        <v>1.1963857306349053</v>
      </c>
    </row>
    <row r="1224" spans="1:24" hidden="1" x14ac:dyDescent="0.55000000000000004">
      <c r="A1224" s="1" t="s">
        <v>3117</v>
      </c>
      <c r="B1224" s="1">
        <v>121</v>
      </c>
      <c r="C1224">
        <v>637.55260999999996</v>
      </c>
      <c r="D1224">
        <v>600.5</v>
      </c>
      <c r="E1224">
        <v>9.5658300000000001</v>
      </c>
      <c r="F1224" t="s">
        <v>3114</v>
      </c>
      <c r="G1224" s="10" t="s">
        <v>3115</v>
      </c>
      <c r="H1224">
        <v>98</v>
      </c>
      <c r="I1224" t="s">
        <v>3116</v>
      </c>
      <c r="J1224">
        <f ca="1">VLOOKUP(G1224,INDIRECT("球速変換!A$1:B$" &amp; Prams!$B$8),2,)</f>
        <v>169</v>
      </c>
      <c r="K1224" t="str">
        <f ca="1">VLOOKUP(I1224,INDIRECT("投手名変換!A$1:B$" &amp; Prams!$B$9),2,)</f>
        <v>AD001</v>
      </c>
      <c r="L1224">
        <f t="shared" si="108"/>
        <v>23</v>
      </c>
      <c r="M1224">
        <f ca="1">(B1224-VLOOKUP(K1224,INDIRECT("投手データ!B1:D"&amp;Prams!$B$1),3,FALSE)*2)</f>
        <v>27</v>
      </c>
      <c r="N1224" t="str">
        <f ca="1">VLOOKUP(F1224,INDIRECT("球種変換表!A$1:B$" &amp; Prams!$B$2),2,)</f>
        <v>全力ストレート</v>
      </c>
      <c r="O1224">
        <f ca="1">VLOOKUP(N1224,球種情報!A:B,2,FALSE)</f>
        <v>2</v>
      </c>
      <c r="P1224">
        <f ca="1">VLOOKUP(K1224,投手データ!B:AI,output!O1224+6,FALSE)</f>
        <v>1</v>
      </c>
      <c r="R1224">
        <f t="shared" ca="1" si="109"/>
        <v>5.9171597633136093E-3</v>
      </c>
      <c r="S1224">
        <f t="shared" si="110"/>
        <v>0.38298611111111114</v>
      </c>
      <c r="T1224">
        <f>Prams!B$5/(S1224-Prams!B$6)</f>
        <v>191.58866115161791</v>
      </c>
      <c r="U1224">
        <f t="shared" ca="1" si="111"/>
        <v>0.44965277777777779</v>
      </c>
      <c r="V1224">
        <f ca="1">Prams!C$5/(U1224-Prams!C$6)</f>
        <v>202.00110728904781</v>
      </c>
      <c r="W1224">
        <f t="shared" ca="1" si="112"/>
        <v>1.1952728241955493</v>
      </c>
    </row>
    <row r="1225" spans="1:24" hidden="1" x14ac:dyDescent="0.55000000000000004">
      <c r="A1225" s="1" t="s">
        <v>3119</v>
      </c>
      <c r="B1225" s="1">
        <v>122</v>
      </c>
      <c r="C1225">
        <v>643.5</v>
      </c>
      <c r="D1225">
        <v>627</v>
      </c>
      <c r="E1225">
        <v>10.5001</v>
      </c>
      <c r="F1225" t="s">
        <v>3112</v>
      </c>
      <c r="G1225" s="10" t="s">
        <v>3095</v>
      </c>
      <c r="H1225">
        <v>98</v>
      </c>
      <c r="I1225" t="s">
        <v>3118</v>
      </c>
      <c r="J1225">
        <v>168</v>
      </c>
      <c r="K1225" t="str">
        <f ca="1">VLOOKUP(I1225,INDIRECT("投手名変換!A$1:B$" &amp; Prams!$B$9),2,)</f>
        <v>AD001</v>
      </c>
      <c r="L1225">
        <f t="shared" si="108"/>
        <v>24</v>
      </c>
      <c r="M1225">
        <f ca="1">(B1225-VLOOKUP(K1225,INDIRECT("投手データ!B1:D"&amp;Prams!$B$1),3,FALSE)*2)</f>
        <v>28</v>
      </c>
      <c r="N1225" t="str">
        <f ca="1">VLOOKUP(F1225,INDIRECT("球種変換表!A$1:B$" &amp; Prams!$B$2),2,)</f>
        <v>全力ストレート</v>
      </c>
      <c r="O1225">
        <f ca="1">VLOOKUP(N1225,球種情報!A:B,2,FALSE)</f>
        <v>2</v>
      </c>
      <c r="P1225">
        <f ca="1">VLOOKUP(K1225,投手データ!B:AI,output!O1225+6,FALSE)</f>
        <v>1</v>
      </c>
      <c r="R1225">
        <f t="shared" si="109"/>
        <v>5.9523809523809521E-3</v>
      </c>
      <c r="S1225">
        <f t="shared" si="110"/>
        <v>0.38124999999999998</v>
      </c>
      <c r="T1225">
        <f>Prams!B$5/(S1225-Prams!B$6)</f>
        <v>192.62501947343824</v>
      </c>
      <c r="U1225">
        <f t="shared" ca="1" si="111"/>
        <v>0.44791666666666669</v>
      </c>
      <c r="V1225">
        <f ca="1">Prams!C$5/(U1225-Prams!C$6)</f>
        <v>203.15351333588913</v>
      </c>
      <c r="W1225">
        <f t="shared" ca="1" si="112"/>
        <v>1.2092471031898162</v>
      </c>
    </row>
    <row r="1226" spans="1:24" hidden="1" x14ac:dyDescent="0.55000000000000004">
      <c r="A1226" s="1" t="s">
        <v>3120</v>
      </c>
      <c r="B1226" s="1">
        <v>121</v>
      </c>
      <c r="C1226">
        <v>639</v>
      </c>
      <c r="D1226">
        <v>600.5</v>
      </c>
      <c r="E1226">
        <v>10.012589999999999</v>
      </c>
      <c r="F1226" t="s">
        <v>3112</v>
      </c>
      <c r="G1226" s="10" t="s">
        <v>3092</v>
      </c>
      <c r="H1226">
        <v>98</v>
      </c>
      <c r="I1226" t="s">
        <v>3087</v>
      </c>
      <c r="J1226">
        <f ca="1">VLOOKUP(G1226,INDIRECT("球速変換!A$1:B$" &amp; Prams!$B$8),2,)</f>
        <v>169</v>
      </c>
      <c r="K1226" t="str">
        <f ca="1">VLOOKUP(I1226,INDIRECT("投手名変換!A$1:B$" &amp; Prams!$B$9),2,)</f>
        <v>AD001</v>
      </c>
      <c r="L1226">
        <f t="shared" si="108"/>
        <v>23</v>
      </c>
      <c r="M1226">
        <f ca="1">(B1226-VLOOKUP(K1226,INDIRECT("投手データ!B1:D"&amp;Prams!$B$1),3,FALSE)*2)</f>
        <v>27</v>
      </c>
      <c r="N1226" t="str">
        <f ca="1">VLOOKUP(F1226,INDIRECT("球種変換表!A$1:B$" &amp; Prams!$B$2),2,)</f>
        <v>全力ストレート</v>
      </c>
      <c r="O1226">
        <f ca="1">VLOOKUP(N1226,球種情報!A:B,2,FALSE)</f>
        <v>2</v>
      </c>
      <c r="P1226">
        <f ca="1">VLOOKUP(K1226,投手データ!B:AI,output!O1226+6,FALSE)</f>
        <v>1</v>
      </c>
      <c r="R1226">
        <f t="shared" ca="1" si="109"/>
        <v>5.9171597633136093E-3</v>
      </c>
      <c r="S1226">
        <f t="shared" si="110"/>
        <v>0.38298611111111114</v>
      </c>
      <c r="T1226">
        <f>Prams!B$5/(S1226-Prams!B$6)</f>
        <v>191.58866115161791</v>
      </c>
      <c r="U1226">
        <f t="shared" ca="1" si="111"/>
        <v>0.44965277777777779</v>
      </c>
      <c r="V1226">
        <f ca="1">Prams!C$5/(U1226-Prams!C$6)</f>
        <v>202.00110728904781</v>
      </c>
      <c r="W1226">
        <f t="shared" ca="1" si="112"/>
        <v>1.1952728241955493</v>
      </c>
    </row>
    <row r="1227" spans="1:24" hidden="1" x14ac:dyDescent="0.55000000000000004">
      <c r="A1227" s="1" t="s">
        <v>3122</v>
      </c>
      <c r="B1227" s="1">
        <v>121</v>
      </c>
      <c r="C1227">
        <v>639</v>
      </c>
      <c r="D1227">
        <v>605</v>
      </c>
      <c r="E1227">
        <v>11.0001</v>
      </c>
      <c r="F1227" t="s">
        <v>3121</v>
      </c>
      <c r="G1227" s="10" t="s">
        <v>3101</v>
      </c>
      <c r="H1227">
        <v>98</v>
      </c>
      <c r="I1227" t="s">
        <v>3090</v>
      </c>
      <c r="J1227">
        <f ca="1">VLOOKUP(G1227,INDIRECT("球速変換!A$1:B$" &amp; Prams!$B$8),2,)</f>
        <v>171</v>
      </c>
      <c r="K1227" t="str">
        <f ca="1">VLOOKUP(I1227,INDIRECT("投手名変換!A$1:B$" &amp; Prams!$B$9),2,)</f>
        <v>AD001</v>
      </c>
      <c r="L1227">
        <f t="shared" si="108"/>
        <v>23</v>
      </c>
      <c r="M1227">
        <f ca="1">(B1227-VLOOKUP(K1227,INDIRECT("投手データ!B1:D"&amp;Prams!$B$1),3,FALSE)*2)</f>
        <v>27</v>
      </c>
      <c r="N1227" t="str">
        <f ca="1">VLOOKUP(F1227,INDIRECT("球種変換表!A$1:B$" &amp; Prams!$B$2),2,)</f>
        <v>全力ストレート</v>
      </c>
      <c r="O1227">
        <f ca="1">VLOOKUP(N1227,球種情報!A:B,2,FALSE)</f>
        <v>2</v>
      </c>
      <c r="P1227">
        <f ca="1">VLOOKUP(K1227,投手データ!B:AI,output!O1227+6,FALSE)</f>
        <v>1</v>
      </c>
      <c r="R1227">
        <f t="shared" ca="1" si="109"/>
        <v>5.8479532163742687E-3</v>
      </c>
      <c r="S1227">
        <f t="shared" si="110"/>
        <v>0.37986111111111115</v>
      </c>
      <c r="T1227">
        <f>Prams!B$5/(S1227-Prams!B$6)</f>
        <v>193.46221380017732</v>
      </c>
      <c r="U1227">
        <f t="shared" ca="1" si="111"/>
        <v>0.4465277777777778</v>
      </c>
      <c r="V1227">
        <f ca="1">Prams!C$5/(U1227-Prams!C$6)</f>
        <v>204.08494874099068</v>
      </c>
      <c r="W1227">
        <f t="shared" ca="1" si="112"/>
        <v>1.1934792324034542</v>
      </c>
    </row>
    <row r="1228" spans="1:24" hidden="1" x14ac:dyDescent="0.55000000000000004">
      <c r="A1228" s="1" t="s">
        <v>3123</v>
      </c>
      <c r="B1228" s="1">
        <v>121</v>
      </c>
      <c r="C1228">
        <v>640</v>
      </c>
      <c r="D1228">
        <v>608</v>
      </c>
      <c r="E1228">
        <v>11.0001</v>
      </c>
      <c r="F1228" t="s">
        <v>3112</v>
      </c>
      <c r="G1228" s="10" t="s">
        <v>3106</v>
      </c>
      <c r="H1228">
        <v>98</v>
      </c>
      <c r="I1228" t="s">
        <v>3116</v>
      </c>
      <c r="J1228">
        <f ca="1">VLOOKUP(G1228,INDIRECT("球速変換!A$1:B$" &amp; Prams!$B$8),2,)</f>
        <v>173</v>
      </c>
      <c r="K1228" t="str">
        <f ca="1">VLOOKUP(I1228,INDIRECT("投手名変換!A$1:B$" &amp; Prams!$B$9),2,)</f>
        <v>AD001</v>
      </c>
      <c r="L1228">
        <f t="shared" si="108"/>
        <v>23</v>
      </c>
      <c r="M1228">
        <f ca="1">(B1228-VLOOKUP(K1228,INDIRECT("投手データ!B1:D"&amp;Prams!$B$1),3,FALSE)*2)</f>
        <v>27</v>
      </c>
      <c r="N1228" t="str">
        <f ca="1">VLOOKUP(F1228,INDIRECT("球種変換表!A$1:B$" &amp; Prams!$B$2),2,)</f>
        <v>全力ストレート</v>
      </c>
      <c r="O1228">
        <f ca="1">VLOOKUP(N1228,球種情報!A:B,2,FALSE)</f>
        <v>2</v>
      </c>
      <c r="P1228">
        <f ca="1">VLOOKUP(K1228,投手データ!B:AI,output!O1228+6,FALSE)</f>
        <v>1</v>
      </c>
      <c r="R1228">
        <f t="shared" ca="1" si="109"/>
        <v>5.7803468208092483E-3</v>
      </c>
      <c r="S1228">
        <f t="shared" si="110"/>
        <v>0.37777777777777782</v>
      </c>
      <c r="T1228">
        <f>Prams!B$5/(S1228-Prams!B$6)</f>
        <v>194.73173975431351</v>
      </c>
      <c r="U1228">
        <f t="shared" ca="1" si="111"/>
        <v>0.44444444444444448</v>
      </c>
      <c r="V1228">
        <f ca="1">Prams!C$5/(U1228-Prams!C$6)</f>
        <v>205.49822721229131</v>
      </c>
      <c r="W1228">
        <f t="shared" ca="1" si="112"/>
        <v>1.1878510243485048</v>
      </c>
    </row>
    <row r="1229" spans="1:24" hidden="1" x14ac:dyDescent="0.55000000000000004">
      <c r="A1229" s="1" t="s">
        <v>3125</v>
      </c>
      <c r="B1229" s="1">
        <v>121</v>
      </c>
      <c r="C1229">
        <v>640.5</v>
      </c>
      <c r="D1229">
        <v>608.5</v>
      </c>
      <c r="E1229">
        <v>10.512</v>
      </c>
      <c r="F1229" t="s">
        <v>3112</v>
      </c>
      <c r="G1229" s="10" t="s">
        <v>3106</v>
      </c>
      <c r="H1229">
        <v>98</v>
      </c>
      <c r="I1229" t="s">
        <v>3124</v>
      </c>
      <c r="J1229">
        <f ca="1">VLOOKUP(G1229,INDIRECT("球速変換!A$1:B$" &amp; Prams!$B$8),2,)</f>
        <v>173</v>
      </c>
      <c r="K1229" t="str">
        <f ca="1">VLOOKUP(I1229,INDIRECT("投手名変換!A$1:B$" &amp; Prams!$B$9),2,)</f>
        <v>AD001</v>
      </c>
      <c r="L1229">
        <f t="shared" si="108"/>
        <v>23</v>
      </c>
      <c r="M1229">
        <f ca="1">(B1229-VLOOKUP(K1229,INDIRECT("投手データ!B1:D"&amp;Prams!$B$1),3,FALSE)*2)</f>
        <v>27</v>
      </c>
      <c r="N1229" t="str">
        <f ca="1">VLOOKUP(F1229,INDIRECT("球種変換表!A$1:B$" &amp; Prams!$B$2),2,)</f>
        <v>全力ストレート</v>
      </c>
      <c r="O1229">
        <f ca="1">VLOOKUP(N1229,球種情報!A:B,2,FALSE)</f>
        <v>2</v>
      </c>
      <c r="P1229">
        <f ca="1">VLOOKUP(K1229,投手データ!B:AI,output!O1229+6,FALSE)</f>
        <v>1</v>
      </c>
      <c r="R1229">
        <f t="shared" ca="1" si="109"/>
        <v>5.7803468208092483E-3</v>
      </c>
      <c r="S1229">
        <f t="shared" si="110"/>
        <v>0.37743055555555555</v>
      </c>
      <c r="T1229">
        <f>Prams!B$5/(S1229-Prams!B$6)</f>
        <v>194.94494906584217</v>
      </c>
      <c r="U1229">
        <f t="shared" ca="1" si="111"/>
        <v>0.4440972222222222</v>
      </c>
      <c r="V1229">
        <f ca="1">Prams!C$5/(U1229-Prams!C$6)</f>
        <v>205.73567882860817</v>
      </c>
      <c r="W1229">
        <f t="shared" ca="1" si="112"/>
        <v>1.1892235770439779</v>
      </c>
    </row>
    <row r="1230" spans="1:24" hidden="1" x14ac:dyDescent="0.55000000000000004">
      <c r="A1230" s="1" t="s">
        <v>3127</v>
      </c>
      <c r="B1230" s="1">
        <v>121</v>
      </c>
      <c r="C1230">
        <v>640</v>
      </c>
      <c r="D1230">
        <v>608.5</v>
      </c>
      <c r="E1230">
        <v>11.01146</v>
      </c>
      <c r="F1230" t="s">
        <v>3112</v>
      </c>
      <c r="G1230" s="10" t="s">
        <v>3126</v>
      </c>
      <c r="H1230">
        <v>98</v>
      </c>
      <c r="I1230" t="s">
        <v>3090</v>
      </c>
      <c r="J1230">
        <f ca="1">VLOOKUP(G1230,INDIRECT("球速変換!A$1:B$" &amp; Prams!$B$8),2,)</f>
        <v>173</v>
      </c>
      <c r="K1230" t="str">
        <f ca="1">VLOOKUP(I1230,INDIRECT("投手名変換!A$1:B$" &amp; Prams!$B$9),2,)</f>
        <v>AD001</v>
      </c>
      <c r="L1230">
        <f t="shared" si="108"/>
        <v>23</v>
      </c>
      <c r="M1230">
        <f ca="1">(B1230-VLOOKUP(K1230,INDIRECT("投手データ!B1:D"&amp;Prams!$B$1),3,FALSE)*2)</f>
        <v>27</v>
      </c>
      <c r="N1230" t="str">
        <f ca="1">VLOOKUP(F1230,INDIRECT("球種変換表!A$1:B$" &amp; Prams!$B$2),2,)</f>
        <v>全力ストレート</v>
      </c>
      <c r="O1230">
        <f ca="1">VLOOKUP(N1230,球種情報!A:B,2,FALSE)</f>
        <v>2</v>
      </c>
      <c r="P1230">
        <f ca="1">VLOOKUP(K1230,投手データ!B:AI,output!O1230+6,FALSE)</f>
        <v>1</v>
      </c>
      <c r="R1230">
        <f t="shared" ca="1" si="109"/>
        <v>5.7803468208092483E-3</v>
      </c>
      <c r="S1230">
        <f t="shared" si="110"/>
        <v>0.37743055555555555</v>
      </c>
      <c r="T1230">
        <f>Prams!B$5/(S1230-Prams!B$6)</f>
        <v>194.94494906584217</v>
      </c>
      <c r="U1230">
        <f t="shared" ca="1" si="111"/>
        <v>0.4440972222222222</v>
      </c>
      <c r="V1230">
        <f ca="1">Prams!C$5/(U1230-Prams!C$6)</f>
        <v>205.73567882860817</v>
      </c>
      <c r="W1230">
        <f t="shared" ca="1" si="112"/>
        <v>1.1892235770439779</v>
      </c>
    </row>
    <row r="1231" spans="1:24" hidden="1" x14ac:dyDescent="0.55000000000000004">
      <c r="A1231" s="1" t="s">
        <v>3129</v>
      </c>
      <c r="B1231" s="1">
        <v>121</v>
      </c>
      <c r="C1231">
        <v>639.5</v>
      </c>
      <c r="D1231">
        <v>608.5</v>
      </c>
      <c r="E1231">
        <v>10.512</v>
      </c>
      <c r="F1231" t="s">
        <v>3128</v>
      </c>
      <c r="G1231" s="10" t="s">
        <v>3106</v>
      </c>
      <c r="H1231">
        <v>98</v>
      </c>
      <c r="I1231" t="s">
        <v>3099</v>
      </c>
      <c r="J1231">
        <f ca="1">VLOOKUP(G1231,INDIRECT("球速変換!A$1:B$" &amp; Prams!$B$8),2,)</f>
        <v>173</v>
      </c>
      <c r="K1231" t="str">
        <f ca="1">VLOOKUP(I1231,INDIRECT("投手名変換!A$1:B$" &amp; Prams!$B$9),2,)</f>
        <v>AD001</v>
      </c>
      <c r="L1231">
        <f t="shared" si="108"/>
        <v>23</v>
      </c>
      <c r="M1231">
        <f ca="1">(B1231-VLOOKUP(K1231,INDIRECT("投手データ!B1:D"&amp;Prams!$B$1),3,FALSE)*2)</f>
        <v>27</v>
      </c>
      <c r="N1231" t="str">
        <f ca="1">VLOOKUP(F1231,INDIRECT("球種変換表!A$1:B$" &amp; Prams!$B$2),2,)</f>
        <v>全力ストレート</v>
      </c>
      <c r="O1231">
        <f ca="1">VLOOKUP(N1231,球種情報!A:B,2,FALSE)</f>
        <v>2</v>
      </c>
      <c r="P1231">
        <f ca="1">VLOOKUP(K1231,投手データ!B:AI,output!O1231+6,FALSE)</f>
        <v>1</v>
      </c>
      <c r="R1231">
        <f t="shared" ca="1" si="109"/>
        <v>5.7803468208092483E-3</v>
      </c>
      <c r="S1231">
        <f t="shared" si="110"/>
        <v>0.37743055555555555</v>
      </c>
      <c r="T1231">
        <f>Prams!B$5/(S1231-Prams!B$6)</f>
        <v>194.94494906584217</v>
      </c>
      <c r="U1231">
        <f t="shared" ca="1" si="111"/>
        <v>0.4440972222222222</v>
      </c>
      <c r="V1231">
        <f ca="1">Prams!C$5/(U1231-Prams!C$6)</f>
        <v>205.73567882860817</v>
      </c>
      <c r="W1231">
        <f t="shared" ca="1" si="112"/>
        <v>1.1892235770439779</v>
      </c>
    </row>
    <row r="1232" spans="1:24" hidden="1" x14ac:dyDescent="0.55000000000000004">
      <c r="A1232" s="1" t="s">
        <v>3130</v>
      </c>
      <c r="B1232" s="1">
        <v>121</v>
      </c>
      <c r="C1232">
        <v>639</v>
      </c>
      <c r="D1232">
        <v>603.5</v>
      </c>
      <c r="E1232">
        <v>10.012589999999999</v>
      </c>
      <c r="F1232" t="s">
        <v>3112</v>
      </c>
      <c r="G1232" s="10" t="s">
        <v>3098</v>
      </c>
      <c r="H1232">
        <v>98</v>
      </c>
      <c r="I1232" t="s">
        <v>3093</v>
      </c>
      <c r="J1232">
        <f ca="1">VLOOKUP(G1232,INDIRECT("球速変換!A$1:B$" &amp; Prams!$B$8),2,)</f>
        <v>170</v>
      </c>
      <c r="K1232" t="str">
        <f ca="1">VLOOKUP(I1232,INDIRECT("投手名変換!A$1:B$" &amp; Prams!$B$9),2,)</f>
        <v>AD001</v>
      </c>
      <c r="L1232">
        <f t="shared" si="108"/>
        <v>23</v>
      </c>
      <c r="M1232">
        <f ca="1">(B1232-VLOOKUP(K1232,INDIRECT("投手データ!B1:D"&amp;Prams!$B$1),3,FALSE)*2)</f>
        <v>27</v>
      </c>
      <c r="N1232" t="str">
        <f ca="1">VLOOKUP(F1232,INDIRECT("球種変換表!A$1:B$" &amp; Prams!$B$2),2,)</f>
        <v>全力ストレート</v>
      </c>
      <c r="O1232">
        <f ca="1">VLOOKUP(N1232,球種情報!A:B,2,FALSE)</f>
        <v>2</v>
      </c>
      <c r="P1232">
        <f ca="1">VLOOKUP(K1232,投手データ!B:AI,output!O1232+6,FALSE)</f>
        <v>1</v>
      </c>
      <c r="R1232">
        <f t="shared" ca="1" si="109"/>
        <v>5.8823529411764705E-3</v>
      </c>
      <c r="S1232">
        <f t="shared" si="110"/>
        <v>0.38090277777777781</v>
      </c>
      <c r="T1232">
        <f>Prams!B$5/(S1232-Prams!B$6)</f>
        <v>192.83363802559415</v>
      </c>
      <c r="U1232">
        <f t="shared" ca="1" si="111"/>
        <v>0.44756944444444446</v>
      </c>
      <c r="V1232">
        <f ca="1">Prams!C$5/(U1232-Prams!C$6)</f>
        <v>203.3855742079339</v>
      </c>
      <c r="W1232">
        <f t="shared" ca="1" si="112"/>
        <v>1.1963857306349053</v>
      </c>
    </row>
    <row r="1233" spans="1:24" hidden="1" x14ac:dyDescent="0.55000000000000004">
      <c r="A1233" s="1" t="s">
        <v>3134</v>
      </c>
      <c r="B1233" s="1">
        <v>129</v>
      </c>
      <c r="C1233">
        <v>647</v>
      </c>
      <c r="D1233">
        <v>606.5</v>
      </c>
      <c r="E1233">
        <v>11.01146</v>
      </c>
      <c r="F1233" t="s">
        <v>3131</v>
      </c>
      <c r="G1233" s="10" t="s">
        <v>3132</v>
      </c>
      <c r="H1233">
        <v>101</v>
      </c>
      <c r="I1233" t="s">
        <v>3133</v>
      </c>
      <c r="J1233">
        <f ca="1">VLOOKUP(G1233,INDIRECT("球速変換!A$1:B$" &amp; Prams!$B$8),2,)</f>
        <v>160</v>
      </c>
      <c r="K1233" t="str">
        <f ca="1">VLOOKUP(I1233,INDIRECT("投手名変換!A$1:B$" &amp; Prams!$B$9),2,)</f>
        <v>AD001</v>
      </c>
      <c r="L1233">
        <f t="shared" si="108"/>
        <v>28</v>
      </c>
      <c r="M1233">
        <f ca="1">(B1233-VLOOKUP(K1233,INDIRECT("投手データ!B1:D"&amp;Prams!$B$1),3,FALSE)*2)</f>
        <v>35</v>
      </c>
      <c r="N1233" t="str">
        <f ca="1">VLOOKUP(F1233,INDIRECT("球種変換表!A$1:B$" &amp; Prams!$B$2),2,)</f>
        <v>Hスライダー</v>
      </c>
      <c r="O1233">
        <f ca="1">VLOOKUP(N1233,球種情報!A:B,2,FALSE)</f>
        <v>7</v>
      </c>
      <c r="P1233">
        <f ca="1">VLOOKUP(K1233,投手データ!B:AI,output!O1233+6,FALSE)</f>
        <v>0</v>
      </c>
      <c r="R1233">
        <f t="shared" ca="1" si="109"/>
        <v>6.2500000000000003E-3</v>
      </c>
      <c r="S1233">
        <f t="shared" si="110"/>
        <v>0.4621527777777778</v>
      </c>
      <c r="T1233">
        <f>Prams!B$5/(S1233-Prams!B$6)</f>
        <v>153.84489897488714</v>
      </c>
      <c r="U1233">
        <f t="shared" ca="1" si="111"/>
        <v>0.57881944444444444</v>
      </c>
      <c r="V1233">
        <f ca="1">Prams!C$5/(U1233-Prams!C$6)</f>
        <v>142.05017902845947</v>
      </c>
      <c r="W1233">
        <f t="shared" ca="1" si="112"/>
        <v>0.88781361892787169</v>
      </c>
    </row>
    <row r="1234" spans="1:24" hidden="1" x14ac:dyDescent="0.55000000000000004">
      <c r="A1234" s="1" t="s">
        <v>3137</v>
      </c>
      <c r="B1234" s="1">
        <v>129</v>
      </c>
      <c r="C1234">
        <v>658.5</v>
      </c>
      <c r="D1234">
        <v>614</v>
      </c>
      <c r="E1234">
        <v>10.547610000000001</v>
      </c>
      <c r="F1234" t="s">
        <v>3135</v>
      </c>
      <c r="G1234" s="10" t="s">
        <v>3136</v>
      </c>
      <c r="H1234">
        <v>101</v>
      </c>
      <c r="I1234" t="s">
        <v>3090</v>
      </c>
      <c r="J1234">
        <f ca="1">VLOOKUP(G1234,INDIRECT("球速変換!A$1:B$" &amp; Prams!$B$8),2,)</f>
        <v>102</v>
      </c>
      <c r="K1234" t="str">
        <f ca="1">VLOOKUP(I1234,INDIRECT("投手名変換!A$1:B$" &amp; Prams!$B$9),2,)</f>
        <v>AD001</v>
      </c>
      <c r="L1234">
        <f t="shared" si="108"/>
        <v>28</v>
      </c>
      <c r="M1234">
        <f ca="1">(B1234-VLOOKUP(K1234,INDIRECT("投手データ!B1:D"&amp;Prams!$B$1),3,FALSE)*2)</f>
        <v>35</v>
      </c>
      <c r="N1234" t="str">
        <f ca="1">VLOOKUP(F1234,INDIRECT("球種変換表!A$1:B$" &amp; Prams!$B$2),2,)</f>
        <v>Hスライダー</v>
      </c>
      <c r="O1234">
        <f ca="1">VLOOKUP(N1234,球種情報!A:B,2,FALSE)</f>
        <v>7</v>
      </c>
      <c r="P1234">
        <f ca="1">VLOOKUP(K1234,投手データ!B:AI,output!O1234+6,FALSE)</f>
        <v>0</v>
      </c>
      <c r="R1234">
        <f t="shared" ca="1" si="109"/>
        <v>9.8039215686274508E-3</v>
      </c>
      <c r="S1234">
        <f t="shared" si="110"/>
        <v>0.45694444444444449</v>
      </c>
      <c r="T1234">
        <f>Prams!B$5/(S1234-Prams!B$6)</f>
        <v>155.86503445571179</v>
      </c>
      <c r="U1234">
        <f t="shared" ca="1" si="111"/>
        <v>0.57361111111111107</v>
      </c>
      <c r="V1234">
        <f ca="1">Prams!C$5/(U1234-Prams!C$6)</f>
        <v>143.7707035993902</v>
      </c>
      <c r="W1234">
        <f t="shared" ca="1" si="112"/>
        <v>1.4095167019548058</v>
      </c>
    </row>
    <row r="1235" spans="1:24" hidden="1" x14ac:dyDescent="0.55000000000000004">
      <c r="A1235" s="1" t="s">
        <v>3141</v>
      </c>
      <c r="B1235" s="1">
        <v>129</v>
      </c>
      <c r="C1235">
        <v>661.04998999999998</v>
      </c>
      <c r="D1235">
        <v>618.5</v>
      </c>
      <c r="E1235">
        <v>10.06254</v>
      </c>
      <c r="F1235" t="s">
        <v>3138</v>
      </c>
      <c r="G1235" s="10" t="s">
        <v>3139</v>
      </c>
      <c r="H1235">
        <v>101</v>
      </c>
      <c r="I1235" t="s">
        <v>3140</v>
      </c>
      <c r="J1235">
        <f ca="1">VLOOKUP(G1235,INDIRECT("球速変換!A$1:B$" &amp; Prams!$B$8),2,)</f>
        <v>164</v>
      </c>
      <c r="K1235" t="str">
        <f ca="1">VLOOKUP(I1235,INDIRECT("投手名変換!A$1:B$" &amp; Prams!$B$9),2,)</f>
        <v>AD001</v>
      </c>
      <c r="L1235">
        <f t="shared" si="108"/>
        <v>28</v>
      </c>
      <c r="M1235">
        <f ca="1">(B1235-VLOOKUP(K1235,INDIRECT("投手データ!B1:D"&amp;Prams!$B$1),3,FALSE)*2)</f>
        <v>35</v>
      </c>
      <c r="N1235" t="str">
        <f ca="1">VLOOKUP(F1235,INDIRECT("球種変換表!A$1:B$" &amp; Prams!$B$2),2,)</f>
        <v>Hスライダー</v>
      </c>
      <c r="O1235">
        <f ca="1">VLOOKUP(N1235,球種情報!A:B,2,FALSE)</f>
        <v>7</v>
      </c>
      <c r="P1235">
        <f ca="1">VLOOKUP(K1235,投手データ!B:AI,output!O1235+6,FALSE)</f>
        <v>0</v>
      </c>
      <c r="R1235">
        <f t="shared" ca="1" si="109"/>
        <v>6.0975609756097563E-3</v>
      </c>
      <c r="S1235">
        <f t="shared" si="110"/>
        <v>0.45381944444444444</v>
      </c>
      <c r="T1235">
        <f>Prams!B$5/(S1235-Prams!B$6)</f>
        <v>157.10278328756874</v>
      </c>
      <c r="U1235">
        <f t="shared" ca="1" si="111"/>
        <v>0.57048611111111103</v>
      </c>
      <c r="V1235">
        <f ca="1">Prams!C$5/(U1235-Prams!C$6)</f>
        <v>144.82317037461203</v>
      </c>
      <c r="W1235">
        <f t="shared" ca="1" si="112"/>
        <v>0.88306811204031732</v>
      </c>
    </row>
    <row r="1236" spans="1:24" hidden="1" x14ac:dyDescent="0.55000000000000004">
      <c r="A1236" s="1" t="s">
        <v>3144</v>
      </c>
      <c r="B1236" s="1">
        <v>129</v>
      </c>
      <c r="C1236">
        <v>662.5</v>
      </c>
      <c r="D1236">
        <v>613.5</v>
      </c>
      <c r="E1236">
        <v>10.512</v>
      </c>
      <c r="F1236" t="s">
        <v>3142</v>
      </c>
      <c r="G1236" s="10" t="s">
        <v>3143</v>
      </c>
      <c r="H1236">
        <v>101</v>
      </c>
      <c r="I1236" t="s">
        <v>3087</v>
      </c>
      <c r="J1236">
        <f ca="1">VLOOKUP(G1236,INDIRECT("球速変換!A$1:B$" &amp; Prams!$B$8),2,)</f>
        <v>162</v>
      </c>
      <c r="K1236" t="str">
        <f ca="1">VLOOKUP(I1236,INDIRECT("投手名変換!A$1:B$" &amp; Prams!$B$9),2,)</f>
        <v>AD001</v>
      </c>
      <c r="L1236">
        <f t="shared" si="108"/>
        <v>28</v>
      </c>
      <c r="M1236">
        <f ca="1">(B1236-VLOOKUP(K1236,INDIRECT("投手データ!B1:D"&amp;Prams!$B$1),3,FALSE)*2)</f>
        <v>35</v>
      </c>
      <c r="N1236" t="str">
        <f ca="1">VLOOKUP(F1236,INDIRECT("球種変換表!A$1:B$" &amp; Prams!$B$2),2,)</f>
        <v>Hスライダー</v>
      </c>
      <c r="O1236">
        <f ca="1">VLOOKUP(N1236,球種情報!A:B,2,FALSE)</f>
        <v>7</v>
      </c>
      <c r="P1236">
        <f ca="1">VLOOKUP(K1236,投手データ!B:AI,output!O1236+6,FALSE)</f>
        <v>0</v>
      </c>
      <c r="R1236">
        <f t="shared" ca="1" si="109"/>
        <v>6.1728395061728392E-3</v>
      </c>
      <c r="S1236">
        <f t="shared" si="110"/>
        <v>0.45729166666666665</v>
      </c>
      <c r="T1236">
        <f>Prams!B$5/(S1236-Prams!B$6)</f>
        <v>155.72870967064802</v>
      </c>
      <c r="U1236">
        <f t="shared" ca="1" si="111"/>
        <v>0.57395833333333335</v>
      </c>
      <c r="V1236">
        <f ca="1">Prams!C$5/(U1236-Prams!C$6)</f>
        <v>143.65470634936003</v>
      </c>
      <c r="W1236">
        <f t="shared" ca="1" si="112"/>
        <v>0.88675744660098776</v>
      </c>
    </row>
    <row r="1237" spans="1:24" hidden="1" x14ac:dyDescent="0.55000000000000004">
      <c r="A1237" s="1" t="s">
        <v>3146</v>
      </c>
      <c r="B1237" s="1">
        <v>129</v>
      </c>
      <c r="C1237">
        <v>654</v>
      </c>
      <c r="D1237">
        <v>608</v>
      </c>
      <c r="E1237">
        <v>10.0001</v>
      </c>
      <c r="F1237" t="s">
        <v>3135</v>
      </c>
      <c r="G1237" s="10" t="s">
        <v>3145</v>
      </c>
      <c r="H1237">
        <v>101</v>
      </c>
      <c r="I1237" t="s">
        <v>3118</v>
      </c>
      <c r="J1237">
        <f ca="1">VLOOKUP(G1237,INDIRECT("球速変換!A$1:B$" &amp; Prams!$B$8),2,)</f>
        <v>160</v>
      </c>
      <c r="K1237" t="str">
        <f ca="1">VLOOKUP(I1237,INDIRECT("投手名変換!A$1:B$" &amp; Prams!$B$9),2,)</f>
        <v>AD001</v>
      </c>
      <c r="L1237">
        <f t="shared" si="108"/>
        <v>28</v>
      </c>
      <c r="M1237">
        <f ca="1">(B1237-VLOOKUP(K1237,INDIRECT("投手データ!B1:D"&amp;Prams!$B$1),3,FALSE)*2)</f>
        <v>35</v>
      </c>
      <c r="N1237" t="str">
        <f ca="1">VLOOKUP(F1237,INDIRECT("球種変換表!A$1:B$" &amp; Prams!$B$2),2,)</f>
        <v>Hスライダー</v>
      </c>
      <c r="O1237">
        <f ca="1">VLOOKUP(N1237,球種情報!A:B,2,FALSE)</f>
        <v>7</v>
      </c>
      <c r="P1237">
        <f ca="1">VLOOKUP(K1237,投手データ!B:AI,output!O1237+6,FALSE)</f>
        <v>0</v>
      </c>
      <c r="R1237">
        <f t="shared" ca="1" si="109"/>
        <v>6.2500000000000003E-3</v>
      </c>
      <c r="S1237">
        <f t="shared" si="110"/>
        <v>0.46111111111111114</v>
      </c>
      <c r="T1237">
        <f>Prams!B$5/(S1237-Prams!B$6)</f>
        <v>154.24472597233387</v>
      </c>
      <c r="U1237">
        <f t="shared" ca="1" si="111"/>
        <v>0.57777777777777772</v>
      </c>
      <c r="V1237">
        <f ca="1">Prams!C$5/(U1237-Prams!C$6)</f>
        <v>142.39098167673254</v>
      </c>
      <c r="W1237">
        <f t="shared" ca="1" si="112"/>
        <v>0.88994363547957833</v>
      </c>
    </row>
    <row r="1238" spans="1:24" hidden="1" x14ac:dyDescent="0.55000000000000004">
      <c r="A1238" s="1" t="s">
        <v>3149</v>
      </c>
      <c r="B1238" s="1">
        <v>129</v>
      </c>
      <c r="C1238">
        <v>648.5</v>
      </c>
      <c r="D1238">
        <v>608.5</v>
      </c>
      <c r="E1238">
        <v>10.512</v>
      </c>
      <c r="F1238" t="s">
        <v>3147</v>
      </c>
      <c r="G1238" s="10" t="s">
        <v>3148</v>
      </c>
      <c r="H1238">
        <v>101</v>
      </c>
      <c r="I1238" t="s">
        <v>3102</v>
      </c>
      <c r="J1238">
        <f ca="1">VLOOKUP(G1238,INDIRECT("球速変換!A$1:B$" &amp; Prams!$B$8),2,)</f>
        <v>161</v>
      </c>
      <c r="K1238" t="str">
        <f ca="1">VLOOKUP(I1238,INDIRECT("投手名変換!A$1:B$" &amp; Prams!$B$9),2,)</f>
        <v>AD001</v>
      </c>
      <c r="L1238">
        <f t="shared" si="108"/>
        <v>28</v>
      </c>
      <c r="M1238">
        <f ca="1">(B1238-VLOOKUP(K1238,INDIRECT("投手データ!B1:D"&amp;Prams!$B$1),3,FALSE)*2)</f>
        <v>35</v>
      </c>
      <c r="N1238" t="str">
        <f ca="1">VLOOKUP(F1238,INDIRECT("球種変換表!A$1:B$" &amp; Prams!$B$2),2,)</f>
        <v>Hスライダー</v>
      </c>
      <c r="O1238">
        <f ca="1">VLOOKUP(N1238,球種情報!A:B,2,FALSE)</f>
        <v>7</v>
      </c>
      <c r="P1238">
        <f ca="1">VLOOKUP(K1238,投手データ!B:AI,output!O1238+6,FALSE)</f>
        <v>0</v>
      </c>
      <c r="R1238">
        <f t="shared" ca="1" si="109"/>
        <v>6.2111801242236021E-3</v>
      </c>
      <c r="S1238">
        <f t="shared" si="110"/>
        <v>0.46076388888888886</v>
      </c>
      <c r="T1238">
        <f>Prams!B$5/(S1238-Prams!B$6)</f>
        <v>154.37846386482346</v>
      </c>
      <c r="U1238">
        <f t="shared" ca="1" si="111"/>
        <v>0.57743055555555556</v>
      </c>
      <c r="V1238">
        <f ca="1">Prams!C$5/(U1238-Prams!C$6)</f>
        <v>142.50494624757491</v>
      </c>
      <c r="W1238">
        <f t="shared" ca="1" si="112"/>
        <v>0.88512388973649014</v>
      </c>
    </row>
    <row r="1239" spans="1:24" hidden="1" x14ac:dyDescent="0.55000000000000004">
      <c r="A1239" s="1" t="s">
        <v>3151</v>
      </c>
      <c r="B1239" s="1">
        <v>129</v>
      </c>
      <c r="C1239">
        <v>658</v>
      </c>
      <c r="D1239">
        <v>618</v>
      </c>
      <c r="E1239">
        <v>10.04998</v>
      </c>
      <c r="F1239" t="s">
        <v>3142</v>
      </c>
      <c r="G1239" s="10" t="s">
        <v>3139</v>
      </c>
      <c r="H1239">
        <v>101</v>
      </c>
      <c r="I1239" t="s">
        <v>3150</v>
      </c>
      <c r="J1239">
        <f ca="1">VLOOKUP(G1239,INDIRECT("球速変換!A$1:B$" &amp; Prams!$B$8),2,)</f>
        <v>164</v>
      </c>
      <c r="K1239" t="str">
        <f ca="1">VLOOKUP(I1239,INDIRECT("投手名変換!A$1:B$" &amp; Prams!$B$9),2,)</f>
        <v>AD001</v>
      </c>
      <c r="L1239">
        <f t="shared" si="108"/>
        <v>28</v>
      </c>
      <c r="M1239">
        <f ca="1">(B1239-VLOOKUP(K1239,INDIRECT("投手データ!B1:D"&amp;Prams!$B$1),3,FALSE)*2)</f>
        <v>35</v>
      </c>
      <c r="N1239" t="str">
        <f ca="1">VLOOKUP(F1239,INDIRECT("球種変換表!A$1:B$" &amp; Prams!$B$2),2,)</f>
        <v>Hスライダー</v>
      </c>
      <c r="O1239">
        <f ca="1">VLOOKUP(N1239,球種情報!A:B,2,FALSE)</f>
        <v>7</v>
      </c>
      <c r="P1239">
        <f ca="1">VLOOKUP(K1239,投手データ!B:AI,output!O1239+6,FALSE)</f>
        <v>0</v>
      </c>
      <c r="R1239">
        <f t="shared" ca="1" si="109"/>
        <v>6.0975609756097563E-3</v>
      </c>
      <c r="S1239">
        <f t="shared" si="110"/>
        <v>0.45416666666666666</v>
      </c>
      <c r="T1239">
        <f>Prams!B$5/(S1239-Prams!B$6)</f>
        <v>156.96428571428572</v>
      </c>
      <c r="U1239">
        <f t="shared" ca="1" si="111"/>
        <v>0.5708333333333333</v>
      </c>
      <c r="V1239">
        <f ca="1">Prams!C$5/(U1239-Prams!C$6)</f>
        <v>144.70546929858781</v>
      </c>
      <c r="W1239">
        <f t="shared" ca="1" si="112"/>
        <v>0.88235042255236473</v>
      </c>
    </row>
    <row r="1240" spans="1:24" hidden="1" x14ac:dyDescent="0.55000000000000004">
      <c r="A1240" s="1" t="s">
        <v>3152</v>
      </c>
      <c r="B1240" s="1">
        <v>129</v>
      </c>
      <c r="C1240">
        <v>655</v>
      </c>
      <c r="D1240">
        <v>613.5</v>
      </c>
      <c r="E1240">
        <v>11.01146</v>
      </c>
      <c r="F1240" t="s">
        <v>3142</v>
      </c>
      <c r="G1240" s="10" t="s">
        <v>3143</v>
      </c>
      <c r="H1240">
        <v>101</v>
      </c>
      <c r="I1240" t="s">
        <v>3140</v>
      </c>
      <c r="J1240">
        <f ca="1">VLOOKUP(G1240,INDIRECT("球速変換!A$1:B$" &amp; Prams!$B$8),2,)</f>
        <v>162</v>
      </c>
      <c r="K1240" t="str">
        <f ca="1">VLOOKUP(I1240,INDIRECT("投手名変換!A$1:B$" &amp; Prams!$B$9),2,)</f>
        <v>AD001</v>
      </c>
      <c r="L1240">
        <f t="shared" si="108"/>
        <v>28</v>
      </c>
      <c r="M1240">
        <f ca="1">(B1240-VLOOKUP(K1240,INDIRECT("投手データ!B1:D"&amp;Prams!$B$1),3,FALSE)*2)</f>
        <v>35</v>
      </c>
      <c r="N1240" t="str">
        <f ca="1">VLOOKUP(F1240,INDIRECT("球種変換表!A$1:B$" &amp; Prams!$B$2),2,)</f>
        <v>Hスライダー</v>
      </c>
      <c r="O1240">
        <f ca="1">VLOOKUP(N1240,球種情報!A:B,2,FALSE)</f>
        <v>7</v>
      </c>
      <c r="P1240">
        <f ca="1">VLOOKUP(K1240,投手データ!B:AI,output!O1240+6,FALSE)</f>
        <v>0</v>
      </c>
      <c r="R1240">
        <f t="shared" ca="1" si="109"/>
        <v>6.1728395061728392E-3</v>
      </c>
      <c r="S1240">
        <f t="shared" si="110"/>
        <v>0.45729166666666665</v>
      </c>
      <c r="T1240">
        <f>Prams!B$5/(S1240-Prams!B$6)</f>
        <v>155.72870967064802</v>
      </c>
      <c r="U1240">
        <f t="shared" ca="1" si="111"/>
        <v>0.57395833333333335</v>
      </c>
      <c r="V1240">
        <f ca="1">Prams!C$5/(U1240-Prams!C$6)</f>
        <v>143.65470634936003</v>
      </c>
      <c r="W1240">
        <f t="shared" ca="1" si="112"/>
        <v>0.88675744660098776</v>
      </c>
    </row>
    <row r="1241" spans="1:24" hidden="1" x14ac:dyDescent="0.55000000000000004">
      <c r="A1241" s="1" t="s">
        <v>3154</v>
      </c>
      <c r="B1241" s="1">
        <v>129</v>
      </c>
      <c r="C1241">
        <v>657.42107999999996</v>
      </c>
      <c r="D1241">
        <v>615</v>
      </c>
      <c r="E1241">
        <v>9.6310699999999994</v>
      </c>
      <c r="F1241" t="s">
        <v>3131</v>
      </c>
      <c r="G1241" s="10" t="s">
        <v>3153</v>
      </c>
      <c r="H1241">
        <v>101</v>
      </c>
      <c r="I1241" t="s">
        <v>3090</v>
      </c>
      <c r="J1241">
        <f ca="1">VLOOKUP(G1241,INDIRECT("球速変換!A$1:B$" &amp; Prams!$B$8),2,)</f>
        <v>163</v>
      </c>
      <c r="K1241" t="str">
        <f ca="1">VLOOKUP(I1241,INDIRECT("投手名変換!A$1:B$" &amp; Prams!$B$9),2,)</f>
        <v>AD001</v>
      </c>
      <c r="L1241">
        <f t="shared" si="108"/>
        <v>28</v>
      </c>
      <c r="M1241">
        <f ca="1">(B1241-VLOOKUP(K1241,INDIRECT("投手データ!B1:D"&amp;Prams!$B$1),3,FALSE)*2)</f>
        <v>35</v>
      </c>
      <c r="N1241" t="str">
        <f ca="1">VLOOKUP(F1241,INDIRECT("球種変換表!A$1:B$" &amp; Prams!$B$2),2,)</f>
        <v>Hスライダー</v>
      </c>
      <c r="O1241">
        <f ca="1">VLOOKUP(N1241,球種情報!A:B,2,FALSE)</f>
        <v>7</v>
      </c>
      <c r="P1241">
        <f ca="1">VLOOKUP(K1241,投手データ!B:AI,output!O1241+6,FALSE)</f>
        <v>0</v>
      </c>
      <c r="R1241">
        <f t="shared" ca="1" si="109"/>
        <v>6.1349693251533744E-3</v>
      </c>
      <c r="S1241">
        <f t="shared" si="110"/>
        <v>0.45624999999999999</v>
      </c>
      <c r="T1241">
        <f>Prams!B$5/(S1241-Prams!B$6)</f>
        <v>156.13840131329715</v>
      </c>
      <c r="U1241">
        <f t="shared" ca="1" si="111"/>
        <v>0.57291666666666663</v>
      </c>
      <c r="V1241">
        <f ca="1">Prams!C$5/(U1241-Prams!C$6)</f>
        <v>144.00326099615671</v>
      </c>
      <c r="W1241">
        <f t="shared" ca="1" si="112"/>
        <v>0.88345558893347675</v>
      </c>
    </row>
    <row r="1242" spans="1:24" hidden="1" x14ac:dyDescent="0.55000000000000004">
      <c r="A1242" s="1" t="s">
        <v>3155</v>
      </c>
      <c r="B1242" s="1">
        <v>129</v>
      </c>
      <c r="C1242">
        <v>650.5</v>
      </c>
      <c r="D1242">
        <v>606</v>
      </c>
      <c r="E1242">
        <v>10.547610000000001</v>
      </c>
      <c r="F1242" t="s">
        <v>3108</v>
      </c>
      <c r="G1242" s="10" t="s">
        <v>3108</v>
      </c>
      <c r="H1242">
        <v>101</v>
      </c>
      <c r="I1242" t="s">
        <v>3108</v>
      </c>
      <c r="J1242" t="e">
        <f ca="1">VLOOKUP(G1242,INDIRECT("球速変換!A$1:B$" &amp; Prams!$B$8),2,)</f>
        <v>#N/A</v>
      </c>
      <c r="K1242" t="e">
        <f ca="1">VLOOKUP(I1242,INDIRECT("投手名変換!A$1:B$" &amp; Prams!$B$9),2,)</f>
        <v>#N/A</v>
      </c>
      <c r="L1242">
        <f t="shared" si="108"/>
        <v>28</v>
      </c>
      <c r="M1242" t="e">
        <f ca="1">(B1242-VLOOKUP(K1242,INDIRECT("投手データ!B1:D"&amp;Prams!$B$1),3,FALSE)*2)</f>
        <v>#N/A</v>
      </c>
      <c r="N1242" t="e">
        <f ca="1">VLOOKUP(F1242,INDIRECT("球種変換表!A$1:B$" &amp; Prams!$B$2),2,)</f>
        <v>#N/A</v>
      </c>
      <c r="O1242" t="e">
        <f ca="1">VLOOKUP(N1242,球種情報!A:B,2,FALSE)</f>
        <v>#N/A</v>
      </c>
      <c r="P1242" t="e">
        <f ca="1">VLOOKUP(K1242,投手データ!B:AI,output!O1242+6,FALSE)</f>
        <v>#N/A</v>
      </c>
      <c r="R1242" t="e">
        <f t="shared" ca="1" si="109"/>
        <v>#N/A</v>
      </c>
      <c r="S1242">
        <f t="shared" si="110"/>
        <v>0.46250000000000002</v>
      </c>
      <c r="T1242">
        <f>Prams!B$5/(S1242-Prams!B$6)</f>
        <v>153.71208354052709</v>
      </c>
      <c r="U1242" t="e">
        <f t="shared" ca="1" si="111"/>
        <v>#N/A</v>
      </c>
      <c r="V1242" t="e">
        <f ca="1">Prams!C$5/(U1242-Prams!C$6)</f>
        <v>#N/A</v>
      </c>
      <c r="W1242" t="e">
        <f t="shared" ca="1" si="112"/>
        <v>#N/A</v>
      </c>
      <c r="X1242" t="s">
        <v>3049</v>
      </c>
    </row>
    <row r="1243" spans="1:24" hidden="1" x14ac:dyDescent="0.55000000000000004">
      <c r="A1243" s="1" t="s">
        <v>3159</v>
      </c>
      <c r="B1243" s="1">
        <v>134</v>
      </c>
      <c r="C1243">
        <v>633.90002000000004</v>
      </c>
      <c r="D1243">
        <v>608</v>
      </c>
      <c r="E1243">
        <v>10.10008</v>
      </c>
      <c r="F1243" t="s">
        <v>3156</v>
      </c>
      <c r="G1243" s="10" t="s">
        <v>3157</v>
      </c>
      <c r="H1243">
        <v>98</v>
      </c>
      <c r="I1243" t="s">
        <v>3158</v>
      </c>
      <c r="J1243">
        <f ca="1">VLOOKUP(G1243,INDIRECT("球速変換!A$1:B$" &amp; Prams!$B$8),2,)</f>
        <v>144</v>
      </c>
      <c r="K1243" t="str">
        <f ca="1">VLOOKUP(I1243,INDIRECT("投手名変換!A$1:B$" &amp; Prams!$B$9),2,)</f>
        <v>AD001</v>
      </c>
      <c r="L1243">
        <f t="shared" si="108"/>
        <v>36</v>
      </c>
      <c r="M1243">
        <f ca="1">(B1243-VLOOKUP(K1243,INDIRECT("投手データ!B1:D"&amp;Prams!$B$1),3,FALSE)*2)</f>
        <v>40</v>
      </c>
      <c r="N1243" t="str">
        <f ca="1">VLOOKUP(F1243,INDIRECT("球種変換表!A$1:B$" &amp; Prams!$B$2),2,)</f>
        <v>サークルチェンジ</v>
      </c>
      <c r="O1243">
        <f ca="1">VLOOKUP(N1243,球種情報!A:B,2,FALSE)</f>
        <v>24</v>
      </c>
      <c r="P1243">
        <f ca="1">VLOOKUP(K1243,投手データ!B:AI,output!O1243+6,FALSE)</f>
        <v>2</v>
      </c>
      <c r="R1243">
        <f t="shared" ca="1" si="109"/>
        <v>6.9444444444444441E-3</v>
      </c>
      <c r="S1243">
        <f t="shared" si="110"/>
        <v>0.59444444444444444</v>
      </c>
      <c r="T1243">
        <f>Prams!B$5/(S1243-Prams!B$6)</f>
        <v>115.74210055540533</v>
      </c>
      <c r="U1243">
        <f t="shared" ca="1" si="111"/>
        <v>0.66111111111111109</v>
      </c>
      <c r="V1243">
        <f ca="1">Prams!C$5/(U1243-Prams!C$6)</f>
        <v>119.46216935760908</v>
      </c>
      <c r="W1243">
        <f t="shared" ca="1" si="112"/>
        <v>0.82959839831672977</v>
      </c>
    </row>
    <row r="1244" spans="1:24" hidden="1" x14ac:dyDescent="0.55000000000000004">
      <c r="A1244" s="1" t="s">
        <v>3161</v>
      </c>
      <c r="B1244" s="1">
        <v>134</v>
      </c>
      <c r="C1244">
        <v>637.04998999999998</v>
      </c>
      <c r="D1244">
        <v>601.5</v>
      </c>
      <c r="E1244">
        <v>10.06254</v>
      </c>
      <c r="F1244" t="s">
        <v>3156</v>
      </c>
      <c r="G1244" s="10" t="s">
        <v>3160</v>
      </c>
      <c r="H1244">
        <v>98</v>
      </c>
      <c r="I1244" t="s">
        <v>3102</v>
      </c>
      <c r="J1244">
        <f ca="1">VLOOKUP(G1244,INDIRECT("球速変換!A$1:B$" &amp; Prams!$B$8),2,)</f>
        <v>142</v>
      </c>
      <c r="K1244" t="str">
        <f ca="1">VLOOKUP(I1244,INDIRECT("投手名変換!A$1:B$" &amp; Prams!$B$9),2,)</f>
        <v>AD001</v>
      </c>
      <c r="L1244">
        <f t="shared" si="108"/>
        <v>36</v>
      </c>
      <c r="M1244">
        <f ca="1">(B1244-VLOOKUP(K1244,INDIRECT("投手データ!B1:D"&amp;Prams!$B$1),3,FALSE)*2)</f>
        <v>40</v>
      </c>
      <c r="N1244" t="str">
        <f ca="1">VLOOKUP(F1244,INDIRECT("球種変換表!A$1:B$" &amp; Prams!$B$2),2,)</f>
        <v>サークルチェンジ</v>
      </c>
      <c r="O1244">
        <f ca="1">VLOOKUP(N1244,球種情報!A:B,2,FALSE)</f>
        <v>24</v>
      </c>
      <c r="P1244">
        <f ca="1">VLOOKUP(K1244,投手データ!B:AI,output!O1244+6,FALSE)</f>
        <v>2</v>
      </c>
      <c r="R1244">
        <f t="shared" ca="1" si="109"/>
        <v>7.0422535211267607E-3</v>
      </c>
      <c r="S1244">
        <f t="shared" si="110"/>
        <v>0.59895833333333337</v>
      </c>
      <c r="T1244">
        <f>Prams!B$5/(S1244-Prams!B$6)</f>
        <v>114.77219635204752</v>
      </c>
      <c r="U1244">
        <f t="shared" ca="1" si="111"/>
        <v>0.66562500000000002</v>
      </c>
      <c r="V1244">
        <f ca="1">Prams!C$5/(U1244-Prams!C$6)</f>
        <v>118.42919400411859</v>
      </c>
      <c r="W1244">
        <f t="shared" ca="1" si="112"/>
        <v>0.83400840847970836</v>
      </c>
    </row>
    <row r="1245" spans="1:24" hidden="1" x14ac:dyDescent="0.55000000000000004">
      <c r="A1245" s="1" t="s">
        <v>3163</v>
      </c>
      <c r="B1245" s="1">
        <v>134</v>
      </c>
      <c r="C1245">
        <v>629.04998999999998</v>
      </c>
      <c r="D1245">
        <v>601.5</v>
      </c>
      <c r="E1245">
        <v>10.06254</v>
      </c>
      <c r="F1245" t="s">
        <v>3156</v>
      </c>
      <c r="G1245" s="10" t="s">
        <v>3136</v>
      </c>
      <c r="H1245">
        <v>98</v>
      </c>
      <c r="I1245" t="s">
        <v>3162</v>
      </c>
      <c r="J1245">
        <f ca="1">VLOOKUP(G1245,INDIRECT("球速変換!A$1:B$" &amp; Prams!$B$8),2,)</f>
        <v>102</v>
      </c>
      <c r="K1245" t="str">
        <f ca="1">VLOOKUP(I1245,INDIRECT("投手名変換!A$1:B$" &amp; Prams!$B$9),2,)</f>
        <v>AD001</v>
      </c>
      <c r="L1245">
        <f t="shared" si="108"/>
        <v>36</v>
      </c>
      <c r="M1245">
        <f ca="1">(B1245-VLOOKUP(K1245,INDIRECT("投手データ!B1:D"&amp;Prams!$B$1),3,FALSE)*2)</f>
        <v>40</v>
      </c>
      <c r="N1245" t="str">
        <f ca="1">VLOOKUP(F1245,INDIRECT("球種変換表!A$1:B$" &amp; Prams!$B$2),2,)</f>
        <v>サークルチェンジ</v>
      </c>
      <c r="O1245">
        <f ca="1">VLOOKUP(N1245,球種情報!A:B,2,FALSE)</f>
        <v>24</v>
      </c>
      <c r="P1245">
        <f ca="1">VLOOKUP(K1245,投手データ!B:AI,output!O1245+6,FALSE)</f>
        <v>2</v>
      </c>
      <c r="R1245">
        <f t="shared" ca="1" si="109"/>
        <v>9.8039215686274508E-3</v>
      </c>
      <c r="S1245">
        <f t="shared" si="110"/>
        <v>0.59895833333333337</v>
      </c>
      <c r="T1245">
        <f>Prams!B$5/(S1245-Prams!B$6)</f>
        <v>114.77219635204752</v>
      </c>
      <c r="U1245">
        <f t="shared" ca="1" si="111"/>
        <v>0.66562500000000002</v>
      </c>
      <c r="V1245">
        <f ca="1">Prams!C$5/(U1245-Prams!C$6)</f>
        <v>118.42919400411859</v>
      </c>
      <c r="W1245">
        <f t="shared" ca="1" si="112"/>
        <v>1.1610705294521431</v>
      </c>
    </row>
    <row r="1246" spans="1:24" hidden="1" x14ac:dyDescent="0.55000000000000004">
      <c r="A1246" s="1" t="s">
        <v>3165</v>
      </c>
      <c r="B1246" s="1">
        <v>134</v>
      </c>
      <c r="C1246">
        <v>631.5</v>
      </c>
      <c r="D1246">
        <v>608</v>
      </c>
      <c r="E1246">
        <v>10.5001</v>
      </c>
      <c r="F1246" t="s">
        <v>3156</v>
      </c>
      <c r="G1246" s="10" t="s">
        <v>3157</v>
      </c>
      <c r="H1246">
        <v>98</v>
      </c>
      <c r="I1246" t="s">
        <v>3164</v>
      </c>
      <c r="J1246">
        <f ca="1">VLOOKUP(G1246,INDIRECT("球速変換!A$1:B$" &amp; Prams!$B$8),2,)</f>
        <v>144</v>
      </c>
      <c r="K1246" t="str">
        <f ca="1">VLOOKUP(I1246,INDIRECT("投手名変換!A$1:B$" &amp; Prams!$B$9),2,)</f>
        <v>AD001</v>
      </c>
      <c r="L1246">
        <f t="shared" si="108"/>
        <v>36</v>
      </c>
      <c r="M1246">
        <f ca="1">(B1246-VLOOKUP(K1246,INDIRECT("投手データ!B1:D"&amp;Prams!$B$1),3,FALSE)*2)</f>
        <v>40</v>
      </c>
      <c r="N1246" t="str">
        <f ca="1">VLOOKUP(F1246,INDIRECT("球種変換表!A$1:B$" &amp; Prams!$B$2),2,)</f>
        <v>サークルチェンジ</v>
      </c>
      <c r="O1246">
        <f ca="1">VLOOKUP(N1246,球種情報!A:B,2,FALSE)</f>
        <v>24</v>
      </c>
      <c r="P1246">
        <f ca="1">VLOOKUP(K1246,投手データ!B:AI,output!O1246+6,FALSE)</f>
        <v>2</v>
      </c>
      <c r="R1246">
        <f t="shared" ca="1" si="109"/>
        <v>6.9444444444444441E-3</v>
      </c>
      <c r="S1246">
        <f t="shared" si="110"/>
        <v>0.59444444444444444</v>
      </c>
      <c r="T1246">
        <f>Prams!B$5/(S1246-Prams!B$6)</f>
        <v>115.74210055540533</v>
      </c>
      <c r="U1246">
        <f t="shared" ca="1" si="111"/>
        <v>0.66111111111111109</v>
      </c>
      <c r="V1246">
        <f ca="1">Prams!C$5/(U1246-Prams!C$6)</f>
        <v>119.46216935760908</v>
      </c>
      <c r="W1246">
        <f t="shared" ca="1" si="112"/>
        <v>0.82959839831672977</v>
      </c>
    </row>
    <row r="1247" spans="1:24" hidden="1" x14ac:dyDescent="0.55000000000000004">
      <c r="A1247" s="1" t="s">
        <v>3168</v>
      </c>
      <c r="B1247" s="1">
        <v>134</v>
      </c>
      <c r="C1247">
        <v>627.5</v>
      </c>
      <c r="D1247">
        <v>609</v>
      </c>
      <c r="E1247">
        <v>11.5001</v>
      </c>
      <c r="F1247" t="s">
        <v>3156</v>
      </c>
      <c r="G1247" s="10" t="s">
        <v>3166</v>
      </c>
      <c r="H1247">
        <v>98</v>
      </c>
      <c r="I1247" t="s">
        <v>3167</v>
      </c>
      <c r="J1247">
        <f ca="1">VLOOKUP(G1247,INDIRECT("球速変換!A$1:B$" &amp; Prams!$B$8),2,)</f>
        <v>98</v>
      </c>
      <c r="K1247" t="str">
        <f ca="1">VLOOKUP(I1247,INDIRECT("投手名変換!A$1:B$" &amp; Prams!$B$9),2,)</f>
        <v>AD001</v>
      </c>
      <c r="L1247">
        <f t="shared" si="108"/>
        <v>36</v>
      </c>
      <c r="M1247">
        <f ca="1">(B1247-VLOOKUP(K1247,INDIRECT("投手データ!B1:D"&amp;Prams!$B$1),3,FALSE)*2)</f>
        <v>40</v>
      </c>
      <c r="N1247" t="str">
        <f ca="1">VLOOKUP(F1247,INDIRECT("球種変換表!A$1:B$" &amp; Prams!$B$2),2,)</f>
        <v>サークルチェンジ</v>
      </c>
      <c r="O1247">
        <f ca="1">VLOOKUP(N1247,球種情報!A:B,2,FALSE)</f>
        <v>24</v>
      </c>
      <c r="P1247">
        <f ca="1">VLOOKUP(K1247,投手データ!B:AI,output!O1247+6,FALSE)</f>
        <v>2</v>
      </c>
      <c r="R1247">
        <f t="shared" ca="1" si="109"/>
        <v>1.020408163265306E-2</v>
      </c>
      <c r="S1247">
        <f t="shared" si="110"/>
        <v>0.59375</v>
      </c>
      <c r="T1247">
        <f>Prams!B$5/(S1247-Prams!B$6)</f>
        <v>115.89277345580655</v>
      </c>
      <c r="U1247">
        <f t="shared" ca="1" si="111"/>
        <v>0.66041666666666665</v>
      </c>
      <c r="V1247">
        <f ca="1">Prams!C$5/(U1247-Prams!C$6)</f>
        <v>119.62269018671998</v>
      </c>
      <c r="W1247">
        <f t="shared" ca="1" si="112"/>
        <v>1.2206396957828569</v>
      </c>
    </row>
    <row r="1248" spans="1:24" hidden="1" x14ac:dyDescent="0.55000000000000004">
      <c r="A1248" s="1" t="s">
        <v>3169</v>
      </c>
      <c r="B1248" s="1">
        <v>135</v>
      </c>
      <c r="C1248">
        <v>635.5</v>
      </c>
      <c r="D1248">
        <v>616</v>
      </c>
      <c r="E1248">
        <v>11.5435</v>
      </c>
      <c r="F1248" t="s">
        <v>3156</v>
      </c>
      <c r="G1248" s="10" t="s">
        <v>3160</v>
      </c>
      <c r="H1248">
        <v>98</v>
      </c>
      <c r="I1248" t="s">
        <v>3099</v>
      </c>
      <c r="J1248">
        <f ca="1">VLOOKUP(G1248,INDIRECT("球速変換!A$1:B$" &amp; Prams!$B$8),2,)</f>
        <v>142</v>
      </c>
      <c r="K1248" t="str">
        <f ca="1">VLOOKUP(I1248,INDIRECT("投手名変換!A$1:B$" &amp; Prams!$B$9),2,)</f>
        <v>AD001</v>
      </c>
      <c r="L1248">
        <f t="shared" si="108"/>
        <v>37</v>
      </c>
      <c r="M1248">
        <f ca="1">(B1248-VLOOKUP(K1248,INDIRECT("投手データ!B1:D"&amp;Prams!$B$1),3,FALSE)*2)</f>
        <v>41</v>
      </c>
      <c r="N1248" t="str">
        <f ca="1">VLOOKUP(F1248,INDIRECT("球種変換表!A$1:B$" &amp; Prams!$B$2),2,)</f>
        <v>サークルチェンジ</v>
      </c>
      <c r="O1248">
        <f ca="1">VLOOKUP(N1248,球種情報!A:B,2,FALSE)</f>
        <v>24</v>
      </c>
      <c r="P1248">
        <f ca="1">VLOOKUP(K1248,投手データ!B:AI,output!O1248+6,FALSE)</f>
        <v>2</v>
      </c>
      <c r="R1248">
        <f t="shared" ca="1" si="109"/>
        <v>7.0422535211267607E-3</v>
      </c>
      <c r="S1248">
        <f t="shared" si="110"/>
        <v>0.60555555555555562</v>
      </c>
      <c r="T1248">
        <f>Prams!B$5/(S1248-Prams!B$6)</f>
        <v>113.38353065840685</v>
      </c>
      <c r="U1248">
        <f t="shared" ca="1" si="111"/>
        <v>0.67222222222222228</v>
      </c>
      <c r="V1248">
        <f ca="1">Prams!C$5/(U1248-Prams!C$6)</f>
        <v>116.95119387926684</v>
      </c>
      <c r="W1248">
        <f t="shared" ca="1" si="112"/>
        <v>0.82359995689624532</v>
      </c>
    </row>
    <row r="1249" spans="1:23" hidden="1" x14ac:dyDescent="0.55000000000000004">
      <c r="A1249" s="1" t="s">
        <v>3171</v>
      </c>
      <c r="B1249" s="1">
        <v>134</v>
      </c>
      <c r="C1249">
        <v>629.04998999999998</v>
      </c>
      <c r="D1249">
        <v>604.5</v>
      </c>
      <c r="E1249">
        <v>10.06254</v>
      </c>
      <c r="F1249" t="s">
        <v>3156</v>
      </c>
      <c r="G1249" s="10" t="s">
        <v>3170</v>
      </c>
      <c r="H1249">
        <v>98</v>
      </c>
      <c r="I1249" t="s">
        <v>3090</v>
      </c>
      <c r="J1249">
        <f ca="1">VLOOKUP(G1249,INDIRECT("球速変換!A$1:B$" &amp; Prams!$B$8),2,)</f>
        <v>141</v>
      </c>
      <c r="K1249" t="str">
        <f ca="1">VLOOKUP(I1249,INDIRECT("投手名変換!A$1:B$" &amp; Prams!$B$9),2,)</f>
        <v>AD001</v>
      </c>
      <c r="L1249">
        <f t="shared" si="108"/>
        <v>36</v>
      </c>
      <c r="M1249">
        <f ca="1">(B1249-VLOOKUP(K1249,INDIRECT("投手データ!B1:D"&amp;Prams!$B$1),3,FALSE)*2)</f>
        <v>40</v>
      </c>
      <c r="N1249" t="str">
        <f ca="1">VLOOKUP(F1249,INDIRECT("球種変換表!A$1:B$" &amp; Prams!$B$2),2,)</f>
        <v>サークルチェンジ</v>
      </c>
      <c r="O1249">
        <f ca="1">VLOOKUP(N1249,球種情報!A:B,2,FALSE)</f>
        <v>24</v>
      </c>
      <c r="P1249">
        <f ca="1">VLOOKUP(K1249,投手データ!B:AI,output!O1249+6,FALSE)</f>
        <v>2</v>
      </c>
      <c r="R1249">
        <f t="shared" ca="1" si="109"/>
        <v>7.0921985815602835E-3</v>
      </c>
      <c r="S1249">
        <f t="shared" si="110"/>
        <v>0.59687500000000004</v>
      </c>
      <c r="T1249">
        <f>Prams!B$5/(S1249-Prams!B$6)</f>
        <v>115.21781670782276</v>
      </c>
      <c r="U1249">
        <f t="shared" ca="1" si="111"/>
        <v>0.6635416666666667</v>
      </c>
      <c r="V1249">
        <f ca="1">Prams!C$5/(U1249-Prams!C$6)</f>
        <v>118.903723174074</v>
      </c>
      <c r="W1249">
        <f t="shared" ca="1" si="112"/>
        <v>0.84328881683740431</v>
      </c>
    </row>
    <row r="1250" spans="1:23" hidden="1" x14ac:dyDescent="0.55000000000000004">
      <c r="A1250" s="1" t="s">
        <v>3173</v>
      </c>
      <c r="B1250" s="1">
        <v>134</v>
      </c>
      <c r="C1250">
        <v>634.45239000000004</v>
      </c>
      <c r="D1250">
        <v>610.5</v>
      </c>
      <c r="E1250">
        <v>10.55955</v>
      </c>
      <c r="F1250" t="s">
        <v>3156</v>
      </c>
      <c r="G1250" s="10" t="s">
        <v>3157</v>
      </c>
      <c r="H1250">
        <v>98</v>
      </c>
      <c r="I1250" t="s">
        <v>3172</v>
      </c>
      <c r="J1250">
        <f ca="1">VLOOKUP(G1250,INDIRECT("球速変換!A$1:B$" &amp; Prams!$B$8),2,)</f>
        <v>144</v>
      </c>
      <c r="K1250" t="str">
        <f ca="1">VLOOKUP(I1250,INDIRECT("投手名変換!A$1:B$" &amp; Prams!$B$9),2,)</f>
        <v>AD001</v>
      </c>
      <c r="L1250">
        <f t="shared" si="108"/>
        <v>36</v>
      </c>
      <c r="M1250">
        <f ca="1">(B1250-VLOOKUP(K1250,INDIRECT("投手データ!B1:D"&amp;Prams!$B$1),3,FALSE)*2)</f>
        <v>40</v>
      </c>
      <c r="N1250" t="str">
        <f ca="1">VLOOKUP(F1250,INDIRECT("球種変換表!A$1:B$" &amp; Prams!$B$2),2,)</f>
        <v>サークルチェンジ</v>
      </c>
      <c r="O1250">
        <f ca="1">VLOOKUP(N1250,球種情報!A:B,2,FALSE)</f>
        <v>24</v>
      </c>
      <c r="P1250">
        <f ca="1">VLOOKUP(K1250,投手データ!B:AI,output!O1250+6,FALSE)</f>
        <v>2</v>
      </c>
      <c r="R1250">
        <f t="shared" ca="1" si="109"/>
        <v>6.9444444444444441E-3</v>
      </c>
      <c r="S1250">
        <f t="shared" si="110"/>
        <v>0.59270833333333328</v>
      </c>
      <c r="T1250">
        <f>Prams!B$5/(S1250-Prams!B$6)</f>
        <v>116.11951979213951</v>
      </c>
      <c r="U1250">
        <f t="shared" ca="1" si="111"/>
        <v>0.65937500000000004</v>
      </c>
      <c r="V1250">
        <f ca="1">Prams!C$5/(U1250-Prams!C$6)</f>
        <v>119.86428190586979</v>
      </c>
      <c r="W1250">
        <f t="shared" ca="1" si="112"/>
        <v>0.83239084656854023</v>
      </c>
    </row>
    <row r="1251" spans="1:23" hidden="1" x14ac:dyDescent="0.55000000000000004">
      <c r="A1251" s="1" t="s">
        <v>3175</v>
      </c>
      <c r="B1251" s="1">
        <v>134</v>
      </c>
      <c r="C1251">
        <v>642</v>
      </c>
      <c r="D1251">
        <v>610</v>
      </c>
      <c r="E1251">
        <v>11.0001</v>
      </c>
      <c r="F1251" t="s">
        <v>3156</v>
      </c>
      <c r="G1251" s="10" t="s">
        <v>3174</v>
      </c>
      <c r="H1251">
        <v>98</v>
      </c>
      <c r="I1251" t="s">
        <v>3162</v>
      </c>
      <c r="J1251">
        <f ca="1">VLOOKUP(G1251,INDIRECT("球速変換!A$1:B$" &amp; Prams!$B$8),2,)</f>
        <v>144</v>
      </c>
      <c r="K1251" t="str">
        <f ca="1">VLOOKUP(I1251,INDIRECT("投手名変換!A$1:B$" &amp; Prams!$B$9),2,)</f>
        <v>AD001</v>
      </c>
      <c r="L1251">
        <f t="shared" si="108"/>
        <v>36</v>
      </c>
      <c r="M1251">
        <f ca="1">(B1251-VLOOKUP(K1251,INDIRECT("投手データ!B1:D"&amp;Prams!$B$1),3,FALSE)*2)</f>
        <v>40</v>
      </c>
      <c r="N1251" t="str">
        <f ca="1">VLOOKUP(F1251,INDIRECT("球種変換表!A$1:B$" &amp; Prams!$B$2),2,)</f>
        <v>サークルチェンジ</v>
      </c>
      <c r="O1251">
        <f ca="1">VLOOKUP(N1251,球種情報!A:B,2,FALSE)</f>
        <v>24</v>
      </c>
      <c r="P1251">
        <f ca="1">VLOOKUP(K1251,投手データ!B:AI,output!O1251+6,FALSE)</f>
        <v>2</v>
      </c>
      <c r="R1251">
        <f t="shared" ca="1" si="109"/>
        <v>6.9444444444444441E-3</v>
      </c>
      <c r="S1251">
        <f t="shared" si="110"/>
        <v>0.59305555555555556</v>
      </c>
      <c r="T1251">
        <f>Prams!B$5/(S1251-Prams!B$6)</f>
        <v>116.04383915908902</v>
      </c>
      <c r="U1251">
        <f t="shared" ca="1" si="111"/>
        <v>0.65972222222222221</v>
      </c>
      <c r="V1251">
        <f ca="1">Prams!C$5/(U1251-Prams!C$6)</f>
        <v>119.78364297862265</v>
      </c>
      <c r="W1251">
        <f t="shared" ca="1" si="112"/>
        <v>0.83183085401821288</v>
      </c>
    </row>
    <row r="1252" spans="1:23" hidden="1" x14ac:dyDescent="0.55000000000000004">
      <c r="A1252" s="1" t="s">
        <v>3178</v>
      </c>
      <c r="B1252" s="1">
        <v>134</v>
      </c>
      <c r="C1252">
        <v>639.5</v>
      </c>
      <c r="D1252">
        <v>608.5</v>
      </c>
      <c r="E1252">
        <v>10.512</v>
      </c>
      <c r="F1252" t="s">
        <v>3156</v>
      </c>
      <c r="G1252" s="10" t="s">
        <v>3176</v>
      </c>
      <c r="H1252">
        <v>98</v>
      </c>
      <c r="I1252" t="s">
        <v>3177</v>
      </c>
      <c r="J1252">
        <f ca="1">VLOOKUP(G1252,INDIRECT("球速変換!A$1:B$" &amp; Prams!$B$8),2,)</f>
        <v>144</v>
      </c>
      <c r="K1252" t="str">
        <f ca="1">VLOOKUP(I1252,INDIRECT("投手名変換!A$1:B$" &amp; Prams!$B$9),2,)</f>
        <v>AD001</v>
      </c>
      <c r="L1252">
        <f t="shared" si="108"/>
        <v>36</v>
      </c>
      <c r="M1252">
        <f ca="1">(B1252-VLOOKUP(K1252,INDIRECT("投手データ!B1:D"&amp;Prams!$B$1),3,FALSE)*2)</f>
        <v>40</v>
      </c>
      <c r="N1252" t="str">
        <f ca="1">VLOOKUP(F1252,INDIRECT("球種変換表!A$1:B$" &amp; Prams!$B$2),2,)</f>
        <v>サークルチェンジ</v>
      </c>
      <c r="O1252">
        <f ca="1">VLOOKUP(N1252,球種情報!A:B,2,FALSE)</f>
        <v>24</v>
      </c>
      <c r="P1252">
        <f ca="1">VLOOKUP(K1252,投手データ!B:AI,output!O1252+6,FALSE)</f>
        <v>2</v>
      </c>
      <c r="R1252">
        <f t="shared" ca="1" si="109"/>
        <v>6.9444444444444441E-3</v>
      </c>
      <c r="S1252">
        <f t="shared" si="110"/>
        <v>0.59409722222222228</v>
      </c>
      <c r="T1252">
        <f>Prams!B$5/(S1252-Prams!B$6)</f>
        <v>115.81738800106157</v>
      </c>
      <c r="U1252">
        <f t="shared" ca="1" si="111"/>
        <v>0.66076388888888893</v>
      </c>
      <c r="V1252">
        <f ca="1">Prams!C$5/(U1252-Prams!C$6)</f>
        <v>119.54237588557247</v>
      </c>
      <c r="W1252">
        <f t="shared" ca="1" si="112"/>
        <v>0.83015538809425327</v>
      </c>
    </row>
    <row r="1253" spans="1:23" hidden="1" x14ac:dyDescent="0.55000000000000004">
      <c r="A1253" s="1" t="s">
        <v>3181</v>
      </c>
      <c r="B1253" s="1">
        <v>128</v>
      </c>
      <c r="C1253">
        <v>641</v>
      </c>
      <c r="D1253">
        <v>619.5</v>
      </c>
      <c r="E1253">
        <v>11.01146</v>
      </c>
      <c r="F1253" t="s">
        <v>3082</v>
      </c>
      <c r="G1253" s="10" t="s">
        <v>3179</v>
      </c>
      <c r="H1253">
        <v>99</v>
      </c>
      <c r="I1253" t="s">
        <v>3180</v>
      </c>
      <c r="J1253">
        <f ca="1">VLOOKUP(G1253,INDIRECT("球速変換!A$1:B$" &amp; Prams!$B$8),2,)</f>
        <v>143</v>
      </c>
      <c r="K1253" t="str">
        <f ca="1">VLOOKUP(I1253,INDIRECT("投手名変換!A$1:B$" &amp; Prams!$B$9),2,)</f>
        <v>AD002</v>
      </c>
      <c r="L1253">
        <f t="shared" si="108"/>
        <v>29</v>
      </c>
      <c r="M1253">
        <f ca="1">(B1253-VLOOKUP(K1253,INDIRECT("投手データ!B1:D"&amp;Prams!$B$1),3,FALSE)*2)</f>
        <v>34</v>
      </c>
      <c r="N1253" t="str">
        <f ca="1">VLOOKUP(F1253,INDIRECT("球種変換表!A$1:B$" &amp; Prams!$B$2),2,)</f>
        <v>ストレート</v>
      </c>
      <c r="O1253">
        <f ca="1">VLOOKUP(N1253,球種情報!A:B,2,FALSE)</f>
        <v>1</v>
      </c>
      <c r="P1253">
        <f ca="1">VLOOKUP(K1253,投手データ!B:AI,output!O1253+6,FALSE)</f>
        <v>1</v>
      </c>
      <c r="R1253">
        <f t="shared" ca="1" si="109"/>
        <v>6.993006993006993E-3</v>
      </c>
      <c r="S1253">
        <f t="shared" si="110"/>
        <v>0.46979166666666666</v>
      </c>
      <c r="T1253">
        <f>Prams!B$5/(S1253-Prams!B$6)</f>
        <v>150.97498931602192</v>
      </c>
      <c r="U1253">
        <f t="shared" ca="1" si="111"/>
        <v>0.55312499999999998</v>
      </c>
      <c r="V1253">
        <f ca="1">Prams!C$5/(U1253-Prams!C$6)</f>
        <v>150.96270068982358</v>
      </c>
      <c r="W1253">
        <f t="shared" ca="1" si="112"/>
        <v>1.0556832216071579</v>
      </c>
    </row>
    <row r="1254" spans="1:23" hidden="1" x14ac:dyDescent="0.55000000000000004">
      <c r="A1254" s="1" t="s">
        <v>3184</v>
      </c>
      <c r="B1254" s="1">
        <v>128</v>
      </c>
      <c r="C1254">
        <v>640</v>
      </c>
      <c r="D1254">
        <v>610.5</v>
      </c>
      <c r="E1254">
        <v>11.01146</v>
      </c>
      <c r="F1254" t="s">
        <v>3082</v>
      </c>
      <c r="G1254" s="10" t="s">
        <v>3182</v>
      </c>
      <c r="H1254">
        <v>99</v>
      </c>
      <c r="I1254" t="s">
        <v>3183</v>
      </c>
      <c r="J1254">
        <f ca="1">VLOOKUP(G1254,INDIRECT("球速変換!A$1:B$" &amp; Prams!$B$8),2,)</f>
        <v>139</v>
      </c>
      <c r="K1254" t="str">
        <f ca="1">VLOOKUP(I1254,INDIRECT("投手名変換!A$1:B$" &amp; Prams!$B$9),2,)</f>
        <v>AD002</v>
      </c>
      <c r="L1254">
        <f t="shared" si="108"/>
        <v>29</v>
      </c>
      <c r="M1254">
        <f ca="1">(B1254-VLOOKUP(K1254,INDIRECT("投手データ!B1:D"&amp;Prams!$B$1),3,FALSE)*2)</f>
        <v>34</v>
      </c>
      <c r="N1254" t="str">
        <f ca="1">VLOOKUP(F1254,INDIRECT("球種変換表!A$1:B$" &amp; Prams!$B$2),2,)</f>
        <v>ストレート</v>
      </c>
      <c r="O1254">
        <f ca="1">VLOOKUP(N1254,球種情報!A:B,2,FALSE)</f>
        <v>1</v>
      </c>
      <c r="P1254">
        <f ca="1">VLOOKUP(K1254,投手データ!B:AI,output!O1254+6,FALSE)</f>
        <v>1</v>
      </c>
      <c r="R1254">
        <f t="shared" ca="1" si="109"/>
        <v>7.1942446043165471E-3</v>
      </c>
      <c r="S1254">
        <f t="shared" si="110"/>
        <v>0.47604166666666664</v>
      </c>
      <c r="T1254">
        <f>Prams!B$5/(S1254-Prams!B$6)</f>
        <v>148.7053258233278</v>
      </c>
      <c r="U1254">
        <f t="shared" ca="1" si="111"/>
        <v>0.55937499999999996</v>
      </c>
      <c r="V1254">
        <f ca="1">Prams!C$5/(U1254-Prams!C$6)</f>
        <v>148.69340388431246</v>
      </c>
      <c r="W1254">
        <f t="shared" ca="1" si="112"/>
        <v>1.069736718592176</v>
      </c>
    </row>
    <row r="1255" spans="1:23" hidden="1" x14ac:dyDescent="0.55000000000000004">
      <c r="A1255" s="1" t="s">
        <v>3186</v>
      </c>
      <c r="B1255" s="1">
        <v>127</v>
      </c>
      <c r="C1255">
        <v>639</v>
      </c>
      <c r="D1255">
        <v>600.5</v>
      </c>
      <c r="E1255">
        <v>10.012589999999999</v>
      </c>
      <c r="F1255" t="s">
        <v>3082</v>
      </c>
      <c r="G1255" s="10" t="s">
        <v>3170</v>
      </c>
      <c r="H1255">
        <v>99</v>
      </c>
      <c r="I1255" t="s">
        <v>3185</v>
      </c>
      <c r="J1255">
        <f ca="1">VLOOKUP(G1255,INDIRECT("球速変換!A$1:B$" &amp; Prams!$B$8),2,)</f>
        <v>141</v>
      </c>
      <c r="K1255" t="str">
        <f ca="1">VLOOKUP(I1255,INDIRECT("投手名変換!A$1:B$" &amp; Prams!$B$9),2,)</f>
        <v>DD003</v>
      </c>
      <c r="L1255">
        <f t="shared" si="108"/>
        <v>28</v>
      </c>
      <c r="M1255">
        <f ca="1">(B1255-VLOOKUP(K1255,INDIRECT("投手データ!B1:D"&amp;Prams!$B$1),3,FALSE)*2)</f>
        <v>33</v>
      </c>
      <c r="N1255" t="str">
        <f ca="1">VLOOKUP(F1255,INDIRECT("球種変換表!A$1:B$" &amp; Prams!$B$2),2,)</f>
        <v>ストレート</v>
      </c>
      <c r="O1255">
        <f ca="1">VLOOKUP(N1255,球種情報!A:B,2,FALSE)</f>
        <v>1</v>
      </c>
      <c r="P1255">
        <f ca="1">VLOOKUP(K1255,投手データ!B:AI,output!O1255+6,FALSE)</f>
        <v>1</v>
      </c>
      <c r="R1255">
        <f t="shared" ca="1" si="109"/>
        <v>7.0921985815602835E-3</v>
      </c>
      <c r="S1255">
        <f t="shared" si="110"/>
        <v>0.46631944444444445</v>
      </c>
      <c r="T1255">
        <f>Prams!B$5/(S1255-Prams!B$6)</f>
        <v>152.2661065767239</v>
      </c>
      <c r="U1255">
        <f t="shared" ca="1" si="111"/>
        <v>0.54965277777777777</v>
      </c>
      <c r="V1255">
        <f ca="1">Prams!C$5/(U1255-Prams!C$6)</f>
        <v>152.25360687923711</v>
      </c>
      <c r="W1255">
        <f t="shared" ca="1" si="112"/>
        <v>1.0798128147463626</v>
      </c>
    </row>
    <row r="1256" spans="1:23" hidden="1" x14ac:dyDescent="0.55000000000000004">
      <c r="A1256" s="1" t="s">
        <v>3187</v>
      </c>
      <c r="B1256" s="1">
        <v>128</v>
      </c>
      <c r="C1256">
        <v>640.5</v>
      </c>
      <c r="D1256">
        <v>618.5</v>
      </c>
      <c r="E1256">
        <v>10.512</v>
      </c>
      <c r="F1256" t="s">
        <v>3082</v>
      </c>
      <c r="G1256" s="10" t="s">
        <v>3170</v>
      </c>
      <c r="H1256">
        <v>99</v>
      </c>
      <c r="I1256" t="s">
        <v>3180</v>
      </c>
      <c r="J1256">
        <f ca="1">VLOOKUP(G1256,INDIRECT("球速変換!A$1:B$" &amp; Prams!$B$8),2,)</f>
        <v>141</v>
      </c>
      <c r="K1256" t="str">
        <f ca="1">VLOOKUP(I1256,INDIRECT("投手名変換!A$1:B$" &amp; Prams!$B$9),2,)</f>
        <v>AD002</v>
      </c>
      <c r="L1256">
        <f t="shared" si="108"/>
        <v>29</v>
      </c>
      <c r="M1256">
        <f ca="1">(B1256-VLOOKUP(K1256,INDIRECT("投手データ!B1:D"&amp;Prams!$B$1),3,FALSE)*2)</f>
        <v>34</v>
      </c>
      <c r="N1256" t="str">
        <f ca="1">VLOOKUP(F1256,INDIRECT("球種変換表!A$1:B$" &amp; Prams!$B$2),2,)</f>
        <v>ストレート</v>
      </c>
      <c r="O1256">
        <f ca="1">VLOOKUP(N1256,球種情報!A:B,2,FALSE)</f>
        <v>1</v>
      </c>
      <c r="P1256">
        <f ca="1">VLOOKUP(K1256,投手データ!B:AI,output!O1256+6,FALSE)</f>
        <v>1</v>
      </c>
      <c r="R1256">
        <f t="shared" ca="1" si="109"/>
        <v>7.0921985815602835E-3</v>
      </c>
      <c r="S1256">
        <f t="shared" si="110"/>
        <v>0.4704861111111111</v>
      </c>
      <c r="T1256">
        <f>Prams!B$5/(S1256-Prams!B$6)</f>
        <v>150.71938889528468</v>
      </c>
      <c r="U1256">
        <f t="shared" ca="1" si="111"/>
        <v>0.55381944444444442</v>
      </c>
      <c r="V1256">
        <f ca="1">Prams!C$5/(U1256-Prams!C$6)</f>
        <v>150.70714184142633</v>
      </c>
      <c r="W1256">
        <f t="shared" ca="1" si="112"/>
        <v>1.0688449775987683</v>
      </c>
    </row>
    <row r="1257" spans="1:23" hidden="1" x14ac:dyDescent="0.55000000000000004">
      <c r="A1257" s="1" t="s">
        <v>3189</v>
      </c>
      <c r="B1257" s="1">
        <v>128</v>
      </c>
      <c r="C1257">
        <v>636.5</v>
      </c>
      <c r="D1257">
        <v>611.5</v>
      </c>
      <c r="E1257">
        <v>10.512</v>
      </c>
      <c r="F1257" t="s">
        <v>3082</v>
      </c>
      <c r="G1257" s="10" t="s">
        <v>3188</v>
      </c>
      <c r="H1257">
        <v>99</v>
      </c>
      <c r="I1257" t="s">
        <v>3185</v>
      </c>
      <c r="J1257">
        <f ca="1">VLOOKUP(G1257,INDIRECT("球速変換!A$1:B$" &amp; Prams!$B$8),2,)</f>
        <v>139</v>
      </c>
      <c r="K1257" t="str">
        <f ca="1">VLOOKUP(I1257,INDIRECT("投手名変換!A$1:B$" &amp; Prams!$B$9),2,)</f>
        <v>DD003</v>
      </c>
      <c r="L1257">
        <f t="shared" si="108"/>
        <v>29</v>
      </c>
      <c r="M1257">
        <f ca="1">(B1257-VLOOKUP(K1257,INDIRECT("投手データ!B1:D"&amp;Prams!$B$1),3,FALSE)*2)</f>
        <v>34</v>
      </c>
      <c r="N1257" t="str">
        <f ca="1">VLOOKUP(F1257,INDIRECT("球種変換表!A$1:B$" &amp; Prams!$B$2),2,)</f>
        <v>ストレート</v>
      </c>
      <c r="O1257">
        <f ca="1">VLOOKUP(N1257,球種情報!A:B,2,FALSE)</f>
        <v>1</v>
      </c>
      <c r="P1257">
        <f ca="1">VLOOKUP(K1257,投手データ!B:AI,output!O1257+6,FALSE)</f>
        <v>1</v>
      </c>
      <c r="R1257">
        <f t="shared" ca="1" si="109"/>
        <v>7.1942446043165471E-3</v>
      </c>
      <c r="S1257">
        <f t="shared" si="110"/>
        <v>0.4753472222222222</v>
      </c>
      <c r="T1257">
        <f>Prams!B$5/(S1257-Prams!B$6)</f>
        <v>148.95413507164514</v>
      </c>
      <c r="U1257">
        <f t="shared" ca="1" si="111"/>
        <v>0.55868055555555562</v>
      </c>
      <c r="V1257">
        <f ca="1">Prams!C$5/(U1257-Prams!C$6)</f>
        <v>148.94217320600416</v>
      </c>
      <c r="W1257">
        <f t="shared" ca="1" si="112"/>
        <v>1.0715264259424759</v>
      </c>
    </row>
    <row r="1258" spans="1:23" hidden="1" x14ac:dyDescent="0.55000000000000004">
      <c r="A1258" s="1" t="s">
        <v>3191</v>
      </c>
      <c r="B1258" s="1">
        <v>128</v>
      </c>
      <c r="C1258">
        <v>640</v>
      </c>
      <c r="D1258">
        <v>611.5</v>
      </c>
      <c r="E1258">
        <v>11.01146</v>
      </c>
      <c r="F1258" t="s">
        <v>3082</v>
      </c>
      <c r="G1258" s="10" t="s">
        <v>3190</v>
      </c>
      <c r="H1258">
        <v>99</v>
      </c>
      <c r="I1258" t="s">
        <v>3185</v>
      </c>
      <c r="J1258">
        <f ca="1">VLOOKUP(G1258,INDIRECT("球速変換!A$1:B$" &amp; Prams!$B$8),2,)</f>
        <v>139</v>
      </c>
      <c r="K1258" t="str">
        <f ca="1">VLOOKUP(I1258,INDIRECT("投手名変換!A$1:B$" &amp; Prams!$B$9),2,)</f>
        <v>DD003</v>
      </c>
      <c r="L1258">
        <f t="shared" si="108"/>
        <v>29</v>
      </c>
      <c r="M1258">
        <f ca="1">(B1258-VLOOKUP(K1258,INDIRECT("投手データ!B1:D"&amp;Prams!$B$1),3,FALSE)*2)</f>
        <v>34</v>
      </c>
      <c r="N1258" t="str">
        <f ca="1">VLOOKUP(F1258,INDIRECT("球種変換表!A$1:B$" &amp; Prams!$B$2),2,)</f>
        <v>ストレート</v>
      </c>
      <c r="O1258">
        <f ca="1">VLOOKUP(N1258,球種情報!A:B,2,FALSE)</f>
        <v>1</v>
      </c>
      <c r="P1258">
        <f ca="1">VLOOKUP(K1258,投手データ!B:AI,output!O1258+6,FALSE)</f>
        <v>1</v>
      </c>
      <c r="R1258">
        <f t="shared" ca="1" si="109"/>
        <v>7.1942446043165471E-3</v>
      </c>
      <c r="S1258">
        <f t="shared" si="110"/>
        <v>0.4753472222222222</v>
      </c>
      <c r="T1258">
        <f>Prams!B$5/(S1258-Prams!B$6)</f>
        <v>148.95413507164514</v>
      </c>
      <c r="U1258">
        <f t="shared" ca="1" si="111"/>
        <v>0.55868055555555562</v>
      </c>
      <c r="V1258">
        <f ca="1">Prams!C$5/(U1258-Prams!C$6)</f>
        <v>148.94217320600416</v>
      </c>
      <c r="W1258">
        <f t="shared" ca="1" si="112"/>
        <v>1.0715264259424759</v>
      </c>
    </row>
    <row r="1259" spans="1:23" hidden="1" x14ac:dyDescent="0.55000000000000004">
      <c r="A1259" s="1" t="s">
        <v>3193</v>
      </c>
      <c r="B1259" s="1">
        <v>128</v>
      </c>
      <c r="C1259">
        <v>640</v>
      </c>
      <c r="D1259">
        <v>608.5</v>
      </c>
      <c r="E1259">
        <v>11.01146</v>
      </c>
      <c r="F1259" t="s">
        <v>3082</v>
      </c>
      <c r="G1259" s="10" t="s">
        <v>3192</v>
      </c>
      <c r="H1259">
        <v>99</v>
      </c>
      <c r="I1259" t="s">
        <v>3180</v>
      </c>
      <c r="J1259">
        <f ca="1">VLOOKUP(G1259,INDIRECT("球速変換!A$1:B$" &amp; Prams!$B$8),2,)</f>
        <v>139</v>
      </c>
      <c r="K1259" t="str">
        <f ca="1">VLOOKUP(I1259,INDIRECT("投手名変換!A$1:B$" &amp; Prams!$B$9),2,)</f>
        <v>AD002</v>
      </c>
      <c r="L1259">
        <f t="shared" si="108"/>
        <v>29</v>
      </c>
      <c r="M1259">
        <f ca="1">(B1259-VLOOKUP(K1259,INDIRECT("投手データ!B1:D"&amp;Prams!$B$1),3,FALSE)*2)</f>
        <v>34</v>
      </c>
      <c r="N1259" t="str">
        <f ca="1">VLOOKUP(F1259,INDIRECT("球種変換表!A$1:B$" &amp; Prams!$B$2),2,)</f>
        <v>ストレート</v>
      </c>
      <c r="O1259">
        <f ca="1">VLOOKUP(N1259,球種情報!A:B,2,FALSE)</f>
        <v>1</v>
      </c>
      <c r="P1259">
        <f ca="1">VLOOKUP(K1259,投手データ!B:AI,output!O1259+6,FALSE)</f>
        <v>1</v>
      </c>
      <c r="R1259">
        <f t="shared" ca="1" si="109"/>
        <v>7.1942446043165471E-3</v>
      </c>
      <c r="S1259">
        <f t="shared" si="110"/>
        <v>0.47743055555555552</v>
      </c>
      <c r="T1259">
        <f>Prams!B$5/(S1259-Prams!B$6)</f>
        <v>148.21019265218058</v>
      </c>
      <c r="U1259">
        <f t="shared" ca="1" si="111"/>
        <v>0.56076388888888895</v>
      </c>
      <c r="V1259">
        <f ca="1">Prams!C$5/(U1259-Prams!C$6)</f>
        <v>148.19834996903694</v>
      </c>
      <c r="W1259">
        <f t="shared" ca="1" si="112"/>
        <v>1.0661751796333592</v>
      </c>
    </row>
    <row r="1260" spans="1:23" hidden="1" x14ac:dyDescent="0.55000000000000004">
      <c r="A1260" s="1" t="s">
        <v>3196</v>
      </c>
      <c r="B1260" s="1">
        <v>128</v>
      </c>
      <c r="C1260">
        <v>645.97497999999996</v>
      </c>
      <c r="D1260">
        <v>618</v>
      </c>
      <c r="E1260">
        <v>10.025119999999999</v>
      </c>
      <c r="F1260" t="s">
        <v>3082</v>
      </c>
      <c r="G1260" s="10" t="s">
        <v>3194</v>
      </c>
      <c r="H1260">
        <v>99</v>
      </c>
      <c r="I1260" t="s">
        <v>3195</v>
      </c>
      <c r="J1260">
        <f ca="1">VLOOKUP(G1260,INDIRECT("球速変換!A$1:B$" &amp; Prams!$B$8),2,)</f>
        <v>141</v>
      </c>
      <c r="K1260" t="str">
        <f ca="1">VLOOKUP(I1260,INDIRECT("投手名変換!A$1:B$" &amp; Prams!$B$9),2,)</f>
        <v>AD002</v>
      </c>
      <c r="L1260">
        <f t="shared" si="108"/>
        <v>29</v>
      </c>
      <c r="M1260">
        <f ca="1">(B1260-VLOOKUP(K1260,INDIRECT("投手データ!B1:D"&amp;Prams!$B$1),3,FALSE)*2)</f>
        <v>34</v>
      </c>
      <c r="N1260" t="str">
        <f ca="1">VLOOKUP(F1260,INDIRECT("球種変換表!A$1:B$" &amp; Prams!$B$2),2,)</f>
        <v>ストレート</v>
      </c>
      <c r="O1260">
        <f ca="1">VLOOKUP(N1260,球種情報!A:B,2,FALSE)</f>
        <v>1</v>
      </c>
      <c r="P1260">
        <f ca="1">VLOOKUP(K1260,投手データ!B:AI,output!O1260+6,FALSE)</f>
        <v>1</v>
      </c>
      <c r="R1260">
        <f t="shared" ca="1" si="109"/>
        <v>7.0921985815602835E-3</v>
      </c>
      <c r="S1260">
        <f t="shared" si="110"/>
        <v>0.47083333333333333</v>
      </c>
      <c r="T1260">
        <f>Prams!B$5/(S1260-Prams!B$6)</f>
        <v>150.59191295875286</v>
      </c>
      <c r="U1260">
        <f t="shared" ca="1" si="111"/>
        <v>0.5541666666666667</v>
      </c>
      <c r="V1260">
        <f ca="1">Prams!C$5/(U1260-Prams!C$6)</f>
        <v>150.57968661199968</v>
      </c>
      <c r="W1260">
        <f t="shared" ca="1" si="112"/>
        <v>1.0679410398014162</v>
      </c>
    </row>
    <row r="1261" spans="1:23" hidden="1" x14ac:dyDescent="0.55000000000000004">
      <c r="A1261" s="1" t="s">
        <v>3199</v>
      </c>
      <c r="B1261" s="1">
        <v>128</v>
      </c>
      <c r="C1261">
        <v>644.02270999999996</v>
      </c>
      <c r="D1261">
        <v>621</v>
      </c>
      <c r="E1261">
        <v>11.02285</v>
      </c>
      <c r="F1261" t="s">
        <v>3082</v>
      </c>
      <c r="G1261" s="10" t="s">
        <v>3197</v>
      </c>
      <c r="H1261">
        <v>99</v>
      </c>
      <c r="I1261" t="s">
        <v>3198</v>
      </c>
      <c r="J1261">
        <f ca="1">VLOOKUP(G1261,INDIRECT("球速変換!A$1:B$" &amp; Prams!$B$8),2,)</f>
        <v>142</v>
      </c>
      <c r="K1261" t="str">
        <f ca="1">VLOOKUP(I1261,INDIRECT("投手名変換!A$1:B$" &amp; Prams!$B$9),2,)</f>
        <v>DD009</v>
      </c>
      <c r="L1261">
        <f t="shared" si="108"/>
        <v>29</v>
      </c>
      <c r="M1261">
        <f ca="1">(B1261-VLOOKUP(K1261,INDIRECT("投手データ!B1:D"&amp;Prams!$B$1),3,FALSE)*2)</f>
        <v>34</v>
      </c>
      <c r="N1261" t="str">
        <f ca="1">VLOOKUP(F1261,INDIRECT("球種変換表!A$1:B$" &amp; Prams!$B$2),2,)</f>
        <v>ストレート</v>
      </c>
      <c r="O1261">
        <f ca="1">VLOOKUP(N1261,球種情報!A:B,2,FALSE)</f>
        <v>1</v>
      </c>
      <c r="P1261">
        <f ca="1">VLOOKUP(K1261,投手データ!B:AI,output!O1261+6,FALSE)</f>
        <v>1</v>
      </c>
      <c r="R1261">
        <f t="shared" ca="1" si="109"/>
        <v>7.0422535211267607E-3</v>
      </c>
      <c r="S1261">
        <f t="shared" si="110"/>
        <v>0.46875</v>
      </c>
      <c r="T1261">
        <f>Prams!B$5/(S1261-Prams!B$6)</f>
        <v>151.36001958624067</v>
      </c>
      <c r="U1261">
        <f t="shared" ca="1" si="111"/>
        <v>0.55208333333333337</v>
      </c>
      <c r="V1261">
        <f ca="1">Prams!C$5/(U1261-Prams!C$6)</f>
        <v>151.34766820351706</v>
      </c>
      <c r="W1261">
        <f t="shared" ca="1" si="112"/>
        <v>1.0658286493205427</v>
      </c>
    </row>
    <row r="1262" spans="1:23" hidden="1" x14ac:dyDescent="0.55000000000000004">
      <c r="A1262" s="1" t="s">
        <v>3200</v>
      </c>
      <c r="B1262" s="1">
        <v>128</v>
      </c>
      <c r="C1262">
        <v>643.47826999999995</v>
      </c>
      <c r="D1262">
        <v>621</v>
      </c>
      <c r="E1262">
        <v>11.52183</v>
      </c>
      <c r="F1262" t="s">
        <v>3082</v>
      </c>
      <c r="G1262" s="10" t="s">
        <v>3197</v>
      </c>
      <c r="H1262">
        <v>99</v>
      </c>
      <c r="I1262">
        <v>0</v>
      </c>
      <c r="J1262">
        <f ca="1">VLOOKUP(G1262,INDIRECT("球速変換!A$1:B$" &amp; Prams!$B$8),2,)</f>
        <v>142</v>
      </c>
      <c r="K1262" t="str">
        <f ca="1">VLOOKUP(I1262,INDIRECT("投手名変換!A$1:B$" &amp; Prams!$B$9),2,)</f>
        <v>DD022</v>
      </c>
      <c r="L1262">
        <f t="shared" si="108"/>
        <v>29</v>
      </c>
      <c r="M1262">
        <f ca="1">(B1262-VLOOKUP(K1262,INDIRECT("投手データ!B1:D"&amp;Prams!$B$1),3,FALSE)*2)</f>
        <v>34</v>
      </c>
      <c r="N1262" t="str">
        <f ca="1">VLOOKUP(F1262,INDIRECT("球種変換表!A$1:B$" &amp; Prams!$B$2),2,)</f>
        <v>ストレート</v>
      </c>
      <c r="O1262">
        <f ca="1">VLOOKUP(N1262,球種情報!A:B,2,FALSE)</f>
        <v>1</v>
      </c>
      <c r="P1262">
        <f ca="1">VLOOKUP(K1262,投手データ!B:AI,output!O1262+6,FALSE)</f>
        <v>1</v>
      </c>
      <c r="R1262">
        <f t="shared" ca="1" si="109"/>
        <v>7.0422535211267607E-3</v>
      </c>
      <c r="S1262">
        <f t="shared" si="110"/>
        <v>0.46875</v>
      </c>
      <c r="T1262">
        <f>Prams!B$5/(S1262-Prams!B$6)</f>
        <v>151.36001958624067</v>
      </c>
      <c r="U1262">
        <f t="shared" ca="1" si="111"/>
        <v>0.55208333333333337</v>
      </c>
      <c r="V1262">
        <f ca="1">Prams!C$5/(U1262-Prams!C$6)</f>
        <v>151.34766820351706</v>
      </c>
      <c r="W1262">
        <f t="shared" ca="1" si="112"/>
        <v>1.0658286493205427</v>
      </c>
    </row>
    <row r="1263" spans="1:23" hidden="1" x14ac:dyDescent="0.55000000000000004">
      <c r="A1263" s="1" t="s">
        <v>3202</v>
      </c>
      <c r="B1263" s="1">
        <v>125</v>
      </c>
      <c r="C1263">
        <v>641.5</v>
      </c>
      <c r="D1263">
        <v>627</v>
      </c>
      <c r="E1263">
        <v>11.5001</v>
      </c>
      <c r="F1263" t="s">
        <v>3201</v>
      </c>
      <c r="G1263" s="10" t="s">
        <v>3182</v>
      </c>
      <c r="H1263">
        <v>98</v>
      </c>
      <c r="I1263" t="s">
        <v>3185</v>
      </c>
      <c r="J1263">
        <f ca="1">VLOOKUP(G1263,INDIRECT("球速変換!A$1:B$" &amp; Prams!$B$8),2,)</f>
        <v>139</v>
      </c>
      <c r="K1263" t="str">
        <f ca="1">VLOOKUP(I1263,INDIRECT("投手名変換!A$1:B$" &amp; Prams!$B$9),2,)</f>
        <v>DD003</v>
      </c>
      <c r="L1263">
        <f t="shared" si="108"/>
        <v>27</v>
      </c>
      <c r="M1263">
        <f ca="1">(B1263-VLOOKUP(K1263,INDIRECT("投手データ!B1:D"&amp;Prams!$B$1),3,FALSE)*2)</f>
        <v>31</v>
      </c>
      <c r="N1263" t="str">
        <f ca="1">VLOOKUP(F1263,INDIRECT("球種変換表!A$1:B$" &amp; Prams!$B$2),2,)</f>
        <v>全力ストレート</v>
      </c>
      <c r="O1263">
        <f ca="1">VLOOKUP(N1263,球種情報!A:B,2,FALSE)</f>
        <v>2</v>
      </c>
      <c r="P1263">
        <f ca="1">VLOOKUP(K1263,投手データ!B:AI,output!O1263+6,FALSE)</f>
        <v>1</v>
      </c>
      <c r="R1263">
        <f t="shared" ca="1" si="109"/>
        <v>7.1942446043165471E-3</v>
      </c>
      <c r="S1263">
        <f t="shared" si="110"/>
        <v>0.43125000000000002</v>
      </c>
      <c r="T1263">
        <f>Prams!B$5/(S1263-Prams!B$6)</f>
        <v>166.66127510446151</v>
      </c>
      <c r="U1263">
        <f t="shared" ca="1" si="111"/>
        <v>0.49791666666666667</v>
      </c>
      <c r="V1263">
        <f ca="1">Prams!C$5/(U1263-Prams!C$6)</f>
        <v>174.48515922668045</v>
      </c>
      <c r="W1263">
        <f t="shared" ca="1" si="112"/>
        <v>1.2552889152998594</v>
      </c>
    </row>
    <row r="1264" spans="1:23" hidden="1" x14ac:dyDescent="0.55000000000000004">
      <c r="A1264" s="1" t="s">
        <v>3203</v>
      </c>
      <c r="B1264" s="1">
        <v>124</v>
      </c>
      <c r="C1264">
        <v>640</v>
      </c>
      <c r="D1264">
        <v>608.5</v>
      </c>
      <c r="E1264">
        <v>11.01146</v>
      </c>
      <c r="F1264" t="s">
        <v>3112</v>
      </c>
      <c r="G1264" s="10" t="s">
        <v>3170</v>
      </c>
      <c r="H1264">
        <v>98</v>
      </c>
      <c r="I1264" t="s">
        <v>3180</v>
      </c>
      <c r="J1264">
        <f ca="1">VLOOKUP(G1264,INDIRECT("球速変換!A$1:B$" &amp; Prams!$B$8),2,)</f>
        <v>141</v>
      </c>
      <c r="K1264" t="str">
        <f ca="1">VLOOKUP(I1264,INDIRECT("投手名変換!A$1:B$" &amp; Prams!$B$9),2,)</f>
        <v>AD002</v>
      </c>
      <c r="L1264">
        <f t="shared" si="108"/>
        <v>26</v>
      </c>
      <c r="M1264">
        <f ca="1">(B1264-VLOOKUP(K1264,INDIRECT("投手データ!B1:D"&amp;Prams!$B$1),3,FALSE)*2)</f>
        <v>30</v>
      </c>
      <c r="N1264" t="str">
        <f ca="1">VLOOKUP(F1264,INDIRECT("球種変換表!A$1:B$" &amp; Prams!$B$2),2,)</f>
        <v>全力ストレート</v>
      </c>
      <c r="O1264">
        <f ca="1">VLOOKUP(N1264,球種情報!A:B,2,FALSE)</f>
        <v>2</v>
      </c>
      <c r="P1264">
        <f ca="1">VLOOKUP(K1264,投手データ!B:AI,output!O1264+6,FALSE)</f>
        <v>1</v>
      </c>
      <c r="R1264">
        <f t="shared" ca="1" si="109"/>
        <v>7.0921985815602835E-3</v>
      </c>
      <c r="S1264">
        <f t="shared" si="110"/>
        <v>0.42743055555555554</v>
      </c>
      <c r="T1264">
        <f>Prams!B$5/(S1264-Prams!B$6)</f>
        <v>168.3951364561502</v>
      </c>
      <c r="U1264">
        <f t="shared" ca="1" si="111"/>
        <v>0.49409722222222219</v>
      </c>
      <c r="V1264">
        <f ca="1">Prams!C$5/(U1264-Prams!C$6)</f>
        <v>176.38656194770923</v>
      </c>
      <c r="W1264">
        <f t="shared" ca="1" si="112"/>
        <v>1.2509685244518385</v>
      </c>
    </row>
    <row r="1265" spans="1:23" hidden="1" x14ac:dyDescent="0.55000000000000004">
      <c r="A1265" s="1" t="s">
        <v>3205</v>
      </c>
      <c r="B1265" s="1">
        <v>124</v>
      </c>
      <c r="C1265">
        <v>639.44739000000004</v>
      </c>
      <c r="D1265">
        <v>603.5</v>
      </c>
      <c r="E1265">
        <v>9.5657899999999998</v>
      </c>
      <c r="F1265" t="s">
        <v>3112</v>
      </c>
      <c r="G1265" s="10" t="s">
        <v>3204</v>
      </c>
      <c r="H1265">
        <v>98</v>
      </c>
      <c r="I1265" t="s">
        <v>3185</v>
      </c>
      <c r="J1265">
        <f ca="1">VLOOKUP(G1265,INDIRECT("球速変換!A$1:B$" &amp; Prams!$B$8),2,)</f>
        <v>141</v>
      </c>
      <c r="K1265" t="str">
        <f ca="1">VLOOKUP(I1265,INDIRECT("投手名変換!A$1:B$" &amp; Prams!$B$9),2,)</f>
        <v>DD003</v>
      </c>
      <c r="L1265">
        <f t="shared" si="108"/>
        <v>26</v>
      </c>
      <c r="M1265">
        <f ca="1">(B1265-VLOOKUP(K1265,INDIRECT("投手データ!B1:D"&amp;Prams!$B$1),3,FALSE)*2)</f>
        <v>30</v>
      </c>
      <c r="N1265" t="str">
        <f ca="1">VLOOKUP(F1265,INDIRECT("球種変換表!A$1:B$" &amp; Prams!$B$2),2,)</f>
        <v>全力ストレート</v>
      </c>
      <c r="O1265">
        <f ca="1">VLOOKUP(N1265,球種情報!A:B,2,FALSE)</f>
        <v>2</v>
      </c>
      <c r="P1265">
        <f ca="1">VLOOKUP(K1265,投手データ!B:AI,output!O1265+6,FALSE)</f>
        <v>1</v>
      </c>
      <c r="R1265">
        <f t="shared" ca="1" si="109"/>
        <v>7.0921985815602835E-3</v>
      </c>
      <c r="S1265">
        <f t="shared" si="110"/>
        <v>0.4309027777777778</v>
      </c>
      <c r="T1265">
        <f>Prams!B$5/(S1265-Prams!B$6)</f>
        <v>166.81742206765256</v>
      </c>
      <c r="U1265">
        <f t="shared" ca="1" si="111"/>
        <v>0.49756944444444445</v>
      </c>
      <c r="V1265">
        <f ca="1">Prams!C$5/(U1265-Prams!C$6)</f>
        <v>174.65631842045374</v>
      </c>
      <c r="W1265">
        <f t="shared" ca="1" si="112"/>
        <v>1.2386972937620833</v>
      </c>
    </row>
    <row r="1266" spans="1:23" hidden="1" x14ac:dyDescent="0.55000000000000004">
      <c r="A1266" s="1" t="s">
        <v>3206</v>
      </c>
      <c r="B1266" s="1">
        <v>124</v>
      </c>
      <c r="C1266">
        <v>640</v>
      </c>
      <c r="D1266">
        <v>608.5</v>
      </c>
      <c r="E1266">
        <v>11.01146</v>
      </c>
      <c r="F1266" t="s">
        <v>3112</v>
      </c>
      <c r="G1266" s="10" t="s">
        <v>3170</v>
      </c>
      <c r="H1266">
        <v>98</v>
      </c>
      <c r="I1266" t="s">
        <v>3180</v>
      </c>
      <c r="J1266">
        <f ca="1">VLOOKUP(G1266,INDIRECT("球速変換!A$1:B$" &amp; Prams!$B$8),2,)</f>
        <v>141</v>
      </c>
      <c r="K1266" t="str">
        <f ca="1">VLOOKUP(I1266,INDIRECT("投手名変換!A$1:B$" &amp; Prams!$B$9),2,)</f>
        <v>AD002</v>
      </c>
      <c r="L1266">
        <f t="shared" si="108"/>
        <v>26</v>
      </c>
      <c r="M1266">
        <f ca="1">(B1266-VLOOKUP(K1266,INDIRECT("投手データ!B1:D"&amp;Prams!$B$1),3,FALSE)*2)</f>
        <v>30</v>
      </c>
      <c r="N1266" t="str">
        <f ca="1">VLOOKUP(F1266,INDIRECT("球種変換表!A$1:B$" &amp; Prams!$B$2),2,)</f>
        <v>全力ストレート</v>
      </c>
      <c r="O1266">
        <f ca="1">VLOOKUP(N1266,球種情報!A:B,2,FALSE)</f>
        <v>2</v>
      </c>
      <c r="P1266">
        <f ca="1">VLOOKUP(K1266,投手データ!B:AI,output!O1266+6,FALSE)</f>
        <v>1</v>
      </c>
      <c r="R1266">
        <f t="shared" ca="1" si="109"/>
        <v>7.0921985815602835E-3</v>
      </c>
      <c r="S1266">
        <f t="shared" si="110"/>
        <v>0.42743055555555554</v>
      </c>
      <c r="T1266">
        <f>Prams!B$5/(S1266-Prams!B$6)</f>
        <v>168.3951364561502</v>
      </c>
      <c r="U1266">
        <f t="shared" ca="1" si="111"/>
        <v>0.49409722222222219</v>
      </c>
      <c r="V1266">
        <f ca="1">Prams!C$5/(U1266-Prams!C$6)</f>
        <v>176.38656194770923</v>
      </c>
      <c r="W1266">
        <f t="shared" ca="1" si="112"/>
        <v>1.2509685244518385</v>
      </c>
    </row>
    <row r="1267" spans="1:23" hidden="1" x14ac:dyDescent="0.55000000000000004">
      <c r="A1267" s="1" t="s">
        <v>3208</v>
      </c>
      <c r="B1267" s="1">
        <v>124</v>
      </c>
      <c r="C1267">
        <v>639</v>
      </c>
      <c r="D1267">
        <v>602</v>
      </c>
      <c r="E1267">
        <v>10.04998</v>
      </c>
      <c r="F1267" t="s">
        <v>3112</v>
      </c>
      <c r="G1267" s="10" t="s">
        <v>3207</v>
      </c>
      <c r="H1267">
        <v>98</v>
      </c>
      <c r="I1267" t="s">
        <v>3185</v>
      </c>
      <c r="J1267">
        <f ca="1">VLOOKUP(G1267,INDIRECT("球速変換!A$1:B$" &amp; Prams!$B$8),2,)</f>
        <v>140</v>
      </c>
      <c r="K1267" t="str">
        <f ca="1">VLOOKUP(I1267,INDIRECT("投手名変換!A$1:B$" &amp; Prams!$B$9),2,)</f>
        <v>DD003</v>
      </c>
      <c r="L1267">
        <f t="shared" si="108"/>
        <v>26</v>
      </c>
      <c r="M1267">
        <f ca="1">(B1267-VLOOKUP(K1267,INDIRECT("投手データ!B1:D"&amp;Prams!$B$1),3,FALSE)*2)</f>
        <v>30</v>
      </c>
      <c r="N1267" t="str">
        <f ca="1">VLOOKUP(F1267,INDIRECT("球種変換表!A$1:B$" &amp; Prams!$B$2),2,)</f>
        <v>全力ストレート</v>
      </c>
      <c r="O1267">
        <f ca="1">VLOOKUP(N1267,球種情報!A:B,2,FALSE)</f>
        <v>2</v>
      </c>
      <c r="P1267">
        <f ca="1">VLOOKUP(K1267,投手データ!B:AI,output!O1267+6,FALSE)</f>
        <v>1</v>
      </c>
      <c r="R1267">
        <f t="shared" ca="1" si="109"/>
        <v>7.1428571428571426E-3</v>
      </c>
      <c r="S1267">
        <f t="shared" si="110"/>
        <v>0.43194444444444446</v>
      </c>
      <c r="T1267">
        <f>Prams!B$5/(S1267-Prams!B$6)</f>
        <v>166.3498564936618</v>
      </c>
      <c r="U1267">
        <f t="shared" ca="1" si="111"/>
        <v>0.49861111111111112</v>
      </c>
      <c r="V1267">
        <f ca="1">Prams!C$5/(U1267-Prams!C$6)</f>
        <v>174.14384526305906</v>
      </c>
      <c r="W1267">
        <f t="shared" ca="1" si="112"/>
        <v>1.2438846090218505</v>
      </c>
    </row>
    <row r="1268" spans="1:23" hidden="1" x14ac:dyDescent="0.55000000000000004">
      <c r="A1268" s="1" t="s">
        <v>3209</v>
      </c>
      <c r="B1268" s="1">
        <v>124</v>
      </c>
      <c r="C1268">
        <v>638.5</v>
      </c>
      <c r="D1268">
        <v>600.5</v>
      </c>
      <c r="E1268">
        <v>10.512</v>
      </c>
      <c r="F1268" t="s">
        <v>3112</v>
      </c>
      <c r="G1268" s="10" t="s">
        <v>3207</v>
      </c>
      <c r="H1268">
        <v>98</v>
      </c>
      <c r="I1268" t="s">
        <v>3180</v>
      </c>
      <c r="J1268">
        <f ca="1">VLOOKUP(G1268,INDIRECT("球速変換!A$1:B$" &amp; Prams!$B$8),2,)</f>
        <v>140</v>
      </c>
      <c r="K1268" t="str">
        <f ca="1">VLOOKUP(I1268,INDIRECT("投手名変換!A$1:B$" &amp; Prams!$B$9),2,)</f>
        <v>AD002</v>
      </c>
      <c r="L1268">
        <f t="shared" si="108"/>
        <v>26</v>
      </c>
      <c r="M1268">
        <f ca="1">(B1268-VLOOKUP(K1268,INDIRECT("投手データ!B1:D"&amp;Prams!$B$1),3,FALSE)*2)</f>
        <v>30</v>
      </c>
      <c r="N1268" t="str">
        <f ca="1">VLOOKUP(F1268,INDIRECT("球種変換表!A$1:B$" &amp; Prams!$B$2),2,)</f>
        <v>全力ストレート</v>
      </c>
      <c r="O1268">
        <f ca="1">VLOOKUP(N1268,球種情報!A:B,2,FALSE)</f>
        <v>2</v>
      </c>
      <c r="P1268">
        <f ca="1">VLOOKUP(K1268,投手データ!B:AI,output!O1268+6,FALSE)</f>
        <v>1</v>
      </c>
      <c r="R1268">
        <f t="shared" ca="1" si="109"/>
        <v>7.1428571428571426E-3</v>
      </c>
      <c r="S1268">
        <f t="shared" si="110"/>
        <v>0.43298611111111113</v>
      </c>
      <c r="T1268">
        <f>Prams!B$5/(S1268-Prams!B$6)</f>
        <v>165.88490463377732</v>
      </c>
      <c r="U1268">
        <f t="shared" ca="1" si="111"/>
        <v>0.49965277777777778</v>
      </c>
      <c r="V1268">
        <f ca="1">Prams!C$5/(U1268-Prams!C$6)</f>
        <v>173.63437068474556</v>
      </c>
      <c r="W1268">
        <f t="shared" ca="1" si="112"/>
        <v>1.2402455048910397</v>
      </c>
    </row>
    <row r="1269" spans="1:23" hidden="1" x14ac:dyDescent="0.55000000000000004">
      <c r="A1269" s="1" t="s">
        <v>3210</v>
      </c>
      <c r="B1269" s="1">
        <v>125</v>
      </c>
      <c r="C1269">
        <v>643</v>
      </c>
      <c r="D1269">
        <v>626.5</v>
      </c>
      <c r="E1269">
        <v>11.01146</v>
      </c>
      <c r="F1269" t="s">
        <v>3112</v>
      </c>
      <c r="G1269" s="10" t="s">
        <v>3188</v>
      </c>
      <c r="H1269">
        <v>98</v>
      </c>
      <c r="I1269" t="s">
        <v>3198</v>
      </c>
      <c r="J1269">
        <f ca="1">VLOOKUP(G1269,INDIRECT("球速変換!A$1:B$" &amp; Prams!$B$8),2,)</f>
        <v>139</v>
      </c>
      <c r="K1269" t="str">
        <f ca="1">VLOOKUP(I1269,INDIRECT("投手名変換!A$1:B$" &amp; Prams!$B$9),2,)</f>
        <v>DD009</v>
      </c>
      <c r="L1269">
        <f t="shared" si="108"/>
        <v>27</v>
      </c>
      <c r="M1269">
        <f ca="1">(B1269-VLOOKUP(K1269,INDIRECT("投手データ!B1:D"&amp;Prams!$B$1),3,FALSE)*2)</f>
        <v>31</v>
      </c>
      <c r="N1269" t="str">
        <f ca="1">VLOOKUP(F1269,INDIRECT("球種変換表!A$1:B$" &amp; Prams!$B$2),2,)</f>
        <v>全力ストレート</v>
      </c>
      <c r="O1269">
        <f ca="1">VLOOKUP(N1269,球種情報!A:B,2,FALSE)</f>
        <v>2</v>
      </c>
      <c r="P1269">
        <f ca="1">VLOOKUP(K1269,投手データ!B:AI,output!O1269+6,FALSE)</f>
        <v>1</v>
      </c>
      <c r="R1269">
        <f t="shared" ca="1" si="109"/>
        <v>7.1942446043165471E-3</v>
      </c>
      <c r="S1269">
        <f t="shared" si="110"/>
        <v>0.43159722222222219</v>
      </c>
      <c r="T1269">
        <f>Prams!B$5/(S1269-Prams!B$6)</f>
        <v>166.5054201859846</v>
      </c>
      <c r="U1269">
        <f t="shared" ca="1" si="111"/>
        <v>0.4982638888888889</v>
      </c>
      <c r="V1269">
        <f ca="1">Prams!C$5/(U1269-Prams!C$6)</f>
        <v>174.31433516866517</v>
      </c>
      <c r="W1269">
        <f t="shared" ca="1" si="112"/>
        <v>1.2540599652421955</v>
      </c>
    </row>
    <row r="1270" spans="1:23" hidden="1" x14ac:dyDescent="0.55000000000000004">
      <c r="A1270" s="1" t="s">
        <v>3211</v>
      </c>
      <c r="B1270" s="1">
        <v>124</v>
      </c>
      <c r="C1270">
        <v>639.5</v>
      </c>
      <c r="D1270">
        <v>604.5</v>
      </c>
      <c r="E1270">
        <v>10.512</v>
      </c>
      <c r="F1270" t="s">
        <v>3112</v>
      </c>
      <c r="G1270" s="10" t="s">
        <v>3170</v>
      </c>
      <c r="H1270">
        <v>98</v>
      </c>
      <c r="I1270" t="s">
        <v>3180</v>
      </c>
      <c r="J1270">
        <f ca="1">VLOOKUP(G1270,INDIRECT("球速変換!A$1:B$" &amp; Prams!$B$8),2,)</f>
        <v>141</v>
      </c>
      <c r="K1270" t="str">
        <f ca="1">VLOOKUP(I1270,INDIRECT("投手名変換!A$1:B$" &amp; Prams!$B$9),2,)</f>
        <v>AD002</v>
      </c>
      <c r="L1270">
        <f t="shared" si="108"/>
        <v>26</v>
      </c>
      <c r="M1270">
        <f ca="1">(B1270-VLOOKUP(K1270,INDIRECT("投手データ!B1:D"&amp;Prams!$B$1),3,FALSE)*2)</f>
        <v>30</v>
      </c>
      <c r="N1270" t="str">
        <f ca="1">VLOOKUP(F1270,INDIRECT("球種変換表!A$1:B$" &amp; Prams!$B$2),2,)</f>
        <v>全力ストレート</v>
      </c>
      <c r="O1270">
        <f ca="1">VLOOKUP(N1270,球種情報!A:B,2,FALSE)</f>
        <v>2</v>
      </c>
      <c r="P1270">
        <f ca="1">VLOOKUP(K1270,投手データ!B:AI,output!O1270+6,FALSE)</f>
        <v>1</v>
      </c>
      <c r="R1270">
        <f t="shared" ca="1" si="109"/>
        <v>7.0921985815602835E-3</v>
      </c>
      <c r="S1270">
        <f t="shared" si="110"/>
        <v>0.43020833333333336</v>
      </c>
      <c r="T1270">
        <f>Prams!B$5/(S1270-Prams!B$6)</f>
        <v>167.1305954177837</v>
      </c>
      <c r="U1270">
        <f t="shared" ca="1" si="111"/>
        <v>0.49687500000000001</v>
      </c>
      <c r="V1270">
        <f ca="1">Prams!C$5/(U1270-Prams!C$6)</f>
        <v>174.99964616799943</v>
      </c>
      <c r="W1270">
        <f t="shared" ca="1" si="112"/>
        <v>1.2411322423262372</v>
      </c>
    </row>
    <row r="1271" spans="1:23" hidden="1" x14ac:dyDescent="0.55000000000000004">
      <c r="A1271" s="1" t="s">
        <v>3212</v>
      </c>
      <c r="B1271" s="1">
        <v>124</v>
      </c>
      <c r="C1271">
        <v>639</v>
      </c>
      <c r="D1271">
        <v>602.5</v>
      </c>
      <c r="E1271">
        <v>10.012589999999999</v>
      </c>
      <c r="F1271" t="s">
        <v>3112</v>
      </c>
      <c r="G1271" s="10" t="s">
        <v>3207</v>
      </c>
      <c r="H1271">
        <v>98</v>
      </c>
      <c r="I1271" t="s">
        <v>3185</v>
      </c>
      <c r="J1271">
        <f ca="1">VLOOKUP(G1271,INDIRECT("球速変換!A$1:B$" &amp; Prams!$B$8),2,)</f>
        <v>140</v>
      </c>
      <c r="K1271" t="str">
        <f ca="1">VLOOKUP(I1271,INDIRECT("投手名変換!A$1:B$" &amp; Prams!$B$9),2,)</f>
        <v>DD003</v>
      </c>
      <c r="L1271">
        <f t="shared" si="108"/>
        <v>26</v>
      </c>
      <c r="M1271">
        <f ca="1">(B1271-VLOOKUP(K1271,INDIRECT("投手データ!B1:D"&amp;Prams!$B$1),3,FALSE)*2)</f>
        <v>30</v>
      </c>
      <c r="N1271" t="str">
        <f ca="1">VLOOKUP(F1271,INDIRECT("球種変換表!A$1:B$" &amp; Prams!$B$2),2,)</f>
        <v>全力ストレート</v>
      </c>
      <c r="O1271">
        <f ca="1">VLOOKUP(N1271,球種情報!A:B,2,FALSE)</f>
        <v>2</v>
      </c>
      <c r="P1271">
        <f ca="1">VLOOKUP(K1271,投手データ!B:AI,output!O1271+6,FALSE)</f>
        <v>1</v>
      </c>
      <c r="R1271">
        <f t="shared" ca="1" si="109"/>
        <v>7.1428571428571426E-3</v>
      </c>
      <c r="S1271">
        <f t="shared" si="110"/>
        <v>0.43159722222222219</v>
      </c>
      <c r="T1271">
        <f>Prams!B$5/(S1271-Prams!B$6)</f>
        <v>166.5054201859846</v>
      </c>
      <c r="U1271">
        <f t="shared" ca="1" si="111"/>
        <v>0.4982638888888889</v>
      </c>
      <c r="V1271">
        <f ca="1">Prams!C$5/(U1271-Prams!C$6)</f>
        <v>174.31433516866517</v>
      </c>
      <c r="W1271">
        <f t="shared" ca="1" si="112"/>
        <v>1.2451023940618942</v>
      </c>
    </row>
    <row r="1272" spans="1:23" hidden="1" x14ac:dyDescent="0.55000000000000004">
      <c r="A1272" s="1" t="s">
        <v>3213</v>
      </c>
      <c r="B1272" s="1">
        <v>124</v>
      </c>
      <c r="C1272">
        <v>640</v>
      </c>
      <c r="D1272">
        <v>608.5</v>
      </c>
      <c r="E1272">
        <v>11.01146</v>
      </c>
      <c r="F1272" t="s">
        <v>3112</v>
      </c>
      <c r="G1272" s="10" t="s">
        <v>3170</v>
      </c>
      <c r="H1272">
        <v>98</v>
      </c>
      <c r="I1272">
        <v>0</v>
      </c>
      <c r="J1272">
        <f ca="1">VLOOKUP(G1272,INDIRECT("球速変換!A$1:B$" &amp; Prams!$B$8),2,)</f>
        <v>141</v>
      </c>
      <c r="K1272" t="str">
        <f ca="1">VLOOKUP(I1272,INDIRECT("投手名変換!A$1:B$" &amp; Prams!$B$9),2,)</f>
        <v>DD022</v>
      </c>
      <c r="L1272">
        <f t="shared" si="108"/>
        <v>26</v>
      </c>
      <c r="M1272">
        <f ca="1">(B1272-VLOOKUP(K1272,INDIRECT("投手データ!B1:D"&amp;Prams!$B$1),3,FALSE)*2)</f>
        <v>30</v>
      </c>
      <c r="N1272" t="str">
        <f ca="1">VLOOKUP(F1272,INDIRECT("球種変換表!A$1:B$" &amp; Prams!$B$2),2,)</f>
        <v>全力ストレート</v>
      </c>
      <c r="O1272">
        <f ca="1">VLOOKUP(N1272,球種情報!A:B,2,FALSE)</f>
        <v>2</v>
      </c>
      <c r="P1272">
        <f ca="1">VLOOKUP(K1272,投手データ!B:AI,output!O1272+6,FALSE)</f>
        <v>1</v>
      </c>
      <c r="R1272">
        <f t="shared" ca="1" si="109"/>
        <v>7.0921985815602835E-3</v>
      </c>
      <c r="S1272">
        <f t="shared" si="110"/>
        <v>0.42743055555555554</v>
      </c>
      <c r="T1272">
        <f>Prams!B$5/(S1272-Prams!B$6)</f>
        <v>168.3951364561502</v>
      </c>
      <c r="U1272">
        <f t="shared" ca="1" si="111"/>
        <v>0.49409722222222219</v>
      </c>
      <c r="V1272">
        <f ca="1">Prams!C$5/(U1272-Prams!C$6)</f>
        <v>176.38656194770923</v>
      </c>
      <c r="W1272">
        <f t="shared" ca="1" si="112"/>
        <v>1.2509685244518385</v>
      </c>
    </row>
    <row r="1273" spans="1:23" hidden="1" x14ac:dyDescent="0.55000000000000004">
      <c r="A1273" s="1" t="s">
        <v>3216</v>
      </c>
      <c r="B1273" s="1">
        <v>136</v>
      </c>
      <c r="C1273">
        <v>643.52173000000005</v>
      </c>
      <c r="D1273">
        <v>616</v>
      </c>
      <c r="E1273">
        <v>11.521850000000001</v>
      </c>
      <c r="F1273" t="s">
        <v>3214</v>
      </c>
      <c r="G1273" s="10" t="s">
        <v>3215</v>
      </c>
      <c r="H1273">
        <v>101</v>
      </c>
      <c r="I1273" t="s">
        <v>3198</v>
      </c>
      <c r="J1273">
        <f ca="1">VLOOKUP(G1273,INDIRECT("球速変換!A$1:B$" &amp; Prams!$B$8),2,)</f>
        <v>126</v>
      </c>
      <c r="K1273" t="str">
        <f ca="1">VLOOKUP(I1273,INDIRECT("投手名変換!A$1:B$" &amp; Prams!$B$9),2,)</f>
        <v>DD009</v>
      </c>
      <c r="L1273">
        <f t="shared" si="108"/>
        <v>35</v>
      </c>
      <c r="M1273">
        <f ca="1">(B1273-VLOOKUP(K1273,INDIRECT("投手データ!B1:D"&amp;Prams!$B$1),3,FALSE)*2)</f>
        <v>42</v>
      </c>
      <c r="N1273" t="str">
        <f ca="1">VLOOKUP(F1273,INDIRECT("球種変換表!A$1:B$" &amp; Prams!$B$2),2,)</f>
        <v>スライダー</v>
      </c>
      <c r="O1273">
        <f ca="1">VLOOKUP(N1273,球種情報!A:B,2,FALSE)</f>
        <v>6</v>
      </c>
      <c r="P1273">
        <f ca="1">VLOOKUP(K1273,投手データ!B:AI,output!O1273+6,FALSE)</f>
        <v>0</v>
      </c>
      <c r="R1273">
        <f t="shared" ca="1" si="109"/>
        <v>7.9365079365079361E-3</v>
      </c>
      <c r="S1273">
        <f t="shared" si="110"/>
        <v>0.5722222222222223</v>
      </c>
      <c r="T1273">
        <f>Prams!B$5/(S1273-Prams!B$6)</f>
        <v>120.76639246413299</v>
      </c>
      <c r="U1273">
        <f t="shared" ca="1" si="111"/>
        <v>0.68888888888888888</v>
      </c>
      <c r="V1273">
        <f ca="1">Prams!C$5/(U1273-Prams!C$6)</f>
        <v>113.37659955986632</v>
      </c>
      <c r="W1273">
        <f t="shared" ca="1" si="112"/>
        <v>0.89981428222116133</v>
      </c>
    </row>
    <row r="1274" spans="1:23" hidden="1" x14ac:dyDescent="0.55000000000000004">
      <c r="A1274" s="1" t="s">
        <v>3218</v>
      </c>
      <c r="B1274" s="1">
        <v>135</v>
      </c>
      <c r="C1274">
        <v>642</v>
      </c>
      <c r="D1274">
        <v>602</v>
      </c>
      <c r="E1274">
        <v>10.04998</v>
      </c>
      <c r="F1274" t="s">
        <v>3214</v>
      </c>
      <c r="G1274" s="10" t="s">
        <v>3217</v>
      </c>
      <c r="H1274">
        <v>101</v>
      </c>
      <c r="I1274" t="s">
        <v>3180</v>
      </c>
      <c r="J1274">
        <f ca="1">VLOOKUP(G1274,INDIRECT("球速変換!A$1:B$" &amp; Prams!$B$8),2,)</f>
        <v>127</v>
      </c>
      <c r="K1274" t="str">
        <f ca="1">VLOOKUP(I1274,INDIRECT("投手名変換!A$1:B$" &amp; Prams!$B$9),2,)</f>
        <v>AD002</v>
      </c>
      <c r="L1274">
        <f t="shared" si="108"/>
        <v>34</v>
      </c>
      <c r="M1274">
        <f ca="1">(B1274-VLOOKUP(K1274,INDIRECT("投手データ!B1:D"&amp;Prams!$B$1),3,FALSE)*2)</f>
        <v>41</v>
      </c>
      <c r="N1274" t="str">
        <f ca="1">VLOOKUP(F1274,INDIRECT("球種変換表!A$1:B$" &amp; Prams!$B$2),2,)</f>
        <v>スライダー</v>
      </c>
      <c r="O1274">
        <f ca="1">VLOOKUP(N1274,球種情報!A:B,2,FALSE)</f>
        <v>6</v>
      </c>
      <c r="P1274">
        <f ca="1">VLOOKUP(K1274,投手データ!B:AI,output!O1274+6,FALSE)</f>
        <v>1</v>
      </c>
      <c r="R1274">
        <f t="shared" ca="1" si="109"/>
        <v>7.874015748031496E-3</v>
      </c>
      <c r="S1274">
        <f t="shared" si="110"/>
        <v>0.56527777777777777</v>
      </c>
      <c r="T1274">
        <f>Prams!B$5/(S1274-Prams!B$6)</f>
        <v>122.42716951240979</v>
      </c>
      <c r="U1274">
        <f t="shared" ca="1" si="111"/>
        <v>0.68194444444444435</v>
      </c>
      <c r="V1274">
        <f ca="1">Prams!C$5/(U1274-Prams!C$6)</f>
        <v>114.8391158077233</v>
      </c>
      <c r="W1274">
        <f t="shared" ca="1" si="112"/>
        <v>0.90424500636002603</v>
      </c>
    </row>
    <row r="1275" spans="1:23" hidden="1" x14ac:dyDescent="0.55000000000000004">
      <c r="A1275" s="1" t="s">
        <v>3220</v>
      </c>
      <c r="B1275" s="1">
        <v>135</v>
      </c>
      <c r="C1275">
        <v>645.57892000000004</v>
      </c>
      <c r="D1275">
        <v>607</v>
      </c>
      <c r="E1275">
        <v>9.6311300000000006</v>
      </c>
      <c r="F1275" t="s">
        <v>3214</v>
      </c>
      <c r="G1275" s="10" t="s">
        <v>3219</v>
      </c>
      <c r="H1275">
        <v>101</v>
      </c>
      <c r="I1275" t="s">
        <v>3185</v>
      </c>
      <c r="J1275">
        <f ca="1">VLOOKUP(G1275,INDIRECT("球速変換!A$1:B$" &amp; Prams!$B$8),2,)</f>
        <v>128</v>
      </c>
      <c r="K1275" t="str">
        <f ca="1">VLOOKUP(I1275,INDIRECT("投手名変換!A$1:B$" &amp; Prams!$B$9),2,)</f>
        <v>DD003</v>
      </c>
      <c r="L1275">
        <f t="shared" si="108"/>
        <v>34</v>
      </c>
      <c r="M1275">
        <f ca="1">(B1275-VLOOKUP(K1275,INDIRECT("投手データ!B1:D"&amp;Prams!$B$1),3,FALSE)*2)</f>
        <v>41</v>
      </c>
      <c r="N1275" t="str">
        <f ca="1">VLOOKUP(F1275,INDIRECT("球種変換表!A$1:B$" &amp; Prams!$B$2),2,)</f>
        <v>スライダー</v>
      </c>
      <c r="O1275">
        <f ca="1">VLOOKUP(N1275,球種情報!A:B,2,FALSE)</f>
        <v>6</v>
      </c>
      <c r="P1275">
        <f ca="1">VLOOKUP(K1275,投手データ!B:AI,output!O1275+6,FALSE)</f>
        <v>0</v>
      </c>
      <c r="R1275">
        <f t="shared" ca="1" si="109"/>
        <v>7.8125E-3</v>
      </c>
      <c r="S1275">
        <f t="shared" si="110"/>
        <v>0.56180555555555556</v>
      </c>
      <c r="T1275">
        <f>Prams!B$5/(S1275-Prams!B$6)</f>
        <v>123.27480586234782</v>
      </c>
      <c r="U1275">
        <f t="shared" ca="1" si="111"/>
        <v>0.67847222222222225</v>
      </c>
      <c r="V1275">
        <f ca="1">Prams!C$5/(U1275-Prams!C$6)</f>
        <v>115.58461522482006</v>
      </c>
      <c r="W1275">
        <f t="shared" ca="1" si="112"/>
        <v>0.90300480644390668</v>
      </c>
    </row>
    <row r="1276" spans="1:23" hidden="1" x14ac:dyDescent="0.55000000000000004">
      <c r="A1276" s="1" t="s">
        <v>3222</v>
      </c>
      <c r="B1276" s="1">
        <v>135</v>
      </c>
      <c r="C1276">
        <v>648</v>
      </c>
      <c r="D1276">
        <v>606.5</v>
      </c>
      <c r="E1276">
        <v>11.01146</v>
      </c>
      <c r="F1276" t="s">
        <v>3214</v>
      </c>
      <c r="G1276" s="10" t="s">
        <v>3219</v>
      </c>
      <c r="H1276">
        <v>101</v>
      </c>
      <c r="I1276" t="s">
        <v>3221</v>
      </c>
      <c r="J1276">
        <f ca="1">VLOOKUP(G1276,INDIRECT("球速変換!A$1:B$" &amp; Prams!$B$8),2,)</f>
        <v>128</v>
      </c>
      <c r="K1276" t="str">
        <f ca="1">VLOOKUP(I1276,INDIRECT("投手名変換!A$1:B$" &amp; Prams!$B$9),2,)</f>
        <v>AD002</v>
      </c>
      <c r="L1276">
        <f t="shared" ref="L1276:L1339" si="113">B1276-H1276</f>
        <v>34</v>
      </c>
      <c r="M1276">
        <f ca="1">(B1276-VLOOKUP(K1276,INDIRECT("投手データ!B1:D"&amp;Prams!$B$1),3,FALSE)*2)</f>
        <v>41</v>
      </c>
      <c r="N1276" t="str">
        <f ca="1">VLOOKUP(F1276,INDIRECT("球種変換表!A$1:B$" &amp; Prams!$B$2),2,)</f>
        <v>スライダー</v>
      </c>
      <c r="O1276">
        <f ca="1">VLOOKUP(N1276,球種情報!A:B,2,FALSE)</f>
        <v>6</v>
      </c>
      <c r="P1276">
        <f ca="1">VLOOKUP(K1276,投手データ!B:AI,output!O1276+6,FALSE)</f>
        <v>1</v>
      </c>
      <c r="R1276">
        <f t="shared" ref="R1276:R1339" ca="1" si="114">1/J1276</f>
        <v>7.8125E-3</v>
      </c>
      <c r="S1276">
        <f t="shared" ref="S1276:S1339" si="115">(L1276-(D1276-600)/24)*2/120</f>
        <v>0.56215277777777772</v>
      </c>
      <c r="T1276">
        <f>Prams!B$5/(S1276-Prams!B$6)</f>
        <v>123.18951441049003</v>
      </c>
      <c r="U1276">
        <f t="shared" ref="U1276:U1339" ca="1" si="116">(M1276-(D1276-600)/24)*2/120</f>
        <v>0.67881944444444442</v>
      </c>
      <c r="V1276">
        <f ca="1">Prams!C$5/(U1276-Prams!C$6)</f>
        <v>115.50963000638367</v>
      </c>
      <c r="W1276">
        <f t="shared" ref="W1276:W1339" ca="1" si="117">V1276/J1276</f>
        <v>0.90241898442487245</v>
      </c>
    </row>
    <row r="1277" spans="1:23" hidden="1" x14ac:dyDescent="0.55000000000000004">
      <c r="A1277" s="1" t="s">
        <v>3224</v>
      </c>
      <c r="B1277" s="1">
        <v>135</v>
      </c>
      <c r="C1277">
        <v>637</v>
      </c>
      <c r="D1277">
        <v>610</v>
      </c>
      <c r="E1277">
        <v>10.04998</v>
      </c>
      <c r="F1277" t="s">
        <v>3214</v>
      </c>
      <c r="G1277" s="10" t="s">
        <v>3223</v>
      </c>
      <c r="H1277">
        <v>101</v>
      </c>
      <c r="I1277" t="s">
        <v>3185</v>
      </c>
      <c r="J1277">
        <f ca="1">VLOOKUP(G1277,INDIRECT("球速変換!A$1:B$" &amp; Prams!$B$8),2,)</f>
        <v>129</v>
      </c>
      <c r="K1277" t="str">
        <f ca="1">VLOOKUP(I1277,INDIRECT("投手名変換!A$1:B$" &amp; Prams!$B$9),2,)</f>
        <v>DD003</v>
      </c>
      <c r="L1277">
        <f t="shared" si="113"/>
        <v>34</v>
      </c>
      <c r="M1277">
        <f ca="1">(B1277-VLOOKUP(K1277,INDIRECT("投手データ!B1:D"&amp;Prams!$B$1),3,FALSE)*2)</f>
        <v>41</v>
      </c>
      <c r="N1277" t="str">
        <f ca="1">VLOOKUP(F1277,INDIRECT("球種変換表!A$1:B$" &amp; Prams!$B$2),2,)</f>
        <v>スライダー</v>
      </c>
      <c r="O1277">
        <f ca="1">VLOOKUP(N1277,球種情報!A:B,2,FALSE)</f>
        <v>6</v>
      </c>
      <c r="P1277">
        <f ca="1">VLOOKUP(K1277,投手データ!B:AI,output!O1277+6,FALSE)</f>
        <v>0</v>
      </c>
      <c r="R1277">
        <f t="shared" ca="1" si="114"/>
        <v>7.7519379844961239E-3</v>
      </c>
      <c r="S1277">
        <f t="shared" si="115"/>
        <v>0.55972222222222223</v>
      </c>
      <c r="T1277">
        <f>Prams!B$5/(S1277-Prams!B$6)</f>
        <v>123.78904511880395</v>
      </c>
      <c r="U1277">
        <f t="shared" ca="1" si="116"/>
        <v>0.67638888888888893</v>
      </c>
      <c r="V1277">
        <f ca="1">Prams!C$5/(U1277-Prams!C$6)</f>
        <v>116.03657900773705</v>
      </c>
      <c r="W1277">
        <f t="shared" ca="1" si="117"/>
        <v>0.89950836440106241</v>
      </c>
    </row>
    <row r="1278" spans="1:23" hidden="1" x14ac:dyDescent="0.55000000000000004">
      <c r="A1278" s="1" t="s">
        <v>3226</v>
      </c>
      <c r="B1278" s="1">
        <v>135</v>
      </c>
      <c r="C1278">
        <v>644.5</v>
      </c>
      <c r="D1278">
        <v>608</v>
      </c>
      <c r="E1278">
        <v>10.547610000000001</v>
      </c>
      <c r="F1278" t="s">
        <v>3214</v>
      </c>
      <c r="G1278" s="10" t="s">
        <v>3225</v>
      </c>
      <c r="H1278">
        <v>101</v>
      </c>
      <c r="I1278" t="s">
        <v>3180</v>
      </c>
      <c r="J1278">
        <f ca="1">VLOOKUP(G1278,INDIRECT("球速変換!A$1:B$" &amp; Prams!$B$8),2,)</f>
        <v>123</v>
      </c>
      <c r="K1278" t="str">
        <f ca="1">VLOOKUP(I1278,INDIRECT("投手名変換!A$1:B$" &amp; Prams!$B$9),2,)</f>
        <v>AD002</v>
      </c>
      <c r="L1278">
        <f t="shared" si="113"/>
        <v>34</v>
      </c>
      <c r="M1278">
        <f ca="1">(B1278-VLOOKUP(K1278,INDIRECT("投手データ!B1:D"&amp;Prams!$B$1),3,FALSE)*2)</f>
        <v>41</v>
      </c>
      <c r="N1278" t="str">
        <f ca="1">VLOOKUP(F1278,INDIRECT("球種変換表!A$1:B$" &amp; Prams!$B$2),2,)</f>
        <v>スライダー</v>
      </c>
      <c r="O1278">
        <f ca="1">VLOOKUP(N1278,球種情報!A:B,2,FALSE)</f>
        <v>6</v>
      </c>
      <c r="P1278">
        <f ca="1">VLOOKUP(K1278,投手データ!B:AI,output!O1278+6,FALSE)</f>
        <v>1</v>
      </c>
      <c r="R1278">
        <f t="shared" ca="1" si="114"/>
        <v>8.130081300813009E-3</v>
      </c>
      <c r="S1278">
        <f t="shared" si="115"/>
        <v>0.56111111111111112</v>
      </c>
      <c r="T1278">
        <f>Prams!B$5/(S1278-Prams!B$6)</f>
        <v>123.44574357153951</v>
      </c>
      <c r="U1278">
        <f t="shared" ca="1" si="116"/>
        <v>0.6777777777777777</v>
      </c>
      <c r="V1278">
        <f ca="1">Prams!C$5/(U1278-Prams!C$6)</f>
        <v>115.73487810965973</v>
      </c>
      <c r="W1278">
        <f t="shared" ca="1" si="117"/>
        <v>0.94093396837121734</v>
      </c>
    </row>
    <row r="1279" spans="1:23" hidden="1" x14ac:dyDescent="0.55000000000000004">
      <c r="A1279" s="1" t="s">
        <v>3227</v>
      </c>
      <c r="B1279" s="1">
        <v>135</v>
      </c>
      <c r="C1279">
        <v>644.54760999999996</v>
      </c>
      <c r="D1279">
        <v>610.5</v>
      </c>
      <c r="E1279">
        <v>10.55958</v>
      </c>
      <c r="F1279" t="s">
        <v>3214</v>
      </c>
      <c r="G1279" s="10" t="s">
        <v>3223</v>
      </c>
      <c r="H1279">
        <v>101</v>
      </c>
      <c r="I1279" t="s">
        <v>3198</v>
      </c>
      <c r="J1279">
        <f ca="1">VLOOKUP(G1279,INDIRECT("球速変換!A$1:B$" &amp; Prams!$B$8),2,)</f>
        <v>129</v>
      </c>
      <c r="K1279" t="str">
        <f ca="1">VLOOKUP(I1279,INDIRECT("投手名変換!A$1:B$" &amp; Prams!$B$9),2,)</f>
        <v>DD009</v>
      </c>
      <c r="L1279">
        <f t="shared" si="113"/>
        <v>34</v>
      </c>
      <c r="M1279">
        <f ca="1">(B1279-VLOOKUP(K1279,INDIRECT("投手データ!B1:D"&amp;Prams!$B$1),3,FALSE)*2)</f>
        <v>41</v>
      </c>
      <c r="N1279" t="str">
        <f ca="1">VLOOKUP(F1279,INDIRECT("球種変換表!A$1:B$" &amp; Prams!$B$2),2,)</f>
        <v>スライダー</v>
      </c>
      <c r="O1279">
        <f ca="1">VLOOKUP(N1279,球種情報!A:B,2,FALSE)</f>
        <v>6</v>
      </c>
      <c r="P1279">
        <f ca="1">VLOOKUP(K1279,投手データ!B:AI,output!O1279+6,FALSE)</f>
        <v>0</v>
      </c>
      <c r="R1279">
        <f t="shared" ca="1" si="114"/>
        <v>7.7519379844961239E-3</v>
      </c>
      <c r="S1279">
        <f t="shared" si="115"/>
        <v>0.55937499999999996</v>
      </c>
      <c r="T1279">
        <f>Prams!B$5/(S1279-Prams!B$6)</f>
        <v>123.87516906276613</v>
      </c>
      <c r="U1279">
        <f t="shared" ca="1" si="116"/>
        <v>0.67604166666666665</v>
      </c>
      <c r="V1279">
        <f ca="1">Prams!C$5/(U1279-Prams!C$6)</f>
        <v>116.11225016825004</v>
      </c>
      <c r="W1279">
        <f t="shared" ca="1" si="117"/>
        <v>0.900094962544574</v>
      </c>
    </row>
    <row r="1280" spans="1:23" hidden="1" x14ac:dyDescent="0.55000000000000004">
      <c r="A1280" s="1" t="s">
        <v>3229</v>
      </c>
      <c r="B1280" s="1">
        <v>136</v>
      </c>
      <c r="C1280">
        <v>650.5</v>
      </c>
      <c r="D1280">
        <v>614</v>
      </c>
      <c r="E1280">
        <v>10.547610000000001</v>
      </c>
      <c r="F1280" t="s">
        <v>3214</v>
      </c>
      <c r="G1280" s="10" t="s">
        <v>3228</v>
      </c>
      <c r="H1280">
        <v>101</v>
      </c>
      <c r="I1280" t="s">
        <v>3180</v>
      </c>
      <c r="J1280">
        <f ca="1">VLOOKUP(G1280,INDIRECT("球速変換!A$1:B$" &amp; Prams!$B$8),2,)</f>
        <v>126</v>
      </c>
      <c r="K1280" t="str">
        <f ca="1">VLOOKUP(I1280,INDIRECT("投手名変換!A$1:B$" &amp; Prams!$B$9),2,)</f>
        <v>AD002</v>
      </c>
      <c r="L1280">
        <f t="shared" si="113"/>
        <v>35</v>
      </c>
      <c r="M1280">
        <f ca="1">(B1280-VLOOKUP(K1280,INDIRECT("投手データ!B1:D"&amp;Prams!$B$1),3,FALSE)*2)</f>
        <v>42</v>
      </c>
      <c r="N1280" t="str">
        <f ca="1">VLOOKUP(F1280,INDIRECT("球種変換表!A$1:B$" &amp; Prams!$B$2),2,)</f>
        <v>スライダー</v>
      </c>
      <c r="O1280">
        <f ca="1">VLOOKUP(N1280,球種情報!A:B,2,FALSE)</f>
        <v>6</v>
      </c>
      <c r="P1280">
        <f ca="1">VLOOKUP(K1280,投手データ!B:AI,output!O1280+6,FALSE)</f>
        <v>1</v>
      </c>
      <c r="R1280">
        <f t="shared" ca="1" si="114"/>
        <v>7.9365079365079361E-3</v>
      </c>
      <c r="S1280">
        <f t="shared" si="115"/>
        <v>0.57361111111111107</v>
      </c>
      <c r="T1280">
        <f>Prams!B$5/(S1280-Prams!B$6)</f>
        <v>120.43962942118708</v>
      </c>
      <c r="U1280">
        <f t="shared" ca="1" si="116"/>
        <v>0.69027777777777777</v>
      </c>
      <c r="V1280">
        <f ca="1">Prams!C$5/(U1280-Prams!C$6)</f>
        <v>113.08855511066848</v>
      </c>
      <c r="W1280">
        <f t="shared" ca="1" si="117"/>
        <v>0.89752821516403558</v>
      </c>
    </row>
    <row r="1281" spans="1:24" hidden="1" x14ac:dyDescent="0.55000000000000004">
      <c r="A1281" s="1" t="s">
        <v>3231</v>
      </c>
      <c r="B1281" s="1">
        <v>135</v>
      </c>
      <c r="C1281">
        <v>642</v>
      </c>
      <c r="D1281">
        <v>602</v>
      </c>
      <c r="E1281">
        <v>10.04998</v>
      </c>
      <c r="F1281" t="s">
        <v>3214</v>
      </c>
      <c r="G1281" s="10" t="s">
        <v>3230</v>
      </c>
      <c r="H1281">
        <v>101</v>
      </c>
      <c r="I1281" t="s">
        <v>3198</v>
      </c>
      <c r="J1281">
        <f ca="1">VLOOKUP(G1281,INDIRECT("球速変換!A$1:B$" &amp; Prams!$B$8),2,)</f>
        <v>127</v>
      </c>
      <c r="K1281" t="str">
        <f ca="1">VLOOKUP(I1281,INDIRECT("投手名変換!A$1:B$" &amp; Prams!$B$9),2,)</f>
        <v>DD009</v>
      </c>
      <c r="L1281">
        <f t="shared" si="113"/>
        <v>34</v>
      </c>
      <c r="M1281">
        <f ca="1">(B1281-VLOOKUP(K1281,INDIRECT("投手データ!B1:D"&amp;Prams!$B$1),3,FALSE)*2)</f>
        <v>41</v>
      </c>
      <c r="N1281" t="str">
        <f ca="1">VLOOKUP(F1281,INDIRECT("球種変換表!A$1:B$" &amp; Prams!$B$2),2,)</f>
        <v>スライダー</v>
      </c>
      <c r="O1281">
        <f ca="1">VLOOKUP(N1281,球種情報!A:B,2,FALSE)</f>
        <v>6</v>
      </c>
      <c r="P1281">
        <f ca="1">VLOOKUP(K1281,投手データ!B:AI,output!O1281+6,FALSE)</f>
        <v>0</v>
      </c>
      <c r="R1281">
        <f t="shared" ca="1" si="114"/>
        <v>7.874015748031496E-3</v>
      </c>
      <c r="S1281">
        <f t="shared" si="115"/>
        <v>0.56527777777777777</v>
      </c>
      <c r="T1281">
        <f>Prams!B$5/(S1281-Prams!B$6)</f>
        <v>122.42716951240979</v>
      </c>
      <c r="U1281">
        <f t="shared" ca="1" si="116"/>
        <v>0.68194444444444435</v>
      </c>
      <c r="V1281">
        <f ca="1">Prams!C$5/(U1281-Prams!C$6)</f>
        <v>114.8391158077233</v>
      </c>
      <c r="W1281">
        <f t="shared" ca="1" si="117"/>
        <v>0.90424500636002603</v>
      </c>
    </row>
    <row r="1282" spans="1:24" hidden="1" x14ac:dyDescent="0.55000000000000004">
      <c r="A1282" s="1" t="s">
        <v>3232</v>
      </c>
      <c r="B1282" s="1">
        <v>136</v>
      </c>
      <c r="C1282">
        <v>649</v>
      </c>
      <c r="D1282">
        <v>615</v>
      </c>
      <c r="E1282">
        <v>10.04998</v>
      </c>
      <c r="F1282" t="s">
        <v>3214</v>
      </c>
      <c r="G1282" s="10" t="s">
        <v>3228</v>
      </c>
      <c r="H1282">
        <v>101</v>
      </c>
      <c r="I1282" t="s">
        <v>3180</v>
      </c>
      <c r="J1282">
        <f ca="1">VLOOKUP(G1282,INDIRECT("球速変換!A$1:B$" &amp; Prams!$B$8),2,)</f>
        <v>126</v>
      </c>
      <c r="K1282" t="str">
        <f ca="1">VLOOKUP(I1282,INDIRECT("投手名変換!A$1:B$" &amp; Prams!$B$9),2,)</f>
        <v>AD002</v>
      </c>
      <c r="L1282">
        <f t="shared" si="113"/>
        <v>35</v>
      </c>
      <c r="M1282">
        <f ca="1">(B1282-VLOOKUP(K1282,INDIRECT("投手データ!B1:D"&amp;Prams!$B$1),3,FALSE)*2)</f>
        <v>42</v>
      </c>
      <c r="N1282" t="str">
        <f ca="1">VLOOKUP(F1282,INDIRECT("球種変換表!A$1:B$" &amp; Prams!$B$2),2,)</f>
        <v>スライダー</v>
      </c>
      <c r="O1282">
        <f ca="1">VLOOKUP(N1282,球種情報!A:B,2,FALSE)</f>
        <v>6</v>
      </c>
      <c r="P1282">
        <f ca="1">VLOOKUP(K1282,投手データ!B:AI,output!O1282+6,FALSE)</f>
        <v>1</v>
      </c>
      <c r="R1282">
        <f t="shared" ca="1" si="114"/>
        <v>7.9365079365079361E-3</v>
      </c>
      <c r="S1282">
        <f t="shared" si="115"/>
        <v>0.57291666666666663</v>
      </c>
      <c r="T1282">
        <f>Prams!B$5/(S1282-Prams!B$6)</f>
        <v>120.60278960886954</v>
      </c>
      <c r="U1282">
        <f t="shared" ca="1" si="116"/>
        <v>0.68958333333333333</v>
      </c>
      <c r="V1282">
        <f ca="1">Prams!C$5/(U1282-Prams!C$6)</f>
        <v>113.23239415122563</v>
      </c>
      <c r="W1282">
        <f t="shared" ca="1" si="117"/>
        <v>0.89866979485099707</v>
      </c>
    </row>
    <row r="1283" spans="1:24" hidden="1" x14ac:dyDescent="0.55000000000000004">
      <c r="A1283" s="1" t="s">
        <v>3235</v>
      </c>
      <c r="B1283" s="1">
        <v>131</v>
      </c>
      <c r="C1283">
        <v>644</v>
      </c>
      <c r="D1283">
        <v>603</v>
      </c>
      <c r="E1283">
        <v>11.0001</v>
      </c>
      <c r="F1283" t="s">
        <v>3233</v>
      </c>
      <c r="G1283" s="10" t="s">
        <v>3234</v>
      </c>
      <c r="H1283">
        <v>98</v>
      </c>
      <c r="I1283" t="s">
        <v>3180</v>
      </c>
      <c r="J1283">
        <f ca="1">VLOOKUP(G1283,INDIRECT("球速変換!A$1:B$" &amp; Prams!$B$8),2,)</f>
        <v>130</v>
      </c>
      <c r="K1283" t="str">
        <f ca="1">VLOOKUP(I1283,INDIRECT("投手名変換!A$1:B$" &amp; Prams!$B$9),2,)</f>
        <v>AD002</v>
      </c>
      <c r="L1283">
        <f t="shared" si="113"/>
        <v>33</v>
      </c>
      <c r="M1283">
        <f ca="1">(B1283-VLOOKUP(K1283,INDIRECT("投手データ!B1:D"&amp;Prams!$B$1),3,FALSE)*2)</f>
        <v>37</v>
      </c>
      <c r="N1283" t="str">
        <f ca="1">VLOOKUP(F1283,INDIRECT("球種変換表!A$1:B$" &amp; Prams!$B$2),2,)</f>
        <v>SFF</v>
      </c>
      <c r="O1283">
        <f ca="1">VLOOKUP(N1283,球種情報!A:B,2,FALSE)</f>
        <v>21</v>
      </c>
      <c r="P1283">
        <f ca="1">VLOOKUP(K1283,投手データ!B:AI,output!O1283+6,FALSE)</f>
        <v>4</v>
      </c>
      <c r="R1283">
        <f t="shared" ca="1" si="114"/>
        <v>7.6923076923076927E-3</v>
      </c>
      <c r="S1283">
        <f t="shared" si="115"/>
        <v>0.54791666666666672</v>
      </c>
      <c r="T1283">
        <f>Prams!B$5/(S1283-Prams!B$6)</f>
        <v>126.78606829134907</v>
      </c>
      <c r="U1283">
        <f t="shared" ca="1" si="116"/>
        <v>0.61458333333333337</v>
      </c>
      <c r="V1283">
        <f ca="1">Prams!C$5/(U1283-Prams!C$6)</f>
        <v>131.26366821189708</v>
      </c>
      <c r="W1283">
        <f t="shared" ca="1" si="117"/>
        <v>1.0097205247069005</v>
      </c>
    </row>
    <row r="1284" spans="1:24" hidden="1" x14ac:dyDescent="0.55000000000000004">
      <c r="A1284" s="1" t="s">
        <v>3237</v>
      </c>
      <c r="B1284" s="1">
        <v>131</v>
      </c>
      <c r="C1284">
        <v>647.5</v>
      </c>
      <c r="D1284">
        <v>615.5</v>
      </c>
      <c r="E1284">
        <v>11.510960000000001</v>
      </c>
      <c r="F1284" t="s">
        <v>3233</v>
      </c>
      <c r="G1284" s="10" t="s">
        <v>3236</v>
      </c>
      <c r="H1284">
        <v>98</v>
      </c>
      <c r="I1284" t="s">
        <v>3185</v>
      </c>
      <c r="J1284">
        <f ca="1">VLOOKUP(G1284,INDIRECT("球速変換!A$1:B$" &amp; Prams!$B$8),2,)</f>
        <v>93</v>
      </c>
      <c r="K1284" t="str">
        <f ca="1">VLOOKUP(I1284,INDIRECT("投手名変換!A$1:B$" &amp; Prams!$B$9),2,)</f>
        <v>DD003</v>
      </c>
      <c r="L1284">
        <f t="shared" si="113"/>
        <v>33</v>
      </c>
      <c r="M1284">
        <f ca="1">(B1284-VLOOKUP(K1284,INDIRECT("投手データ!B1:D"&amp;Prams!$B$1),3,FALSE)*2)</f>
        <v>37</v>
      </c>
      <c r="N1284" t="str">
        <f ca="1">VLOOKUP(F1284,INDIRECT("球種変換表!A$1:B$" &amp; Prams!$B$2),2,)</f>
        <v>SFF</v>
      </c>
      <c r="O1284">
        <f ca="1">VLOOKUP(N1284,球種情報!A:B,2,FALSE)</f>
        <v>21</v>
      </c>
      <c r="P1284">
        <f ca="1">VLOOKUP(K1284,投手データ!B:AI,output!O1284+6,FALSE)</f>
        <v>0</v>
      </c>
      <c r="R1284">
        <f t="shared" ca="1" si="114"/>
        <v>1.0752688172043012E-2</v>
      </c>
      <c r="S1284">
        <f t="shared" si="115"/>
        <v>0.53923611111111103</v>
      </c>
      <c r="T1284">
        <f>Prams!B$5/(S1284-Prams!B$6)</f>
        <v>129.08402303717153</v>
      </c>
      <c r="U1284">
        <f t="shared" ca="1" si="116"/>
        <v>0.60590277777777779</v>
      </c>
      <c r="V1284">
        <f ca="1">Prams!C$5/(U1284-Prams!C$6)</f>
        <v>133.72837666512447</v>
      </c>
      <c r="W1284">
        <f t="shared" ca="1" si="117"/>
        <v>1.4379395340335965</v>
      </c>
    </row>
    <row r="1285" spans="1:24" hidden="1" x14ac:dyDescent="0.55000000000000004">
      <c r="A1285" s="1" t="s">
        <v>3239</v>
      </c>
      <c r="B1285" s="1">
        <v>131</v>
      </c>
      <c r="C1285">
        <v>639</v>
      </c>
      <c r="D1285">
        <v>610</v>
      </c>
      <c r="E1285">
        <v>12.0001</v>
      </c>
      <c r="F1285" t="s">
        <v>3233</v>
      </c>
      <c r="G1285" s="10" t="s">
        <v>3238</v>
      </c>
      <c r="H1285">
        <v>98</v>
      </c>
      <c r="I1285" t="s">
        <v>3180</v>
      </c>
      <c r="J1285">
        <f ca="1">VLOOKUP(G1285,INDIRECT("球速変換!A$1:B$" &amp; Prams!$B$8),2,)</f>
        <v>132</v>
      </c>
      <c r="K1285" t="str">
        <f ca="1">VLOOKUP(I1285,INDIRECT("投手名変換!A$1:B$" &amp; Prams!$B$9),2,)</f>
        <v>AD002</v>
      </c>
      <c r="L1285">
        <f t="shared" si="113"/>
        <v>33</v>
      </c>
      <c r="M1285">
        <f ca="1">(B1285-VLOOKUP(K1285,INDIRECT("投手データ!B1:D"&amp;Prams!$B$1),3,FALSE)*2)</f>
        <v>37</v>
      </c>
      <c r="N1285" t="str">
        <f ca="1">VLOOKUP(F1285,INDIRECT("球種変換表!A$1:B$" &amp; Prams!$B$2),2,)</f>
        <v>SFF</v>
      </c>
      <c r="O1285">
        <f ca="1">VLOOKUP(N1285,球種情報!A:B,2,FALSE)</f>
        <v>21</v>
      </c>
      <c r="P1285">
        <f ca="1">VLOOKUP(K1285,投手データ!B:AI,output!O1285+6,FALSE)</f>
        <v>4</v>
      </c>
      <c r="R1285">
        <f t="shared" ca="1" si="114"/>
        <v>7.575757575757576E-3</v>
      </c>
      <c r="S1285">
        <f t="shared" si="115"/>
        <v>0.54305555555555562</v>
      </c>
      <c r="T1285">
        <f>Prams!B$5/(S1285-Prams!B$6)</f>
        <v>128.06274166820106</v>
      </c>
      <c r="U1285">
        <f t="shared" ca="1" si="116"/>
        <v>0.60972222222222228</v>
      </c>
      <c r="V1285">
        <f ca="1">Prams!C$5/(U1285-Prams!C$6)</f>
        <v>132.6325951705561</v>
      </c>
      <c r="W1285">
        <f t="shared" ca="1" si="117"/>
        <v>1.0047923876557281</v>
      </c>
    </row>
    <row r="1286" spans="1:24" hidden="1" x14ac:dyDescent="0.55000000000000004">
      <c r="A1286" s="1" t="s">
        <v>3240</v>
      </c>
      <c r="B1286" s="1">
        <v>131</v>
      </c>
      <c r="C1286">
        <v>635.47826999999995</v>
      </c>
      <c r="D1286">
        <v>608</v>
      </c>
      <c r="E1286">
        <v>11.52183</v>
      </c>
      <c r="F1286" t="s">
        <v>3233</v>
      </c>
      <c r="G1286" s="10" t="s">
        <v>3238</v>
      </c>
      <c r="H1286">
        <v>98</v>
      </c>
      <c r="I1286" t="s">
        <v>3185</v>
      </c>
      <c r="J1286">
        <f ca="1">VLOOKUP(G1286,INDIRECT("球速変換!A$1:B$" &amp; Prams!$B$8),2,)</f>
        <v>132</v>
      </c>
      <c r="K1286" t="str">
        <f ca="1">VLOOKUP(I1286,INDIRECT("投手名変換!A$1:B$" &amp; Prams!$B$9),2,)</f>
        <v>DD003</v>
      </c>
      <c r="L1286">
        <f t="shared" si="113"/>
        <v>33</v>
      </c>
      <c r="M1286">
        <f ca="1">(B1286-VLOOKUP(K1286,INDIRECT("投手データ!B1:D"&amp;Prams!$B$1),3,FALSE)*2)</f>
        <v>37</v>
      </c>
      <c r="N1286" t="str">
        <f ca="1">VLOOKUP(F1286,INDIRECT("球種変換表!A$1:B$" &amp; Prams!$B$2),2,)</f>
        <v>SFF</v>
      </c>
      <c r="O1286">
        <f ca="1">VLOOKUP(N1286,球種情報!A:B,2,FALSE)</f>
        <v>21</v>
      </c>
      <c r="P1286">
        <f ca="1">VLOOKUP(K1286,投手データ!B:AI,output!O1286+6,FALSE)</f>
        <v>0</v>
      </c>
      <c r="R1286">
        <f t="shared" ca="1" si="114"/>
        <v>7.575757575757576E-3</v>
      </c>
      <c r="S1286">
        <f t="shared" si="115"/>
        <v>0.5444444444444444</v>
      </c>
      <c r="T1286">
        <f>Prams!B$5/(S1286-Prams!B$6)</f>
        <v>127.69536180662338</v>
      </c>
      <c r="U1286">
        <f t="shared" ca="1" si="116"/>
        <v>0.61111111111111105</v>
      </c>
      <c r="V1286">
        <f ca="1">Prams!C$5/(U1286-Prams!C$6)</f>
        <v>132.23856830497198</v>
      </c>
      <c r="W1286">
        <f t="shared" ca="1" si="117"/>
        <v>1.0018073356437271</v>
      </c>
    </row>
    <row r="1287" spans="1:24" hidden="1" x14ac:dyDescent="0.55000000000000004">
      <c r="A1287" s="1" t="s">
        <v>3242</v>
      </c>
      <c r="B1287" s="1">
        <v>131</v>
      </c>
      <c r="C1287">
        <v>633</v>
      </c>
      <c r="D1287">
        <v>615</v>
      </c>
      <c r="E1287">
        <v>10.04998</v>
      </c>
      <c r="F1287" t="s">
        <v>3233</v>
      </c>
      <c r="G1287" s="10" t="s">
        <v>3241</v>
      </c>
      <c r="H1287">
        <v>98</v>
      </c>
      <c r="I1287" t="s">
        <v>3198</v>
      </c>
      <c r="J1287">
        <f ca="1">VLOOKUP(G1287,INDIRECT("球速変換!A$1:B$" &amp; Prams!$B$8),2,)</f>
        <v>133</v>
      </c>
      <c r="K1287" t="str">
        <f ca="1">VLOOKUP(I1287,INDIRECT("投手名変換!A$1:B$" &amp; Prams!$B$9),2,)</f>
        <v>DD009</v>
      </c>
      <c r="L1287">
        <f t="shared" si="113"/>
        <v>33</v>
      </c>
      <c r="M1287">
        <f ca="1">(B1287-VLOOKUP(K1287,INDIRECT("投手データ!B1:D"&amp;Prams!$B$1),3,FALSE)*2)</f>
        <v>37</v>
      </c>
      <c r="N1287" t="str">
        <f ca="1">VLOOKUP(F1287,INDIRECT("球種変換表!A$1:B$" &amp; Prams!$B$2),2,)</f>
        <v>SFF</v>
      </c>
      <c r="O1287">
        <f ca="1">VLOOKUP(N1287,球種情報!A:B,2,FALSE)</f>
        <v>21</v>
      </c>
      <c r="P1287">
        <f ca="1">VLOOKUP(K1287,投手データ!B:AI,output!O1287+6,FALSE)</f>
        <v>0</v>
      </c>
      <c r="R1287">
        <f t="shared" ca="1" si="114"/>
        <v>7.5187969924812026E-3</v>
      </c>
      <c r="S1287">
        <f t="shared" si="115"/>
        <v>0.5395833333333333</v>
      </c>
      <c r="T1287">
        <f>Prams!B$5/(S1287-Prams!B$6)</f>
        <v>128.99050665924821</v>
      </c>
      <c r="U1287">
        <f t="shared" ca="1" si="116"/>
        <v>0.60624999999999996</v>
      </c>
      <c r="V1287">
        <f ca="1">Prams!C$5/(U1287-Prams!C$6)</f>
        <v>133.62801253647467</v>
      </c>
      <c r="W1287">
        <f t="shared" ca="1" si="117"/>
        <v>1.0047218987704862</v>
      </c>
    </row>
    <row r="1288" spans="1:24" hidden="1" x14ac:dyDescent="0.55000000000000004">
      <c r="A1288" s="1" t="s">
        <v>3245</v>
      </c>
      <c r="B1288" s="1">
        <v>131</v>
      </c>
      <c r="C1288">
        <v>648.5</v>
      </c>
      <c r="D1288">
        <v>615.5</v>
      </c>
      <c r="E1288">
        <v>10.512</v>
      </c>
      <c r="F1288" t="s">
        <v>3243</v>
      </c>
      <c r="G1288" s="10" t="s">
        <v>3241</v>
      </c>
      <c r="H1288">
        <v>98</v>
      </c>
      <c r="I1288" t="s">
        <v>3244</v>
      </c>
      <c r="J1288">
        <f ca="1">VLOOKUP(G1288,INDIRECT("球速変換!A$1:B$" &amp; Prams!$B$8),2,)</f>
        <v>133</v>
      </c>
      <c r="K1288" t="str">
        <f ca="1">VLOOKUP(I1288,INDIRECT("投手名変換!A$1:B$" &amp; Prams!$B$9),2,)</f>
        <v>AD002</v>
      </c>
      <c r="L1288">
        <f t="shared" si="113"/>
        <v>33</v>
      </c>
      <c r="M1288">
        <f ca="1">(B1288-VLOOKUP(K1288,INDIRECT("投手データ!B1:D"&amp;Prams!$B$1),3,FALSE)*2)</f>
        <v>37</v>
      </c>
      <c r="N1288" t="str">
        <f ca="1">VLOOKUP(F1288,INDIRECT("球種変換表!A$1:B$" &amp; Prams!$B$2),2,)</f>
        <v>SFF</v>
      </c>
      <c r="O1288">
        <f ca="1">VLOOKUP(N1288,球種情報!A:B,2,FALSE)</f>
        <v>21</v>
      </c>
      <c r="P1288">
        <f ca="1">VLOOKUP(K1288,投手データ!B:AI,output!O1288+6,FALSE)</f>
        <v>4</v>
      </c>
      <c r="R1288">
        <f t="shared" ca="1" si="114"/>
        <v>7.5187969924812026E-3</v>
      </c>
      <c r="S1288">
        <f t="shared" si="115"/>
        <v>0.53923611111111103</v>
      </c>
      <c r="T1288">
        <f>Prams!B$5/(S1288-Prams!B$6)</f>
        <v>129.08402303717153</v>
      </c>
      <c r="U1288">
        <f t="shared" ca="1" si="116"/>
        <v>0.60590277777777779</v>
      </c>
      <c r="V1288">
        <f ca="1">Prams!C$5/(U1288-Prams!C$6)</f>
        <v>133.72837666512447</v>
      </c>
      <c r="W1288">
        <f t="shared" ca="1" si="117"/>
        <v>1.0054765162791313</v>
      </c>
    </row>
    <row r="1289" spans="1:24" hidden="1" x14ac:dyDescent="0.55000000000000004">
      <c r="A1289" s="1" t="s">
        <v>3247</v>
      </c>
      <c r="B1289" s="1">
        <v>131</v>
      </c>
      <c r="C1289">
        <v>640</v>
      </c>
      <c r="D1289">
        <v>614.5</v>
      </c>
      <c r="E1289">
        <v>11.01146</v>
      </c>
      <c r="F1289" t="s">
        <v>3243</v>
      </c>
      <c r="G1289" s="10" t="s">
        <v>3246</v>
      </c>
      <c r="H1289">
        <v>98</v>
      </c>
      <c r="I1289" t="s">
        <v>3180</v>
      </c>
      <c r="J1289">
        <f ca="1">VLOOKUP(G1289,INDIRECT("球速変換!A$1:B$" &amp; Prams!$B$8),2,)</f>
        <v>134</v>
      </c>
      <c r="K1289" t="str">
        <f ca="1">VLOOKUP(I1289,INDIRECT("投手名変換!A$1:B$" &amp; Prams!$B$9),2,)</f>
        <v>AD002</v>
      </c>
      <c r="L1289">
        <f t="shared" si="113"/>
        <v>33</v>
      </c>
      <c r="M1289">
        <f ca="1">(B1289-VLOOKUP(K1289,INDIRECT("投手データ!B1:D"&amp;Prams!$B$1),3,FALSE)*2)</f>
        <v>37</v>
      </c>
      <c r="N1289" t="str">
        <f ca="1">VLOOKUP(F1289,INDIRECT("球種変換表!A$1:B$" &amp; Prams!$B$2),2,)</f>
        <v>SFF</v>
      </c>
      <c r="O1289">
        <f ca="1">VLOOKUP(N1289,球種情報!A:B,2,FALSE)</f>
        <v>21</v>
      </c>
      <c r="P1289">
        <f ca="1">VLOOKUP(K1289,投手データ!B:AI,output!O1289+6,FALSE)</f>
        <v>4</v>
      </c>
      <c r="R1289">
        <f t="shared" ca="1" si="114"/>
        <v>7.462686567164179E-3</v>
      </c>
      <c r="S1289">
        <f t="shared" si="115"/>
        <v>0.53993055555555558</v>
      </c>
      <c r="T1289">
        <f>Prams!B$5/(S1289-Prams!B$6)</f>
        <v>128.89712568122457</v>
      </c>
      <c r="U1289">
        <f t="shared" ca="1" si="116"/>
        <v>0.60659722222222223</v>
      </c>
      <c r="V1289">
        <f ca="1">Prams!C$5/(U1289-Prams!C$6)</f>
        <v>133.52779894287823</v>
      </c>
      <c r="W1289">
        <f t="shared" ca="1" si="117"/>
        <v>0.99647611151401672</v>
      </c>
    </row>
    <row r="1290" spans="1:24" hidden="1" x14ac:dyDescent="0.55000000000000004">
      <c r="A1290" s="1" t="s">
        <v>3248</v>
      </c>
      <c r="B1290" s="1">
        <v>131</v>
      </c>
      <c r="C1290">
        <v>637.04998999999998</v>
      </c>
      <c r="D1290">
        <v>600.5</v>
      </c>
      <c r="E1290">
        <v>10.06254</v>
      </c>
      <c r="F1290" t="s">
        <v>3233</v>
      </c>
      <c r="G1290" s="10" t="s">
        <v>3234</v>
      </c>
      <c r="H1290">
        <v>98</v>
      </c>
      <c r="I1290" t="s">
        <v>3185</v>
      </c>
      <c r="J1290">
        <f ca="1">VLOOKUP(G1290,INDIRECT("球速変換!A$1:B$" &amp; Prams!$B$8),2,)</f>
        <v>130</v>
      </c>
      <c r="K1290" t="str">
        <f ca="1">VLOOKUP(I1290,INDIRECT("投手名変換!A$1:B$" &amp; Prams!$B$9),2,)</f>
        <v>DD003</v>
      </c>
      <c r="L1290">
        <f t="shared" si="113"/>
        <v>33</v>
      </c>
      <c r="M1290">
        <f ca="1">(B1290-VLOOKUP(K1290,INDIRECT("投手データ!B1:D"&amp;Prams!$B$1),3,FALSE)*2)</f>
        <v>37</v>
      </c>
      <c r="N1290" t="str">
        <f ca="1">VLOOKUP(F1290,INDIRECT("球種変換表!A$1:B$" &amp; Prams!$B$2),2,)</f>
        <v>SFF</v>
      </c>
      <c r="O1290">
        <f ca="1">VLOOKUP(N1290,球種情報!A:B,2,FALSE)</f>
        <v>21</v>
      </c>
      <c r="P1290">
        <f ca="1">VLOOKUP(K1290,投手データ!B:AI,output!O1290+6,FALSE)</f>
        <v>0</v>
      </c>
      <c r="R1290">
        <f t="shared" ca="1" si="114"/>
        <v>7.6923076923076927E-3</v>
      </c>
      <c r="S1290">
        <f t="shared" si="115"/>
        <v>0.54965277777777777</v>
      </c>
      <c r="T1290">
        <f>Prams!B$5/(S1290-Prams!B$6)</f>
        <v>126.33626048011263</v>
      </c>
      <c r="U1290">
        <f t="shared" ca="1" si="116"/>
        <v>0.61631944444444442</v>
      </c>
      <c r="V1290">
        <f ca="1">Prams!C$5/(U1290-Prams!C$6)</f>
        <v>130.78158879767776</v>
      </c>
      <c r="W1290">
        <f t="shared" ca="1" si="117"/>
        <v>1.0060122215205982</v>
      </c>
    </row>
    <row r="1291" spans="1:24" hidden="1" x14ac:dyDescent="0.55000000000000004">
      <c r="A1291" s="1" t="s">
        <v>3249</v>
      </c>
      <c r="B1291" s="1">
        <v>131</v>
      </c>
      <c r="C1291">
        <v>637.04998999999998</v>
      </c>
      <c r="D1291">
        <v>608.5</v>
      </c>
      <c r="E1291">
        <v>10.06254</v>
      </c>
      <c r="F1291" t="s">
        <v>3233</v>
      </c>
      <c r="G1291" s="10" t="s">
        <v>3238</v>
      </c>
      <c r="H1291">
        <v>98</v>
      </c>
      <c r="I1291" t="s">
        <v>3180</v>
      </c>
      <c r="J1291">
        <f ca="1">VLOOKUP(G1291,INDIRECT("球速変換!A$1:B$" &amp; Prams!$B$8),2,)</f>
        <v>132</v>
      </c>
      <c r="K1291" t="str">
        <f ca="1">VLOOKUP(I1291,INDIRECT("投手名変換!A$1:B$" &amp; Prams!$B$9),2,)</f>
        <v>AD002</v>
      </c>
      <c r="L1291">
        <f t="shared" si="113"/>
        <v>33</v>
      </c>
      <c r="M1291">
        <f ca="1">(B1291-VLOOKUP(K1291,INDIRECT("投手データ!B1:D"&amp;Prams!$B$1),3,FALSE)*2)</f>
        <v>37</v>
      </c>
      <c r="N1291" t="str">
        <f ca="1">VLOOKUP(F1291,INDIRECT("球種変換表!A$1:B$" &amp; Prams!$B$2),2,)</f>
        <v>SFF</v>
      </c>
      <c r="O1291">
        <f ca="1">VLOOKUP(N1291,球種情報!A:B,2,FALSE)</f>
        <v>21</v>
      </c>
      <c r="P1291">
        <f ca="1">VLOOKUP(K1291,投手データ!B:AI,output!O1291+6,FALSE)</f>
        <v>4</v>
      </c>
      <c r="R1291">
        <f t="shared" ca="1" si="114"/>
        <v>7.575757575757576E-3</v>
      </c>
      <c r="S1291">
        <f t="shared" si="115"/>
        <v>0.54409722222222223</v>
      </c>
      <c r="T1291">
        <f>Prams!B$5/(S1291-Prams!B$6)</f>
        <v>127.78700902007843</v>
      </c>
      <c r="U1291">
        <f t="shared" ca="1" si="116"/>
        <v>0.61076388888888888</v>
      </c>
      <c r="V1291">
        <f ca="1">Prams!C$5/(U1291-Prams!C$6)</f>
        <v>132.33685537433331</v>
      </c>
      <c r="W1291">
        <f t="shared" ca="1" si="117"/>
        <v>1.0025519346540401</v>
      </c>
    </row>
    <row r="1292" spans="1:24" hidden="1" x14ac:dyDescent="0.55000000000000004">
      <c r="A1292" s="1" t="s">
        <v>3250</v>
      </c>
      <c r="B1292" s="1">
        <v>131</v>
      </c>
      <c r="C1292">
        <v>643.54345999999998</v>
      </c>
      <c r="D1292">
        <v>615.5</v>
      </c>
      <c r="E1292">
        <v>11.55442</v>
      </c>
      <c r="F1292" t="s">
        <v>3108</v>
      </c>
      <c r="G1292" s="10" t="s">
        <v>3108</v>
      </c>
      <c r="H1292">
        <v>98</v>
      </c>
      <c r="I1292" t="s">
        <v>3108</v>
      </c>
      <c r="J1292" t="e">
        <f ca="1">VLOOKUP(G1292,INDIRECT("球速変換!A$1:B$" &amp; Prams!$B$8),2,)</f>
        <v>#N/A</v>
      </c>
      <c r="K1292" t="e">
        <f ca="1">VLOOKUP(I1292,INDIRECT("投手名変換!A$1:B$" &amp; Prams!$B$9),2,)</f>
        <v>#N/A</v>
      </c>
      <c r="L1292">
        <f t="shared" si="113"/>
        <v>33</v>
      </c>
      <c r="M1292" t="e">
        <f ca="1">(B1292-VLOOKUP(K1292,INDIRECT("投手データ!B1:D"&amp;Prams!$B$1),3,FALSE)*2)</f>
        <v>#N/A</v>
      </c>
      <c r="N1292" t="e">
        <f ca="1">VLOOKUP(F1292,INDIRECT("球種変換表!A$1:B$" &amp; Prams!$B$2),2,)</f>
        <v>#N/A</v>
      </c>
      <c r="O1292" t="e">
        <f ca="1">VLOOKUP(N1292,球種情報!A:B,2,FALSE)</f>
        <v>#N/A</v>
      </c>
      <c r="P1292" t="e">
        <f ca="1">VLOOKUP(K1292,投手データ!B:AI,output!O1292+6,FALSE)</f>
        <v>#N/A</v>
      </c>
      <c r="R1292" t="e">
        <f t="shared" ca="1" si="114"/>
        <v>#N/A</v>
      </c>
      <c r="S1292">
        <f t="shared" si="115"/>
        <v>0.53923611111111103</v>
      </c>
      <c r="T1292">
        <f>Prams!B$5/(S1292-Prams!B$6)</f>
        <v>129.08402303717153</v>
      </c>
      <c r="U1292" t="e">
        <f t="shared" ca="1" si="116"/>
        <v>#N/A</v>
      </c>
      <c r="V1292" t="e">
        <f ca="1">Prams!C$5/(U1292-Prams!C$6)</f>
        <v>#N/A</v>
      </c>
      <c r="W1292" t="e">
        <f t="shared" ca="1" si="117"/>
        <v>#N/A</v>
      </c>
      <c r="X1292" t="s">
        <v>3049</v>
      </c>
    </row>
    <row r="1293" spans="1:24" hidden="1" x14ac:dyDescent="0.55000000000000004">
      <c r="A1293" s="1" t="s">
        <v>3253</v>
      </c>
      <c r="B1293" s="1">
        <v>138</v>
      </c>
      <c r="C1293">
        <v>648</v>
      </c>
      <c r="D1293">
        <v>605.5</v>
      </c>
      <c r="E1293">
        <v>10.012589999999999</v>
      </c>
      <c r="F1293" t="s">
        <v>3251</v>
      </c>
      <c r="G1293" s="10" t="s">
        <v>3252</v>
      </c>
      <c r="H1293">
        <v>101</v>
      </c>
      <c r="I1293" t="s">
        <v>3180</v>
      </c>
      <c r="J1293">
        <f ca="1">VLOOKUP(G1293,INDIRECT("球速変換!A$1:B$" &amp; Prams!$B$8),2,)</f>
        <v>120</v>
      </c>
      <c r="K1293" t="str">
        <f ca="1">VLOOKUP(I1293,INDIRECT("投手名変換!A$1:B$" &amp; Prams!$B$9),2,)</f>
        <v>AD002</v>
      </c>
      <c r="L1293">
        <f t="shared" si="113"/>
        <v>37</v>
      </c>
      <c r="M1293">
        <f ca="1">(B1293-VLOOKUP(K1293,INDIRECT("投手データ!B1:D"&amp;Prams!$B$1),3,FALSE)*2)</f>
        <v>44</v>
      </c>
      <c r="N1293" t="str">
        <f ca="1">VLOOKUP(F1293,INDIRECT("球種変換表!A$1:B$" &amp; Prams!$B$2),2,)</f>
        <v>シンカー</v>
      </c>
      <c r="O1293">
        <f ca="1">VLOOKUP(N1293,球種情報!A:B,2,FALSE)</f>
        <v>22</v>
      </c>
      <c r="P1293">
        <f ca="1">VLOOKUP(K1293,投手データ!B:AI,output!O1293+6,FALSE)</f>
        <v>1</v>
      </c>
      <c r="R1293">
        <f t="shared" ca="1" si="114"/>
        <v>8.3333333333333332E-3</v>
      </c>
      <c r="S1293">
        <f t="shared" si="115"/>
        <v>0.61284722222222221</v>
      </c>
      <c r="T1293">
        <f>Prams!B$5/(S1293-Prams!B$6)</f>
        <v>111.88726956469282</v>
      </c>
      <c r="U1293">
        <f t="shared" ca="1" si="116"/>
        <v>0.72951388888888891</v>
      </c>
      <c r="V1293">
        <f ca="1">Prams!C$5/(U1293-Prams!C$6)</f>
        <v>105.51550521739543</v>
      </c>
      <c r="W1293">
        <f t="shared" ca="1" si="117"/>
        <v>0.87929587681162857</v>
      </c>
    </row>
    <row r="1294" spans="1:24" hidden="1" x14ac:dyDescent="0.55000000000000004">
      <c r="A1294" s="1" t="s">
        <v>3255</v>
      </c>
      <c r="B1294" s="1">
        <v>138</v>
      </c>
      <c r="C1294">
        <v>645.55260999999996</v>
      </c>
      <c r="D1294">
        <v>602.5</v>
      </c>
      <c r="E1294">
        <v>9.5658300000000001</v>
      </c>
      <c r="F1294" t="s">
        <v>3251</v>
      </c>
      <c r="G1294" s="10" t="s">
        <v>3254</v>
      </c>
      <c r="H1294">
        <v>101</v>
      </c>
      <c r="I1294" t="s">
        <v>3180</v>
      </c>
      <c r="J1294">
        <f ca="1">VLOOKUP(G1294,INDIRECT("球速変換!A$1:B$" &amp; Prams!$B$8),2,)</f>
        <v>119</v>
      </c>
      <c r="K1294" t="str">
        <f ca="1">VLOOKUP(I1294,INDIRECT("投手名変換!A$1:B$" &amp; Prams!$B$9),2,)</f>
        <v>AD002</v>
      </c>
      <c r="L1294">
        <f t="shared" si="113"/>
        <v>37</v>
      </c>
      <c r="M1294">
        <f ca="1">(B1294-VLOOKUP(K1294,INDIRECT("投手データ!B1:D"&amp;Prams!$B$1),3,FALSE)*2)</f>
        <v>44</v>
      </c>
      <c r="N1294" t="str">
        <f ca="1">VLOOKUP(F1294,INDIRECT("球種変換表!A$1:B$" &amp; Prams!$B$2),2,)</f>
        <v>シンカー</v>
      </c>
      <c r="O1294">
        <f ca="1">VLOOKUP(N1294,球種情報!A:B,2,FALSE)</f>
        <v>22</v>
      </c>
      <c r="P1294">
        <f ca="1">VLOOKUP(K1294,投手データ!B:AI,output!O1294+6,FALSE)</f>
        <v>1</v>
      </c>
      <c r="R1294">
        <f t="shared" ca="1" si="114"/>
        <v>8.4033613445378148E-3</v>
      </c>
      <c r="S1294">
        <f t="shared" si="115"/>
        <v>0.61493055555555565</v>
      </c>
      <c r="T1294">
        <f>Prams!B$5/(S1294-Prams!B$6)</f>
        <v>111.46699254258338</v>
      </c>
      <c r="U1294">
        <f t="shared" ca="1" si="116"/>
        <v>0.73159722222222223</v>
      </c>
      <c r="V1294">
        <f ca="1">Prams!C$5/(U1294-Prams!C$6)</f>
        <v>105.14165316351645</v>
      </c>
      <c r="W1294">
        <f t="shared" ca="1" si="117"/>
        <v>0.88354330389509628</v>
      </c>
    </row>
    <row r="1295" spans="1:24" hidden="1" x14ac:dyDescent="0.55000000000000004">
      <c r="A1295" s="1" t="s">
        <v>3257</v>
      </c>
      <c r="B1295" s="1">
        <v>139</v>
      </c>
      <c r="C1295">
        <v>634.5</v>
      </c>
      <c r="D1295">
        <v>617</v>
      </c>
      <c r="E1295">
        <v>10.547610000000001</v>
      </c>
      <c r="F1295" t="s">
        <v>3251</v>
      </c>
      <c r="G1295" s="10" t="s">
        <v>3256</v>
      </c>
      <c r="H1295">
        <v>101</v>
      </c>
      <c r="I1295" t="s">
        <v>3185</v>
      </c>
      <c r="J1295">
        <f ca="1">VLOOKUP(G1295,INDIRECT("球速変換!A$1:B$" &amp; Prams!$B$8),2,)</f>
        <v>118</v>
      </c>
      <c r="K1295" t="str">
        <f ca="1">VLOOKUP(I1295,INDIRECT("投手名変換!A$1:B$" &amp; Prams!$B$9),2,)</f>
        <v>DD003</v>
      </c>
      <c r="L1295">
        <f t="shared" si="113"/>
        <v>38</v>
      </c>
      <c r="M1295">
        <f ca="1">(B1295-VLOOKUP(K1295,INDIRECT("投手データ!B1:D"&amp;Prams!$B$1),3,FALSE)*2)</f>
        <v>45</v>
      </c>
      <c r="N1295" t="str">
        <f ca="1">VLOOKUP(F1295,INDIRECT("球種変換表!A$1:B$" &amp; Prams!$B$2),2,)</f>
        <v>シンカー</v>
      </c>
      <c r="O1295">
        <f ca="1">VLOOKUP(N1295,球種情報!A:B,2,FALSE)</f>
        <v>22</v>
      </c>
      <c r="P1295">
        <f ca="1">VLOOKUP(K1295,投手データ!B:AI,output!O1295+6,FALSE)</f>
        <v>0</v>
      </c>
      <c r="R1295">
        <f t="shared" ca="1" si="114"/>
        <v>8.4745762711864406E-3</v>
      </c>
      <c r="S1295">
        <f t="shared" si="115"/>
        <v>0.62152777777777779</v>
      </c>
      <c r="T1295">
        <f>Prams!B$5/(S1295-Prams!B$6)</f>
        <v>110.15670009206006</v>
      </c>
      <c r="U1295">
        <f t="shared" ca="1" si="116"/>
        <v>0.73819444444444438</v>
      </c>
      <c r="V1295">
        <f ca="1">Prams!C$5/(U1295-Prams!C$6)</f>
        <v>103.9750717108767</v>
      </c>
      <c r="W1295">
        <f t="shared" ca="1" si="117"/>
        <v>0.88114467551590425</v>
      </c>
    </row>
    <row r="1296" spans="1:24" hidden="1" x14ac:dyDescent="0.55000000000000004">
      <c r="A1296" s="1" t="s">
        <v>3259</v>
      </c>
      <c r="B1296" s="1">
        <v>138</v>
      </c>
      <c r="C1296">
        <v>645.04998999999998</v>
      </c>
      <c r="D1296">
        <v>603.5</v>
      </c>
      <c r="E1296">
        <v>10.06254</v>
      </c>
      <c r="F1296" t="s">
        <v>3251</v>
      </c>
      <c r="G1296" s="10" t="s">
        <v>3258</v>
      </c>
      <c r="H1296">
        <v>101</v>
      </c>
      <c r="I1296" t="s">
        <v>3185</v>
      </c>
      <c r="J1296">
        <f ca="1">VLOOKUP(G1296,INDIRECT("球速変換!A$1:B$" &amp; Prams!$B$8),2,)</f>
        <v>120</v>
      </c>
      <c r="K1296" t="str">
        <f ca="1">VLOOKUP(I1296,INDIRECT("投手名変換!A$1:B$" &amp; Prams!$B$9),2,)</f>
        <v>DD003</v>
      </c>
      <c r="L1296">
        <f t="shared" si="113"/>
        <v>37</v>
      </c>
      <c r="M1296">
        <f ca="1">(B1296-VLOOKUP(K1296,INDIRECT("投手データ!B1:D"&amp;Prams!$B$1),3,FALSE)*2)</f>
        <v>44</v>
      </c>
      <c r="N1296" t="str">
        <f ca="1">VLOOKUP(F1296,INDIRECT("球種変換表!A$1:B$" &amp; Prams!$B$2),2,)</f>
        <v>シンカー</v>
      </c>
      <c r="O1296">
        <f ca="1">VLOOKUP(N1296,球種情報!A:B,2,FALSE)</f>
        <v>22</v>
      </c>
      <c r="P1296">
        <f ca="1">VLOOKUP(K1296,投手データ!B:AI,output!O1296+6,FALSE)</f>
        <v>0</v>
      </c>
      <c r="R1296">
        <f t="shared" ca="1" si="114"/>
        <v>8.3333333333333332E-3</v>
      </c>
      <c r="S1296">
        <f t="shared" si="115"/>
        <v>0.61423611111111109</v>
      </c>
      <c r="T1296">
        <f>Prams!B$5/(S1296-Prams!B$6)</f>
        <v>111.60673362852717</v>
      </c>
      <c r="U1296">
        <f t="shared" ca="1" si="116"/>
        <v>0.73090277777777779</v>
      </c>
      <c r="V1296">
        <f ca="1">Prams!C$5/(U1296-Prams!C$6)</f>
        <v>105.2659758122112</v>
      </c>
      <c r="W1296">
        <f t="shared" ca="1" si="117"/>
        <v>0.87721646510175999</v>
      </c>
    </row>
    <row r="1297" spans="1:24" hidden="1" x14ac:dyDescent="0.55000000000000004">
      <c r="A1297" s="1" t="s">
        <v>3261</v>
      </c>
      <c r="B1297" s="1">
        <v>138</v>
      </c>
      <c r="C1297">
        <v>643.5</v>
      </c>
      <c r="D1297">
        <v>612</v>
      </c>
      <c r="E1297">
        <v>11.5001</v>
      </c>
      <c r="F1297" t="s">
        <v>3251</v>
      </c>
      <c r="G1297" s="10" t="s">
        <v>3260</v>
      </c>
      <c r="H1297">
        <v>101</v>
      </c>
      <c r="I1297" t="s">
        <v>3185</v>
      </c>
      <c r="J1297">
        <f ca="1">VLOOKUP(G1297,INDIRECT("球速変換!A$1:B$" &amp; Prams!$B$8),2,)</f>
        <v>121</v>
      </c>
      <c r="K1297" t="str">
        <f ca="1">VLOOKUP(I1297,INDIRECT("投手名変換!A$1:B$" &amp; Prams!$B$9),2,)</f>
        <v>DD003</v>
      </c>
      <c r="L1297">
        <f t="shared" si="113"/>
        <v>37</v>
      </c>
      <c r="M1297">
        <f ca="1">(B1297-VLOOKUP(K1297,INDIRECT("投手データ!B1:D"&amp;Prams!$B$1),3,FALSE)*2)</f>
        <v>44</v>
      </c>
      <c r="N1297" t="str">
        <f ca="1">VLOOKUP(F1297,INDIRECT("球種変換表!A$1:B$" &amp; Prams!$B$2),2,)</f>
        <v>シンカー</v>
      </c>
      <c r="O1297">
        <f ca="1">VLOOKUP(N1297,球種情報!A:B,2,FALSE)</f>
        <v>22</v>
      </c>
      <c r="P1297">
        <f ca="1">VLOOKUP(K1297,投手データ!B:AI,output!O1297+6,FALSE)</f>
        <v>0</v>
      </c>
      <c r="R1297">
        <f t="shared" ca="1" si="114"/>
        <v>8.2644628099173556E-3</v>
      </c>
      <c r="S1297">
        <f t="shared" si="115"/>
        <v>0.60833333333333328</v>
      </c>
      <c r="T1297">
        <f>Prams!B$5/(S1297-Prams!B$6)</f>
        <v>112.80883157958763</v>
      </c>
      <c r="U1297">
        <f t="shared" ca="1" si="116"/>
        <v>0.72499999999999998</v>
      </c>
      <c r="V1297">
        <f ca="1">Prams!C$5/(U1297-Prams!C$6)</f>
        <v>106.33470932232544</v>
      </c>
      <c r="W1297">
        <f t="shared" ca="1" si="117"/>
        <v>0.8787992505977309</v>
      </c>
    </row>
    <row r="1298" spans="1:24" hidden="1" x14ac:dyDescent="0.55000000000000004">
      <c r="A1298" s="1" t="s">
        <v>3263</v>
      </c>
      <c r="B1298" s="1">
        <v>138</v>
      </c>
      <c r="C1298">
        <v>640.5</v>
      </c>
      <c r="D1298">
        <v>606.5</v>
      </c>
      <c r="E1298">
        <v>10.512</v>
      </c>
      <c r="F1298" t="s">
        <v>3251</v>
      </c>
      <c r="G1298" s="10" t="s">
        <v>3262</v>
      </c>
      <c r="H1298">
        <v>101</v>
      </c>
      <c r="I1298" t="s">
        <v>3180</v>
      </c>
      <c r="J1298">
        <f ca="1">VLOOKUP(G1298,INDIRECT("球速変換!A$1:B$" &amp; Prams!$B$8),2,)</f>
        <v>120</v>
      </c>
      <c r="K1298" t="str">
        <f ca="1">VLOOKUP(I1298,INDIRECT("投手名変換!A$1:B$" &amp; Prams!$B$9),2,)</f>
        <v>AD002</v>
      </c>
      <c r="L1298">
        <f t="shared" si="113"/>
        <v>37</v>
      </c>
      <c r="M1298">
        <f ca="1">(B1298-VLOOKUP(K1298,INDIRECT("投手データ!B1:D"&amp;Prams!$B$1),3,FALSE)*2)</f>
        <v>44</v>
      </c>
      <c r="N1298" t="str">
        <f ca="1">VLOOKUP(F1298,INDIRECT("球種変換表!A$1:B$" &amp; Prams!$B$2),2,)</f>
        <v>シンカー</v>
      </c>
      <c r="O1298">
        <f ca="1">VLOOKUP(N1298,球種情報!A:B,2,FALSE)</f>
        <v>22</v>
      </c>
      <c r="P1298">
        <f ca="1">VLOOKUP(K1298,投手データ!B:AI,output!O1298+6,FALSE)</f>
        <v>1</v>
      </c>
      <c r="R1298">
        <f t="shared" ca="1" si="114"/>
        <v>8.3333333333333332E-3</v>
      </c>
      <c r="S1298">
        <f t="shared" si="115"/>
        <v>0.61215277777777777</v>
      </c>
      <c r="T1298">
        <f>Prams!B$5/(S1298-Prams!B$6)</f>
        <v>112.02806706700157</v>
      </c>
      <c r="U1298">
        <f t="shared" ca="1" si="116"/>
        <v>0.72881944444444435</v>
      </c>
      <c r="V1298">
        <f ca="1">Prams!C$5/(U1298-Prams!C$6)</f>
        <v>105.64071407211922</v>
      </c>
      <c r="W1298">
        <f t="shared" ca="1" si="117"/>
        <v>0.88033928393432681</v>
      </c>
    </row>
    <row r="1299" spans="1:24" hidden="1" x14ac:dyDescent="0.55000000000000004">
      <c r="A1299" s="1" t="s">
        <v>3264</v>
      </c>
      <c r="B1299" s="1">
        <v>139</v>
      </c>
      <c r="C1299">
        <v>638.5</v>
      </c>
      <c r="D1299">
        <v>617</v>
      </c>
      <c r="E1299">
        <v>10.547610000000001</v>
      </c>
      <c r="F1299" t="s">
        <v>3251</v>
      </c>
      <c r="G1299" s="10" t="s">
        <v>3254</v>
      </c>
      <c r="H1299">
        <v>101</v>
      </c>
      <c r="I1299" t="s">
        <v>3185</v>
      </c>
      <c r="J1299">
        <f ca="1">VLOOKUP(G1299,INDIRECT("球速変換!A$1:B$" &amp; Prams!$B$8),2,)</f>
        <v>119</v>
      </c>
      <c r="K1299" t="str">
        <f ca="1">VLOOKUP(I1299,INDIRECT("投手名変換!A$1:B$" &amp; Prams!$B$9),2,)</f>
        <v>DD003</v>
      </c>
      <c r="L1299">
        <f t="shared" si="113"/>
        <v>38</v>
      </c>
      <c r="M1299">
        <f ca="1">(B1299-VLOOKUP(K1299,INDIRECT("投手データ!B1:D"&amp;Prams!$B$1),3,FALSE)*2)</f>
        <v>45</v>
      </c>
      <c r="N1299" t="str">
        <f ca="1">VLOOKUP(F1299,INDIRECT("球種変換表!A$1:B$" &amp; Prams!$B$2),2,)</f>
        <v>シンカー</v>
      </c>
      <c r="O1299">
        <f ca="1">VLOOKUP(N1299,球種情報!A:B,2,FALSE)</f>
        <v>22</v>
      </c>
      <c r="P1299">
        <f ca="1">VLOOKUP(K1299,投手データ!B:AI,output!O1299+6,FALSE)</f>
        <v>0</v>
      </c>
      <c r="R1299">
        <f t="shared" ca="1" si="114"/>
        <v>8.4033613445378148E-3</v>
      </c>
      <c r="S1299">
        <f t="shared" si="115"/>
        <v>0.62152777777777779</v>
      </c>
      <c r="T1299">
        <f>Prams!B$5/(S1299-Prams!B$6)</f>
        <v>110.15670009206006</v>
      </c>
      <c r="U1299">
        <f t="shared" ca="1" si="116"/>
        <v>0.73819444444444438</v>
      </c>
      <c r="V1299">
        <f ca="1">Prams!C$5/(U1299-Prams!C$6)</f>
        <v>103.9750717108767</v>
      </c>
      <c r="W1299">
        <f t="shared" ca="1" si="117"/>
        <v>0.87374009841072864</v>
      </c>
    </row>
    <row r="1300" spans="1:24" hidden="1" x14ac:dyDescent="0.55000000000000004">
      <c r="A1300" s="1" t="s">
        <v>3266</v>
      </c>
      <c r="B1300" s="1">
        <v>138</v>
      </c>
      <c r="C1300">
        <v>638</v>
      </c>
      <c r="D1300">
        <v>609</v>
      </c>
      <c r="E1300">
        <v>10.04998</v>
      </c>
      <c r="F1300" t="s">
        <v>3251</v>
      </c>
      <c r="G1300" s="10" t="s">
        <v>3265</v>
      </c>
      <c r="H1300">
        <v>101</v>
      </c>
      <c r="I1300" t="s">
        <v>3185</v>
      </c>
      <c r="J1300">
        <f ca="1">VLOOKUP(G1300,INDIRECT("球速変換!A$1:B$" &amp; Prams!$B$8),2,)</f>
        <v>125</v>
      </c>
      <c r="K1300" t="str">
        <f ca="1">VLOOKUP(I1300,INDIRECT("投手名変換!A$1:B$" &amp; Prams!$B$9),2,)</f>
        <v>DD003</v>
      </c>
      <c r="L1300">
        <f t="shared" si="113"/>
        <v>37</v>
      </c>
      <c r="M1300">
        <f ca="1">(B1300-VLOOKUP(K1300,INDIRECT("投手データ!B1:D"&amp;Prams!$B$1),3,FALSE)*2)</f>
        <v>44</v>
      </c>
      <c r="N1300" t="str">
        <f ca="1">VLOOKUP(F1300,INDIRECT("球種変換表!A$1:B$" &amp; Prams!$B$2),2,)</f>
        <v>シンカー</v>
      </c>
      <c r="O1300">
        <f ca="1">VLOOKUP(N1300,球種情報!A:B,2,FALSE)</f>
        <v>22</v>
      </c>
      <c r="P1300">
        <f ca="1">VLOOKUP(K1300,投手データ!B:AI,output!O1300+6,FALSE)</f>
        <v>0</v>
      </c>
      <c r="R1300">
        <f t="shared" ca="1" si="114"/>
        <v>8.0000000000000002E-3</v>
      </c>
      <c r="S1300">
        <f t="shared" si="115"/>
        <v>0.61041666666666672</v>
      </c>
      <c r="T1300">
        <f>Prams!B$5/(S1300-Prams!B$6)</f>
        <v>112.38161602084406</v>
      </c>
      <c r="U1300">
        <f t="shared" ca="1" si="116"/>
        <v>0.7270833333333333</v>
      </c>
      <c r="V1300">
        <f ca="1">Prams!C$5/(U1300-Prams!C$6)</f>
        <v>105.95504013253735</v>
      </c>
      <c r="W1300">
        <f t="shared" ca="1" si="117"/>
        <v>0.84764032106029874</v>
      </c>
    </row>
    <row r="1301" spans="1:24" hidden="1" x14ac:dyDescent="0.55000000000000004">
      <c r="A1301" s="1" t="s">
        <v>3267</v>
      </c>
      <c r="B1301" s="1">
        <v>138</v>
      </c>
      <c r="C1301">
        <v>634.5</v>
      </c>
      <c r="D1301">
        <v>603.5</v>
      </c>
      <c r="E1301">
        <v>10.512</v>
      </c>
      <c r="F1301" t="s">
        <v>3251</v>
      </c>
      <c r="G1301" s="10" t="s">
        <v>3262</v>
      </c>
      <c r="H1301">
        <v>101</v>
      </c>
      <c r="I1301">
        <v>6</v>
      </c>
      <c r="J1301">
        <f ca="1">VLOOKUP(G1301,INDIRECT("球速変換!A$1:B$" &amp; Prams!$B$8),2,)</f>
        <v>120</v>
      </c>
      <c r="K1301" t="e">
        <f ca="1">VLOOKUP(I1301,INDIRECT("投手名変換!A$1:B$" &amp; Prams!$B$9),2,)</f>
        <v>#N/A</v>
      </c>
      <c r="L1301">
        <f t="shared" si="113"/>
        <v>37</v>
      </c>
      <c r="M1301" t="e">
        <f ca="1">(B1301-VLOOKUP(K1301,INDIRECT("投手データ!B1:D"&amp;Prams!$B$1),3,FALSE)*2)</f>
        <v>#N/A</v>
      </c>
      <c r="N1301" t="str">
        <f ca="1">VLOOKUP(F1301,INDIRECT("球種変換表!A$1:B$" &amp; Prams!$B$2),2,)</f>
        <v>シンカー</v>
      </c>
      <c r="O1301">
        <f ca="1">VLOOKUP(N1301,球種情報!A:B,2,FALSE)</f>
        <v>22</v>
      </c>
      <c r="P1301" t="e">
        <f ca="1">VLOOKUP(K1301,投手データ!B:AI,output!O1301+6,FALSE)</f>
        <v>#N/A</v>
      </c>
      <c r="R1301">
        <f t="shared" ca="1" si="114"/>
        <v>8.3333333333333332E-3</v>
      </c>
      <c r="S1301">
        <f t="shared" si="115"/>
        <v>0.61423611111111109</v>
      </c>
      <c r="T1301">
        <f>Prams!B$5/(S1301-Prams!B$6)</f>
        <v>111.60673362852717</v>
      </c>
      <c r="U1301" t="e">
        <f t="shared" ca="1" si="116"/>
        <v>#N/A</v>
      </c>
      <c r="V1301" t="e">
        <f ca="1">Prams!C$5/(U1301-Prams!C$6)</f>
        <v>#N/A</v>
      </c>
      <c r="W1301" t="e">
        <f t="shared" ca="1" si="117"/>
        <v>#N/A</v>
      </c>
      <c r="X1301" t="s">
        <v>3049</v>
      </c>
    </row>
    <row r="1302" spans="1:24" hidden="1" x14ac:dyDescent="0.55000000000000004">
      <c r="A1302" s="1" t="s">
        <v>3268</v>
      </c>
      <c r="B1302" s="1">
        <v>138</v>
      </c>
      <c r="C1302">
        <v>631.5</v>
      </c>
      <c r="D1302">
        <v>605</v>
      </c>
      <c r="E1302">
        <v>10.547610000000001</v>
      </c>
      <c r="F1302" t="s">
        <v>3251</v>
      </c>
      <c r="G1302" s="10" t="s">
        <v>3262</v>
      </c>
      <c r="H1302">
        <v>101</v>
      </c>
      <c r="I1302" t="s">
        <v>3185</v>
      </c>
      <c r="J1302">
        <f ca="1">VLOOKUP(G1302,INDIRECT("球速変換!A$1:B$" &amp; Prams!$B$8),2,)</f>
        <v>120</v>
      </c>
      <c r="K1302" t="str">
        <f ca="1">VLOOKUP(I1302,INDIRECT("投手名変換!A$1:B$" &amp; Prams!$B$9),2,)</f>
        <v>DD003</v>
      </c>
      <c r="L1302">
        <f t="shared" si="113"/>
        <v>37</v>
      </c>
      <c r="M1302">
        <f ca="1">(B1302-VLOOKUP(K1302,INDIRECT("投手データ!B1:D"&amp;Prams!$B$1),3,FALSE)*2)</f>
        <v>44</v>
      </c>
      <c r="N1302" t="str">
        <f ca="1">VLOOKUP(F1302,INDIRECT("球種変換表!A$1:B$" &amp; Prams!$B$2),2,)</f>
        <v>シンカー</v>
      </c>
      <c r="O1302">
        <f ca="1">VLOOKUP(N1302,球種情報!A:B,2,FALSE)</f>
        <v>22</v>
      </c>
      <c r="P1302">
        <f ca="1">VLOOKUP(K1302,投手データ!B:AI,output!O1302+6,FALSE)</f>
        <v>0</v>
      </c>
      <c r="R1302">
        <f t="shared" ca="1" si="114"/>
        <v>8.3333333333333332E-3</v>
      </c>
      <c r="S1302">
        <f t="shared" si="115"/>
        <v>0.61319444444444438</v>
      </c>
      <c r="T1302">
        <f>Prams!B$5/(S1302-Prams!B$6)</f>
        <v>111.81700344650879</v>
      </c>
      <c r="U1302">
        <f t="shared" ca="1" si="116"/>
        <v>0.72986111111111107</v>
      </c>
      <c r="V1302">
        <f ca="1">Prams!C$5/(U1302-Prams!C$6)</f>
        <v>105.45301202535843</v>
      </c>
      <c r="W1302">
        <f t="shared" ca="1" si="117"/>
        <v>0.87877510021132033</v>
      </c>
    </row>
    <row r="1303" spans="1:24" hidden="1" x14ac:dyDescent="0.55000000000000004">
      <c r="A1303" s="1" t="s">
        <v>3270</v>
      </c>
      <c r="B1303" s="1">
        <v>130</v>
      </c>
      <c r="C1303">
        <v>637.07501000000002</v>
      </c>
      <c r="D1303">
        <v>615</v>
      </c>
      <c r="E1303">
        <v>10.12459</v>
      </c>
      <c r="F1303" t="s">
        <v>3269</v>
      </c>
      <c r="G1303" s="10" t="s">
        <v>3188</v>
      </c>
      <c r="H1303">
        <v>98</v>
      </c>
      <c r="I1303" t="s">
        <v>3180</v>
      </c>
      <c r="J1303">
        <f ca="1">VLOOKUP(G1303,INDIRECT("球速変換!A$1:B$" &amp; Prams!$B$8),2,)</f>
        <v>139</v>
      </c>
      <c r="K1303" t="str">
        <f ca="1">VLOOKUP(I1303,INDIRECT("投手名変換!A$1:B$" &amp; Prams!$B$9),2,)</f>
        <v>AD002</v>
      </c>
      <c r="L1303">
        <f t="shared" si="113"/>
        <v>32</v>
      </c>
      <c r="M1303">
        <f ca="1">(B1303-VLOOKUP(K1303,INDIRECT("投手データ!B1:D"&amp;Prams!$B$1),3,FALSE)*2)</f>
        <v>36</v>
      </c>
      <c r="N1303" t="str">
        <f ca="1">VLOOKUP(F1303,INDIRECT("球種変換表!A$1:B$" &amp; Prams!$B$2),2,)</f>
        <v>ツーシームファスト</v>
      </c>
      <c r="O1303">
        <f ca="1">VLOOKUP(N1303,球種情報!A:B,2,FALSE)</f>
        <v>3</v>
      </c>
      <c r="P1303">
        <f ca="1">VLOOKUP(K1303,投手データ!B:AI,output!O1303+6,FALSE)</f>
        <v>1</v>
      </c>
      <c r="R1303">
        <f t="shared" ca="1" si="114"/>
        <v>7.1942446043165471E-3</v>
      </c>
      <c r="S1303">
        <f t="shared" si="115"/>
        <v>0.5229166666666667</v>
      </c>
      <c r="T1303">
        <f>Prams!B$5/(S1303-Prams!B$6)</f>
        <v>133.63764095543468</v>
      </c>
      <c r="U1303">
        <f t="shared" ca="1" si="116"/>
        <v>0.58958333333333335</v>
      </c>
      <c r="V1303">
        <f ca="1">Prams!C$5/(U1303-Prams!C$6)</f>
        <v>138.62177211405509</v>
      </c>
      <c r="W1303">
        <f t="shared" ca="1" si="117"/>
        <v>0.99727893607233875</v>
      </c>
    </row>
    <row r="1304" spans="1:24" hidden="1" x14ac:dyDescent="0.55000000000000004">
      <c r="A1304" s="1" t="s">
        <v>3271</v>
      </c>
      <c r="B1304" s="1">
        <v>130</v>
      </c>
      <c r="C1304">
        <v>637</v>
      </c>
      <c r="D1304">
        <v>616</v>
      </c>
      <c r="E1304">
        <v>11.0001</v>
      </c>
      <c r="F1304" t="s">
        <v>3269</v>
      </c>
      <c r="G1304" s="10" t="s">
        <v>3182</v>
      </c>
      <c r="H1304">
        <v>98</v>
      </c>
      <c r="I1304" t="s">
        <v>3185</v>
      </c>
      <c r="J1304">
        <f ca="1">VLOOKUP(G1304,INDIRECT("球速変換!A$1:B$" &amp; Prams!$B$8),2,)</f>
        <v>139</v>
      </c>
      <c r="K1304" t="str">
        <f ca="1">VLOOKUP(I1304,INDIRECT("投手名変換!A$1:B$" &amp; Prams!$B$9),2,)</f>
        <v>DD003</v>
      </c>
      <c r="L1304">
        <f t="shared" si="113"/>
        <v>32</v>
      </c>
      <c r="M1304">
        <f ca="1">(B1304-VLOOKUP(K1304,INDIRECT("投手データ!B1:D"&amp;Prams!$B$1),3,FALSE)*2)</f>
        <v>36</v>
      </c>
      <c r="N1304" t="str">
        <f ca="1">VLOOKUP(F1304,INDIRECT("球種変換表!A$1:B$" &amp; Prams!$B$2),2,)</f>
        <v>ツーシームファスト</v>
      </c>
      <c r="O1304">
        <f ca="1">VLOOKUP(N1304,球種情報!A:B,2,FALSE)</f>
        <v>3</v>
      </c>
      <c r="P1304">
        <f ca="1">VLOOKUP(K1304,投手データ!B:AI,output!O1304+6,FALSE)</f>
        <v>0</v>
      </c>
      <c r="R1304">
        <f t="shared" ca="1" si="114"/>
        <v>7.1942446043165471E-3</v>
      </c>
      <c r="S1304">
        <f t="shared" si="115"/>
        <v>0.52222222222222225</v>
      </c>
      <c r="T1304">
        <f>Prams!B$5/(S1304-Prams!B$6)</f>
        <v>133.83854905828301</v>
      </c>
      <c r="U1304">
        <f t="shared" ca="1" si="116"/>
        <v>0.58888888888888891</v>
      </c>
      <c r="V1304">
        <f ca="1">Prams!C$5/(U1304-Prams!C$6)</f>
        <v>138.83795788002794</v>
      </c>
      <c r="W1304">
        <f t="shared" ca="1" si="117"/>
        <v>0.99883422935271904</v>
      </c>
    </row>
    <row r="1305" spans="1:24" hidden="1" x14ac:dyDescent="0.55000000000000004">
      <c r="A1305" s="1" t="s">
        <v>3273</v>
      </c>
      <c r="B1305" s="1">
        <v>130</v>
      </c>
      <c r="C1305">
        <v>642</v>
      </c>
      <c r="D1305">
        <v>606.5</v>
      </c>
      <c r="E1305">
        <v>11.01146</v>
      </c>
      <c r="F1305" t="s">
        <v>3269</v>
      </c>
      <c r="G1305" s="10" t="s">
        <v>3272</v>
      </c>
      <c r="H1305">
        <v>98</v>
      </c>
      <c r="I1305" t="s">
        <v>3185</v>
      </c>
      <c r="J1305">
        <f ca="1">VLOOKUP(G1305,INDIRECT("球速変換!A$1:B$" &amp; Prams!$B$8),2,)</f>
        <v>136</v>
      </c>
      <c r="K1305" t="str">
        <f ca="1">VLOOKUP(I1305,INDIRECT("投手名変換!A$1:B$" &amp; Prams!$B$9),2,)</f>
        <v>DD003</v>
      </c>
      <c r="L1305">
        <f t="shared" si="113"/>
        <v>32</v>
      </c>
      <c r="M1305">
        <f ca="1">(B1305-VLOOKUP(K1305,INDIRECT("投手データ!B1:D"&amp;Prams!$B$1),3,FALSE)*2)</f>
        <v>36</v>
      </c>
      <c r="N1305" t="str">
        <f ca="1">VLOOKUP(F1305,INDIRECT("球種変換表!A$1:B$" &amp; Prams!$B$2),2,)</f>
        <v>ツーシームファスト</v>
      </c>
      <c r="O1305">
        <f ca="1">VLOOKUP(N1305,球種情報!A:B,2,FALSE)</f>
        <v>3</v>
      </c>
      <c r="P1305">
        <f ca="1">VLOOKUP(K1305,投手データ!B:AI,output!O1305+6,FALSE)</f>
        <v>0</v>
      </c>
      <c r="R1305">
        <f t="shared" ca="1" si="114"/>
        <v>7.3529411764705881E-3</v>
      </c>
      <c r="S1305">
        <f t="shared" si="115"/>
        <v>0.52881944444444451</v>
      </c>
      <c r="T1305">
        <f>Prams!B$5/(S1305-Prams!B$6)</f>
        <v>131.95396847041803</v>
      </c>
      <c r="U1305">
        <f t="shared" ca="1" si="116"/>
        <v>0.59548611111111105</v>
      </c>
      <c r="V1305">
        <f ca="1">Prams!C$5/(U1305-Prams!C$6)</f>
        <v>136.81102047590656</v>
      </c>
      <c r="W1305">
        <f t="shared" ca="1" si="117"/>
        <v>1.0059633858522541</v>
      </c>
    </row>
    <row r="1306" spans="1:24" hidden="1" x14ac:dyDescent="0.55000000000000004">
      <c r="A1306" s="1" t="s">
        <v>3275</v>
      </c>
      <c r="B1306" s="1">
        <v>130</v>
      </c>
      <c r="C1306">
        <v>636.52380000000005</v>
      </c>
      <c r="D1306">
        <v>607</v>
      </c>
      <c r="E1306">
        <v>10.52392</v>
      </c>
      <c r="F1306" t="s">
        <v>3269</v>
      </c>
      <c r="G1306" s="10" t="s">
        <v>3274</v>
      </c>
      <c r="H1306">
        <v>98</v>
      </c>
      <c r="I1306" t="s">
        <v>3185</v>
      </c>
      <c r="J1306">
        <f ca="1">VLOOKUP(G1306,INDIRECT("球速変換!A$1:B$" &amp; Prams!$B$8),2,)</f>
        <v>97</v>
      </c>
      <c r="K1306" t="str">
        <f ca="1">VLOOKUP(I1306,INDIRECT("投手名変換!A$1:B$" &amp; Prams!$B$9),2,)</f>
        <v>DD003</v>
      </c>
      <c r="L1306">
        <f t="shared" si="113"/>
        <v>32</v>
      </c>
      <c r="M1306">
        <f ca="1">(B1306-VLOOKUP(K1306,INDIRECT("投手データ!B1:D"&amp;Prams!$B$1),3,FALSE)*2)</f>
        <v>36</v>
      </c>
      <c r="N1306" t="str">
        <f ca="1">VLOOKUP(F1306,INDIRECT("球種変換表!A$1:B$" &amp; Prams!$B$2),2,)</f>
        <v>ツーシームファスト</v>
      </c>
      <c r="O1306">
        <f ca="1">VLOOKUP(N1306,球種情報!A:B,2,FALSE)</f>
        <v>3</v>
      </c>
      <c r="P1306">
        <f ca="1">VLOOKUP(K1306,投手データ!B:AI,output!O1306+6,FALSE)</f>
        <v>0</v>
      </c>
      <c r="R1306">
        <f t="shared" ca="1" si="114"/>
        <v>1.0309278350515464E-2</v>
      </c>
      <c r="S1306">
        <f t="shared" si="115"/>
        <v>0.52847222222222223</v>
      </c>
      <c r="T1306">
        <f>Prams!B$5/(S1306-Prams!B$6)</f>
        <v>132.05183277758661</v>
      </c>
      <c r="U1306">
        <f t="shared" ca="1" si="116"/>
        <v>0.59513888888888888</v>
      </c>
      <c r="V1306">
        <f ca="1">Prams!C$5/(U1306-Prams!C$6)</f>
        <v>136.91622476223287</v>
      </c>
      <c r="W1306">
        <f t="shared" ca="1" si="117"/>
        <v>1.4115074717755967</v>
      </c>
    </row>
    <row r="1307" spans="1:24" hidden="1" x14ac:dyDescent="0.55000000000000004">
      <c r="A1307" s="1" t="s">
        <v>3278</v>
      </c>
      <c r="B1307" s="1">
        <v>130</v>
      </c>
      <c r="C1307">
        <v>636.54760999999996</v>
      </c>
      <c r="D1307">
        <v>614.5</v>
      </c>
      <c r="E1307">
        <v>10.55958</v>
      </c>
      <c r="F1307" t="s">
        <v>3276</v>
      </c>
      <c r="G1307" s="10" t="s">
        <v>3277</v>
      </c>
      <c r="H1307">
        <v>98</v>
      </c>
      <c r="I1307" t="s">
        <v>3185</v>
      </c>
      <c r="J1307">
        <f ca="1">VLOOKUP(G1307,INDIRECT("球速変換!A$1:B$" &amp; Prams!$B$8),2,)</f>
        <v>139</v>
      </c>
      <c r="K1307" t="str">
        <f ca="1">VLOOKUP(I1307,INDIRECT("投手名変換!A$1:B$" &amp; Prams!$B$9),2,)</f>
        <v>DD003</v>
      </c>
      <c r="L1307">
        <f t="shared" si="113"/>
        <v>32</v>
      </c>
      <c r="M1307">
        <f ca="1">(B1307-VLOOKUP(K1307,INDIRECT("投手データ!B1:D"&amp;Prams!$B$1),3,FALSE)*2)</f>
        <v>36</v>
      </c>
      <c r="N1307" t="str">
        <f ca="1">VLOOKUP(F1307,INDIRECT("球種変換表!A$1:B$" &amp; Prams!$B$2),2,)</f>
        <v>ツーシームファスト</v>
      </c>
      <c r="O1307">
        <f ca="1">VLOOKUP(N1307,球種情報!A:B,2,FALSE)</f>
        <v>3</v>
      </c>
      <c r="P1307">
        <f ca="1">VLOOKUP(K1307,投手データ!B:AI,output!O1307+6,FALSE)</f>
        <v>0</v>
      </c>
      <c r="R1307">
        <f t="shared" ca="1" si="114"/>
        <v>7.1942446043165471E-3</v>
      </c>
      <c r="S1307">
        <f t="shared" si="115"/>
        <v>0.52326388888888886</v>
      </c>
      <c r="T1307">
        <f>Prams!B$5/(S1307-Prams!B$6)</f>
        <v>133.53741292517415</v>
      </c>
      <c r="U1307">
        <f t="shared" ca="1" si="116"/>
        <v>0.58993055555555562</v>
      </c>
      <c r="V1307">
        <f ca="1">Prams!C$5/(U1307-Prams!C$6)</f>
        <v>138.51393150318336</v>
      </c>
      <c r="W1307">
        <f t="shared" ca="1" si="117"/>
        <v>0.99650310433944866</v>
      </c>
    </row>
    <row r="1308" spans="1:24" hidden="1" x14ac:dyDescent="0.55000000000000004">
      <c r="A1308" s="1" t="s">
        <v>3280</v>
      </c>
      <c r="B1308" s="1">
        <v>130</v>
      </c>
      <c r="C1308">
        <v>639</v>
      </c>
      <c r="D1308">
        <v>614</v>
      </c>
      <c r="E1308">
        <v>11.04546</v>
      </c>
      <c r="F1308" t="s">
        <v>3269</v>
      </c>
      <c r="G1308" s="10" t="s">
        <v>3279</v>
      </c>
      <c r="H1308">
        <v>98</v>
      </c>
      <c r="I1308" t="s">
        <v>3185</v>
      </c>
      <c r="J1308">
        <f ca="1">VLOOKUP(G1308,INDIRECT("球速変換!A$1:B$" &amp; Prams!$B$8),2,)</f>
        <v>96</v>
      </c>
      <c r="K1308" t="str">
        <f ca="1">VLOOKUP(I1308,INDIRECT("投手名変換!A$1:B$" &amp; Prams!$B$9),2,)</f>
        <v>DD003</v>
      </c>
      <c r="L1308">
        <f t="shared" si="113"/>
        <v>32</v>
      </c>
      <c r="M1308">
        <f ca="1">(B1308-VLOOKUP(K1308,INDIRECT("投手データ!B1:D"&amp;Prams!$B$1),3,FALSE)*2)</f>
        <v>36</v>
      </c>
      <c r="N1308" t="str">
        <f ca="1">VLOOKUP(F1308,INDIRECT("球種変換表!A$1:B$" &amp; Prams!$B$2),2,)</f>
        <v>ツーシームファスト</v>
      </c>
      <c r="O1308">
        <f ca="1">VLOOKUP(N1308,球種情報!A:B,2,FALSE)</f>
        <v>3</v>
      </c>
      <c r="P1308">
        <f ca="1">VLOOKUP(K1308,投手データ!B:AI,output!O1308+6,FALSE)</f>
        <v>0</v>
      </c>
      <c r="R1308">
        <f t="shared" ca="1" si="114"/>
        <v>1.0416666666666666E-2</v>
      </c>
      <c r="S1308">
        <f t="shared" si="115"/>
        <v>0.52361111111111114</v>
      </c>
      <c r="T1308">
        <f>Prams!B$5/(S1308-Prams!B$6)</f>
        <v>133.43733512398677</v>
      </c>
      <c r="U1308">
        <f t="shared" ca="1" si="116"/>
        <v>0.59027777777777779</v>
      </c>
      <c r="V1308">
        <f ca="1">Prams!C$5/(U1308-Prams!C$6)</f>
        <v>138.40625855078233</v>
      </c>
      <c r="W1308">
        <f t="shared" ca="1" si="117"/>
        <v>1.4417318599039826</v>
      </c>
    </row>
    <row r="1309" spans="1:24" hidden="1" x14ac:dyDescent="0.55000000000000004">
      <c r="A1309" s="1" t="s">
        <v>3282</v>
      </c>
      <c r="B1309" s="1">
        <v>130</v>
      </c>
      <c r="C1309">
        <v>636</v>
      </c>
      <c r="D1309">
        <v>613</v>
      </c>
      <c r="E1309">
        <v>11.04546</v>
      </c>
      <c r="F1309" t="s">
        <v>3269</v>
      </c>
      <c r="G1309" s="10" t="s">
        <v>3281</v>
      </c>
      <c r="H1309">
        <v>98</v>
      </c>
      <c r="I1309" t="s">
        <v>3185</v>
      </c>
      <c r="J1309">
        <f ca="1">VLOOKUP(G1309,INDIRECT("球速変換!A$1:B$" &amp; Prams!$B$8),2,)</f>
        <v>118</v>
      </c>
      <c r="K1309" t="str">
        <f ca="1">VLOOKUP(I1309,INDIRECT("投手名変換!A$1:B$" &amp; Prams!$B$9),2,)</f>
        <v>DD003</v>
      </c>
      <c r="L1309">
        <f t="shared" si="113"/>
        <v>32</v>
      </c>
      <c r="M1309">
        <f ca="1">(B1309-VLOOKUP(K1309,INDIRECT("投手データ!B1:D"&amp;Prams!$B$1),3,FALSE)*2)</f>
        <v>36</v>
      </c>
      <c r="N1309" t="str">
        <f ca="1">VLOOKUP(F1309,INDIRECT("球種変換表!A$1:B$" &amp; Prams!$B$2),2,)</f>
        <v>ツーシームファスト</v>
      </c>
      <c r="O1309">
        <f ca="1">VLOOKUP(N1309,球種情報!A:B,2,FALSE)</f>
        <v>3</v>
      </c>
      <c r="P1309">
        <f ca="1">VLOOKUP(K1309,投手データ!B:AI,output!O1309+6,FALSE)</f>
        <v>0</v>
      </c>
      <c r="R1309">
        <f t="shared" ca="1" si="114"/>
        <v>8.4745762711864406E-3</v>
      </c>
      <c r="S1309">
        <f t="shared" si="115"/>
        <v>0.52430555555555558</v>
      </c>
      <c r="T1309">
        <f>Prams!B$5/(S1309-Prams!B$6)</f>
        <v>133.2376288598077</v>
      </c>
      <c r="U1309">
        <f t="shared" ca="1" si="116"/>
        <v>0.59097222222222223</v>
      </c>
      <c r="V1309">
        <f ca="1">Prams!C$5/(U1309-Prams!C$6)</f>
        <v>138.19141405988054</v>
      </c>
      <c r="W1309">
        <f t="shared" ca="1" si="117"/>
        <v>1.1711136784735638</v>
      </c>
    </row>
    <row r="1310" spans="1:24" hidden="1" x14ac:dyDescent="0.55000000000000004">
      <c r="A1310" s="1" t="s">
        <v>3284</v>
      </c>
      <c r="B1310" s="1">
        <v>130</v>
      </c>
      <c r="C1310">
        <v>636</v>
      </c>
      <c r="D1310">
        <v>613</v>
      </c>
      <c r="E1310">
        <v>11.04546</v>
      </c>
      <c r="F1310" t="s">
        <v>3269</v>
      </c>
      <c r="G1310" s="10" t="s">
        <v>3283</v>
      </c>
      <c r="H1310">
        <v>98</v>
      </c>
      <c r="I1310" t="s">
        <v>3180</v>
      </c>
      <c r="J1310">
        <f ca="1">VLOOKUP(G1310,INDIRECT("球速変換!A$1:B$" &amp; Prams!$B$8),2,)</f>
        <v>138</v>
      </c>
      <c r="K1310" t="str">
        <f ca="1">VLOOKUP(I1310,INDIRECT("投手名変換!A$1:B$" &amp; Prams!$B$9),2,)</f>
        <v>AD002</v>
      </c>
      <c r="L1310">
        <f t="shared" si="113"/>
        <v>32</v>
      </c>
      <c r="M1310">
        <f ca="1">(B1310-VLOOKUP(K1310,INDIRECT("投手データ!B1:D"&amp;Prams!$B$1),3,FALSE)*2)</f>
        <v>36</v>
      </c>
      <c r="N1310" t="str">
        <f ca="1">VLOOKUP(F1310,INDIRECT("球種変換表!A$1:B$" &amp; Prams!$B$2),2,)</f>
        <v>ツーシームファスト</v>
      </c>
      <c r="O1310">
        <f ca="1">VLOOKUP(N1310,球種情報!A:B,2,FALSE)</f>
        <v>3</v>
      </c>
      <c r="P1310">
        <f ca="1">VLOOKUP(K1310,投手データ!B:AI,output!O1310+6,FALSE)</f>
        <v>1</v>
      </c>
      <c r="R1310">
        <f t="shared" ca="1" si="114"/>
        <v>7.246376811594203E-3</v>
      </c>
      <c r="S1310">
        <f t="shared" si="115"/>
        <v>0.52430555555555558</v>
      </c>
      <c r="T1310">
        <f>Prams!B$5/(S1310-Prams!B$6)</f>
        <v>133.2376288598077</v>
      </c>
      <c r="U1310">
        <f t="shared" ca="1" si="116"/>
        <v>0.59097222222222223</v>
      </c>
      <c r="V1310">
        <f ca="1">Prams!C$5/(U1310-Prams!C$6)</f>
        <v>138.19141405988054</v>
      </c>
      <c r="W1310">
        <f t="shared" ca="1" si="117"/>
        <v>1.0013870584049314</v>
      </c>
    </row>
    <row r="1311" spans="1:24" hidden="1" x14ac:dyDescent="0.55000000000000004">
      <c r="A1311" s="1" t="s">
        <v>3286</v>
      </c>
      <c r="B1311" s="1">
        <v>130</v>
      </c>
      <c r="C1311">
        <v>636.54760999999996</v>
      </c>
      <c r="D1311">
        <v>601.5</v>
      </c>
      <c r="E1311">
        <v>10.55958</v>
      </c>
      <c r="F1311" t="s">
        <v>3269</v>
      </c>
      <c r="G1311" s="10" t="s">
        <v>3285</v>
      </c>
      <c r="H1311">
        <v>98</v>
      </c>
      <c r="I1311" t="s">
        <v>3180</v>
      </c>
      <c r="J1311">
        <f ca="1">VLOOKUP(G1311,INDIRECT("球速変換!A$1:B$" &amp; Prams!$B$8),2,)</f>
        <v>135</v>
      </c>
      <c r="K1311" t="str">
        <f ca="1">VLOOKUP(I1311,INDIRECT("投手名変換!A$1:B$" &amp; Prams!$B$9),2,)</f>
        <v>AD002</v>
      </c>
      <c r="L1311">
        <f t="shared" si="113"/>
        <v>32</v>
      </c>
      <c r="M1311">
        <f ca="1">(B1311-VLOOKUP(K1311,INDIRECT("投手データ!B1:D"&amp;Prams!$B$1),3,FALSE)*2)</f>
        <v>36</v>
      </c>
      <c r="N1311" t="str">
        <f ca="1">VLOOKUP(F1311,INDIRECT("球種変換表!A$1:B$" &amp; Prams!$B$2),2,)</f>
        <v>ツーシームファスト</v>
      </c>
      <c r="O1311">
        <f ca="1">VLOOKUP(N1311,球種情報!A:B,2,FALSE)</f>
        <v>3</v>
      </c>
      <c r="P1311">
        <f ca="1">VLOOKUP(K1311,投手データ!B:AI,output!O1311+6,FALSE)</f>
        <v>1</v>
      </c>
      <c r="R1311">
        <f t="shared" ca="1" si="114"/>
        <v>7.4074074074074077E-3</v>
      </c>
      <c r="S1311">
        <f t="shared" si="115"/>
        <v>0.53229166666666672</v>
      </c>
      <c r="T1311">
        <f>Prams!B$5/(S1311-Prams!B$6)</f>
        <v>130.98324476067725</v>
      </c>
      <c r="U1311">
        <f t="shared" ca="1" si="116"/>
        <v>0.59895833333333337</v>
      </c>
      <c r="V1311">
        <f ca="1">Prams!C$5/(U1311-Prams!C$6)</f>
        <v>135.76780191424336</v>
      </c>
      <c r="W1311">
        <f t="shared" ca="1" si="117"/>
        <v>1.005687421586988</v>
      </c>
    </row>
    <row r="1312" spans="1:24" hidden="1" x14ac:dyDescent="0.55000000000000004">
      <c r="A1312" s="1" t="s">
        <v>3287</v>
      </c>
      <c r="B1312" s="1">
        <v>130</v>
      </c>
      <c r="C1312">
        <v>635.52173000000005</v>
      </c>
      <c r="D1312">
        <v>613</v>
      </c>
      <c r="E1312">
        <v>11.521850000000001</v>
      </c>
      <c r="F1312" t="s">
        <v>3108</v>
      </c>
      <c r="G1312" s="10" t="s">
        <v>3108</v>
      </c>
      <c r="H1312">
        <v>98</v>
      </c>
      <c r="I1312" t="s">
        <v>3108</v>
      </c>
      <c r="J1312" t="e">
        <f ca="1">VLOOKUP(G1312,INDIRECT("球速変換!A$1:B$" &amp; Prams!$B$8),2,)</f>
        <v>#N/A</v>
      </c>
      <c r="K1312" t="e">
        <f ca="1">VLOOKUP(I1312,INDIRECT("投手名変換!A$1:B$" &amp; Prams!$B$9),2,)</f>
        <v>#N/A</v>
      </c>
      <c r="L1312">
        <f t="shared" si="113"/>
        <v>32</v>
      </c>
      <c r="M1312" t="e">
        <f ca="1">(B1312-VLOOKUP(K1312,INDIRECT("投手データ!B1:D"&amp;Prams!$B$1),3,FALSE)*2)</f>
        <v>#N/A</v>
      </c>
      <c r="N1312" t="e">
        <f ca="1">VLOOKUP(F1312,INDIRECT("球種変換表!A$1:B$" &amp; Prams!$B$2),2,)</f>
        <v>#N/A</v>
      </c>
      <c r="O1312" t="e">
        <f ca="1">VLOOKUP(N1312,球種情報!A:B,2,FALSE)</f>
        <v>#N/A</v>
      </c>
      <c r="P1312" t="e">
        <f ca="1">VLOOKUP(K1312,投手データ!B:AI,output!O1312+6,FALSE)</f>
        <v>#N/A</v>
      </c>
      <c r="R1312" t="e">
        <f t="shared" ca="1" si="114"/>
        <v>#N/A</v>
      </c>
      <c r="S1312">
        <f t="shared" si="115"/>
        <v>0.52430555555555558</v>
      </c>
      <c r="T1312">
        <f>Prams!B$5/(S1312-Prams!B$6)</f>
        <v>133.2376288598077</v>
      </c>
      <c r="U1312" t="e">
        <f t="shared" ca="1" si="116"/>
        <v>#N/A</v>
      </c>
      <c r="V1312" t="e">
        <f ca="1">Prams!C$5/(U1312-Prams!C$6)</f>
        <v>#N/A</v>
      </c>
      <c r="W1312" t="e">
        <f t="shared" ca="1" si="117"/>
        <v>#N/A</v>
      </c>
    </row>
    <row r="1313" spans="1:23" hidden="1" x14ac:dyDescent="0.55000000000000004">
      <c r="A1313" s="1" t="s">
        <v>3290</v>
      </c>
      <c r="B1313" s="1">
        <v>125</v>
      </c>
      <c r="C1313">
        <v>635.5</v>
      </c>
      <c r="D1313">
        <v>606.5</v>
      </c>
      <c r="E1313">
        <v>11.510960000000001</v>
      </c>
      <c r="F1313" t="s">
        <v>3082</v>
      </c>
      <c r="G1313" s="10" t="s">
        <v>3288</v>
      </c>
      <c r="H1313">
        <v>99</v>
      </c>
      <c r="I1313" t="s">
        <v>3289</v>
      </c>
      <c r="J1313">
        <f ca="1">VLOOKUP(G1313,INDIRECT("球速変換!A$1:B$" &amp; Prams!$B$8),2,)</f>
        <v>159</v>
      </c>
      <c r="K1313" t="str">
        <f ca="1">VLOOKUP(I1313,INDIRECT("投手名変換!A$1:B$" &amp; Prams!$B$9),2,)</f>
        <v>AD003</v>
      </c>
      <c r="L1313">
        <f t="shared" si="113"/>
        <v>26</v>
      </c>
      <c r="M1313">
        <f ca="1">(B1313-VLOOKUP(K1313,INDIRECT("投手データ!B1:D"&amp;Prams!$B$1),3,FALSE)*2)</f>
        <v>31</v>
      </c>
      <c r="N1313" t="str">
        <f ca="1">VLOOKUP(F1313,INDIRECT("球種変換表!A$1:B$" &amp; Prams!$B$2),2,)</f>
        <v>ストレート</v>
      </c>
      <c r="O1313">
        <f ca="1">VLOOKUP(N1313,球種情報!A:B,2,FALSE)</f>
        <v>1</v>
      </c>
      <c r="P1313">
        <f ca="1">VLOOKUP(K1313,投手データ!B:AI,output!O1313+6,FALSE)</f>
        <v>1</v>
      </c>
      <c r="R1313">
        <f t="shared" ca="1" si="114"/>
        <v>6.2893081761006293E-3</v>
      </c>
      <c r="S1313">
        <f t="shared" si="115"/>
        <v>0.42881944444444448</v>
      </c>
      <c r="T1313">
        <f>Prams!B$5/(S1313-Prams!B$6)</f>
        <v>167.76048301386177</v>
      </c>
      <c r="U1313">
        <f t="shared" ca="1" si="116"/>
        <v>0.51215277777777779</v>
      </c>
      <c r="V1313">
        <f ca="1">Prams!C$5/(U1313-Prams!C$6)</f>
        <v>167.7453101093617</v>
      </c>
      <c r="W1313">
        <f t="shared" ca="1" si="117"/>
        <v>1.0550019503733441</v>
      </c>
    </row>
    <row r="1314" spans="1:23" hidden="1" x14ac:dyDescent="0.55000000000000004">
      <c r="A1314" s="1" t="s">
        <v>3292</v>
      </c>
      <c r="B1314" s="1">
        <v>125</v>
      </c>
      <c r="C1314">
        <v>638</v>
      </c>
      <c r="D1314">
        <v>611.5</v>
      </c>
      <c r="E1314">
        <v>11.01146</v>
      </c>
      <c r="F1314" t="s">
        <v>3082</v>
      </c>
      <c r="G1314" s="10" t="s">
        <v>3145</v>
      </c>
      <c r="H1314">
        <v>99</v>
      </c>
      <c r="I1314" t="s">
        <v>3291</v>
      </c>
      <c r="J1314">
        <f ca="1">VLOOKUP(G1314,INDIRECT("球速変換!A$1:B$" &amp; Prams!$B$8),2,)</f>
        <v>160</v>
      </c>
      <c r="K1314" t="str">
        <f ca="1">VLOOKUP(I1314,INDIRECT("投手名変換!A$1:B$" &amp; Prams!$B$9),2,)</f>
        <v>AD003</v>
      </c>
      <c r="L1314">
        <f t="shared" si="113"/>
        <v>26</v>
      </c>
      <c r="M1314">
        <f ca="1">(B1314-VLOOKUP(K1314,INDIRECT("投手データ!B1:D"&amp;Prams!$B$1),3,FALSE)*2)</f>
        <v>31</v>
      </c>
      <c r="N1314" t="str">
        <f ca="1">VLOOKUP(F1314,INDIRECT("球種変換表!A$1:B$" &amp; Prams!$B$2),2,)</f>
        <v>ストレート</v>
      </c>
      <c r="O1314">
        <f ca="1">VLOOKUP(N1314,球種情報!A:B,2,FALSE)</f>
        <v>1</v>
      </c>
      <c r="P1314">
        <f ca="1">VLOOKUP(K1314,投手データ!B:AI,output!O1314+6,FALSE)</f>
        <v>1</v>
      </c>
      <c r="R1314">
        <f t="shared" ca="1" si="114"/>
        <v>6.2500000000000003E-3</v>
      </c>
      <c r="S1314">
        <f t="shared" si="115"/>
        <v>0.42534722222222221</v>
      </c>
      <c r="T1314">
        <f>Prams!B$5/(S1314-Prams!B$6)</f>
        <v>169.35617157597574</v>
      </c>
      <c r="U1314">
        <f t="shared" ca="1" si="116"/>
        <v>0.50868055555555558</v>
      </c>
      <c r="V1314">
        <f ca="1">Prams!C$5/(U1314-Prams!C$6)</f>
        <v>169.34070867160216</v>
      </c>
      <c r="W1314">
        <f t="shared" ca="1" si="117"/>
        <v>1.0583794291975135</v>
      </c>
    </row>
    <row r="1315" spans="1:23" hidden="1" x14ac:dyDescent="0.55000000000000004">
      <c r="A1315" s="1" t="s">
        <v>3294</v>
      </c>
      <c r="B1315" s="1">
        <v>125</v>
      </c>
      <c r="C1315">
        <v>642</v>
      </c>
      <c r="D1315">
        <v>611</v>
      </c>
      <c r="E1315">
        <v>10.04998</v>
      </c>
      <c r="F1315" t="s">
        <v>3082</v>
      </c>
      <c r="G1315" s="10" t="s">
        <v>3145</v>
      </c>
      <c r="H1315">
        <v>99</v>
      </c>
      <c r="I1315" t="s">
        <v>3293</v>
      </c>
      <c r="J1315">
        <f ca="1">VLOOKUP(G1315,INDIRECT("球速変換!A$1:B$" &amp; Prams!$B$8),2,)</f>
        <v>160</v>
      </c>
      <c r="K1315" t="str">
        <f ca="1">VLOOKUP(I1315,INDIRECT("投手名変換!A$1:B$" &amp; Prams!$B$9),2,)</f>
        <v>AD003</v>
      </c>
      <c r="L1315">
        <f t="shared" si="113"/>
        <v>26</v>
      </c>
      <c r="M1315">
        <f ca="1">(B1315-VLOOKUP(K1315,INDIRECT("投手データ!B1:D"&amp;Prams!$B$1),3,FALSE)*2)</f>
        <v>31</v>
      </c>
      <c r="N1315" t="str">
        <f ca="1">VLOOKUP(F1315,INDIRECT("球種変換表!A$1:B$" &amp; Prams!$B$2),2,)</f>
        <v>ストレート</v>
      </c>
      <c r="O1315">
        <f ca="1">VLOOKUP(N1315,球種情報!A:B,2,FALSE)</f>
        <v>1</v>
      </c>
      <c r="P1315">
        <f ca="1">VLOOKUP(K1315,投手データ!B:AI,output!O1315+6,FALSE)</f>
        <v>1</v>
      </c>
      <c r="R1315">
        <f t="shared" ca="1" si="114"/>
        <v>6.2500000000000003E-3</v>
      </c>
      <c r="S1315">
        <f t="shared" si="115"/>
        <v>0.42569444444444449</v>
      </c>
      <c r="T1315">
        <f>Prams!B$5/(S1315-Prams!B$6)</f>
        <v>169.1952380228368</v>
      </c>
      <c r="U1315">
        <f t="shared" ca="1" si="116"/>
        <v>0.50902777777777775</v>
      </c>
      <c r="V1315">
        <f ca="1">Prams!C$5/(U1315-Prams!C$6)</f>
        <v>169.1798044909315</v>
      </c>
      <c r="W1315">
        <f t="shared" ca="1" si="117"/>
        <v>1.0573737780683219</v>
      </c>
    </row>
    <row r="1316" spans="1:23" hidden="1" x14ac:dyDescent="0.55000000000000004">
      <c r="A1316" s="1" t="s">
        <v>3296</v>
      </c>
      <c r="B1316" s="1">
        <v>125</v>
      </c>
      <c r="C1316">
        <v>642.47619999999995</v>
      </c>
      <c r="D1316">
        <v>618</v>
      </c>
      <c r="E1316">
        <v>10.523899999999999</v>
      </c>
      <c r="F1316" t="s">
        <v>3082</v>
      </c>
      <c r="G1316" s="10" t="s">
        <v>3143</v>
      </c>
      <c r="H1316">
        <v>99</v>
      </c>
      <c r="I1316" t="s">
        <v>3295</v>
      </c>
      <c r="J1316">
        <f ca="1">VLOOKUP(G1316,INDIRECT("球速変換!A$1:B$" &amp; Prams!$B$8),2,)</f>
        <v>162</v>
      </c>
      <c r="K1316" t="str">
        <f ca="1">VLOOKUP(I1316,INDIRECT("投手名変換!A$1:B$" &amp; Prams!$B$9),2,)</f>
        <v>AD003</v>
      </c>
      <c r="L1316">
        <f t="shared" si="113"/>
        <v>26</v>
      </c>
      <c r="M1316">
        <f ca="1">(B1316-VLOOKUP(K1316,INDIRECT("投手データ!B1:D"&amp;Prams!$B$1),3,FALSE)*2)</f>
        <v>31</v>
      </c>
      <c r="N1316" t="str">
        <f ca="1">VLOOKUP(F1316,INDIRECT("球種変換表!A$1:B$" &amp; Prams!$B$2),2,)</f>
        <v>ストレート</v>
      </c>
      <c r="O1316">
        <f ca="1">VLOOKUP(N1316,球種情報!A:B,2,FALSE)</f>
        <v>1</v>
      </c>
      <c r="P1316">
        <f ca="1">VLOOKUP(K1316,投手データ!B:AI,output!O1316+6,FALSE)</f>
        <v>1</v>
      </c>
      <c r="R1316">
        <f t="shared" ca="1" si="114"/>
        <v>6.1728395061728392E-3</v>
      </c>
      <c r="S1316">
        <f t="shared" si="115"/>
        <v>0.42083333333333334</v>
      </c>
      <c r="T1316">
        <f>Prams!B$5/(S1316-Prams!B$6)</f>
        <v>171.47651627218937</v>
      </c>
      <c r="U1316">
        <f t="shared" ca="1" si="116"/>
        <v>0.50416666666666665</v>
      </c>
      <c r="V1316">
        <f ca="1">Prams!C$5/(U1316-Prams!C$6)</f>
        <v>171.4606637699917</v>
      </c>
      <c r="W1316">
        <f t="shared" ca="1" si="117"/>
        <v>1.0583991590740229</v>
      </c>
    </row>
    <row r="1317" spans="1:23" hidden="1" x14ac:dyDescent="0.55000000000000004">
      <c r="A1317" s="1" t="s">
        <v>3298</v>
      </c>
      <c r="B1317" s="1">
        <v>125</v>
      </c>
      <c r="C1317">
        <v>643.5</v>
      </c>
      <c r="D1317">
        <v>611.5</v>
      </c>
      <c r="E1317">
        <v>11.510960000000001</v>
      </c>
      <c r="F1317" t="s">
        <v>3082</v>
      </c>
      <c r="G1317" s="10" t="s">
        <v>3145</v>
      </c>
      <c r="H1317">
        <v>99</v>
      </c>
      <c r="I1317" t="s">
        <v>3297</v>
      </c>
      <c r="J1317">
        <f ca="1">VLOOKUP(G1317,INDIRECT("球速変換!A$1:B$" &amp; Prams!$B$8),2,)</f>
        <v>160</v>
      </c>
      <c r="K1317" t="str">
        <f ca="1">VLOOKUP(I1317,INDIRECT("投手名変換!A$1:B$" &amp; Prams!$B$9),2,)</f>
        <v>AD003</v>
      </c>
      <c r="L1317">
        <f t="shared" si="113"/>
        <v>26</v>
      </c>
      <c r="M1317">
        <f ca="1">(B1317-VLOOKUP(K1317,INDIRECT("投手データ!B1:D"&amp;Prams!$B$1),3,FALSE)*2)</f>
        <v>31</v>
      </c>
      <c r="N1317" t="str">
        <f ca="1">VLOOKUP(F1317,INDIRECT("球種変換表!A$1:B$" &amp; Prams!$B$2),2,)</f>
        <v>ストレート</v>
      </c>
      <c r="O1317">
        <f ca="1">VLOOKUP(N1317,球種情報!A:B,2,FALSE)</f>
        <v>1</v>
      </c>
      <c r="P1317">
        <f ca="1">VLOOKUP(K1317,投手データ!B:AI,output!O1317+6,FALSE)</f>
        <v>1</v>
      </c>
      <c r="R1317">
        <f t="shared" ca="1" si="114"/>
        <v>6.2500000000000003E-3</v>
      </c>
      <c r="S1317">
        <f t="shared" si="115"/>
        <v>0.42534722222222221</v>
      </c>
      <c r="T1317">
        <f>Prams!B$5/(S1317-Prams!B$6)</f>
        <v>169.35617157597574</v>
      </c>
      <c r="U1317">
        <f t="shared" ca="1" si="116"/>
        <v>0.50868055555555558</v>
      </c>
      <c r="V1317">
        <f ca="1">Prams!C$5/(U1317-Prams!C$6)</f>
        <v>169.34070867160216</v>
      </c>
      <c r="W1317">
        <f t="shared" ca="1" si="117"/>
        <v>1.0583794291975135</v>
      </c>
    </row>
    <row r="1318" spans="1:23" hidden="1" x14ac:dyDescent="0.55000000000000004">
      <c r="A1318" s="1" t="s">
        <v>3300</v>
      </c>
      <c r="B1318" s="1">
        <v>125</v>
      </c>
      <c r="C1318">
        <v>637.5</v>
      </c>
      <c r="D1318">
        <v>606.5</v>
      </c>
      <c r="E1318">
        <v>10.512</v>
      </c>
      <c r="F1318" t="s">
        <v>3082</v>
      </c>
      <c r="G1318" s="10" t="s">
        <v>3299</v>
      </c>
      <c r="H1318">
        <v>99</v>
      </c>
      <c r="I1318" t="s">
        <v>3291</v>
      </c>
      <c r="J1318">
        <v>159</v>
      </c>
      <c r="K1318" t="str">
        <f ca="1">VLOOKUP(I1318,INDIRECT("投手名変換!A$1:B$" &amp; Prams!$B$9),2,)</f>
        <v>AD003</v>
      </c>
      <c r="L1318">
        <f t="shared" si="113"/>
        <v>26</v>
      </c>
      <c r="M1318">
        <f ca="1">(B1318-VLOOKUP(K1318,INDIRECT("投手データ!B1:D"&amp;Prams!$B$1),3,FALSE)*2)</f>
        <v>31</v>
      </c>
      <c r="N1318" t="str">
        <f ca="1">VLOOKUP(F1318,INDIRECT("球種変換表!A$1:B$" &amp; Prams!$B$2),2,)</f>
        <v>ストレート</v>
      </c>
      <c r="O1318">
        <f ca="1">VLOOKUP(N1318,球種情報!A:B,2,FALSE)</f>
        <v>1</v>
      </c>
      <c r="P1318">
        <f ca="1">VLOOKUP(K1318,投手データ!B:AI,output!O1318+6,FALSE)</f>
        <v>1</v>
      </c>
      <c r="R1318">
        <f t="shared" si="114"/>
        <v>6.2893081761006293E-3</v>
      </c>
      <c r="S1318">
        <f t="shared" si="115"/>
        <v>0.42881944444444448</v>
      </c>
      <c r="T1318">
        <f>Prams!B$5/(S1318-Prams!B$6)</f>
        <v>167.76048301386177</v>
      </c>
      <c r="U1318">
        <f t="shared" ca="1" si="116"/>
        <v>0.51215277777777779</v>
      </c>
      <c r="V1318">
        <f ca="1">Prams!C$5/(U1318-Prams!C$6)</f>
        <v>167.7453101093617</v>
      </c>
      <c r="W1318">
        <f t="shared" ca="1" si="117"/>
        <v>1.0550019503733441</v>
      </c>
    </row>
    <row r="1319" spans="1:23" hidden="1" x14ac:dyDescent="0.55000000000000004">
      <c r="A1319" s="1" t="s">
        <v>3302</v>
      </c>
      <c r="B1319" s="1">
        <v>125</v>
      </c>
      <c r="C1319">
        <v>639.5</v>
      </c>
      <c r="D1319">
        <v>618.5</v>
      </c>
      <c r="E1319">
        <v>10.512</v>
      </c>
      <c r="F1319" t="s">
        <v>3082</v>
      </c>
      <c r="G1319" s="10" t="s">
        <v>3143</v>
      </c>
      <c r="H1319">
        <v>99</v>
      </c>
      <c r="I1319" t="s">
        <v>3301</v>
      </c>
      <c r="J1319">
        <f ca="1">VLOOKUP(G1319,INDIRECT("球速変換!A$1:B$" &amp; Prams!$B$8),2,)</f>
        <v>162</v>
      </c>
      <c r="K1319" t="str">
        <f ca="1">VLOOKUP(I1319,INDIRECT("投手名変換!A$1:B$" &amp; Prams!$B$9),2,)</f>
        <v>AD003</v>
      </c>
      <c r="L1319">
        <f t="shared" si="113"/>
        <v>26</v>
      </c>
      <c r="M1319">
        <f ca="1">(B1319-VLOOKUP(K1319,INDIRECT("投手データ!B1:D"&amp;Prams!$B$1),3,FALSE)*2)</f>
        <v>31</v>
      </c>
      <c r="N1319" t="str">
        <f ca="1">VLOOKUP(F1319,INDIRECT("球種変換表!A$1:B$" &amp; Prams!$B$2),2,)</f>
        <v>ストレート</v>
      </c>
      <c r="O1319">
        <f ca="1">VLOOKUP(N1319,球種情報!A:B,2,FALSE)</f>
        <v>1</v>
      </c>
      <c r="P1319">
        <f ca="1">VLOOKUP(K1319,投手データ!B:AI,output!O1319+6,FALSE)</f>
        <v>1</v>
      </c>
      <c r="R1319">
        <f t="shared" ca="1" si="114"/>
        <v>6.1728395061728392E-3</v>
      </c>
      <c r="S1319">
        <f t="shared" si="115"/>
        <v>0.42048611111111112</v>
      </c>
      <c r="T1319">
        <f>Prams!B$5/(S1319-Prams!B$6)</f>
        <v>171.64182097218259</v>
      </c>
      <c r="U1319">
        <f t="shared" ca="1" si="116"/>
        <v>0.50381944444444449</v>
      </c>
      <c r="V1319">
        <f ca="1">Prams!C$5/(U1319-Prams!C$6)</f>
        <v>171.6259378927968</v>
      </c>
      <c r="W1319">
        <f t="shared" ca="1" si="117"/>
        <v>1.0594193697086223</v>
      </c>
    </row>
    <row r="1320" spans="1:23" hidden="1" x14ac:dyDescent="0.55000000000000004">
      <c r="A1320" s="1" t="s">
        <v>3304</v>
      </c>
      <c r="B1320" s="1">
        <v>125</v>
      </c>
      <c r="C1320">
        <v>639.5</v>
      </c>
      <c r="D1320">
        <v>609</v>
      </c>
      <c r="E1320">
        <v>10.547610000000001</v>
      </c>
      <c r="F1320" t="s">
        <v>3082</v>
      </c>
      <c r="G1320" s="10" t="s">
        <v>3145</v>
      </c>
      <c r="H1320">
        <v>99</v>
      </c>
      <c r="I1320" t="s">
        <v>3303</v>
      </c>
      <c r="J1320">
        <f ca="1">VLOOKUP(G1320,INDIRECT("球速変換!A$1:B$" &amp; Prams!$B$8),2,)</f>
        <v>160</v>
      </c>
      <c r="K1320" t="str">
        <f ca="1">VLOOKUP(I1320,INDIRECT("投手名変換!A$1:B$" &amp; Prams!$B$9),2,)</f>
        <v>AD003</v>
      </c>
      <c r="L1320">
        <f t="shared" si="113"/>
        <v>26</v>
      </c>
      <c r="M1320">
        <f ca="1">(B1320-VLOOKUP(K1320,INDIRECT("投手データ!B1:D"&amp;Prams!$B$1),3,FALSE)*2)</f>
        <v>31</v>
      </c>
      <c r="N1320" t="str">
        <f ca="1">VLOOKUP(F1320,INDIRECT("球種変換表!A$1:B$" &amp; Prams!$B$2),2,)</f>
        <v>ストレート</v>
      </c>
      <c r="O1320">
        <f ca="1">VLOOKUP(N1320,球種情報!A:B,2,FALSE)</f>
        <v>1</v>
      </c>
      <c r="P1320">
        <f ca="1">VLOOKUP(K1320,投手データ!B:AI,output!O1320+6,FALSE)</f>
        <v>1</v>
      </c>
      <c r="R1320">
        <f t="shared" ca="1" si="114"/>
        <v>6.2500000000000003E-3</v>
      </c>
      <c r="S1320">
        <f t="shared" si="115"/>
        <v>0.42708333333333331</v>
      </c>
      <c r="T1320">
        <f>Prams!B$5/(S1320-Prams!B$6)</f>
        <v>168.55455082473759</v>
      </c>
      <c r="U1320">
        <f t="shared" ca="1" si="116"/>
        <v>0.51041666666666663</v>
      </c>
      <c r="V1320">
        <f ca="1">Prams!C$5/(U1320-Prams!C$6)</f>
        <v>168.53923394974785</v>
      </c>
      <c r="W1320">
        <f t="shared" ca="1" si="117"/>
        <v>1.0533702121859241</v>
      </c>
    </row>
    <row r="1321" spans="1:23" hidden="1" x14ac:dyDescent="0.55000000000000004">
      <c r="A1321" s="1" t="s">
        <v>3306</v>
      </c>
      <c r="B1321" s="1">
        <v>125</v>
      </c>
      <c r="C1321">
        <v>637.04998999999998</v>
      </c>
      <c r="D1321">
        <v>611.5</v>
      </c>
      <c r="E1321">
        <v>10.06254</v>
      </c>
      <c r="F1321" t="s">
        <v>3082</v>
      </c>
      <c r="G1321" s="10" t="s">
        <v>3145</v>
      </c>
      <c r="H1321">
        <v>99</v>
      </c>
      <c r="I1321" t="s">
        <v>3305</v>
      </c>
      <c r="J1321">
        <f ca="1">VLOOKUP(G1321,INDIRECT("球速変換!A$1:B$" &amp; Prams!$B$8),2,)</f>
        <v>160</v>
      </c>
      <c r="K1321" t="str">
        <f ca="1">VLOOKUP(I1321,INDIRECT("投手名変換!A$1:B$" &amp; Prams!$B$9),2,)</f>
        <v>AD003</v>
      </c>
      <c r="L1321">
        <f t="shared" si="113"/>
        <v>26</v>
      </c>
      <c r="M1321">
        <f ca="1">(B1321-VLOOKUP(K1321,INDIRECT("投手データ!B1:D"&amp;Prams!$B$1),3,FALSE)*2)</f>
        <v>31</v>
      </c>
      <c r="N1321" t="str">
        <f ca="1">VLOOKUP(F1321,INDIRECT("球種変換表!A$1:B$" &amp; Prams!$B$2),2,)</f>
        <v>ストレート</v>
      </c>
      <c r="O1321">
        <f ca="1">VLOOKUP(N1321,球種情報!A:B,2,FALSE)</f>
        <v>1</v>
      </c>
      <c r="P1321">
        <f ca="1">VLOOKUP(K1321,投手データ!B:AI,output!O1321+6,FALSE)</f>
        <v>1</v>
      </c>
      <c r="R1321">
        <f t="shared" ca="1" si="114"/>
        <v>6.2500000000000003E-3</v>
      </c>
      <c r="S1321">
        <f t="shared" si="115"/>
        <v>0.42534722222222221</v>
      </c>
      <c r="T1321">
        <f>Prams!B$5/(S1321-Prams!B$6)</f>
        <v>169.35617157597574</v>
      </c>
      <c r="U1321">
        <f t="shared" ca="1" si="116"/>
        <v>0.50868055555555558</v>
      </c>
      <c r="V1321">
        <f ca="1">Prams!C$5/(U1321-Prams!C$6)</f>
        <v>169.34070867160216</v>
      </c>
      <c r="W1321">
        <f t="shared" ca="1" si="117"/>
        <v>1.0583794291975135</v>
      </c>
    </row>
    <row r="1322" spans="1:23" hidden="1" x14ac:dyDescent="0.55000000000000004">
      <c r="A1322" s="1" t="s">
        <v>3309</v>
      </c>
      <c r="B1322" s="1">
        <v>125</v>
      </c>
      <c r="C1322">
        <v>637.04998999999998</v>
      </c>
      <c r="D1322">
        <v>604.5</v>
      </c>
      <c r="E1322">
        <v>10.06254</v>
      </c>
      <c r="F1322" t="s">
        <v>3082</v>
      </c>
      <c r="G1322" s="10" t="s">
        <v>3307</v>
      </c>
      <c r="H1322">
        <v>99</v>
      </c>
      <c r="I1322" t="s">
        <v>3308</v>
      </c>
      <c r="J1322">
        <f ca="1">VLOOKUP(G1322,INDIRECT("球速変換!A$1:B$" &amp; Prams!$B$8),2,)</f>
        <v>158</v>
      </c>
      <c r="K1322" t="str">
        <f ca="1">VLOOKUP(I1322,INDIRECT("投手名変換!A$1:B$" &amp; Prams!$B$9),2,)</f>
        <v>AD003</v>
      </c>
      <c r="L1322">
        <f t="shared" si="113"/>
        <v>26</v>
      </c>
      <c r="M1322">
        <f ca="1">(B1322-VLOOKUP(K1322,INDIRECT("投手データ!B1:D"&amp;Prams!$B$1),3,FALSE)*2)</f>
        <v>31</v>
      </c>
      <c r="N1322" t="str">
        <f ca="1">VLOOKUP(F1322,INDIRECT("球種変換表!A$1:B$" &amp; Prams!$B$2),2,)</f>
        <v>ストレート</v>
      </c>
      <c r="O1322">
        <f ca="1">VLOOKUP(N1322,球種情報!A:B,2,FALSE)</f>
        <v>1</v>
      </c>
      <c r="P1322">
        <f ca="1">VLOOKUP(K1322,投手データ!B:AI,output!O1322+6,FALSE)</f>
        <v>1</v>
      </c>
      <c r="R1322">
        <f t="shared" ca="1" si="114"/>
        <v>6.3291139240506328E-3</v>
      </c>
      <c r="S1322">
        <f t="shared" si="115"/>
        <v>0.43020833333333336</v>
      </c>
      <c r="T1322">
        <f>Prams!B$5/(S1322-Prams!B$6)</f>
        <v>167.1305954177837</v>
      </c>
      <c r="U1322">
        <f t="shared" ca="1" si="116"/>
        <v>0.51354166666666667</v>
      </c>
      <c r="V1322">
        <f ca="1">Prams!C$5/(U1322-Prams!C$6)</f>
        <v>167.11553623318991</v>
      </c>
      <c r="W1322">
        <f t="shared" ca="1" si="117"/>
        <v>1.0576932672986703</v>
      </c>
    </row>
    <row r="1323" spans="1:23" hidden="1" x14ac:dyDescent="0.55000000000000004">
      <c r="A1323" s="1" t="s">
        <v>3311</v>
      </c>
      <c r="B1323" s="1">
        <v>123</v>
      </c>
      <c r="C1323">
        <v>643</v>
      </c>
      <c r="D1323">
        <v>626</v>
      </c>
      <c r="E1323">
        <v>11.04546</v>
      </c>
      <c r="F1323" t="s">
        <v>3112</v>
      </c>
      <c r="G1323" s="10" t="s">
        <v>3310</v>
      </c>
      <c r="H1323">
        <v>98</v>
      </c>
      <c r="I1323" t="s">
        <v>3289</v>
      </c>
      <c r="J1323">
        <f ca="1">VLOOKUP(G1323,INDIRECT("球速変換!A$1:B$" &amp; Prams!$B$8),2,)</f>
        <v>159</v>
      </c>
      <c r="K1323" t="str">
        <f ca="1">VLOOKUP(I1323,INDIRECT("投手名変換!A$1:B$" &amp; Prams!$B$9),2,)</f>
        <v>AD003</v>
      </c>
      <c r="L1323">
        <f t="shared" si="113"/>
        <v>25</v>
      </c>
      <c r="M1323">
        <f ca="1">(B1323-VLOOKUP(K1323,INDIRECT("投手データ!B1:D"&amp;Prams!$B$1),3,FALSE)*2)</f>
        <v>29</v>
      </c>
      <c r="N1323" t="str">
        <f ca="1">VLOOKUP(F1323,INDIRECT("球種変換表!A$1:B$" &amp; Prams!$B$2),2,)</f>
        <v>全力ストレート</v>
      </c>
      <c r="O1323">
        <f ca="1">VLOOKUP(N1323,球種情報!A:B,2,FALSE)</f>
        <v>2</v>
      </c>
      <c r="P1323">
        <f ca="1">VLOOKUP(K1323,投手データ!B:AI,output!O1323+6,FALSE)</f>
        <v>1</v>
      </c>
      <c r="R1323">
        <f t="shared" ca="1" si="114"/>
        <v>6.2893081761006293E-3</v>
      </c>
      <c r="S1323">
        <f t="shared" si="115"/>
        <v>0.39861111111111114</v>
      </c>
      <c r="T1323">
        <f>Prams!B$5/(S1323-Prams!B$6)</f>
        <v>182.74008145034156</v>
      </c>
      <c r="U1323">
        <f t="shared" ca="1" si="116"/>
        <v>0.46527777777777779</v>
      </c>
      <c r="V1323">
        <f ca="1">Prams!C$5/(U1323-Prams!C$6)</f>
        <v>192.18921626195987</v>
      </c>
      <c r="W1323">
        <f t="shared" ca="1" si="117"/>
        <v>1.2087372091947162</v>
      </c>
    </row>
    <row r="1324" spans="1:23" hidden="1" x14ac:dyDescent="0.55000000000000004">
      <c r="A1324" s="1" t="s">
        <v>3313</v>
      </c>
      <c r="B1324" s="1">
        <v>122</v>
      </c>
      <c r="C1324">
        <v>639.5</v>
      </c>
      <c r="D1324">
        <v>602.5</v>
      </c>
      <c r="E1324">
        <v>10.512</v>
      </c>
      <c r="F1324" t="s">
        <v>3112</v>
      </c>
      <c r="G1324" s="10" t="s">
        <v>3148</v>
      </c>
      <c r="H1324">
        <v>98</v>
      </c>
      <c r="I1324" t="s">
        <v>3312</v>
      </c>
      <c r="J1324">
        <f ca="1">VLOOKUP(G1324,INDIRECT("球速変換!A$1:B$" &amp; Prams!$B$8),2,)</f>
        <v>161</v>
      </c>
      <c r="K1324" t="str">
        <f ca="1">VLOOKUP(I1324,INDIRECT("投手名変換!A$1:B$" &amp; Prams!$B$9),2,)</f>
        <v>AD003</v>
      </c>
      <c r="L1324">
        <f t="shared" si="113"/>
        <v>24</v>
      </c>
      <c r="M1324">
        <f ca="1">(B1324-VLOOKUP(K1324,INDIRECT("投手データ!B1:D"&amp;Prams!$B$1),3,FALSE)*2)</f>
        <v>28</v>
      </c>
      <c r="N1324" t="str">
        <f ca="1">VLOOKUP(F1324,INDIRECT("球種変換表!A$1:B$" &amp; Prams!$B$2),2,)</f>
        <v>全力ストレート</v>
      </c>
      <c r="O1324">
        <f ca="1">VLOOKUP(N1324,球種情報!A:B,2,FALSE)</f>
        <v>2</v>
      </c>
      <c r="P1324">
        <f ca="1">VLOOKUP(K1324,投手データ!B:AI,output!O1324+6,FALSE)</f>
        <v>1</v>
      </c>
      <c r="R1324">
        <f t="shared" ca="1" si="114"/>
        <v>6.2111801242236021E-3</v>
      </c>
      <c r="S1324">
        <f t="shared" si="115"/>
        <v>0.39826388888888886</v>
      </c>
      <c r="T1324">
        <f>Prams!B$5/(S1324-Prams!B$6)</f>
        <v>182.92782759499292</v>
      </c>
      <c r="U1324">
        <f t="shared" ca="1" si="116"/>
        <v>0.46493055555555551</v>
      </c>
      <c r="V1324">
        <f ca="1">Prams!C$5/(U1324-Prams!C$6)</f>
        <v>192.39689139774725</v>
      </c>
      <c r="W1324">
        <f t="shared" ca="1" si="117"/>
        <v>1.1950117478120947</v>
      </c>
    </row>
    <row r="1325" spans="1:23" hidden="1" x14ac:dyDescent="0.55000000000000004">
      <c r="A1325" s="1" t="s">
        <v>3316</v>
      </c>
      <c r="B1325" s="1">
        <v>123</v>
      </c>
      <c r="C1325">
        <v>643</v>
      </c>
      <c r="D1325">
        <v>627</v>
      </c>
      <c r="E1325">
        <v>11.0001</v>
      </c>
      <c r="F1325" t="s">
        <v>3314</v>
      </c>
      <c r="G1325" s="10" t="s">
        <v>3315</v>
      </c>
      <c r="H1325">
        <v>98</v>
      </c>
      <c r="I1325" t="s">
        <v>3289</v>
      </c>
      <c r="J1325">
        <v>159</v>
      </c>
      <c r="K1325" t="str">
        <f ca="1">VLOOKUP(I1325,INDIRECT("投手名変換!A$1:B$" &amp; Prams!$B$9),2,)</f>
        <v>AD003</v>
      </c>
      <c r="L1325">
        <f t="shared" si="113"/>
        <v>25</v>
      </c>
      <c r="M1325">
        <f ca="1">(B1325-VLOOKUP(K1325,INDIRECT("投手データ!B1:D"&amp;Prams!$B$1),3,FALSE)*2)</f>
        <v>29</v>
      </c>
      <c r="N1325" t="str">
        <f ca="1">VLOOKUP(F1325,INDIRECT("球種変換表!A$1:B$" &amp; Prams!$B$2),2,)</f>
        <v>全力ストレート</v>
      </c>
      <c r="O1325">
        <f ca="1">VLOOKUP(N1325,球種情報!A:B,2,FALSE)</f>
        <v>2</v>
      </c>
      <c r="P1325">
        <f ca="1">VLOOKUP(K1325,投手データ!B:AI,output!O1325+6,FALSE)</f>
        <v>1</v>
      </c>
      <c r="R1325">
        <f t="shared" si="114"/>
        <v>6.2893081761006293E-3</v>
      </c>
      <c r="S1325">
        <f t="shared" si="115"/>
        <v>0.39791666666666664</v>
      </c>
      <c r="T1325">
        <f>Prams!B$5/(S1325-Prams!B$6)</f>
        <v>183.11595991509111</v>
      </c>
      <c r="U1325">
        <f t="shared" ca="1" si="116"/>
        <v>0.46458333333333335</v>
      </c>
      <c r="V1325">
        <f ca="1">Prams!C$5/(U1325-Prams!C$6)</f>
        <v>192.60501583675165</v>
      </c>
      <c r="W1325">
        <f t="shared" ca="1" si="117"/>
        <v>1.2113523008600733</v>
      </c>
    </row>
    <row r="1326" spans="1:23" hidden="1" x14ac:dyDescent="0.55000000000000004">
      <c r="A1326" s="1" t="s">
        <v>3319</v>
      </c>
      <c r="B1326" s="1">
        <v>122</v>
      </c>
      <c r="C1326">
        <v>640.5</v>
      </c>
      <c r="D1326">
        <v>606</v>
      </c>
      <c r="E1326">
        <v>10.547610000000001</v>
      </c>
      <c r="F1326" t="s">
        <v>3112</v>
      </c>
      <c r="G1326" s="10" t="s">
        <v>3317</v>
      </c>
      <c r="H1326">
        <v>98</v>
      </c>
      <c r="I1326" t="s">
        <v>3318</v>
      </c>
      <c r="J1326">
        <f ca="1">VLOOKUP(G1326,INDIRECT("球速変換!A$1:B$" &amp; Prams!$B$8),2,)</f>
        <v>163</v>
      </c>
      <c r="K1326" t="str">
        <f ca="1">VLOOKUP(I1326,INDIRECT("投手名変換!A$1:B$" &amp; Prams!$B$9),2,)</f>
        <v>AD003</v>
      </c>
      <c r="L1326">
        <f t="shared" si="113"/>
        <v>24</v>
      </c>
      <c r="M1326">
        <f ca="1">(B1326-VLOOKUP(K1326,INDIRECT("投手データ!B1:D"&amp;Prams!$B$1),3,FALSE)*2)</f>
        <v>28</v>
      </c>
      <c r="N1326" t="str">
        <f ca="1">VLOOKUP(F1326,INDIRECT("球種変換表!A$1:B$" &amp; Prams!$B$2),2,)</f>
        <v>全力ストレート</v>
      </c>
      <c r="O1326">
        <f ca="1">VLOOKUP(N1326,球種情報!A:B,2,FALSE)</f>
        <v>2</v>
      </c>
      <c r="P1326">
        <f ca="1">VLOOKUP(K1326,投手データ!B:AI,output!O1326+6,FALSE)</f>
        <v>1</v>
      </c>
      <c r="R1326">
        <f t="shared" ca="1" si="114"/>
        <v>6.1349693251533744E-3</v>
      </c>
      <c r="S1326">
        <f t="shared" si="115"/>
        <v>0.39583333333333331</v>
      </c>
      <c r="T1326">
        <f>Prams!B$5/(S1326-Prams!B$6)</f>
        <v>184.25293065765948</v>
      </c>
      <c r="U1326">
        <f t="shared" ca="1" si="116"/>
        <v>0.46250000000000002</v>
      </c>
      <c r="V1326">
        <f ca="1">Prams!C$5/(U1326-Prams!C$6)</f>
        <v>193.86328002508623</v>
      </c>
      <c r="W1326">
        <f t="shared" ca="1" si="117"/>
        <v>1.189345276227523</v>
      </c>
    </row>
    <row r="1327" spans="1:23" hidden="1" x14ac:dyDescent="0.55000000000000004">
      <c r="A1327" s="1" t="s">
        <v>3321</v>
      </c>
      <c r="B1327" s="1">
        <v>122</v>
      </c>
      <c r="C1327">
        <v>640</v>
      </c>
      <c r="D1327">
        <v>603</v>
      </c>
      <c r="E1327">
        <v>10.04998</v>
      </c>
      <c r="F1327" t="s">
        <v>3112</v>
      </c>
      <c r="G1327" s="10" t="s">
        <v>3260</v>
      </c>
      <c r="H1327">
        <v>98</v>
      </c>
      <c r="I1327" t="s">
        <v>3320</v>
      </c>
      <c r="J1327">
        <v>161</v>
      </c>
      <c r="K1327" t="str">
        <f ca="1">VLOOKUP(I1327,INDIRECT("投手名変換!A$1:B$" &amp; Prams!$B$9),2,)</f>
        <v>AD003</v>
      </c>
      <c r="L1327">
        <f t="shared" si="113"/>
        <v>24</v>
      </c>
      <c r="M1327">
        <f ca="1">(B1327-VLOOKUP(K1327,INDIRECT("投手データ!B1:D"&amp;Prams!$B$1),3,FALSE)*2)</f>
        <v>28</v>
      </c>
      <c r="N1327" t="str">
        <f ca="1">VLOOKUP(F1327,INDIRECT("球種変換表!A$1:B$" &amp; Prams!$B$2),2,)</f>
        <v>全力ストレート</v>
      </c>
      <c r="O1327">
        <f ca="1">VLOOKUP(N1327,球種情報!A:B,2,FALSE)</f>
        <v>2</v>
      </c>
      <c r="P1327">
        <f ca="1">VLOOKUP(K1327,投手データ!B:AI,output!O1327+6,FALSE)</f>
        <v>1</v>
      </c>
      <c r="R1327">
        <f t="shared" si="114"/>
        <v>6.2111801242236021E-3</v>
      </c>
      <c r="S1327">
        <f t="shared" si="115"/>
        <v>0.39791666666666664</v>
      </c>
      <c r="T1327">
        <f>Prams!B$5/(S1327-Prams!B$6)</f>
        <v>183.11595991509111</v>
      </c>
      <c r="U1327">
        <f t="shared" ca="1" si="116"/>
        <v>0.46458333333333335</v>
      </c>
      <c r="V1327">
        <f ca="1">Prams!C$5/(U1327-Prams!C$6)</f>
        <v>192.60501583675165</v>
      </c>
      <c r="W1327">
        <f t="shared" ca="1" si="117"/>
        <v>1.196304446191004</v>
      </c>
    </row>
    <row r="1328" spans="1:23" hidden="1" x14ac:dyDescent="0.55000000000000004">
      <c r="A1328" s="1" t="s">
        <v>3322</v>
      </c>
      <c r="B1328" s="1">
        <v>122</v>
      </c>
      <c r="C1328">
        <v>640</v>
      </c>
      <c r="D1328">
        <v>606</v>
      </c>
      <c r="E1328">
        <v>10.04998</v>
      </c>
      <c r="F1328" t="s">
        <v>3112</v>
      </c>
      <c r="G1328" s="10" t="s">
        <v>3317</v>
      </c>
      <c r="H1328">
        <v>98</v>
      </c>
      <c r="I1328" t="s">
        <v>3320</v>
      </c>
      <c r="J1328">
        <f ca="1">VLOOKUP(G1328,INDIRECT("球速変換!A$1:B$" &amp; Prams!$B$8),2,)</f>
        <v>163</v>
      </c>
      <c r="K1328" t="str">
        <f ca="1">VLOOKUP(I1328,INDIRECT("投手名変換!A$1:B$" &amp; Prams!$B$9),2,)</f>
        <v>AD003</v>
      </c>
      <c r="L1328">
        <f t="shared" si="113"/>
        <v>24</v>
      </c>
      <c r="M1328">
        <f ca="1">(B1328-VLOOKUP(K1328,INDIRECT("投手データ!B1:D"&amp;Prams!$B$1),3,FALSE)*2)</f>
        <v>28</v>
      </c>
      <c r="N1328" t="str">
        <f ca="1">VLOOKUP(F1328,INDIRECT("球種変換表!A$1:B$" &amp; Prams!$B$2),2,)</f>
        <v>全力ストレート</v>
      </c>
      <c r="O1328">
        <f ca="1">VLOOKUP(N1328,球種情報!A:B,2,FALSE)</f>
        <v>2</v>
      </c>
      <c r="P1328">
        <f ca="1">VLOOKUP(K1328,投手データ!B:AI,output!O1328+6,FALSE)</f>
        <v>1</v>
      </c>
      <c r="R1328">
        <f t="shared" ca="1" si="114"/>
        <v>6.1349693251533744E-3</v>
      </c>
      <c r="S1328">
        <f t="shared" si="115"/>
        <v>0.39583333333333331</v>
      </c>
      <c r="T1328">
        <f>Prams!B$5/(S1328-Prams!B$6)</f>
        <v>184.25293065765948</v>
      </c>
      <c r="U1328">
        <f t="shared" ca="1" si="116"/>
        <v>0.46250000000000002</v>
      </c>
      <c r="V1328">
        <f ca="1">Prams!C$5/(U1328-Prams!C$6)</f>
        <v>193.86328002508623</v>
      </c>
      <c r="W1328">
        <f t="shared" ca="1" si="117"/>
        <v>1.189345276227523</v>
      </c>
    </row>
    <row r="1329" spans="1:23" hidden="1" x14ac:dyDescent="0.55000000000000004">
      <c r="A1329" s="1" t="s">
        <v>3323</v>
      </c>
      <c r="B1329" s="1">
        <v>122</v>
      </c>
      <c r="C1329">
        <v>640</v>
      </c>
      <c r="D1329">
        <v>606.5</v>
      </c>
      <c r="E1329">
        <v>10.012589999999999</v>
      </c>
      <c r="F1329" t="s">
        <v>3112</v>
      </c>
      <c r="G1329" s="10" t="s">
        <v>3153</v>
      </c>
      <c r="H1329">
        <v>98</v>
      </c>
      <c r="I1329" t="s">
        <v>3289</v>
      </c>
      <c r="J1329">
        <f ca="1">VLOOKUP(G1329,INDIRECT("球速変換!A$1:B$" &amp; Prams!$B$8),2,)</f>
        <v>163</v>
      </c>
      <c r="K1329" t="str">
        <f ca="1">VLOOKUP(I1329,INDIRECT("投手名変換!A$1:B$" &amp; Prams!$B$9),2,)</f>
        <v>AD003</v>
      </c>
      <c r="L1329">
        <f t="shared" si="113"/>
        <v>24</v>
      </c>
      <c r="M1329">
        <f ca="1">(B1329-VLOOKUP(K1329,INDIRECT("投手データ!B1:D"&amp;Prams!$B$1),3,FALSE)*2)</f>
        <v>28</v>
      </c>
      <c r="N1329" t="str">
        <f ca="1">VLOOKUP(F1329,INDIRECT("球種変換表!A$1:B$" &amp; Prams!$B$2),2,)</f>
        <v>全力ストレート</v>
      </c>
      <c r="O1329">
        <f ca="1">VLOOKUP(N1329,球種情報!A:B,2,FALSE)</f>
        <v>2</v>
      </c>
      <c r="P1329">
        <f ca="1">VLOOKUP(K1329,投手データ!B:AI,output!O1329+6,FALSE)</f>
        <v>1</v>
      </c>
      <c r="R1329">
        <f t="shared" ca="1" si="114"/>
        <v>6.1349693251533744E-3</v>
      </c>
      <c r="S1329">
        <f t="shared" si="115"/>
        <v>0.39548611111111115</v>
      </c>
      <c r="T1329">
        <f>Prams!B$5/(S1329-Prams!B$6)</f>
        <v>184.44379987900584</v>
      </c>
      <c r="U1329">
        <f t="shared" ca="1" si="116"/>
        <v>0.4621527777777778</v>
      </c>
      <c r="V1329">
        <f ca="1">Prams!C$5/(U1329-Prams!C$6)</f>
        <v>194.07459081436008</v>
      </c>
      <c r="W1329">
        <f t="shared" ca="1" si="117"/>
        <v>1.1906416614377919</v>
      </c>
    </row>
    <row r="1330" spans="1:23" hidden="1" x14ac:dyDescent="0.55000000000000004">
      <c r="A1330" s="1" t="s">
        <v>3324</v>
      </c>
      <c r="B1330" s="1">
        <v>123</v>
      </c>
      <c r="C1330">
        <v>642.5</v>
      </c>
      <c r="D1330">
        <v>625.5</v>
      </c>
      <c r="E1330">
        <v>10.6067</v>
      </c>
      <c r="F1330" t="s">
        <v>3112</v>
      </c>
      <c r="G1330" s="10" t="s">
        <v>3310</v>
      </c>
      <c r="H1330">
        <v>98</v>
      </c>
      <c r="I1330" t="s">
        <v>3303</v>
      </c>
      <c r="J1330">
        <f ca="1">VLOOKUP(G1330,INDIRECT("球速変換!A$1:B$" &amp; Prams!$B$8),2,)</f>
        <v>159</v>
      </c>
      <c r="K1330" t="str">
        <f ca="1">VLOOKUP(I1330,INDIRECT("投手名変換!A$1:B$" &amp; Prams!$B$9),2,)</f>
        <v>AD003</v>
      </c>
      <c r="L1330">
        <f t="shared" si="113"/>
        <v>25</v>
      </c>
      <c r="M1330">
        <f ca="1">(B1330-VLOOKUP(K1330,INDIRECT("投手データ!B1:D"&amp;Prams!$B$1),3,FALSE)*2)</f>
        <v>29</v>
      </c>
      <c r="N1330" t="str">
        <f ca="1">VLOOKUP(F1330,INDIRECT("球種変換表!A$1:B$" &amp; Prams!$B$2),2,)</f>
        <v>全力ストレート</v>
      </c>
      <c r="O1330">
        <f ca="1">VLOOKUP(N1330,球種情報!A:B,2,FALSE)</f>
        <v>2</v>
      </c>
      <c r="P1330">
        <f ca="1">VLOOKUP(K1330,投手データ!B:AI,output!O1330+6,FALSE)</f>
        <v>1</v>
      </c>
      <c r="R1330">
        <f t="shared" ca="1" si="114"/>
        <v>6.2893081761006293E-3</v>
      </c>
      <c r="S1330">
        <f t="shared" si="115"/>
        <v>0.39895833333333336</v>
      </c>
      <c r="T1330">
        <f>Prams!B$5/(S1330-Prams!B$6)</f>
        <v>182.55272029331431</v>
      </c>
      <c r="U1330">
        <f t="shared" ca="1" si="116"/>
        <v>0.46562500000000001</v>
      </c>
      <c r="V1330">
        <f ca="1">Prams!C$5/(U1330-Prams!C$6)</f>
        <v>191.98198897601117</v>
      </c>
      <c r="W1330">
        <f t="shared" ca="1" si="117"/>
        <v>1.2074338929308879</v>
      </c>
    </row>
    <row r="1331" spans="1:23" hidden="1" x14ac:dyDescent="0.55000000000000004">
      <c r="A1331" s="1" t="s">
        <v>3327</v>
      </c>
      <c r="B1331" s="1">
        <v>122</v>
      </c>
      <c r="C1331">
        <v>639</v>
      </c>
      <c r="D1331">
        <v>603.5</v>
      </c>
      <c r="E1331">
        <v>10.012589999999999</v>
      </c>
      <c r="F1331" t="s">
        <v>3112</v>
      </c>
      <c r="G1331" s="10" t="s">
        <v>3325</v>
      </c>
      <c r="H1331">
        <v>98</v>
      </c>
      <c r="I1331" t="s">
        <v>3326</v>
      </c>
      <c r="J1331">
        <f ca="1">VLOOKUP(G1331,INDIRECT("球速変換!A$1:B$" &amp; Prams!$B$8),2,)</f>
        <v>162</v>
      </c>
      <c r="K1331" t="str">
        <f ca="1">VLOOKUP(I1331,INDIRECT("投手名変換!A$1:B$" &amp; Prams!$B$9),2,)</f>
        <v>AD003</v>
      </c>
      <c r="L1331">
        <f t="shared" si="113"/>
        <v>24</v>
      </c>
      <c r="M1331">
        <f ca="1">(B1331-VLOOKUP(K1331,INDIRECT("投手データ!B1:D"&amp;Prams!$B$1),3,FALSE)*2)</f>
        <v>28</v>
      </c>
      <c r="N1331" t="str">
        <f ca="1">VLOOKUP(F1331,INDIRECT("球種変換表!A$1:B$" &amp; Prams!$B$2),2,)</f>
        <v>全力ストレート</v>
      </c>
      <c r="O1331">
        <f ca="1">VLOOKUP(N1331,球種情報!A:B,2,FALSE)</f>
        <v>2</v>
      </c>
      <c r="P1331">
        <f ca="1">VLOOKUP(K1331,投手データ!B:AI,output!O1331+6,FALSE)</f>
        <v>1</v>
      </c>
      <c r="R1331">
        <f t="shared" ca="1" si="114"/>
        <v>6.1728395061728392E-3</v>
      </c>
      <c r="S1331">
        <f t="shared" si="115"/>
        <v>0.39756944444444448</v>
      </c>
      <c r="T1331">
        <f>Prams!B$5/(S1331-Prams!B$6)</f>
        <v>183.30447960335044</v>
      </c>
      <c r="U1331">
        <f t="shared" ca="1" si="116"/>
        <v>0.46423611111111113</v>
      </c>
      <c r="V1331">
        <f ca="1">Prams!C$5/(U1331-Prams!C$6)</f>
        <v>192.81359103864713</v>
      </c>
      <c r="W1331">
        <f t="shared" ca="1" si="117"/>
        <v>1.1902073520904144</v>
      </c>
    </row>
    <row r="1332" spans="1:23" hidden="1" x14ac:dyDescent="0.55000000000000004">
      <c r="A1332" s="1" t="s">
        <v>3328</v>
      </c>
      <c r="B1332" s="1" t="s">
        <v>3329</v>
      </c>
      <c r="C1332" t="s">
        <v>3329</v>
      </c>
      <c r="D1332" t="s">
        <v>3329</v>
      </c>
      <c r="E1332" t="s">
        <v>3329</v>
      </c>
      <c r="F1332" t="s">
        <v>3108</v>
      </c>
      <c r="G1332" s="10" t="s">
        <v>3108</v>
      </c>
      <c r="H1332">
        <v>98</v>
      </c>
      <c r="I1332" t="s">
        <v>3108</v>
      </c>
      <c r="J1332" t="e">
        <f ca="1">VLOOKUP(G1332,INDIRECT("球速変換!A$1:B$" &amp; Prams!$B$8),2,)</f>
        <v>#N/A</v>
      </c>
      <c r="K1332" t="e">
        <f ca="1">VLOOKUP(I1332,INDIRECT("投手名変換!A$1:B$" &amp; Prams!$B$9),2,)</f>
        <v>#N/A</v>
      </c>
      <c r="L1332" t="e">
        <f t="shared" si="113"/>
        <v>#VALUE!</v>
      </c>
      <c r="M1332" t="e">
        <f ca="1">(B1332-VLOOKUP(K1332,INDIRECT("投手データ!B1:D"&amp;Prams!$B$1),3,FALSE)*2)</f>
        <v>#VALUE!</v>
      </c>
      <c r="N1332" t="e">
        <f ca="1">VLOOKUP(F1332,INDIRECT("球種変換表!A$1:B$" &amp; Prams!$B$2),2,)</f>
        <v>#N/A</v>
      </c>
      <c r="O1332" t="e">
        <f ca="1">VLOOKUP(N1332,球種情報!A:B,2,FALSE)</f>
        <v>#N/A</v>
      </c>
      <c r="P1332" t="e">
        <f ca="1">VLOOKUP(K1332,投手データ!B:AI,output!O1332+6,FALSE)</f>
        <v>#N/A</v>
      </c>
      <c r="R1332" t="e">
        <f t="shared" ca="1" si="114"/>
        <v>#N/A</v>
      </c>
      <c r="S1332" t="e">
        <f t="shared" si="115"/>
        <v>#VALUE!</v>
      </c>
      <c r="T1332" t="e">
        <f>Prams!B$5/(S1332-Prams!B$6)</f>
        <v>#VALUE!</v>
      </c>
      <c r="U1332" t="e">
        <f t="shared" ca="1" si="116"/>
        <v>#VALUE!</v>
      </c>
      <c r="V1332" t="e">
        <f ca="1">Prams!C$5/(U1332-Prams!C$6)</f>
        <v>#VALUE!</v>
      </c>
      <c r="W1332" t="e">
        <f t="shared" ca="1" si="117"/>
        <v>#VALUE!</v>
      </c>
    </row>
    <row r="1333" spans="1:23" hidden="1" x14ac:dyDescent="0.55000000000000004">
      <c r="A1333" s="1" t="s">
        <v>3332</v>
      </c>
      <c r="B1333" s="1">
        <v>130</v>
      </c>
      <c r="C1333">
        <v>652.5</v>
      </c>
      <c r="D1333">
        <v>602.5</v>
      </c>
      <c r="E1333">
        <v>10.512</v>
      </c>
      <c r="F1333" t="s">
        <v>3330</v>
      </c>
      <c r="G1333" s="10" t="s">
        <v>3331</v>
      </c>
      <c r="H1333">
        <v>101</v>
      </c>
      <c r="I1333" t="s">
        <v>3326</v>
      </c>
      <c r="J1333">
        <f ca="1">VLOOKUP(G1333,INDIRECT("球速変換!A$1:B$" &amp; Prams!$B$8),2,)</f>
        <v>152</v>
      </c>
      <c r="K1333" t="str">
        <f ca="1">VLOOKUP(I1333,INDIRECT("投手名変換!A$1:B$" &amp; Prams!$B$9),2,)</f>
        <v>AD003</v>
      </c>
      <c r="L1333">
        <f t="shared" si="113"/>
        <v>29</v>
      </c>
      <c r="M1333">
        <f ca="1">(B1333-VLOOKUP(K1333,INDIRECT("投手データ!B1:D"&amp;Prams!$B$1),3,FALSE)*2)</f>
        <v>36</v>
      </c>
      <c r="N1333" t="str">
        <f ca="1">VLOOKUP(F1333,INDIRECT("球種変換表!A$1:B$" &amp; Prams!$B$2),2,)</f>
        <v>Hスライダー</v>
      </c>
      <c r="O1333">
        <f ca="1">VLOOKUP(N1333,球種情報!A:B,2,FALSE)</f>
        <v>7</v>
      </c>
      <c r="P1333">
        <f ca="1">VLOOKUP(K1333,投手データ!B:AI,output!O1333+6,FALSE)</f>
        <v>3</v>
      </c>
      <c r="R1333">
        <f t="shared" ca="1" si="114"/>
        <v>6.5789473684210523E-3</v>
      </c>
      <c r="S1333">
        <f t="shared" si="115"/>
        <v>0.48159722222222218</v>
      </c>
      <c r="T1333">
        <f>Prams!B$5/(S1333-Prams!B$6)</f>
        <v>146.74438078158073</v>
      </c>
      <c r="U1333">
        <f t="shared" ca="1" si="116"/>
        <v>0.59826388888888893</v>
      </c>
      <c r="V1333">
        <f ca="1">Prams!C$5/(U1333-Prams!C$6)</f>
        <v>135.97517091380078</v>
      </c>
      <c r="W1333">
        <f t="shared" ca="1" si="117"/>
        <v>0.89457349285395249</v>
      </c>
    </row>
    <row r="1334" spans="1:23" hidden="1" x14ac:dyDescent="0.55000000000000004">
      <c r="A1334" s="1" t="s">
        <v>3334</v>
      </c>
      <c r="B1334" s="1">
        <v>130</v>
      </c>
      <c r="C1334">
        <v>655.5</v>
      </c>
      <c r="D1334">
        <v>606.5</v>
      </c>
      <c r="E1334">
        <v>10.512</v>
      </c>
      <c r="F1334" t="s">
        <v>3135</v>
      </c>
      <c r="G1334" s="10" t="s">
        <v>3236</v>
      </c>
      <c r="H1334">
        <v>101</v>
      </c>
      <c r="I1334" t="s">
        <v>3333</v>
      </c>
      <c r="J1334">
        <f ca="1">VLOOKUP(G1334,INDIRECT("球速変換!A$1:B$" &amp; Prams!$B$8),2,)</f>
        <v>93</v>
      </c>
      <c r="K1334" t="str">
        <f ca="1">VLOOKUP(I1334,INDIRECT("投手名変換!A$1:B$" &amp; Prams!$B$9),2,)</f>
        <v>AD003</v>
      </c>
      <c r="L1334">
        <f t="shared" si="113"/>
        <v>29</v>
      </c>
      <c r="M1334">
        <f ca="1">(B1334-VLOOKUP(K1334,INDIRECT("投手データ!B1:D"&amp;Prams!$B$1),3,FALSE)*2)</f>
        <v>36</v>
      </c>
      <c r="N1334" t="str">
        <f ca="1">VLOOKUP(F1334,INDIRECT("球種変換表!A$1:B$" &amp; Prams!$B$2),2,)</f>
        <v>Hスライダー</v>
      </c>
      <c r="O1334">
        <f ca="1">VLOOKUP(N1334,球種情報!A:B,2,FALSE)</f>
        <v>7</v>
      </c>
      <c r="P1334">
        <f ca="1">VLOOKUP(K1334,投手データ!B:AI,output!O1334+6,FALSE)</f>
        <v>3</v>
      </c>
      <c r="R1334">
        <f t="shared" ca="1" si="114"/>
        <v>1.0752688172043012E-2</v>
      </c>
      <c r="S1334">
        <f t="shared" si="115"/>
        <v>0.47881944444444446</v>
      </c>
      <c r="T1334">
        <f>Prams!B$5/(S1334-Prams!B$6)</f>
        <v>147.71834575587224</v>
      </c>
      <c r="U1334">
        <f t="shared" ca="1" si="116"/>
        <v>0.59548611111111105</v>
      </c>
      <c r="V1334">
        <f ca="1">Prams!C$5/(U1334-Prams!C$6)</f>
        <v>136.81102047590656</v>
      </c>
      <c r="W1334">
        <f t="shared" ca="1" si="117"/>
        <v>1.4710862416764146</v>
      </c>
    </row>
    <row r="1335" spans="1:23" hidden="1" x14ac:dyDescent="0.55000000000000004">
      <c r="A1335" s="1" t="s">
        <v>3336</v>
      </c>
      <c r="B1335" s="1">
        <v>130</v>
      </c>
      <c r="C1335">
        <v>646</v>
      </c>
      <c r="D1335">
        <v>601</v>
      </c>
      <c r="E1335">
        <v>10.04998</v>
      </c>
      <c r="F1335" t="s">
        <v>3131</v>
      </c>
      <c r="G1335" s="10" t="s">
        <v>3331</v>
      </c>
      <c r="H1335">
        <v>101</v>
      </c>
      <c r="I1335" t="s">
        <v>3335</v>
      </c>
      <c r="J1335">
        <f ca="1">VLOOKUP(G1335,INDIRECT("球速変換!A$1:B$" &amp; Prams!$B$8),2,)</f>
        <v>152</v>
      </c>
      <c r="K1335" t="str">
        <f ca="1">VLOOKUP(I1335,INDIRECT("投手名変換!A$1:B$" &amp; Prams!$B$9),2,)</f>
        <v>AD003</v>
      </c>
      <c r="L1335">
        <f t="shared" si="113"/>
        <v>29</v>
      </c>
      <c r="M1335">
        <f ca="1">(B1335-VLOOKUP(K1335,INDIRECT("投手データ!B1:D"&amp;Prams!$B$1),3,FALSE)*2)</f>
        <v>36</v>
      </c>
      <c r="N1335" t="str">
        <f ca="1">VLOOKUP(F1335,INDIRECT("球種変換表!A$1:B$" &amp; Prams!$B$2),2,)</f>
        <v>Hスライダー</v>
      </c>
      <c r="O1335">
        <f ca="1">VLOOKUP(N1335,球種情報!A:B,2,FALSE)</f>
        <v>7</v>
      </c>
      <c r="P1335">
        <f ca="1">VLOOKUP(K1335,投手データ!B:AI,output!O1335+6,FALSE)</f>
        <v>3</v>
      </c>
      <c r="R1335">
        <f t="shared" ca="1" si="114"/>
        <v>6.5789473684210523E-3</v>
      </c>
      <c r="S1335">
        <f t="shared" si="115"/>
        <v>0.4826388888888889</v>
      </c>
      <c r="T1335">
        <f>Prams!B$5/(S1335-Prams!B$6)</f>
        <v>146.38244695544654</v>
      </c>
      <c r="U1335">
        <f t="shared" ca="1" si="116"/>
        <v>0.59930555555555565</v>
      </c>
      <c r="V1335">
        <f ca="1">Prams!C$5/(U1335-Prams!C$6)</f>
        <v>135.66435441988611</v>
      </c>
      <c r="W1335">
        <f t="shared" ca="1" si="117"/>
        <v>0.89252864749925076</v>
      </c>
    </row>
    <row r="1336" spans="1:23" hidden="1" x14ac:dyDescent="0.55000000000000004">
      <c r="A1336" s="1" t="s">
        <v>3339</v>
      </c>
      <c r="B1336" s="1">
        <v>130</v>
      </c>
      <c r="C1336">
        <v>657.97497999999996</v>
      </c>
      <c r="D1336">
        <v>607</v>
      </c>
      <c r="E1336">
        <v>10.025119999999999</v>
      </c>
      <c r="F1336" t="s">
        <v>3337</v>
      </c>
      <c r="G1336" s="10" t="s">
        <v>3338</v>
      </c>
      <c r="H1336">
        <v>101</v>
      </c>
      <c r="I1336" t="s">
        <v>3289</v>
      </c>
      <c r="J1336">
        <f ca="1">VLOOKUP(G1336,INDIRECT("球速変換!A$1:B$" &amp; Prams!$B$8),2,)</f>
        <v>154</v>
      </c>
      <c r="K1336" t="str">
        <f ca="1">VLOOKUP(I1336,INDIRECT("投手名変換!A$1:B$" &amp; Prams!$B$9),2,)</f>
        <v>AD003</v>
      </c>
      <c r="L1336">
        <f t="shared" si="113"/>
        <v>29</v>
      </c>
      <c r="M1336">
        <f ca="1">(B1336-VLOOKUP(K1336,INDIRECT("投手データ!B1:D"&amp;Prams!$B$1),3,FALSE)*2)</f>
        <v>36</v>
      </c>
      <c r="N1336" t="str">
        <f ca="1">VLOOKUP(F1336,INDIRECT("球種変換表!A$1:B$" &amp; Prams!$B$2),2,)</f>
        <v>Hスライダー</v>
      </c>
      <c r="O1336">
        <f ca="1">VLOOKUP(N1336,球種情報!A:B,2,FALSE)</f>
        <v>7</v>
      </c>
      <c r="P1336">
        <f ca="1">VLOOKUP(K1336,投手データ!B:AI,output!O1336+6,FALSE)</f>
        <v>3</v>
      </c>
      <c r="R1336">
        <f t="shared" ca="1" si="114"/>
        <v>6.4935064935064939E-3</v>
      </c>
      <c r="S1336">
        <f t="shared" si="115"/>
        <v>0.47847222222222219</v>
      </c>
      <c r="T1336">
        <f>Prams!B$5/(S1336-Prams!B$6)</f>
        <v>147.84100118239431</v>
      </c>
      <c r="U1336">
        <f t="shared" ca="1" si="116"/>
        <v>0.59513888888888888</v>
      </c>
      <c r="V1336">
        <f ca="1">Prams!C$5/(U1336-Prams!C$6)</f>
        <v>136.91622476223287</v>
      </c>
      <c r="W1336">
        <f t="shared" ca="1" si="117"/>
        <v>0.88906639455995373</v>
      </c>
    </row>
    <row r="1337" spans="1:23" hidden="1" x14ac:dyDescent="0.55000000000000004">
      <c r="A1337" s="1" t="s">
        <v>3342</v>
      </c>
      <c r="B1337" s="1">
        <v>130</v>
      </c>
      <c r="C1337">
        <v>656.5</v>
      </c>
      <c r="D1337">
        <v>606.5</v>
      </c>
      <c r="E1337">
        <v>10.512</v>
      </c>
      <c r="F1337" t="s">
        <v>3131</v>
      </c>
      <c r="G1337" s="10" t="s">
        <v>3340</v>
      </c>
      <c r="H1337">
        <v>101</v>
      </c>
      <c r="I1337" t="s">
        <v>3341</v>
      </c>
      <c r="J1337">
        <f ca="1">VLOOKUP(G1337,INDIRECT("球速変換!A$1:B$" &amp; Prams!$B$8),2,)</f>
        <v>153</v>
      </c>
      <c r="K1337" t="str">
        <f ca="1">VLOOKUP(I1337,INDIRECT("投手名変換!A$1:B$" &amp; Prams!$B$9),2,)</f>
        <v>AD003</v>
      </c>
      <c r="L1337">
        <f t="shared" si="113"/>
        <v>29</v>
      </c>
      <c r="M1337">
        <f ca="1">(B1337-VLOOKUP(K1337,INDIRECT("投手データ!B1:D"&amp;Prams!$B$1),3,FALSE)*2)</f>
        <v>36</v>
      </c>
      <c r="N1337" t="str">
        <f ca="1">VLOOKUP(F1337,INDIRECT("球種変換表!A$1:B$" &amp; Prams!$B$2),2,)</f>
        <v>Hスライダー</v>
      </c>
      <c r="O1337">
        <f ca="1">VLOOKUP(N1337,球種情報!A:B,2,FALSE)</f>
        <v>7</v>
      </c>
      <c r="P1337">
        <f ca="1">VLOOKUP(K1337,投手データ!B:AI,output!O1337+6,FALSE)</f>
        <v>3</v>
      </c>
      <c r="R1337">
        <f t="shared" ca="1" si="114"/>
        <v>6.5359477124183009E-3</v>
      </c>
      <c r="S1337">
        <f t="shared" si="115"/>
        <v>0.47881944444444446</v>
      </c>
      <c r="T1337">
        <f>Prams!B$5/(S1337-Prams!B$6)</f>
        <v>147.71834575587224</v>
      </c>
      <c r="U1337">
        <f t="shared" ca="1" si="116"/>
        <v>0.59548611111111105</v>
      </c>
      <c r="V1337">
        <f ca="1">Prams!C$5/(U1337-Prams!C$6)</f>
        <v>136.81102047590656</v>
      </c>
      <c r="W1337">
        <f t="shared" ca="1" si="117"/>
        <v>0.89418967631311475</v>
      </c>
    </row>
    <row r="1338" spans="1:23" hidden="1" x14ac:dyDescent="0.55000000000000004">
      <c r="A1338" s="1" t="s">
        <v>3344</v>
      </c>
      <c r="B1338" s="1">
        <v>130</v>
      </c>
      <c r="C1338">
        <v>659.5</v>
      </c>
      <c r="D1338">
        <v>608</v>
      </c>
      <c r="E1338">
        <v>11.5001</v>
      </c>
      <c r="F1338" t="s">
        <v>3135</v>
      </c>
      <c r="G1338" s="10" t="s">
        <v>3343</v>
      </c>
      <c r="H1338">
        <v>101</v>
      </c>
      <c r="I1338" t="s">
        <v>3333</v>
      </c>
      <c r="J1338">
        <f ca="1">VLOOKUP(G1338,INDIRECT("球速変換!A$1:B$" &amp; Prams!$B$8),2,)</f>
        <v>92</v>
      </c>
      <c r="K1338" t="str">
        <f ca="1">VLOOKUP(I1338,INDIRECT("投手名変換!A$1:B$" &amp; Prams!$B$9),2,)</f>
        <v>AD003</v>
      </c>
      <c r="L1338">
        <f t="shared" si="113"/>
        <v>29</v>
      </c>
      <c r="M1338">
        <f ca="1">(B1338-VLOOKUP(K1338,INDIRECT("投手データ!B1:D"&amp;Prams!$B$1),3,FALSE)*2)</f>
        <v>36</v>
      </c>
      <c r="N1338" t="str">
        <f ca="1">VLOOKUP(F1338,INDIRECT("球種変換表!A$1:B$" &amp; Prams!$B$2),2,)</f>
        <v>Hスライダー</v>
      </c>
      <c r="O1338">
        <f ca="1">VLOOKUP(N1338,球種情報!A:B,2,FALSE)</f>
        <v>7</v>
      </c>
      <c r="P1338">
        <f ca="1">VLOOKUP(K1338,投手データ!B:AI,output!O1338+6,FALSE)</f>
        <v>3</v>
      </c>
      <c r="R1338">
        <f t="shared" ca="1" si="114"/>
        <v>1.0869565217391304E-2</v>
      </c>
      <c r="S1338">
        <f t="shared" si="115"/>
        <v>0.4777777777777778</v>
      </c>
      <c r="T1338">
        <f>Prams!B$5/(S1338-Prams!B$6)</f>
        <v>148.08692412104438</v>
      </c>
      <c r="U1338">
        <f t="shared" ca="1" si="116"/>
        <v>0.59444444444444444</v>
      </c>
      <c r="V1338">
        <f ca="1">Prams!C$5/(U1338-Prams!C$6)</f>
        <v>137.12711947949526</v>
      </c>
      <c r="W1338">
        <f t="shared" ca="1" si="117"/>
        <v>1.4905121682553832</v>
      </c>
    </row>
    <row r="1339" spans="1:23" hidden="1" x14ac:dyDescent="0.55000000000000004">
      <c r="A1339" s="1" t="s">
        <v>3346</v>
      </c>
      <c r="B1339" s="1">
        <v>130</v>
      </c>
      <c r="C1339">
        <v>655</v>
      </c>
      <c r="D1339">
        <v>607</v>
      </c>
      <c r="E1339">
        <v>11.0001</v>
      </c>
      <c r="F1339" t="s">
        <v>3345</v>
      </c>
      <c r="G1339" s="10" t="s">
        <v>3338</v>
      </c>
      <c r="H1339">
        <v>101</v>
      </c>
      <c r="I1339" t="s">
        <v>3301</v>
      </c>
      <c r="J1339">
        <f ca="1">VLOOKUP(G1339,INDIRECT("球速変換!A$1:B$" &amp; Prams!$B$8),2,)</f>
        <v>154</v>
      </c>
      <c r="K1339" t="str">
        <f ca="1">VLOOKUP(I1339,INDIRECT("投手名変換!A$1:B$" &amp; Prams!$B$9),2,)</f>
        <v>AD003</v>
      </c>
      <c r="L1339">
        <f t="shared" si="113"/>
        <v>29</v>
      </c>
      <c r="M1339">
        <f ca="1">(B1339-VLOOKUP(K1339,INDIRECT("投手データ!B1:D"&amp;Prams!$B$1),3,FALSE)*2)</f>
        <v>36</v>
      </c>
      <c r="N1339" t="str">
        <f ca="1">VLOOKUP(F1339,INDIRECT("球種変換表!A$1:B$" &amp; Prams!$B$2),2,)</f>
        <v>Hスライダー</v>
      </c>
      <c r="O1339">
        <f ca="1">VLOOKUP(N1339,球種情報!A:B,2,FALSE)</f>
        <v>7</v>
      </c>
      <c r="P1339">
        <f ca="1">VLOOKUP(K1339,投手データ!B:AI,output!O1339+6,FALSE)</f>
        <v>3</v>
      </c>
      <c r="R1339">
        <f t="shared" ca="1" si="114"/>
        <v>6.4935064935064939E-3</v>
      </c>
      <c r="S1339">
        <f t="shared" si="115"/>
        <v>0.47847222222222219</v>
      </c>
      <c r="T1339">
        <f>Prams!B$5/(S1339-Prams!B$6)</f>
        <v>147.84100118239431</v>
      </c>
      <c r="U1339">
        <f t="shared" ca="1" si="116"/>
        <v>0.59513888888888888</v>
      </c>
      <c r="V1339">
        <f ca="1">Prams!C$5/(U1339-Prams!C$6)</f>
        <v>136.91622476223287</v>
      </c>
      <c r="W1339">
        <f t="shared" ca="1" si="117"/>
        <v>0.88906639455995373</v>
      </c>
    </row>
    <row r="1340" spans="1:23" hidden="1" x14ac:dyDescent="0.55000000000000004">
      <c r="A1340" s="1" t="s">
        <v>3348</v>
      </c>
      <c r="B1340" s="1">
        <v>131</v>
      </c>
      <c r="C1340">
        <v>661.5</v>
      </c>
      <c r="D1340">
        <v>618.5</v>
      </c>
      <c r="E1340">
        <v>10.512</v>
      </c>
      <c r="F1340" t="s">
        <v>3330</v>
      </c>
      <c r="G1340" s="10" t="s">
        <v>3347</v>
      </c>
      <c r="H1340">
        <v>101</v>
      </c>
      <c r="I1340" t="s">
        <v>3289</v>
      </c>
      <c r="J1340">
        <f ca="1">VLOOKUP(G1340,INDIRECT("球速変換!A$1:B$" &amp; Prams!$B$8),2,)</f>
        <v>151</v>
      </c>
      <c r="K1340" t="str">
        <f ca="1">VLOOKUP(I1340,INDIRECT("投手名変換!A$1:B$" &amp; Prams!$B$9),2,)</f>
        <v>AD003</v>
      </c>
      <c r="L1340">
        <f t="shared" ref="L1340:L1382" si="118">B1340-H1340</f>
        <v>30</v>
      </c>
      <c r="M1340">
        <f ca="1">(B1340-VLOOKUP(K1340,INDIRECT("投手データ!B1:D"&amp;Prams!$B$1),3,FALSE)*2)</f>
        <v>37</v>
      </c>
      <c r="N1340" t="str">
        <f ca="1">VLOOKUP(F1340,INDIRECT("球種変換表!A$1:B$" &amp; Prams!$B$2),2,)</f>
        <v>Hスライダー</v>
      </c>
      <c r="O1340">
        <f ca="1">VLOOKUP(N1340,球種情報!A:B,2,FALSE)</f>
        <v>7</v>
      </c>
      <c r="P1340">
        <f ca="1">VLOOKUP(K1340,投手データ!B:AI,output!O1340+6,FALSE)</f>
        <v>3</v>
      </c>
      <c r="R1340">
        <f t="shared" ref="R1340:R1382" ca="1" si="119">1/J1340</f>
        <v>6.6225165562913907E-3</v>
      </c>
      <c r="S1340">
        <f t="shared" ref="S1340:S1382" si="120">(L1340-(D1340-600)/24)*2/120</f>
        <v>0.48715277777777782</v>
      </c>
      <c r="T1340">
        <f>Prams!B$5/(S1340-Prams!B$6)</f>
        <v>144.83447975167081</v>
      </c>
      <c r="U1340">
        <f t="shared" ref="U1340:U1382" ca="1" si="121">(M1340-(D1340-600)/24)*2/120</f>
        <v>0.60381944444444435</v>
      </c>
      <c r="V1340">
        <f ca="1">Prams!C$5/(U1340-Prams!C$6)</f>
        <v>134.33374175363204</v>
      </c>
      <c r="W1340">
        <f t="shared" ref="W1340:W1382" ca="1" si="122">V1340/J1340</f>
        <v>0.8896274288320003</v>
      </c>
    </row>
    <row r="1341" spans="1:23" hidden="1" x14ac:dyDescent="0.55000000000000004">
      <c r="A1341" s="1" t="s">
        <v>3350</v>
      </c>
      <c r="B1341" s="1">
        <v>130</v>
      </c>
      <c r="C1341">
        <v>654.5</v>
      </c>
      <c r="D1341">
        <v>609</v>
      </c>
      <c r="E1341">
        <v>10.547610000000001</v>
      </c>
      <c r="F1341" t="s">
        <v>3135</v>
      </c>
      <c r="G1341" s="10" t="s">
        <v>3349</v>
      </c>
      <c r="H1341">
        <v>101</v>
      </c>
      <c r="I1341" t="s">
        <v>3320</v>
      </c>
      <c r="J1341">
        <f ca="1">VLOOKUP(G1341,INDIRECT("球速変換!A$1:B$" &amp; Prams!$B$8),2,)</f>
        <v>154</v>
      </c>
      <c r="K1341" t="str">
        <f ca="1">VLOOKUP(I1341,INDIRECT("投手名変換!A$1:B$" &amp; Prams!$B$9),2,)</f>
        <v>AD003</v>
      </c>
      <c r="L1341">
        <f t="shared" si="118"/>
        <v>29</v>
      </c>
      <c r="M1341">
        <f ca="1">(B1341-VLOOKUP(K1341,INDIRECT("投手データ!B1:D"&amp;Prams!$B$1),3,FALSE)*2)</f>
        <v>36</v>
      </c>
      <c r="N1341" t="str">
        <f ca="1">VLOOKUP(F1341,INDIRECT("球種変換表!A$1:B$" &amp; Prams!$B$2),2,)</f>
        <v>Hスライダー</v>
      </c>
      <c r="O1341">
        <f ca="1">VLOOKUP(N1341,球種情報!A:B,2,FALSE)</f>
        <v>7</v>
      </c>
      <c r="P1341">
        <f ca="1">VLOOKUP(K1341,投手データ!B:AI,output!O1341+6,FALSE)</f>
        <v>3</v>
      </c>
      <c r="R1341">
        <f t="shared" ca="1" si="119"/>
        <v>6.4935064935064939E-3</v>
      </c>
      <c r="S1341">
        <f t="shared" si="120"/>
        <v>0.47708333333333336</v>
      </c>
      <c r="T1341">
        <f>Prams!B$5/(S1341-Prams!B$6)</f>
        <v>148.33366657335947</v>
      </c>
      <c r="U1341">
        <f t="shared" ca="1" si="121"/>
        <v>0.59375</v>
      </c>
      <c r="V1341">
        <f ca="1">Prams!C$5/(U1341-Prams!C$6)</f>
        <v>137.33866488948129</v>
      </c>
      <c r="W1341">
        <f t="shared" ca="1" si="122"/>
        <v>0.89180951226935901</v>
      </c>
    </row>
    <row r="1342" spans="1:23" hidden="1" x14ac:dyDescent="0.55000000000000004">
      <c r="A1342" s="1" t="s">
        <v>3352</v>
      </c>
      <c r="B1342" s="1">
        <v>131</v>
      </c>
      <c r="C1342">
        <v>658.5</v>
      </c>
      <c r="D1342">
        <v>621</v>
      </c>
      <c r="E1342">
        <v>10.547610000000001</v>
      </c>
      <c r="F1342" t="s">
        <v>3147</v>
      </c>
      <c r="G1342" s="10" t="s">
        <v>3351</v>
      </c>
      <c r="H1342">
        <v>101</v>
      </c>
      <c r="I1342" t="s">
        <v>3301</v>
      </c>
      <c r="J1342">
        <f ca="1">VLOOKUP(G1342,INDIRECT("球速変換!A$1:B$" &amp; Prams!$B$8),2,)</f>
        <v>151</v>
      </c>
      <c r="K1342" t="str">
        <f ca="1">VLOOKUP(I1342,INDIRECT("投手名変換!A$1:B$" &amp; Prams!$B$9),2,)</f>
        <v>AD003</v>
      </c>
      <c r="L1342">
        <f t="shared" si="118"/>
        <v>30</v>
      </c>
      <c r="M1342">
        <f ca="1">(B1342-VLOOKUP(K1342,INDIRECT("投手データ!B1:D"&amp;Prams!$B$1),3,FALSE)*2)</f>
        <v>37</v>
      </c>
      <c r="N1342" t="str">
        <f ca="1">VLOOKUP(F1342,INDIRECT("球種変換表!A$1:B$" &amp; Prams!$B$2),2,)</f>
        <v>Hスライダー</v>
      </c>
      <c r="O1342">
        <f ca="1">VLOOKUP(N1342,球種情報!A:B,2,FALSE)</f>
        <v>7</v>
      </c>
      <c r="P1342">
        <f ca="1">VLOOKUP(K1342,投手データ!B:AI,output!O1342+6,FALSE)</f>
        <v>3</v>
      </c>
      <c r="R1342">
        <f t="shared" ca="1" si="119"/>
        <v>6.6225165562913907E-3</v>
      </c>
      <c r="S1342">
        <f t="shared" si="120"/>
        <v>0.48541666666666666</v>
      </c>
      <c r="T1342">
        <f>Prams!B$5/(S1342-Prams!B$6)</f>
        <v>145.42596150076452</v>
      </c>
      <c r="U1342">
        <f t="shared" ca="1" si="121"/>
        <v>0.6020833333333333</v>
      </c>
      <c r="V1342">
        <f ca="1">Prams!C$5/(U1342-Prams!C$6)</f>
        <v>134.84241520956778</v>
      </c>
      <c r="W1342">
        <f t="shared" ca="1" si="122"/>
        <v>0.89299612721568067</v>
      </c>
    </row>
    <row r="1343" spans="1:23" hidden="1" x14ac:dyDescent="0.55000000000000004">
      <c r="A1343" s="1" t="s">
        <v>3355</v>
      </c>
      <c r="B1343" s="1">
        <v>131</v>
      </c>
      <c r="C1343">
        <v>636.54760999999996</v>
      </c>
      <c r="D1343">
        <v>617.5</v>
      </c>
      <c r="E1343">
        <v>10.55958</v>
      </c>
      <c r="F1343" t="s">
        <v>3353</v>
      </c>
      <c r="G1343" s="10" t="s">
        <v>3354</v>
      </c>
      <c r="H1343">
        <v>101</v>
      </c>
      <c r="I1343" t="s">
        <v>3293</v>
      </c>
      <c r="J1343">
        <f ca="1">VLOOKUP(G1343,INDIRECT("球速変換!A$1:B$" &amp; Prams!$B$8),2,)</f>
        <v>149</v>
      </c>
      <c r="K1343" t="str">
        <f ca="1">VLOOKUP(I1343,INDIRECT("投手名変換!A$1:B$" &amp; Prams!$B$9),2,)</f>
        <v>AD003</v>
      </c>
      <c r="L1343">
        <f t="shared" si="118"/>
        <v>30</v>
      </c>
      <c r="M1343">
        <f ca="1">(B1343-VLOOKUP(K1343,INDIRECT("投手データ!B1:D"&amp;Prams!$B$1),3,FALSE)*2)</f>
        <v>37</v>
      </c>
      <c r="N1343" t="str">
        <f ca="1">VLOOKUP(F1343,INDIRECT("球種変換表!A$1:B$" &amp; Prams!$B$2),2,)</f>
        <v>シンキングツーシーム</v>
      </c>
      <c r="O1343">
        <f ca="1">VLOOKUP(N1343,球種情報!A:B,2,FALSE)</f>
        <v>28</v>
      </c>
      <c r="P1343">
        <f ca="1">VLOOKUP(K1343,投手データ!B:AI,output!O1343+6,FALSE)</f>
        <v>5</v>
      </c>
      <c r="R1343">
        <f t="shared" ca="1" si="119"/>
        <v>6.7114093959731542E-3</v>
      </c>
      <c r="S1343">
        <f t="shared" si="120"/>
        <v>0.48784722222222221</v>
      </c>
      <c r="T1343">
        <f>Prams!B$5/(S1343-Prams!B$6)</f>
        <v>144.5992320536393</v>
      </c>
      <c r="U1343">
        <f t="shared" ca="1" si="121"/>
        <v>0.60451388888888891</v>
      </c>
      <c r="V1343">
        <f ca="1">Prams!C$5/(U1343-Prams!C$6)</f>
        <v>134.13134533445029</v>
      </c>
      <c r="W1343">
        <f t="shared" ca="1" si="122"/>
        <v>0.90021037137214954</v>
      </c>
    </row>
    <row r="1344" spans="1:23" hidden="1" x14ac:dyDescent="0.55000000000000004">
      <c r="A1344" s="1" t="s">
        <v>3356</v>
      </c>
      <c r="B1344" s="1">
        <v>130</v>
      </c>
      <c r="C1344">
        <v>638.97729000000004</v>
      </c>
      <c r="D1344">
        <v>608</v>
      </c>
      <c r="E1344">
        <v>11.02281</v>
      </c>
      <c r="F1344" t="s">
        <v>3353</v>
      </c>
      <c r="G1344" s="10" t="s">
        <v>3236</v>
      </c>
      <c r="H1344">
        <v>101</v>
      </c>
      <c r="I1344" t="s">
        <v>3289</v>
      </c>
      <c r="J1344">
        <f ca="1">VLOOKUP(G1344,INDIRECT("球速変換!A$1:B$" &amp; Prams!$B$8),2,)</f>
        <v>93</v>
      </c>
      <c r="K1344" t="str">
        <f ca="1">VLOOKUP(I1344,INDIRECT("投手名変換!A$1:B$" &amp; Prams!$B$9),2,)</f>
        <v>AD003</v>
      </c>
      <c r="L1344">
        <f t="shared" si="118"/>
        <v>29</v>
      </c>
      <c r="M1344">
        <f ca="1">(B1344-VLOOKUP(K1344,INDIRECT("投手データ!B1:D"&amp;Prams!$B$1),3,FALSE)*2)</f>
        <v>36</v>
      </c>
      <c r="N1344" t="str">
        <f ca="1">VLOOKUP(F1344,INDIRECT("球種変換表!A$1:B$" &amp; Prams!$B$2),2,)</f>
        <v>シンキングツーシーム</v>
      </c>
      <c r="O1344">
        <f ca="1">VLOOKUP(N1344,球種情報!A:B,2,FALSE)</f>
        <v>28</v>
      </c>
      <c r="P1344">
        <f ca="1">VLOOKUP(K1344,投手データ!B:AI,output!O1344+6,FALSE)</f>
        <v>5</v>
      </c>
      <c r="R1344">
        <f t="shared" ca="1" si="119"/>
        <v>1.0752688172043012E-2</v>
      </c>
      <c r="S1344">
        <f t="shared" si="120"/>
        <v>0.4777777777777778</v>
      </c>
      <c r="T1344">
        <f>Prams!B$5/(S1344-Prams!B$6)</f>
        <v>148.08692412104438</v>
      </c>
      <c r="U1344">
        <f t="shared" ca="1" si="121"/>
        <v>0.59444444444444444</v>
      </c>
      <c r="V1344">
        <f ca="1">Prams!C$5/(U1344-Prams!C$6)</f>
        <v>137.12711947949526</v>
      </c>
      <c r="W1344">
        <f t="shared" ca="1" si="122"/>
        <v>1.4744851556934975</v>
      </c>
    </row>
    <row r="1345" spans="1:23" hidden="1" x14ac:dyDescent="0.55000000000000004">
      <c r="A1345" s="1" t="s">
        <v>3358</v>
      </c>
      <c r="B1345" s="1">
        <v>131</v>
      </c>
      <c r="C1345">
        <v>634.40479000000005</v>
      </c>
      <c r="D1345">
        <v>615</v>
      </c>
      <c r="E1345">
        <v>10.59531</v>
      </c>
      <c r="F1345" t="s">
        <v>3353</v>
      </c>
      <c r="G1345" s="10" t="s">
        <v>3357</v>
      </c>
      <c r="H1345">
        <v>101</v>
      </c>
      <c r="I1345" t="s">
        <v>3301</v>
      </c>
      <c r="J1345">
        <f ca="1">VLOOKUP(G1345,INDIRECT("球速変換!A$1:B$" &amp; Prams!$B$8),2,)</f>
        <v>145</v>
      </c>
      <c r="K1345" t="str">
        <f ca="1">VLOOKUP(I1345,INDIRECT("投手名変換!A$1:B$" &amp; Prams!$B$9),2,)</f>
        <v>AD003</v>
      </c>
      <c r="L1345">
        <f t="shared" si="118"/>
        <v>30</v>
      </c>
      <c r="M1345">
        <f ca="1">(B1345-VLOOKUP(K1345,INDIRECT("投手データ!B1:D"&amp;Prams!$B$1),3,FALSE)*2)</f>
        <v>37</v>
      </c>
      <c r="N1345" t="str">
        <f ca="1">VLOOKUP(F1345,INDIRECT("球種変換表!A$1:B$" &amp; Prams!$B$2),2,)</f>
        <v>シンキングツーシーム</v>
      </c>
      <c r="O1345">
        <f ca="1">VLOOKUP(N1345,球種情報!A:B,2,FALSE)</f>
        <v>28</v>
      </c>
      <c r="P1345">
        <f ca="1">VLOOKUP(K1345,投手データ!B:AI,output!O1345+6,FALSE)</f>
        <v>5</v>
      </c>
      <c r="R1345">
        <f t="shared" ca="1" si="119"/>
        <v>6.8965517241379309E-3</v>
      </c>
      <c r="S1345">
        <f t="shared" si="120"/>
        <v>0.48958333333333331</v>
      </c>
      <c r="T1345">
        <f>Prams!B$5/(S1345-Prams!B$6)</f>
        <v>144.01444267577747</v>
      </c>
      <c r="U1345">
        <f t="shared" ca="1" si="121"/>
        <v>0.60624999999999996</v>
      </c>
      <c r="V1345">
        <f ca="1">Prams!C$5/(U1345-Prams!C$6)</f>
        <v>133.62801253647467</v>
      </c>
      <c r="W1345">
        <f t="shared" ca="1" si="122"/>
        <v>0.92157250025154946</v>
      </c>
    </row>
    <row r="1346" spans="1:23" hidden="1" x14ac:dyDescent="0.55000000000000004">
      <c r="A1346" s="1" t="s">
        <v>3360</v>
      </c>
      <c r="B1346" s="1">
        <v>131</v>
      </c>
      <c r="C1346">
        <v>629.5</v>
      </c>
      <c r="D1346">
        <v>618.5</v>
      </c>
      <c r="E1346">
        <v>10.512</v>
      </c>
      <c r="F1346" t="s">
        <v>3353</v>
      </c>
      <c r="G1346" s="10" t="s">
        <v>3359</v>
      </c>
      <c r="H1346">
        <v>101</v>
      </c>
      <c r="I1346" t="s">
        <v>3289</v>
      </c>
      <c r="J1346">
        <f ca="1">VLOOKUP(G1346,INDIRECT("球速変換!A$1:B$" &amp; Prams!$B$8),2,)</f>
        <v>150</v>
      </c>
      <c r="K1346" t="str">
        <f ca="1">VLOOKUP(I1346,INDIRECT("投手名変換!A$1:B$" &amp; Prams!$B$9),2,)</f>
        <v>AD003</v>
      </c>
      <c r="L1346">
        <f t="shared" si="118"/>
        <v>30</v>
      </c>
      <c r="M1346">
        <f ca="1">(B1346-VLOOKUP(K1346,INDIRECT("投手データ!B1:D"&amp;Prams!$B$1),3,FALSE)*2)</f>
        <v>37</v>
      </c>
      <c r="N1346" t="str">
        <f ca="1">VLOOKUP(F1346,INDIRECT("球種変換表!A$1:B$" &amp; Prams!$B$2),2,)</f>
        <v>シンキングツーシーム</v>
      </c>
      <c r="O1346">
        <f ca="1">VLOOKUP(N1346,球種情報!A:B,2,FALSE)</f>
        <v>28</v>
      </c>
      <c r="P1346">
        <f ca="1">VLOOKUP(K1346,投手データ!B:AI,output!O1346+6,FALSE)</f>
        <v>5</v>
      </c>
      <c r="R1346">
        <f t="shared" ca="1" si="119"/>
        <v>6.6666666666666671E-3</v>
      </c>
      <c r="S1346">
        <f t="shared" si="120"/>
        <v>0.48715277777777782</v>
      </c>
      <c r="T1346">
        <f>Prams!B$5/(S1346-Prams!B$6)</f>
        <v>144.83447975167081</v>
      </c>
      <c r="U1346">
        <f t="shared" ca="1" si="121"/>
        <v>0.60381944444444435</v>
      </c>
      <c r="V1346">
        <f ca="1">Prams!C$5/(U1346-Prams!C$6)</f>
        <v>134.33374175363204</v>
      </c>
      <c r="W1346">
        <f t="shared" ca="1" si="122"/>
        <v>0.89555827835754698</v>
      </c>
    </row>
    <row r="1347" spans="1:23" hidden="1" x14ac:dyDescent="0.55000000000000004">
      <c r="A1347" s="1" t="s">
        <v>3362</v>
      </c>
      <c r="B1347" s="1">
        <v>131</v>
      </c>
      <c r="C1347">
        <v>642.5</v>
      </c>
      <c r="D1347">
        <v>621.5</v>
      </c>
      <c r="E1347">
        <v>10.6067</v>
      </c>
      <c r="F1347" t="s">
        <v>3353</v>
      </c>
      <c r="G1347" s="10" t="s">
        <v>3347</v>
      </c>
      <c r="H1347">
        <v>101</v>
      </c>
      <c r="I1347" t="s">
        <v>3361</v>
      </c>
      <c r="J1347">
        <f ca="1">VLOOKUP(G1347,INDIRECT("球速変換!A$1:B$" &amp; Prams!$B$8),2,)</f>
        <v>151</v>
      </c>
      <c r="K1347" t="str">
        <f ca="1">VLOOKUP(I1347,INDIRECT("投手名変換!A$1:B$" &amp; Prams!$B$9),2,)</f>
        <v>AD003</v>
      </c>
      <c r="L1347">
        <f t="shared" si="118"/>
        <v>30</v>
      </c>
      <c r="M1347">
        <f ca="1">(B1347-VLOOKUP(K1347,INDIRECT("投手データ!B1:D"&amp;Prams!$B$1),3,FALSE)*2)</f>
        <v>37</v>
      </c>
      <c r="N1347" t="str">
        <f ca="1">VLOOKUP(F1347,INDIRECT("球種変換表!A$1:B$" &amp; Prams!$B$2),2,)</f>
        <v>シンキングツーシーム</v>
      </c>
      <c r="O1347">
        <f ca="1">VLOOKUP(N1347,球種情報!A:B,2,FALSE)</f>
        <v>28</v>
      </c>
      <c r="P1347">
        <f ca="1">VLOOKUP(K1347,投手データ!B:AI,output!O1347+6,FALSE)</f>
        <v>5</v>
      </c>
      <c r="R1347">
        <f t="shared" ca="1" si="119"/>
        <v>6.6225165562913907E-3</v>
      </c>
      <c r="S1347">
        <f t="shared" si="120"/>
        <v>0.48506944444444444</v>
      </c>
      <c r="T1347">
        <f>Prams!B$5/(S1347-Prams!B$6)</f>
        <v>145.54483804939935</v>
      </c>
      <c r="U1347">
        <f t="shared" ca="1" si="121"/>
        <v>0.60173611111111103</v>
      </c>
      <c r="V1347">
        <f ca="1">Prams!C$5/(U1347-Prams!C$6)</f>
        <v>134.94461253024031</v>
      </c>
      <c r="W1347">
        <f t="shared" ca="1" si="122"/>
        <v>0.89367293066384312</v>
      </c>
    </row>
    <row r="1348" spans="1:23" hidden="1" x14ac:dyDescent="0.55000000000000004">
      <c r="A1348" s="1" t="s">
        <v>3363</v>
      </c>
      <c r="B1348" s="1">
        <v>130</v>
      </c>
      <c r="C1348">
        <v>628.54760999999996</v>
      </c>
      <c r="D1348">
        <v>601.5</v>
      </c>
      <c r="E1348">
        <v>10.55958</v>
      </c>
      <c r="F1348" t="s">
        <v>3353</v>
      </c>
      <c r="G1348" s="10" t="s">
        <v>3347</v>
      </c>
      <c r="H1348">
        <v>101</v>
      </c>
      <c r="I1348" t="s">
        <v>3303</v>
      </c>
      <c r="J1348">
        <f ca="1">VLOOKUP(G1348,INDIRECT("球速変換!A$1:B$" &amp; Prams!$B$8),2,)</f>
        <v>151</v>
      </c>
      <c r="K1348" t="str">
        <f ca="1">VLOOKUP(I1348,INDIRECT("投手名変換!A$1:B$" &amp; Prams!$B$9),2,)</f>
        <v>AD003</v>
      </c>
      <c r="L1348">
        <f t="shared" si="118"/>
        <v>29</v>
      </c>
      <c r="M1348">
        <f ca="1">(B1348-VLOOKUP(K1348,INDIRECT("投手データ!B1:D"&amp;Prams!$B$1),3,FALSE)*2)</f>
        <v>36</v>
      </c>
      <c r="N1348" t="str">
        <f ca="1">VLOOKUP(F1348,INDIRECT("球種変換表!A$1:B$" &amp; Prams!$B$2),2,)</f>
        <v>シンキングツーシーム</v>
      </c>
      <c r="O1348">
        <f ca="1">VLOOKUP(N1348,球種情報!A:B,2,FALSE)</f>
        <v>28</v>
      </c>
      <c r="P1348">
        <f ca="1">VLOOKUP(K1348,投手データ!B:AI,output!O1348+6,FALSE)</f>
        <v>5</v>
      </c>
      <c r="R1348">
        <f t="shared" ca="1" si="119"/>
        <v>6.6225165562913907E-3</v>
      </c>
      <c r="S1348">
        <f t="shared" si="120"/>
        <v>0.48229166666666667</v>
      </c>
      <c r="T1348">
        <f>Prams!B$5/(S1348-Prams!B$6)</f>
        <v>146.50289302711349</v>
      </c>
      <c r="U1348">
        <f t="shared" ca="1" si="121"/>
        <v>0.59895833333333337</v>
      </c>
      <c r="V1348">
        <f ca="1">Prams!C$5/(U1348-Prams!C$6)</f>
        <v>135.76780191424336</v>
      </c>
      <c r="W1348">
        <f t="shared" ca="1" si="122"/>
        <v>0.89912451598836662</v>
      </c>
    </row>
    <row r="1349" spans="1:23" hidden="1" x14ac:dyDescent="0.55000000000000004">
      <c r="A1349" s="1" t="s">
        <v>3364</v>
      </c>
      <c r="B1349" s="1">
        <v>130</v>
      </c>
      <c r="C1349">
        <v>639.5</v>
      </c>
      <c r="D1349">
        <v>606</v>
      </c>
      <c r="E1349">
        <v>10.547610000000001</v>
      </c>
      <c r="F1349" t="s">
        <v>3353</v>
      </c>
      <c r="G1349" s="10" t="s">
        <v>3331</v>
      </c>
      <c r="H1349">
        <v>101</v>
      </c>
      <c r="I1349" t="s">
        <v>3303</v>
      </c>
      <c r="J1349">
        <f ca="1">VLOOKUP(G1349,INDIRECT("球速変換!A$1:B$" &amp; Prams!$B$8),2,)</f>
        <v>152</v>
      </c>
      <c r="K1349" t="str">
        <f ca="1">VLOOKUP(I1349,INDIRECT("投手名変換!A$1:B$" &amp; Prams!$B$9),2,)</f>
        <v>AD003</v>
      </c>
      <c r="L1349">
        <f t="shared" si="118"/>
        <v>29</v>
      </c>
      <c r="M1349">
        <f ca="1">(B1349-VLOOKUP(K1349,INDIRECT("投手データ!B1:D"&amp;Prams!$B$1),3,FALSE)*2)</f>
        <v>36</v>
      </c>
      <c r="N1349" t="str">
        <f ca="1">VLOOKUP(F1349,INDIRECT("球種変換表!A$1:B$" &amp; Prams!$B$2),2,)</f>
        <v>シンキングツーシーム</v>
      </c>
      <c r="O1349">
        <f ca="1">VLOOKUP(N1349,球種情報!A:B,2,FALSE)</f>
        <v>28</v>
      </c>
      <c r="P1349">
        <f ca="1">VLOOKUP(K1349,投手データ!B:AI,output!O1349+6,FALSE)</f>
        <v>5</v>
      </c>
      <c r="R1349">
        <f t="shared" ca="1" si="119"/>
        <v>6.5789473684210523E-3</v>
      </c>
      <c r="S1349">
        <f t="shared" si="120"/>
        <v>0.47916666666666669</v>
      </c>
      <c r="T1349">
        <f>Prams!B$5/(S1349-Prams!B$6)</f>
        <v>147.59589368136241</v>
      </c>
      <c r="U1349">
        <f t="shared" ca="1" si="121"/>
        <v>0.59583333333333333</v>
      </c>
      <c r="V1349">
        <f ca="1">Prams!C$5/(U1349-Prams!C$6)</f>
        <v>136.70597774010466</v>
      </c>
      <c r="W1349">
        <f t="shared" ca="1" si="122"/>
        <v>0.89938143250068858</v>
      </c>
    </row>
    <row r="1350" spans="1:23" hidden="1" x14ac:dyDescent="0.55000000000000004">
      <c r="A1350" s="1" t="s">
        <v>3365</v>
      </c>
      <c r="B1350" s="1">
        <v>131</v>
      </c>
      <c r="C1350">
        <v>635.5</v>
      </c>
      <c r="D1350">
        <v>618</v>
      </c>
      <c r="E1350">
        <v>11.5435</v>
      </c>
      <c r="F1350" t="s">
        <v>3353</v>
      </c>
      <c r="G1350" s="10" t="s">
        <v>3354</v>
      </c>
      <c r="H1350">
        <v>101</v>
      </c>
      <c r="I1350" t="s">
        <v>3293</v>
      </c>
      <c r="J1350">
        <f ca="1">VLOOKUP(G1350,INDIRECT("球速変換!A$1:B$" &amp; Prams!$B$8),2,)</f>
        <v>149</v>
      </c>
      <c r="K1350" t="str">
        <f ca="1">VLOOKUP(I1350,INDIRECT("投手名変換!A$1:B$" &amp; Prams!$B$9),2,)</f>
        <v>AD003</v>
      </c>
      <c r="L1350">
        <f t="shared" si="118"/>
        <v>30</v>
      </c>
      <c r="M1350">
        <f ca="1">(B1350-VLOOKUP(K1350,INDIRECT("投手データ!B1:D"&amp;Prams!$B$1),3,FALSE)*2)</f>
        <v>37</v>
      </c>
      <c r="N1350" t="str">
        <f ca="1">VLOOKUP(F1350,INDIRECT("球種変換表!A$1:B$" &amp; Prams!$B$2),2,)</f>
        <v>シンキングツーシーム</v>
      </c>
      <c r="O1350">
        <f ca="1">VLOOKUP(N1350,球種情報!A:B,2,FALSE)</f>
        <v>28</v>
      </c>
      <c r="P1350">
        <f ca="1">VLOOKUP(K1350,投手データ!B:AI,output!O1350+6,FALSE)</f>
        <v>5</v>
      </c>
      <c r="R1350">
        <f t="shared" ca="1" si="119"/>
        <v>6.7114093959731542E-3</v>
      </c>
      <c r="S1350">
        <f t="shared" si="120"/>
        <v>0.48749999999999999</v>
      </c>
      <c r="T1350">
        <f>Prams!B$5/(S1350-Prams!B$6)</f>
        <v>144.71676029962549</v>
      </c>
      <c r="U1350">
        <f t="shared" ca="1" si="121"/>
        <v>0.60416666666666663</v>
      </c>
      <c r="V1350">
        <f ca="1">Prams!C$5/(U1350-Prams!C$6)</f>
        <v>134.23246725048855</v>
      </c>
      <c r="W1350">
        <f t="shared" ca="1" si="122"/>
        <v>0.90088904194958763</v>
      </c>
    </row>
    <row r="1351" spans="1:23" hidden="1" x14ac:dyDescent="0.55000000000000004">
      <c r="A1351" s="1" t="s">
        <v>3366</v>
      </c>
      <c r="B1351" s="1">
        <v>130</v>
      </c>
      <c r="C1351">
        <v>634</v>
      </c>
      <c r="D1351">
        <v>606</v>
      </c>
      <c r="E1351">
        <v>10.04998</v>
      </c>
      <c r="F1351" t="s">
        <v>3353</v>
      </c>
      <c r="G1351" s="10" t="s">
        <v>3331</v>
      </c>
      <c r="H1351">
        <v>101</v>
      </c>
      <c r="I1351" t="s">
        <v>3305</v>
      </c>
      <c r="J1351">
        <f ca="1">VLOOKUP(G1351,INDIRECT("球速変換!A$1:B$" &amp; Prams!$B$8),2,)</f>
        <v>152</v>
      </c>
      <c r="K1351" t="str">
        <f ca="1">VLOOKUP(I1351,INDIRECT("投手名変換!A$1:B$" &amp; Prams!$B$9),2,)</f>
        <v>AD003</v>
      </c>
      <c r="L1351">
        <f t="shared" si="118"/>
        <v>29</v>
      </c>
      <c r="M1351">
        <f ca="1">(B1351-VLOOKUP(K1351,INDIRECT("投手データ!B1:D"&amp;Prams!$B$1),3,FALSE)*2)</f>
        <v>36</v>
      </c>
      <c r="N1351" t="str">
        <f ca="1">VLOOKUP(F1351,INDIRECT("球種変換表!A$1:B$" &amp; Prams!$B$2),2,)</f>
        <v>シンキングツーシーム</v>
      </c>
      <c r="O1351">
        <f ca="1">VLOOKUP(N1351,球種情報!A:B,2,FALSE)</f>
        <v>28</v>
      </c>
      <c r="P1351">
        <f ca="1">VLOOKUP(K1351,投手データ!B:AI,output!O1351+6,FALSE)</f>
        <v>5</v>
      </c>
      <c r="R1351">
        <f t="shared" ca="1" si="119"/>
        <v>6.5789473684210523E-3</v>
      </c>
      <c r="S1351">
        <f t="shared" si="120"/>
        <v>0.47916666666666669</v>
      </c>
      <c r="T1351">
        <f>Prams!B$5/(S1351-Prams!B$6)</f>
        <v>147.59589368136241</v>
      </c>
      <c r="U1351">
        <f t="shared" ca="1" si="121"/>
        <v>0.59583333333333333</v>
      </c>
      <c r="V1351">
        <f ca="1">Prams!C$5/(U1351-Prams!C$6)</f>
        <v>136.70597774010466</v>
      </c>
      <c r="W1351">
        <f t="shared" ca="1" si="122"/>
        <v>0.89938143250068858</v>
      </c>
    </row>
    <row r="1352" spans="1:23" hidden="1" x14ac:dyDescent="0.55000000000000004">
      <c r="A1352" s="1" t="s">
        <v>3367</v>
      </c>
      <c r="B1352" s="1">
        <v>131</v>
      </c>
      <c r="C1352">
        <v>635.52173000000005</v>
      </c>
      <c r="D1352">
        <v>619</v>
      </c>
      <c r="E1352">
        <v>11.521850000000001</v>
      </c>
      <c r="F1352" t="s">
        <v>3353</v>
      </c>
      <c r="G1352" s="10" t="s">
        <v>3359</v>
      </c>
      <c r="H1352">
        <v>101</v>
      </c>
      <c r="I1352" t="s">
        <v>3289</v>
      </c>
      <c r="J1352">
        <f ca="1">VLOOKUP(G1352,INDIRECT("球速変換!A$1:B$" &amp; Prams!$B$8),2,)</f>
        <v>150</v>
      </c>
      <c r="K1352" t="str">
        <f ca="1">VLOOKUP(I1352,INDIRECT("投手名変換!A$1:B$" &amp; Prams!$B$9),2,)</f>
        <v>AD003</v>
      </c>
      <c r="L1352">
        <f t="shared" si="118"/>
        <v>30</v>
      </c>
      <c r="M1352">
        <f ca="1">(B1352-VLOOKUP(K1352,INDIRECT("投手データ!B1:D"&amp;Prams!$B$1),3,FALSE)*2)</f>
        <v>37</v>
      </c>
      <c r="N1352" t="str">
        <f ca="1">VLOOKUP(F1352,INDIRECT("球種変換表!A$1:B$" &amp; Prams!$B$2),2,)</f>
        <v>シンキングツーシーム</v>
      </c>
      <c r="O1352">
        <f ca="1">VLOOKUP(N1352,球種情報!A:B,2,FALSE)</f>
        <v>28</v>
      </c>
      <c r="P1352">
        <f ca="1">VLOOKUP(K1352,投手データ!B:AI,output!O1352+6,FALSE)</f>
        <v>5</v>
      </c>
      <c r="R1352">
        <f t="shared" ca="1" si="119"/>
        <v>6.6666666666666671E-3</v>
      </c>
      <c r="S1352">
        <f t="shared" si="120"/>
        <v>0.48680555555555555</v>
      </c>
      <c r="T1352">
        <f>Prams!B$5/(S1352-Prams!B$6)</f>
        <v>144.95239087676336</v>
      </c>
      <c r="U1352">
        <f t="shared" ca="1" si="121"/>
        <v>0.6034722222222223</v>
      </c>
      <c r="V1352">
        <f ca="1">Prams!C$5/(U1352-Prams!C$6)</f>
        <v>134.43516918950914</v>
      </c>
      <c r="W1352">
        <f t="shared" ca="1" si="122"/>
        <v>0.89623446126339423</v>
      </c>
    </row>
    <row r="1353" spans="1:23" hidden="1" x14ac:dyDescent="0.55000000000000004">
      <c r="A1353" s="1" t="s">
        <v>3370</v>
      </c>
      <c r="B1353" s="1">
        <v>130</v>
      </c>
      <c r="C1353">
        <v>640</v>
      </c>
      <c r="D1353">
        <v>620.5</v>
      </c>
      <c r="E1353">
        <v>11.01146</v>
      </c>
      <c r="F1353" t="s">
        <v>3082</v>
      </c>
      <c r="G1353" s="10" t="s">
        <v>3368</v>
      </c>
      <c r="H1353">
        <v>99</v>
      </c>
      <c r="I1353" t="s">
        <v>3369</v>
      </c>
      <c r="J1353">
        <f ca="1">VLOOKUP(G1353,INDIRECT("球速変換!A$1:B$" &amp; Prams!$B$8),2,)</f>
        <v>131</v>
      </c>
      <c r="K1353" t="str">
        <f ca="1">VLOOKUP(I1353,INDIRECT("投手名変換!A$1:B$" &amp; Prams!$B$9),2,)</f>
        <v>AD004</v>
      </c>
      <c r="L1353">
        <f t="shared" si="118"/>
        <v>31</v>
      </c>
      <c r="M1353">
        <f ca="1">(B1353-VLOOKUP(K1353,INDIRECT("投手データ!B1:D"&amp;Prams!$B$1),3,FALSE)*2)</f>
        <v>36</v>
      </c>
      <c r="N1353" t="str">
        <f ca="1">VLOOKUP(F1353,INDIRECT("球種変換表!A$1:B$" &amp; Prams!$B$2),2,)</f>
        <v>ストレート</v>
      </c>
      <c r="O1353">
        <f ca="1">VLOOKUP(N1353,球種情報!A:B,2,FALSE)</f>
        <v>1</v>
      </c>
      <c r="P1353">
        <f ca="1">VLOOKUP(K1353,投手データ!B:AI,output!O1353+6,FALSE)</f>
        <v>1</v>
      </c>
      <c r="R1353">
        <f t="shared" ca="1" si="119"/>
        <v>7.6335877862595417E-3</v>
      </c>
      <c r="S1353">
        <f t="shared" si="120"/>
        <v>0.50243055555555549</v>
      </c>
      <c r="T1353">
        <f>Prams!B$5/(S1353-Prams!B$6)</f>
        <v>139.82973857646374</v>
      </c>
      <c r="U1353">
        <f t="shared" ca="1" si="121"/>
        <v>0.58576388888888897</v>
      </c>
      <c r="V1353">
        <f ca="1">Prams!C$5/(U1353-Prams!C$6)</f>
        <v>139.81919725591942</v>
      </c>
      <c r="W1353">
        <f t="shared" ca="1" si="122"/>
        <v>1.0673221164574</v>
      </c>
    </row>
    <row r="1354" spans="1:23" hidden="1" x14ac:dyDescent="0.55000000000000004">
      <c r="A1354" s="1" t="s">
        <v>3372</v>
      </c>
      <c r="B1354" s="1">
        <v>130</v>
      </c>
      <c r="C1354">
        <v>638</v>
      </c>
      <c r="D1354">
        <v>620</v>
      </c>
      <c r="E1354">
        <v>11.04546</v>
      </c>
      <c r="F1354" t="s">
        <v>3082</v>
      </c>
      <c r="G1354" s="10" t="s">
        <v>3368</v>
      </c>
      <c r="H1354">
        <v>99</v>
      </c>
      <c r="I1354" t="s">
        <v>3371</v>
      </c>
      <c r="J1354">
        <f ca="1">VLOOKUP(G1354,INDIRECT("球速変換!A$1:B$" &amp; Prams!$B$8),2,)</f>
        <v>131</v>
      </c>
      <c r="K1354" t="str">
        <f ca="1">VLOOKUP(I1354,INDIRECT("投手名変換!A$1:B$" &amp; Prams!$B$9),2,)</f>
        <v>AD004</v>
      </c>
      <c r="L1354">
        <f t="shared" si="118"/>
        <v>31</v>
      </c>
      <c r="M1354">
        <f ca="1">(B1354-VLOOKUP(K1354,INDIRECT("投手データ!B1:D"&amp;Prams!$B$1),3,FALSE)*2)</f>
        <v>36</v>
      </c>
      <c r="N1354" t="str">
        <f ca="1">VLOOKUP(F1354,INDIRECT("球種変換表!A$1:B$" &amp; Prams!$B$2),2,)</f>
        <v>ストレート</v>
      </c>
      <c r="O1354">
        <f ca="1">VLOOKUP(N1354,球種情報!A:B,2,FALSE)</f>
        <v>1</v>
      </c>
      <c r="P1354">
        <f ca="1">VLOOKUP(K1354,投手データ!B:AI,output!O1354+6,FALSE)</f>
        <v>1</v>
      </c>
      <c r="R1354">
        <f t="shared" ca="1" si="119"/>
        <v>7.6335877862595417E-3</v>
      </c>
      <c r="S1354">
        <f t="shared" si="120"/>
        <v>0.50277777777777777</v>
      </c>
      <c r="T1354">
        <f>Prams!B$5/(S1354-Prams!B$6)</f>
        <v>139.72001104889137</v>
      </c>
      <c r="U1354">
        <f t="shared" ca="1" si="121"/>
        <v>0.58611111111111103</v>
      </c>
      <c r="V1354">
        <f ca="1">Prams!C$5/(U1354-Prams!C$6)</f>
        <v>139.70948626525387</v>
      </c>
      <c r="W1354">
        <f t="shared" ca="1" si="122"/>
        <v>1.0664846279790372</v>
      </c>
    </row>
    <row r="1355" spans="1:23" hidden="1" x14ac:dyDescent="0.55000000000000004">
      <c r="A1355" s="1" t="s">
        <v>3374</v>
      </c>
      <c r="B1355" s="1">
        <v>129</v>
      </c>
      <c r="C1355">
        <v>638.5</v>
      </c>
      <c r="D1355">
        <v>600.5</v>
      </c>
      <c r="E1355">
        <v>10.512</v>
      </c>
      <c r="F1355" t="s">
        <v>3082</v>
      </c>
      <c r="G1355" s="10" t="s">
        <v>3368</v>
      </c>
      <c r="H1355">
        <v>99</v>
      </c>
      <c r="I1355" t="s">
        <v>3373</v>
      </c>
      <c r="J1355">
        <f ca="1">VLOOKUP(G1355,INDIRECT("球速変換!A$1:B$" &amp; Prams!$B$8),2,)</f>
        <v>131</v>
      </c>
      <c r="K1355" t="str">
        <f ca="1">VLOOKUP(I1355,INDIRECT("投手名変換!A$1:B$" &amp; Prams!$B$9),2,)</f>
        <v>AD004</v>
      </c>
      <c r="L1355">
        <f t="shared" si="118"/>
        <v>30</v>
      </c>
      <c r="M1355">
        <f ca="1">(B1355-VLOOKUP(K1355,INDIRECT("投手データ!B1:D"&amp;Prams!$B$1),3,FALSE)*2)</f>
        <v>35</v>
      </c>
      <c r="N1355" t="str">
        <f ca="1">VLOOKUP(F1355,INDIRECT("球種変換表!A$1:B$" &amp; Prams!$B$2),2,)</f>
        <v>ストレート</v>
      </c>
      <c r="O1355">
        <f ca="1">VLOOKUP(N1355,球種情報!A:B,2,FALSE)</f>
        <v>1</v>
      </c>
      <c r="P1355">
        <f ca="1">VLOOKUP(K1355,投手データ!B:AI,output!O1355+6,FALSE)</f>
        <v>1</v>
      </c>
      <c r="R1355">
        <f t="shared" ca="1" si="119"/>
        <v>7.6335877862595417E-3</v>
      </c>
      <c r="S1355">
        <f t="shared" si="120"/>
        <v>0.49965277777777778</v>
      </c>
      <c r="T1355">
        <f>Prams!B$5/(S1355-Prams!B$6)</f>
        <v>140.71380249988937</v>
      </c>
      <c r="U1355">
        <f t="shared" ca="1" si="121"/>
        <v>0.58298611111111109</v>
      </c>
      <c r="V1355">
        <f ca="1">Prams!C$5/(U1355-Prams!C$6)</f>
        <v>140.7031274695124</v>
      </c>
      <c r="W1355">
        <f t="shared" ca="1" si="122"/>
        <v>1.0740696753397894</v>
      </c>
    </row>
    <row r="1356" spans="1:23" hidden="1" x14ac:dyDescent="0.55000000000000004">
      <c r="A1356" s="1" t="s">
        <v>3376</v>
      </c>
      <c r="B1356" s="1">
        <v>129</v>
      </c>
      <c r="C1356">
        <v>638</v>
      </c>
      <c r="D1356">
        <v>602.5</v>
      </c>
      <c r="E1356">
        <v>10.012589999999999</v>
      </c>
      <c r="F1356" t="s">
        <v>3082</v>
      </c>
      <c r="G1356" s="10" t="s">
        <v>3136</v>
      </c>
      <c r="H1356">
        <v>99</v>
      </c>
      <c r="I1356" t="s">
        <v>3375</v>
      </c>
      <c r="J1356">
        <v>132</v>
      </c>
      <c r="K1356" t="str">
        <f ca="1">VLOOKUP(I1356,INDIRECT("投手名変換!A$1:B$" &amp; Prams!$B$9),2,)</f>
        <v>AD004</v>
      </c>
      <c r="L1356">
        <f t="shared" si="118"/>
        <v>30</v>
      </c>
      <c r="M1356">
        <f ca="1">(B1356-VLOOKUP(K1356,INDIRECT("投手データ!B1:D"&amp;Prams!$B$1),3,FALSE)*2)</f>
        <v>35</v>
      </c>
      <c r="N1356" t="str">
        <f ca="1">VLOOKUP(F1356,INDIRECT("球種変換表!A$1:B$" &amp; Prams!$B$2),2,)</f>
        <v>ストレート</v>
      </c>
      <c r="O1356">
        <f ca="1">VLOOKUP(N1356,球種情報!A:B,2,FALSE)</f>
        <v>1</v>
      </c>
      <c r="P1356">
        <f ca="1">VLOOKUP(K1356,投手データ!B:AI,output!O1356+6,FALSE)</f>
        <v>1</v>
      </c>
      <c r="R1356">
        <f t="shared" si="119"/>
        <v>7.575757575757576E-3</v>
      </c>
      <c r="S1356">
        <f t="shared" si="120"/>
        <v>0.4982638888888889</v>
      </c>
      <c r="T1356">
        <f>Prams!B$5/(S1356-Prams!B$6)</f>
        <v>141.16003983078261</v>
      </c>
      <c r="U1356">
        <f t="shared" ca="1" si="121"/>
        <v>0.58159722222222221</v>
      </c>
      <c r="V1356">
        <f ca="1">Prams!C$5/(U1356-Prams!C$6)</f>
        <v>141.14929698945326</v>
      </c>
      <c r="W1356">
        <f t="shared" ca="1" si="122"/>
        <v>1.0693128559807066</v>
      </c>
    </row>
    <row r="1357" spans="1:23" hidden="1" x14ac:dyDescent="0.55000000000000004">
      <c r="A1357" s="1" t="s">
        <v>3379</v>
      </c>
      <c r="B1357" s="1">
        <v>129</v>
      </c>
      <c r="C1357">
        <v>646.5</v>
      </c>
      <c r="D1357">
        <v>606</v>
      </c>
      <c r="E1357">
        <v>10.547610000000001</v>
      </c>
      <c r="F1357" t="s">
        <v>3377</v>
      </c>
      <c r="G1357" s="10" t="s">
        <v>3236</v>
      </c>
      <c r="H1357">
        <v>99</v>
      </c>
      <c r="I1357" t="s">
        <v>3378</v>
      </c>
      <c r="J1357">
        <v>133</v>
      </c>
      <c r="K1357" t="str">
        <f ca="1">VLOOKUP(I1357,INDIRECT("投手名変換!A$1:B$" &amp; Prams!$B$9),2,)</f>
        <v>AD004</v>
      </c>
      <c r="L1357">
        <f t="shared" si="118"/>
        <v>30</v>
      </c>
      <c r="M1357">
        <f ca="1">(B1357-VLOOKUP(K1357,INDIRECT("投手データ!B1:D"&amp;Prams!$B$1),3,FALSE)*2)</f>
        <v>35</v>
      </c>
      <c r="N1357" t="str">
        <f ca="1">VLOOKUP(F1357,INDIRECT("球種変換表!A$1:B$" &amp; Prams!$B$2),2,)</f>
        <v>ストレート</v>
      </c>
      <c r="O1357">
        <f ca="1">VLOOKUP(N1357,球種情報!A:B,2,FALSE)</f>
        <v>1</v>
      </c>
      <c r="P1357">
        <f ca="1">VLOOKUP(K1357,投手データ!B:AI,output!O1357+6,FALSE)</f>
        <v>1</v>
      </c>
      <c r="R1357">
        <f t="shared" si="119"/>
        <v>7.5187969924812026E-3</v>
      </c>
      <c r="S1357">
        <f t="shared" si="120"/>
        <v>0.49583333333333335</v>
      </c>
      <c r="T1357">
        <f>Prams!B$5/(S1357-Prams!B$6)</f>
        <v>141.94780345936019</v>
      </c>
      <c r="U1357">
        <f t="shared" ca="1" si="121"/>
        <v>0.57916666666666672</v>
      </c>
      <c r="V1357">
        <f ca="1">Prams!C$5/(U1357-Prams!C$6)</f>
        <v>141.93694038417385</v>
      </c>
      <c r="W1357">
        <f t="shared" ca="1" si="122"/>
        <v>1.0671950404825101</v>
      </c>
    </row>
    <row r="1358" spans="1:23" hidden="1" x14ac:dyDescent="0.55000000000000004">
      <c r="A1358" s="1" t="s">
        <v>3380</v>
      </c>
      <c r="B1358" s="1">
        <v>130</v>
      </c>
      <c r="C1358">
        <v>641.5</v>
      </c>
      <c r="D1358">
        <v>614.5</v>
      </c>
      <c r="E1358">
        <v>11.510960000000001</v>
      </c>
      <c r="F1358" t="s">
        <v>3082</v>
      </c>
      <c r="G1358" s="10" t="s">
        <v>3223</v>
      </c>
      <c r="H1358">
        <v>99</v>
      </c>
      <c r="I1358" t="s">
        <v>3378</v>
      </c>
      <c r="J1358">
        <f ca="1">VLOOKUP(G1358,INDIRECT("球速変換!A$1:B$" &amp; Prams!$B$8),2,)</f>
        <v>129</v>
      </c>
      <c r="K1358" t="str">
        <f ca="1">VLOOKUP(I1358,INDIRECT("投手名変換!A$1:B$" &amp; Prams!$B$9),2,)</f>
        <v>AD004</v>
      </c>
      <c r="L1358">
        <f t="shared" si="118"/>
        <v>31</v>
      </c>
      <c r="M1358">
        <f ca="1">(B1358-VLOOKUP(K1358,INDIRECT("投手データ!B1:D"&amp;Prams!$B$1),3,FALSE)*2)</f>
        <v>36</v>
      </c>
      <c r="N1358" t="str">
        <f ca="1">VLOOKUP(F1358,INDIRECT("球種変換表!A$1:B$" &amp; Prams!$B$2),2,)</f>
        <v>ストレート</v>
      </c>
      <c r="O1358">
        <f ca="1">VLOOKUP(N1358,球種情報!A:B,2,FALSE)</f>
        <v>1</v>
      </c>
      <c r="P1358">
        <f ca="1">VLOOKUP(K1358,投手データ!B:AI,output!O1358+6,FALSE)</f>
        <v>1</v>
      </c>
      <c r="R1358">
        <f t="shared" ca="1" si="119"/>
        <v>7.7519379844961239E-3</v>
      </c>
      <c r="S1358">
        <f t="shared" si="120"/>
        <v>0.50659722222222225</v>
      </c>
      <c r="T1358">
        <f>Prams!B$5/(S1358-Prams!B$6)</f>
        <v>138.52427692058731</v>
      </c>
      <c r="U1358">
        <f t="shared" ca="1" si="121"/>
        <v>0.58993055555555562</v>
      </c>
      <c r="V1358">
        <f ca="1">Prams!C$5/(U1358-Prams!C$6)</f>
        <v>138.51393150318336</v>
      </c>
      <c r="W1358">
        <f t="shared" ca="1" si="122"/>
        <v>1.0737514070014214</v>
      </c>
    </row>
    <row r="1359" spans="1:23" hidden="1" x14ac:dyDescent="0.55000000000000004">
      <c r="A1359" s="1" t="s">
        <v>3382</v>
      </c>
      <c r="B1359" s="1">
        <v>129</v>
      </c>
      <c r="C1359">
        <v>642</v>
      </c>
      <c r="D1359">
        <v>606</v>
      </c>
      <c r="E1359">
        <v>10.04998</v>
      </c>
      <c r="F1359" t="s">
        <v>3377</v>
      </c>
      <c r="G1359" s="10" t="s">
        <v>3236</v>
      </c>
      <c r="H1359">
        <v>99</v>
      </c>
      <c r="I1359" t="s">
        <v>3381</v>
      </c>
      <c r="J1359">
        <v>133</v>
      </c>
      <c r="K1359" t="str">
        <f ca="1">VLOOKUP(I1359,INDIRECT("投手名変換!A$1:B$" &amp; Prams!$B$9),2,)</f>
        <v>AD004</v>
      </c>
      <c r="L1359">
        <f t="shared" si="118"/>
        <v>30</v>
      </c>
      <c r="M1359">
        <f ca="1">(B1359-VLOOKUP(K1359,INDIRECT("投手データ!B1:D"&amp;Prams!$B$1),3,FALSE)*2)</f>
        <v>35</v>
      </c>
      <c r="N1359" t="str">
        <f ca="1">VLOOKUP(F1359,INDIRECT("球種変換表!A$1:B$" &amp; Prams!$B$2),2,)</f>
        <v>ストレート</v>
      </c>
      <c r="O1359">
        <f ca="1">VLOOKUP(N1359,球種情報!A:B,2,FALSE)</f>
        <v>1</v>
      </c>
      <c r="P1359">
        <f ca="1">VLOOKUP(K1359,投手データ!B:AI,output!O1359+6,FALSE)</f>
        <v>1</v>
      </c>
      <c r="R1359">
        <f t="shared" si="119"/>
        <v>7.5187969924812026E-3</v>
      </c>
      <c r="S1359">
        <f t="shared" si="120"/>
        <v>0.49583333333333335</v>
      </c>
      <c r="T1359">
        <f>Prams!B$5/(S1359-Prams!B$6)</f>
        <v>141.94780345936019</v>
      </c>
      <c r="U1359">
        <f t="shared" ca="1" si="121"/>
        <v>0.57916666666666672</v>
      </c>
      <c r="V1359">
        <f ca="1">Prams!C$5/(U1359-Prams!C$6)</f>
        <v>141.93694038417385</v>
      </c>
      <c r="W1359">
        <f t="shared" ca="1" si="122"/>
        <v>1.0671950404825101</v>
      </c>
    </row>
    <row r="1360" spans="1:23" hidden="1" x14ac:dyDescent="0.55000000000000004">
      <c r="A1360" s="1" t="s">
        <v>3383</v>
      </c>
      <c r="B1360" s="1">
        <v>130</v>
      </c>
      <c r="C1360">
        <v>638</v>
      </c>
      <c r="D1360">
        <v>614.5</v>
      </c>
      <c r="E1360">
        <v>11.01146</v>
      </c>
      <c r="F1360" t="s">
        <v>3082</v>
      </c>
      <c r="G1360" s="10" t="s">
        <v>3223</v>
      </c>
      <c r="H1360">
        <v>99</v>
      </c>
      <c r="I1360" t="s">
        <v>3369</v>
      </c>
      <c r="J1360">
        <f ca="1">VLOOKUP(G1360,INDIRECT("球速変換!A$1:B$" &amp; Prams!$B$8),2,)</f>
        <v>129</v>
      </c>
      <c r="K1360" t="str">
        <f ca="1">VLOOKUP(I1360,INDIRECT("投手名変換!A$1:B$" &amp; Prams!$B$9),2,)</f>
        <v>AD004</v>
      </c>
      <c r="L1360">
        <f t="shared" si="118"/>
        <v>31</v>
      </c>
      <c r="M1360">
        <f ca="1">(B1360-VLOOKUP(K1360,INDIRECT("投手データ!B1:D"&amp;Prams!$B$1),3,FALSE)*2)</f>
        <v>36</v>
      </c>
      <c r="N1360" t="str">
        <f ca="1">VLOOKUP(F1360,INDIRECT("球種変換表!A$1:B$" &amp; Prams!$B$2),2,)</f>
        <v>ストレート</v>
      </c>
      <c r="O1360">
        <f ca="1">VLOOKUP(N1360,球種情報!A:B,2,FALSE)</f>
        <v>1</v>
      </c>
      <c r="P1360">
        <f ca="1">VLOOKUP(K1360,投手データ!B:AI,output!O1360+6,FALSE)</f>
        <v>1</v>
      </c>
      <c r="R1360">
        <f t="shared" ca="1" si="119"/>
        <v>7.7519379844961239E-3</v>
      </c>
      <c r="S1360">
        <f t="shared" si="120"/>
        <v>0.50659722222222225</v>
      </c>
      <c r="T1360">
        <f>Prams!B$5/(S1360-Prams!B$6)</f>
        <v>138.52427692058731</v>
      </c>
      <c r="U1360">
        <f t="shared" ca="1" si="121"/>
        <v>0.58993055555555562</v>
      </c>
      <c r="V1360">
        <f ca="1">Prams!C$5/(U1360-Prams!C$6)</f>
        <v>138.51393150318336</v>
      </c>
      <c r="W1360">
        <f t="shared" ca="1" si="122"/>
        <v>1.0737514070014214</v>
      </c>
    </row>
    <row r="1361" spans="1:23" hidden="1" x14ac:dyDescent="0.55000000000000004">
      <c r="A1361" s="1" t="s">
        <v>3384</v>
      </c>
      <c r="B1361" s="1">
        <v>129</v>
      </c>
      <c r="C1361">
        <v>644.54760999999996</v>
      </c>
      <c r="D1361">
        <v>605.5</v>
      </c>
      <c r="E1361">
        <v>10.55958</v>
      </c>
      <c r="F1361" t="s">
        <v>3082</v>
      </c>
      <c r="G1361" s="10" t="s">
        <v>3236</v>
      </c>
      <c r="H1361">
        <v>99</v>
      </c>
      <c r="I1361" t="s">
        <v>3369</v>
      </c>
      <c r="J1361">
        <v>133</v>
      </c>
      <c r="K1361" t="str">
        <f ca="1">VLOOKUP(I1361,INDIRECT("投手名変換!A$1:B$" &amp; Prams!$B$9),2,)</f>
        <v>AD004</v>
      </c>
      <c r="L1361">
        <f t="shared" si="118"/>
        <v>30</v>
      </c>
      <c r="M1361">
        <f ca="1">(B1361-VLOOKUP(K1361,INDIRECT("投手データ!B1:D"&amp;Prams!$B$1),3,FALSE)*2)</f>
        <v>35</v>
      </c>
      <c r="N1361" t="str">
        <f ca="1">VLOOKUP(F1361,INDIRECT("球種変換表!A$1:B$" &amp; Prams!$B$2),2,)</f>
        <v>ストレート</v>
      </c>
      <c r="O1361">
        <f ca="1">VLOOKUP(N1361,球種情報!A:B,2,FALSE)</f>
        <v>1</v>
      </c>
      <c r="P1361">
        <f ca="1">VLOOKUP(K1361,投手データ!B:AI,output!O1361+6,FALSE)</f>
        <v>1</v>
      </c>
      <c r="R1361">
        <f t="shared" si="119"/>
        <v>7.5187969924812026E-3</v>
      </c>
      <c r="S1361">
        <f t="shared" si="120"/>
        <v>0.49618055555555551</v>
      </c>
      <c r="T1361">
        <f>Prams!B$5/(S1361-Prams!B$6)</f>
        <v>141.83472791348294</v>
      </c>
      <c r="U1361">
        <f t="shared" ca="1" si="121"/>
        <v>0.57951388888888888</v>
      </c>
      <c r="V1361">
        <f ca="1">Prams!C$5/(U1361-Prams!C$6)</f>
        <v>141.82388213778205</v>
      </c>
      <c r="W1361">
        <f t="shared" ca="1" si="122"/>
        <v>1.0663449784795642</v>
      </c>
    </row>
    <row r="1362" spans="1:23" hidden="1" x14ac:dyDescent="0.55000000000000004">
      <c r="A1362" s="1" t="s">
        <v>3386</v>
      </c>
      <c r="B1362" s="1">
        <v>129</v>
      </c>
      <c r="C1362">
        <v>646.5</v>
      </c>
      <c r="D1362">
        <v>601.5</v>
      </c>
      <c r="E1362">
        <v>10.512</v>
      </c>
      <c r="F1362" t="s">
        <v>3082</v>
      </c>
      <c r="G1362" s="10" t="s">
        <v>3368</v>
      </c>
      <c r="H1362">
        <v>99</v>
      </c>
      <c r="I1362" t="s">
        <v>3385</v>
      </c>
      <c r="J1362">
        <f ca="1">VLOOKUP(G1362,INDIRECT("球速変換!A$1:B$" &amp; Prams!$B$8),2,)</f>
        <v>131</v>
      </c>
      <c r="K1362" t="str">
        <f ca="1">VLOOKUP(I1362,INDIRECT("投手名変換!A$1:B$" &amp; Prams!$B$9),2,)</f>
        <v>AD004</v>
      </c>
      <c r="L1362">
        <f t="shared" si="118"/>
        <v>30</v>
      </c>
      <c r="M1362">
        <f ca="1">(B1362-VLOOKUP(K1362,INDIRECT("投手データ!B1:D"&amp;Prams!$B$1),3,FALSE)*2)</f>
        <v>35</v>
      </c>
      <c r="N1362" t="str">
        <f ca="1">VLOOKUP(F1362,INDIRECT("球種変換表!A$1:B$" &amp; Prams!$B$2),2,)</f>
        <v>ストレート</v>
      </c>
      <c r="O1362">
        <f ca="1">VLOOKUP(N1362,球種情報!A:B,2,FALSE)</f>
        <v>1</v>
      </c>
      <c r="P1362">
        <f ca="1">VLOOKUP(K1362,投手データ!B:AI,output!O1362+6,FALSE)</f>
        <v>1</v>
      </c>
      <c r="R1362">
        <f t="shared" ca="1" si="119"/>
        <v>7.6335877862595417E-3</v>
      </c>
      <c r="S1362">
        <f t="shared" si="120"/>
        <v>0.49895833333333334</v>
      </c>
      <c r="T1362">
        <f>Prams!B$5/(S1362-Prams!B$6)</f>
        <v>140.93656794391993</v>
      </c>
      <c r="U1362">
        <f t="shared" ca="1" si="121"/>
        <v>0.58229166666666665</v>
      </c>
      <c r="V1362">
        <f ca="1">Prams!C$5/(U1362-Prams!C$6)</f>
        <v>140.92585908857779</v>
      </c>
      <c r="W1362">
        <f t="shared" ca="1" si="122"/>
        <v>1.0757699167067007</v>
      </c>
    </row>
    <row r="1363" spans="1:23" hidden="1" x14ac:dyDescent="0.55000000000000004">
      <c r="A1363" s="1" t="s">
        <v>3388</v>
      </c>
      <c r="B1363" s="1">
        <v>126</v>
      </c>
      <c r="C1363">
        <v>642.45239000000004</v>
      </c>
      <c r="D1363">
        <v>612.5</v>
      </c>
      <c r="E1363">
        <v>10.55955</v>
      </c>
      <c r="F1363" t="s">
        <v>3112</v>
      </c>
      <c r="G1363" s="10" t="s">
        <v>3223</v>
      </c>
      <c r="H1363">
        <v>98</v>
      </c>
      <c r="I1363" t="s">
        <v>3387</v>
      </c>
      <c r="J1363">
        <f ca="1">VLOOKUP(G1363,INDIRECT("球速変換!A$1:B$" &amp; Prams!$B$8),2,)</f>
        <v>129</v>
      </c>
      <c r="K1363" t="str">
        <f ca="1">VLOOKUP(I1363,INDIRECT("投手名変換!A$1:B$" &amp; Prams!$B$9),2,)</f>
        <v>AD004</v>
      </c>
      <c r="L1363">
        <f t="shared" si="118"/>
        <v>28</v>
      </c>
      <c r="M1363">
        <f ca="1">(B1363-VLOOKUP(K1363,INDIRECT("投手データ!B1:D"&amp;Prams!$B$1),3,FALSE)*2)</f>
        <v>32</v>
      </c>
      <c r="N1363" t="str">
        <f ca="1">VLOOKUP(F1363,INDIRECT("球種変換表!A$1:B$" &amp; Prams!$B$2),2,)</f>
        <v>全力ストレート</v>
      </c>
      <c r="O1363">
        <f ca="1">VLOOKUP(N1363,球種情報!A:B,2,FALSE)</f>
        <v>2</v>
      </c>
      <c r="P1363">
        <f ca="1">VLOOKUP(K1363,投手データ!B:AI,output!O1363+6,FALSE)</f>
        <v>1</v>
      </c>
      <c r="R1363">
        <f t="shared" ca="1" si="119"/>
        <v>7.7519379844961239E-3</v>
      </c>
      <c r="S1363">
        <f t="shared" si="120"/>
        <v>0.45798611111111115</v>
      </c>
      <c r="T1363">
        <f>Prams!B$5/(S1363-Prams!B$6)</f>
        <v>155.45677425663735</v>
      </c>
      <c r="U1363">
        <f t="shared" ca="1" si="121"/>
        <v>0.52465277777777775</v>
      </c>
      <c r="V1363">
        <f ca="1">Prams!C$5/(U1363-Prams!C$6)</f>
        <v>162.24261731022972</v>
      </c>
      <c r="W1363">
        <f t="shared" ca="1" si="122"/>
        <v>1.2576947078312382</v>
      </c>
    </row>
    <row r="1364" spans="1:23" hidden="1" x14ac:dyDescent="0.55000000000000004">
      <c r="A1364" s="1" t="s">
        <v>3389</v>
      </c>
      <c r="B1364" s="1">
        <v>126</v>
      </c>
      <c r="C1364">
        <v>641.95001000000002</v>
      </c>
      <c r="D1364">
        <v>618.5</v>
      </c>
      <c r="E1364">
        <v>10.062519999999999</v>
      </c>
      <c r="F1364" t="s">
        <v>3112</v>
      </c>
      <c r="G1364" s="10" t="s">
        <v>3368</v>
      </c>
      <c r="H1364">
        <v>98</v>
      </c>
      <c r="I1364" t="s">
        <v>3378</v>
      </c>
      <c r="J1364">
        <f ca="1">VLOOKUP(G1364,INDIRECT("球速変換!A$1:B$" &amp; Prams!$B$8),2,)</f>
        <v>131</v>
      </c>
      <c r="K1364" t="str">
        <f ca="1">VLOOKUP(I1364,INDIRECT("投手名変換!A$1:B$" &amp; Prams!$B$9),2,)</f>
        <v>AD004</v>
      </c>
      <c r="L1364">
        <f t="shared" si="118"/>
        <v>28</v>
      </c>
      <c r="M1364">
        <f ca="1">(B1364-VLOOKUP(K1364,INDIRECT("投手データ!B1:D"&amp;Prams!$B$1),3,FALSE)*2)</f>
        <v>32</v>
      </c>
      <c r="N1364" t="str">
        <f ca="1">VLOOKUP(F1364,INDIRECT("球種変換表!A$1:B$" &amp; Prams!$B$2),2,)</f>
        <v>全力ストレート</v>
      </c>
      <c r="O1364">
        <f ca="1">VLOOKUP(N1364,球種情報!A:B,2,FALSE)</f>
        <v>2</v>
      </c>
      <c r="P1364">
        <f ca="1">VLOOKUP(K1364,投手データ!B:AI,output!O1364+6,FALSE)</f>
        <v>1</v>
      </c>
      <c r="R1364">
        <f t="shared" ca="1" si="119"/>
        <v>7.6335877862595417E-3</v>
      </c>
      <c r="S1364">
        <f t="shared" si="120"/>
        <v>0.45381944444444444</v>
      </c>
      <c r="T1364">
        <f>Prams!B$5/(S1364-Prams!B$6)</f>
        <v>157.10278328756874</v>
      </c>
      <c r="U1364">
        <f t="shared" ca="1" si="121"/>
        <v>0.52048611111111109</v>
      </c>
      <c r="V1364">
        <f ca="1">Prams!C$5/(U1364-Prams!C$6)</f>
        <v>164.03629154106383</v>
      </c>
      <c r="W1364">
        <f t="shared" ca="1" si="122"/>
        <v>1.2521854316111742</v>
      </c>
    </row>
    <row r="1365" spans="1:23" hidden="1" x14ac:dyDescent="0.55000000000000004">
      <c r="A1365" s="1" t="s">
        <v>3390</v>
      </c>
      <c r="B1365" s="1">
        <v>125</v>
      </c>
      <c r="C1365">
        <v>642.47619999999995</v>
      </c>
      <c r="D1365">
        <v>603</v>
      </c>
      <c r="E1365">
        <v>10.523899999999999</v>
      </c>
      <c r="F1365" t="s">
        <v>3112</v>
      </c>
      <c r="G1365" s="10" t="s">
        <v>3238</v>
      </c>
      <c r="H1365">
        <v>98</v>
      </c>
      <c r="I1365" t="s">
        <v>3378</v>
      </c>
      <c r="J1365">
        <f ca="1">VLOOKUP(G1365,INDIRECT("球速変換!A$1:B$" &amp; Prams!$B$8),2,)</f>
        <v>132</v>
      </c>
      <c r="K1365" t="str">
        <f ca="1">VLOOKUP(I1365,INDIRECT("投手名変換!A$1:B$" &amp; Prams!$B$9),2,)</f>
        <v>AD004</v>
      </c>
      <c r="L1365">
        <f t="shared" si="118"/>
        <v>27</v>
      </c>
      <c r="M1365">
        <f ca="1">(B1365-VLOOKUP(K1365,INDIRECT("投手データ!B1:D"&amp;Prams!$B$1),3,FALSE)*2)</f>
        <v>31</v>
      </c>
      <c r="N1365" t="str">
        <f ca="1">VLOOKUP(F1365,INDIRECT("球種変換表!A$1:B$" &amp; Prams!$B$2),2,)</f>
        <v>全力ストレート</v>
      </c>
      <c r="O1365">
        <f ca="1">VLOOKUP(N1365,球種情報!A:B,2,FALSE)</f>
        <v>2</v>
      </c>
      <c r="P1365">
        <f ca="1">VLOOKUP(K1365,投手データ!B:AI,output!O1365+6,FALSE)</f>
        <v>1</v>
      </c>
      <c r="R1365">
        <f t="shared" ca="1" si="119"/>
        <v>7.575757575757576E-3</v>
      </c>
      <c r="S1365">
        <f t="shared" si="120"/>
        <v>0.44791666666666669</v>
      </c>
      <c r="T1365">
        <f>Prams!B$5/(S1365-Prams!B$6)</f>
        <v>159.49520574450702</v>
      </c>
      <c r="U1365">
        <f t="shared" ca="1" si="121"/>
        <v>0.51458333333333328</v>
      </c>
      <c r="V1365">
        <f ca="1">Prams!C$5/(U1365-Prams!C$6)</f>
        <v>166.64630037288291</v>
      </c>
      <c r="W1365">
        <f t="shared" ca="1" si="122"/>
        <v>1.2624719725218403</v>
      </c>
    </row>
    <row r="1366" spans="1:23" hidden="1" x14ac:dyDescent="0.55000000000000004">
      <c r="A1366" s="1" t="s">
        <v>3391</v>
      </c>
      <c r="B1366" s="1">
        <v>125</v>
      </c>
      <c r="C1366">
        <v>642.5</v>
      </c>
      <c r="D1366">
        <v>602</v>
      </c>
      <c r="E1366">
        <v>10.547610000000001</v>
      </c>
      <c r="F1366" t="s">
        <v>3112</v>
      </c>
      <c r="G1366" s="10" t="s">
        <v>3368</v>
      </c>
      <c r="H1366">
        <v>98</v>
      </c>
      <c r="I1366" t="s">
        <v>3369</v>
      </c>
      <c r="J1366">
        <f ca="1">VLOOKUP(G1366,INDIRECT("球速変換!A$1:B$" &amp; Prams!$B$8),2,)</f>
        <v>131</v>
      </c>
      <c r="K1366" t="str">
        <f ca="1">VLOOKUP(I1366,INDIRECT("投手名変換!A$1:B$" &amp; Prams!$B$9),2,)</f>
        <v>AD004</v>
      </c>
      <c r="L1366">
        <f t="shared" si="118"/>
        <v>27</v>
      </c>
      <c r="M1366">
        <f ca="1">(B1366-VLOOKUP(K1366,INDIRECT("投手データ!B1:D"&amp;Prams!$B$1),3,FALSE)*2)</f>
        <v>31</v>
      </c>
      <c r="N1366" t="str">
        <f ca="1">VLOOKUP(F1366,INDIRECT("球種変換表!A$1:B$" &amp; Prams!$B$2),2,)</f>
        <v>全力ストレート</v>
      </c>
      <c r="O1366">
        <f ca="1">VLOOKUP(N1366,球種情報!A:B,2,FALSE)</f>
        <v>2</v>
      </c>
      <c r="P1366">
        <f ca="1">VLOOKUP(K1366,投手データ!B:AI,output!O1366+6,FALSE)</f>
        <v>1</v>
      </c>
      <c r="R1366">
        <f t="shared" ca="1" si="119"/>
        <v>7.6335877862595417E-3</v>
      </c>
      <c r="S1366">
        <f t="shared" si="120"/>
        <v>0.44861111111111113</v>
      </c>
      <c r="T1366">
        <f>Prams!B$5/(S1366-Prams!B$6)</f>
        <v>159.20996909694404</v>
      </c>
      <c r="U1366">
        <f t="shared" ca="1" si="121"/>
        <v>0.51527777777777783</v>
      </c>
      <c r="V1366">
        <f ca="1">Prams!C$5/(U1366-Prams!C$6)</f>
        <v>166.3349376700248</v>
      </c>
      <c r="W1366">
        <f t="shared" ca="1" si="122"/>
        <v>1.2697323486261436</v>
      </c>
    </row>
    <row r="1367" spans="1:23" hidden="1" x14ac:dyDescent="0.55000000000000004">
      <c r="A1367" s="1" t="s">
        <v>3392</v>
      </c>
      <c r="B1367" s="1">
        <v>125</v>
      </c>
      <c r="C1367">
        <v>642.5</v>
      </c>
      <c r="D1367">
        <v>606</v>
      </c>
      <c r="E1367">
        <v>10.547610000000001</v>
      </c>
      <c r="F1367" t="s">
        <v>3112</v>
      </c>
      <c r="G1367" s="10" t="s">
        <v>3241</v>
      </c>
      <c r="H1367">
        <v>98</v>
      </c>
      <c r="I1367" t="s">
        <v>3369</v>
      </c>
      <c r="J1367">
        <f ca="1">VLOOKUP(G1367,INDIRECT("球速変換!A$1:B$" &amp; Prams!$B$8),2,)</f>
        <v>133</v>
      </c>
      <c r="K1367" t="str">
        <f ca="1">VLOOKUP(I1367,INDIRECT("投手名変換!A$1:B$" &amp; Prams!$B$9),2,)</f>
        <v>AD004</v>
      </c>
      <c r="L1367">
        <f t="shared" si="118"/>
        <v>27</v>
      </c>
      <c r="M1367">
        <f ca="1">(B1367-VLOOKUP(K1367,INDIRECT("投手データ!B1:D"&amp;Prams!$B$1),3,FALSE)*2)</f>
        <v>31</v>
      </c>
      <c r="N1367" t="str">
        <f ca="1">VLOOKUP(F1367,INDIRECT("球種変換表!A$1:B$" &amp; Prams!$B$2),2,)</f>
        <v>全力ストレート</v>
      </c>
      <c r="O1367">
        <f ca="1">VLOOKUP(N1367,球種情報!A:B,2,FALSE)</f>
        <v>2</v>
      </c>
      <c r="P1367">
        <f ca="1">VLOOKUP(K1367,投手データ!B:AI,output!O1367+6,FALSE)</f>
        <v>1</v>
      </c>
      <c r="R1367">
        <f t="shared" ca="1" si="119"/>
        <v>7.5187969924812026E-3</v>
      </c>
      <c r="S1367">
        <f t="shared" si="120"/>
        <v>0.44583333333333336</v>
      </c>
      <c r="T1367">
        <f>Prams!B$5/(S1367-Prams!B$6)</f>
        <v>160.3570810997752</v>
      </c>
      <c r="U1367">
        <f t="shared" ca="1" si="121"/>
        <v>0.51249999999999996</v>
      </c>
      <c r="V1367">
        <f ca="1">Prams!C$5/(U1367-Prams!C$6)</f>
        <v>167.58742206560046</v>
      </c>
      <c r="W1367">
        <f t="shared" ca="1" si="122"/>
        <v>1.2600558050045148</v>
      </c>
    </row>
    <row r="1368" spans="1:23" hidden="1" x14ac:dyDescent="0.55000000000000004">
      <c r="A1368" s="1" t="s">
        <v>3394</v>
      </c>
      <c r="B1368" s="1">
        <v>125</v>
      </c>
      <c r="C1368">
        <v>642.5</v>
      </c>
      <c r="D1368">
        <v>606</v>
      </c>
      <c r="E1368">
        <v>10.547610000000001</v>
      </c>
      <c r="F1368" t="s">
        <v>3112</v>
      </c>
      <c r="G1368" s="10" t="s">
        <v>3241</v>
      </c>
      <c r="H1368">
        <v>98</v>
      </c>
      <c r="I1368" t="s">
        <v>3393</v>
      </c>
      <c r="J1368">
        <f ca="1">VLOOKUP(G1368,INDIRECT("球速変換!A$1:B$" &amp; Prams!$B$8),2,)</f>
        <v>133</v>
      </c>
      <c r="K1368" t="str">
        <f ca="1">VLOOKUP(I1368,INDIRECT("投手名変換!A$1:B$" &amp; Prams!$B$9),2,)</f>
        <v>AD004</v>
      </c>
      <c r="L1368">
        <f t="shared" si="118"/>
        <v>27</v>
      </c>
      <c r="M1368">
        <f ca="1">(B1368-VLOOKUP(K1368,INDIRECT("投手データ!B1:D"&amp;Prams!$B$1),3,FALSE)*2)</f>
        <v>31</v>
      </c>
      <c r="N1368" t="str">
        <f ca="1">VLOOKUP(F1368,INDIRECT("球種変換表!A$1:B$" &amp; Prams!$B$2),2,)</f>
        <v>全力ストレート</v>
      </c>
      <c r="O1368">
        <f ca="1">VLOOKUP(N1368,球種情報!A:B,2,FALSE)</f>
        <v>2</v>
      </c>
      <c r="P1368">
        <f ca="1">VLOOKUP(K1368,投手データ!B:AI,output!O1368+6,FALSE)</f>
        <v>1</v>
      </c>
      <c r="R1368">
        <f t="shared" ca="1" si="119"/>
        <v>7.5187969924812026E-3</v>
      </c>
      <c r="S1368">
        <f t="shared" si="120"/>
        <v>0.44583333333333336</v>
      </c>
      <c r="T1368">
        <f>Prams!B$5/(S1368-Prams!B$6)</f>
        <v>160.3570810997752</v>
      </c>
      <c r="U1368">
        <f t="shared" ca="1" si="121"/>
        <v>0.51249999999999996</v>
      </c>
      <c r="V1368">
        <f ca="1">Prams!C$5/(U1368-Prams!C$6)</f>
        <v>167.58742206560046</v>
      </c>
      <c r="W1368">
        <f t="shared" ca="1" si="122"/>
        <v>1.2600558050045148</v>
      </c>
    </row>
    <row r="1369" spans="1:23" hidden="1" x14ac:dyDescent="0.55000000000000004">
      <c r="A1369" s="1" t="s">
        <v>3396</v>
      </c>
      <c r="B1369" s="1">
        <v>126</v>
      </c>
      <c r="C1369">
        <v>641.95001000000002</v>
      </c>
      <c r="D1369">
        <v>618.5</v>
      </c>
      <c r="E1369">
        <v>10.062519999999999</v>
      </c>
      <c r="F1369" t="s">
        <v>3112</v>
      </c>
      <c r="G1369" s="10" t="s">
        <v>3347</v>
      </c>
      <c r="H1369">
        <v>98</v>
      </c>
      <c r="I1369" t="s">
        <v>3395</v>
      </c>
      <c r="J1369">
        <v>131</v>
      </c>
      <c r="K1369" t="str">
        <f ca="1">VLOOKUP(I1369,INDIRECT("投手名変換!A$1:B$" &amp; Prams!$B$9),2,)</f>
        <v>AD004</v>
      </c>
      <c r="L1369">
        <f t="shared" si="118"/>
        <v>28</v>
      </c>
      <c r="M1369">
        <f ca="1">(B1369-VLOOKUP(K1369,INDIRECT("投手データ!B1:D"&amp;Prams!$B$1),3,FALSE)*2)</f>
        <v>32</v>
      </c>
      <c r="N1369" t="str">
        <f ca="1">VLOOKUP(F1369,INDIRECT("球種変換表!A$1:B$" &amp; Prams!$B$2),2,)</f>
        <v>全力ストレート</v>
      </c>
      <c r="O1369">
        <f ca="1">VLOOKUP(N1369,球種情報!A:B,2,FALSE)</f>
        <v>2</v>
      </c>
      <c r="P1369">
        <f ca="1">VLOOKUP(K1369,投手データ!B:AI,output!O1369+6,FALSE)</f>
        <v>1</v>
      </c>
      <c r="R1369">
        <f t="shared" si="119"/>
        <v>7.6335877862595417E-3</v>
      </c>
      <c r="S1369">
        <f t="shared" si="120"/>
        <v>0.45381944444444444</v>
      </c>
      <c r="T1369">
        <f>Prams!B$5/(S1369-Prams!B$6)</f>
        <v>157.10278328756874</v>
      </c>
      <c r="U1369">
        <f t="shared" ca="1" si="121"/>
        <v>0.52048611111111109</v>
      </c>
      <c r="V1369">
        <f ca="1">Prams!C$5/(U1369-Prams!C$6)</f>
        <v>164.03629154106383</v>
      </c>
      <c r="W1369">
        <f t="shared" ca="1" si="122"/>
        <v>1.2521854316111742</v>
      </c>
    </row>
    <row r="1370" spans="1:23" hidden="1" x14ac:dyDescent="0.55000000000000004">
      <c r="A1370" s="1" t="s">
        <v>3398</v>
      </c>
      <c r="B1370" s="1">
        <v>125</v>
      </c>
      <c r="C1370">
        <v>642.5</v>
      </c>
      <c r="D1370">
        <v>606</v>
      </c>
      <c r="E1370">
        <v>10.547610000000001</v>
      </c>
      <c r="F1370" t="s">
        <v>3397</v>
      </c>
      <c r="G1370" s="10" t="s">
        <v>3236</v>
      </c>
      <c r="H1370">
        <v>98</v>
      </c>
      <c r="I1370" t="s">
        <v>3373</v>
      </c>
      <c r="J1370">
        <v>133</v>
      </c>
      <c r="K1370" t="str">
        <f ca="1">VLOOKUP(I1370,INDIRECT("投手名変換!A$1:B$" &amp; Prams!$B$9),2,)</f>
        <v>AD004</v>
      </c>
      <c r="L1370">
        <f t="shared" si="118"/>
        <v>27</v>
      </c>
      <c r="M1370">
        <f ca="1">(B1370-VLOOKUP(K1370,INDIRECT("投手データ!B1:D"&amp;Prams!$B$1),3,FALSE)*2)</f>
        <v>31</v>
      </c>
      <c r="N1370" t="str">
        <f ca="1">VLOOKUP(F1370,INDIRECT("球種変換表!A$1:B$" &amp; Prams!$B$2),2,)</f>
        <v>全力ストレート</v>
      </c>
      <c r="O1370">
        <f ca="1">VLOOKUP(N1370,球種情報!A:B,2,FALSE)</f>
        <v>2</v>
      </c>
      <c r="P1370">
        <f ca="1">VLOOKUP(K1370,投手データ!B:AI,output!O1370+6,FALSE)</f>
        <v>1</v>
      </c>
      <c r="R1370">
        <f t="shared" si="119"/>
        <v>7.5187969924812026E-3</v>
      </c>
      <c r="S1370">
        <f t="shared" si="120"/>
        <v>0.44583333333333336</v>
      </c>
      <c r="T1370">
        <f>Prams!B$5/(S1370-Prams!B$6)</f>
        <v>160.3570810997752</v>
      </c>
      <c r="U1370">
        <f t="shared" ca="1" si="121"/>
        <v>0.51249999999999996</v>
      </c>
      <c r="V1370">
        <f ca="1">Prams!C$5/(U1370-Prams!C$6)</f>
        <v>167.58742206560046</v>
      </c>
      <c r="W1370">
        <f t="shared" ca="1" si="122"/>
        <v>1.2600558050045148</v>
      </c>
    </row>
    <row r="1371" spans="1:23" hidden="1" x14ac:dyDescent="0.55000000000000004">
      <c r="A1371" s="1" t="s">
        <v>3400</v>
      </c>
      <c r="B1371" s="1">
        <v>126</v>
      </c>
      <c r="C1371">
        <v>641.95001000000002</v>
      </c>
      <c r="D1371">
        <v>613.5</v>
      </c>
      <c r="E1371">
        <v>10.062519999999999</v>
      </c>
      <c r="F1371" t="s">
        <v>3112</v>
      </c>
      <c r="G1371" s="10" t="s">
        <v>3223</v>
      </c>
      <c r="H1371">
        <v>98</v>
      </c>
      <c r="I1371" t="s">
        <v>3399</v>
      </c>
      <c r="J1371">
        <f ca="1">VLOOKUP(G1371,INDIRECT("球速変換!A$1:B$" &amp; Prams!$B$8),2,)</f>
        <v>129</v>
      </c>
      <c r="K1371" t="str">
        <f ca="1">VLOOKUP(I1371,INDIRECT("投手名変換!A$1:B$" &amp; Prams!$B$9),2,)</f>
        <v>AD004</v>
      </c>
      <c r="L1371">
        <f t="shared" si="118"/>
        <v>28</v>
      </c>
      <c r="M1371">
        <f ca="1">(B1371-VLOOKUP(K1371,INDIRECT("投手データ!B1:D"&amp;Prams!$B$1),3,FALSE)*2)</f>
        <v>32</v>
      </c>
      <c r="N1371" t="str">
        <f ca="1">VLOOKUP(F1371,INDIRECT("球種変換表!A$1:B$" &amp; Prams!$B$2),2,)</f>
        <v>全力ストレート</v>
      </c>
      <c r="O1371">
        <f ca="1">VLOOKUP(N1371,球種情報!A:B,2,FALSE)</f>
        <v>2</v>
      </c>
      <c r="P1371">
        <f ca="1">VLOOKUP(K1371,投手データ!B:AI,output!O1371+6,FALSE)</f>
        <v>1</v>
      </c>
      <c r="R1371">
        <f t="shared" ca="1" si="119"/>
        <v>7.7519379844961239E-3</v>
      </c>
      <c r="S1371">
        <f t="shared" si="120"/>
        <v>0.45729166666666665</v>
      </c>
      <c r="T1371">
        <f>Prams!B$5/(S1371-Prams!B$6)</f>
        <v>155.72870967064802</v>
      </c>
      <c r="U1371">
        <f t="shared" ca="1" si="121"/>
        <v>0.5239583333333333</v>
      </c>
      <c r="V1371">
        <f ca="1">Prams!C$5/(U1371-Prams!C$6)</f>
        <v>162.53883399425982</v>
      </c>
      <c r="W1371">
        <f t="shared" ca="1" si="122"/>
        <v>1.2599909611958124</v>
      </c>
    </row>
    <row r="1372" spans="1:23" hidden="1" x14ac:dyDescent="0.55000000000000004">
      <c r="A1372" s="1" t="s">
        <v>3403</v>
      </c>
      <c r="B1372" s="1">
        <v>126</v>
      </c>
      <c r="C1372">
        <v>642</v>
      </c>
      <c r="D1372">
        <v>618</v>
      </c>
      <c r="E1372">
        <v>11.0001</v>
      </c>
      <c r="F1372" t="s">
        <v>3401</v>
      </c>
      <c r="G1372" s="10" t="s">
        <v>3368</v>
      </c>
      <c r="H1372">
        <v>98</v>
      </c>
      <c r="I1372" t="s">
        <v>3402</v>
      </c>
      <c r="J1372">
        <f ca="1">VLOOKUP(G1372,INDIRECT("球速変換!A$1:B$" &amp; Prams!$B$8),2,)</f>
        <v>131</v>
      </c>
      <c r="K1372" t="str">
        <f ca="1">VLOOKUP(I1372,INDIRECT("投手名変換!A$1:B$" &amp; Prams!$B$9),2,)</f>
        <v>AD004</v>
      </c>
      <c r="L1372">
        <f t="shared" si="118"/>
        <v>28</v>
      </c>
      <c r="M1372">
        <f ca="1">(B1372-VLOOKUP(K1372,INDIRECT("投手データ!B1:D"&amp;Prams!$B$1),3,FALSE)*2)</f>
        <v>32</v>
      </c>
      <c r="N1372" t="str">
        <f ca="1">VLOOKUP(F1372,INDIRECT("球種変換表!A$1:B$" &amp; Prams!$B$2),2,)</f>
        <v>全力ストレート</v>
      </c>
      <c r="O1372">
        <f ca="1">VLOOKUP(N1372,球種情報!A:B,2,FALSE)</f>
        <v>2</v>
      </c>
      <c r="P1372">
        <f ca="1">VLOOKUP(K1372,投手データ!B:AI,output!O1372+6,FALSE)</f>
        <v>1</v>
      </c>
      <c r="R1372">
        <f t="shared" ca="1" si="119"/>
        <v>7.6335877862595417E-3</v>
      </c>
      <c r="S1372">
        <f t="shared" si="120"/>
        <v>0.45416666666666666</v>
      </c>
      <c r="T1372">
        <f>Prams!B$5/(S1372-Prams!B$6)</f>
        <v>156.96428571428572</v>
      </c>
      <c r="U1372">
        <f t="shared" ca="1" si="121"/>
        <v>0.52083333333333337</v>
      </c>
      <c r="V1372">
        <f ca="1">Prams!C$5/(U1372-Prams!C$6)</f>
        <v>163.88530529292214</v>
      </c>
      <c r="W1372">
        <f t="shared" ca="1" si="122"/>
        <v>1.2510328648314668</v>
      </c>
    </row>
    <row r="1373" spans="1:23" hidden="1" x14ac:dyDescent="0.55000000000000004">
      <c r="A1373" s="1" t="s">
        <v>3406</v>
      </c>
      <c r="B1373" s="1">
        <v>146</v>
      </c>
      <c r="C1373">
        <v>635.5</v>
      </c>
      <c r="D1373">
        <v>601.5</v>
      </c>
      <c r="E1373">
        <v>11.510960000000001</v>
      </c>
      <c r="F1373" t="s">
        <v>3404</v>
      </c>
      <c r="G1373" s="10" t="s">
        <v>3405</v>
      </c>
      <c r="H1373">
        <v>101</v>
      </c>
      <c r="I1373" t="s">
        <v>3378</v>
      </c>
      <c r="J1373">
        <f ca="1">VLOOKUP(G1373,INDIRECT("球速変換!A$1:B$" &amp; Prams!$B$8),2,)</f>
        <v>111</v>
      </c>
      <c r="K1373" t="str">
        <f ca="1">VLOOKUP(I1373,INDIRECT("投手名変換!A$1:B$" &amp; Prams!$B$9),2,)</f>
        <v>AD004</v>
      </c>
      <c r="L1373">
        <f t="shared" si="118"/>
        <v>45</v>
      </c>
      <c r="M1373">
        <f ca="1">(B1373-VLOOKUP(K1373,INDIRECT("投手データ!B1:D"&amp;Prams!$B$1),3,FALSE)*2)</f>
        <v>52</v>
      </c>
      <c r="N1373" t="str">
        <f ca="1">VLOOKUP(F1373,INDIRECT("球種変換表!A$1:B$" &amp; Prams!$B$2),2,)</f>
        <v>ナックルカーブ</v>
      </c>
      <c r="O1373">
        <f ca="1">VLOOKUP(N1373,球種情報!A:B,2,FALSE)</f>
        <v>14</v>
      </c>
      <c r="P1373">
        <f ca="1">VLOOKUP(K1373,投手データ!B:AI,output!O1373+6,FALSE)</f>
        <v>3</v>
      </c>
      <c r="R1373">
        <f t="shared" ca="1" si="119"/>
        <v>9.0090090090090089E-3</v>
      </c>
      <c r="S1373">
        <f t="shared" si="120"/>
        <v>0.74895833333333328</v>
      </c>
      <c r="T1373">
        <f>Prams!B$5/(S1373-Prams!B$6)</f>
        <v>89.773109548760274</v>
      </c>
      <c r="U1373">
        <f t="shared" ca="1" si="121"/>
        <v>0.86562499999999998</v>
      </c>
      <c r="V1373">
        <f ca="1">Prams!C$5/(U1373-Prams!C$6)</f>
        <v>85.624458986877201</v>
      </c>
      <c r="W1373">
        <f t="shared" ca="1" si="122"/>
        <v>0.77139152240429909</v>
      </c>
    </row>
    <row r="1374" spans="1:23" hidden="1" x14ac:dyDescent="0.55000000000000004">
      <c r="A1374" s="1" t="s">
        <v>3409</v>
      </c>
      <c r="B1374" s="1">
        <v>145</v>
      </c>
      <c r="C1374">
        <v>640</v>
      </c>
      <c r="D1374">
        <v>600.5</v>
      </c>
      <c r="E1374">
        <v>10.012589999999999</v>
      </c>
      <c r="F1374" t="s">
        <v>3407</v>
      </c>
      <c r="G1374" s="10" t="s">
        <v>3408</v>
      </c>
      <c r="H1374">
        <v>101</v>
      </c>
      <c r="I1374" t="s">
        <v>3378</v>
      </c>
      <c r="J1374">
        <f ca="1">VLOOKUP(G1374,INDIRECT("球速変換!A$1:B$" &amp; Prams!$B$8),2,)</f>
        <v>113</v>
      </c>
      <c r="K1374" t="str">
        <f ca="1">VLOOKUP(I1374,INDIRECT("投手名変換!A$1:B$" &amp; Prams!$B$9),2,)</f>
        <v>AD004</v>
      </c>
      <c r="L1374">
        <f t="shared" si="118"/>
        <v>44</v>
      </c>
      <c r="M1374">
        <f ca="1">(B1374-VLOOKUP(K1374,INDIRECT("投手データ!B1:D"&amp;Prams!$B$1),3,FALSE)*2)</f>
        <v>51</v>
      </c>
      <c r="N1374" t="str">
        <f ca="1">VLOOKUP(F1374,INDIRECT("球種変換表!A$1:B$" &amp; Prams!$B$2),2,)</f>
        <v>ナックルカーブ</v>
      </c>
      <c r="O1374">
        <f ca="1">VLOOKUP(N1374,球種情報!A:B,2,FALSE)</f>
        <v>14</v>
      </c>
      <c r="P1374">
        <f ca="1">VLOOKUP(K1374,投手データ!B:AI,output!O1374+6,FALSE)</f>
        <v>3</v>
      </c>
      <c r="R1374">
        <f t="shared" ca="1" si="119"/>
        <v>8.8495575221238937E-3</v>
      </c>
      <c r="S1374">
        <f t="shared" si="120"/>
        <v>0.73298611111111112</v>
      </c>
      <c r="T1374">
        <f>Prams!B$5/(S1374-Prams!B$6)</f>
        <v>91.904677350753815</v>
      </c>
      <c r="U1374">
        <f t="shared" ca="1" si="121"/>
        <v>0.8496527777777777</v>
      </c>
      <c r="V1374">
        <f ca="1">Prams!C$5/(U1374-Prams!C$6)</f>
        <v>87.561442920146845</v>
      </c>
      <c r="W1374">
        <f t="shared" ca="1" si="122"/>
        <v>0.77488002584200744</v>
      </c>
    </row>
    <row r="1375" spans="1:23" hidden="1" x14ac:dyDescent="0.55000000000000004">
      <c r="A1375" s="1" t="s">
        <v>3411</v>
      </c>
      <c r="B1375" s="1">
        <v>146</v>
      </c>
      <c r="C1375">
        <v>635.5</v>
      </c>
      <c r="D1375">
        <v>601</v>
      </c>
      <c r="E1375">
        <v>10.5001</v>
      </c>
      <c r="F1375" t="s">
        <v>3404</v>
      </c>
      <c r="G1375" s="10" t="s">
        <v>3410</v>
      </c>
      <c r="H1375">
        <v>101</v>
      </c>
      <c r="I1375" t="s">
        <v>3378</v>
      </c>
      <c r="J1375">
        <f ca="1">VLOOKUP(G1375,INDIRECT("球速変換!A$1:B$" &amp; Prams!$B$8),2,)</f>
        <v>111</v>
      </c>
      <c r="K1375" t="str">
        <f ca="1">VLOOKUP(I1375,INDIRECT("投手名変換!A$1:B$" &amp; Prams!$B$9),2,)</f>
        <v>AD004</v>
      </c>
      <c r="L1375">
        <f t="shared" si="118"/>
        <v>45</v>
      </c>
      <c r="M1375">
        <f ca="1">(B1375-VLOOKUP(K1375,INDIRECT("投手データ!B1:D"&amp;Prams!$B$1),3,FALSE)*2)</f>
        <v>52</v>
      </c>
      <c r="N1375" t="str">
        <f ca="1">VLOOKUP(F1375,INDIRECT("球種変換表!A$1:B$" &amp; Prams!$B$2),2,)</f>
        <v>ナックルカーブ</v>
      </c>
      <c r="O1375">
        <f ca="1">VLOOKUP(N1375,球種情報!A:B,2,FALSE)</f>
        <v>14</v>
      </c>
      <c r="P1375">
        <f ca="1">VLOOKUP(K1375,投手データ!B:AI,output!O1375+6,FALSE)</f>
        <v>3</v>
      </c>
      <c r="R1375">
        <f t="shared" ca="1" si="119"/>
        <v>9.0090090090090089E-3</v>
      </c>
      <c r="S1375">
        <f t="shared" si="120"/>
        <v>0.74930555555555556</v>
      </c>
      <c r="T1375">
        <f>Prams!B$5/(S1375-Prams!B$6)</f>
        <v>89.727868667403101</v>
      </c>
      <c r="U1375">
        <f t="shared" ca="1" si="121"/>
        <v>0.86597222222222225</v>
      </c>
      <c r="V1375">
        <f ca="1">Prams!C$5/(U1375-Prams!C$6)</f>
        <v>85.583301929599244</v>
      </c>
      <c r="W1375">
        <f t="shared" ca="1" si="122"/>
        <v>0.77102073810449767</v>
      </c>
    </row>
    <row r="1376" spans="1:23" hidden="1" x14ac:dyDescent="0.55000000000000004">
      <c r="A1376" s="1" t="s">
        <v>3413</v>
      </c>
      <c r="B1376" s="1">
        <v>147</v>
      </c>
      <c r="C1376">
        <v>634.45239000000004</v>
      </c>
      <c r="D1376">
        <v>610.5</v>
      </c>
      <c r="E1376">
        <v>10.55955</v>
      </c>
      <c r="F1376" t="s">
        <v>3404</v>
      </c>
      <c r="G1376" s="10" t="s">
        <v>3412</v>
      </c>
      <c r="H1376">
        <v>101</v>
      </c>
      <c r="I1376" t="s">
        <v>3369</v>
      </c>
      <c r="J1376">
        <f ca="1">VLOOKUP(G1376,INDIRECT("球速変換!A$1:B$" &amp; Prams!$B$8),2,)</f>
        <v>110</v>
      </c>
      <c r="K1376" t="str">
        <f ca="1">VLOOKUP(I1376,INDIRECT("投手名変換!A$1:B$" &amp; Prams!$B$9),2,)</f>
        <v>AD004</v>
      </c>
      <c r="L1376">
        <f t="shared" si="118"/>
        <v>46</v>
      </c>
      <c r="M1376">
        <f ca="1">(B1376-VLOOKUP(K1376,INDIRECT("投手データ!B1:D"&amp;Prams!$B$1),3,FALSE)*2)</f>
        <v>53</v>
      </c>
      <c r="N1376" t="str">
        <f ca="1">VLOOKUP(F1376,INDIRECT("球種変換表!A$1:B$" &amp; Prams!$B$2),2,)</f>
        <v>ナックルカーブ</v>
      </c>
      <c r="O1376">
        <f ca="1">VLOOKUP(N1376,球種情報!A:B,2,FALSE)</f>
        <v>14</v>
      </c>
      <c r="P1376">
        <f ca="1">VLOOKUP(K1376,投手データ!B:AI,output!O1376+6,FALSE)</f>
        <v>3</v>
      </c>
      <c r="R1376">
        <f t="shared" ca="1" si="119"/>
        <v>9.0909090909090905E-3</v>
      </c>
      <c r="S1376">
        <f t="shared" si="120"/>
        <v>0.75937500000000002</v>
      </c>
      <c r="T1376">
        <f>Prams!B$5/(S1376-Prams!B$6)</f>
        <v>88.43543253585095</v>
      </c>
      <c r="U1376">
        <f t="shared" ca="1" si="121"/>
        <v>0.87604166666666672</v>
      </c>
      <c r="V1376">
        <f ca="1">Prams!C$5/(U1376-Prams!C$6)</f>
        <v>84.406721809472884</v>
      </c>
      <c r="W1376">
        <f t="shared" ca="1" si="122"/>
        <v>0.76733383463157168</v>
      </c>
    </row>
    <row r="1377" spans="1:23" hidden="1" x14ac:dyDescent="0.55000000000000004">
      <c r="A1377" s="1" t="s">
        <v>3414</v>
      </c>
      <c r="B1377" s="1">
        <v>146</v>
      </c>
      <c r="C1377">
        <v>636.54760999999996</v>
      </c>
      <c r="D1377">
        <v>602.5</v>
      </c>
      <c r="E1377">
        <v>10.55958</v>
      </c>
      <c r="F1377" t="s">
        <v>3404</v>
      </c>
      <c r="G1377" s="10" t="s">
        <v>3405</v>
      </c>
      <c r="H1377">
        <v>101</v>
      </c>
      <c r="I1377" t="s">
        <v>3399</v>
      </c>
      <c r="J1377">
        <f ca="1">VLOOKUP(G1377,INDIRECT("球速変換!A$1:B$" &amp; Prams!$B$8),2,)</f>
        <v>111</v>
      </c>
      <c r="K1377" t="str">
        <f ca="1">VLOOKUP(I1377,INDIRECT("投手名変換!A$1:B$" &amp; Prams!$B$9),2,)</f>
        <v>AD004</v>
      </c>
      <c r="L1377">
        <f t="shared" si="118"/>
        <v>45</v>
      </c>
      <c r="M1377">
        <f ca="1">(B1377-VLOOKUP(K1377,INDIRECT("投手データ!B1:D"&amp;Prams!$B$1),3,FALSE)*2)</f>
        <v>52</v>
      </c>
      <c r="N1377" t="str">
        <f ca="1">VLOOKUP(F1377,INDIRECT("球種変換表!A$1:B$" &amp; Prams!$B$2),2,)</f>
        <v>ナックルカーブ</v>
      </c>
      <c r="O1377">
        <f ca="1">VLOOKUP(N1377,球種情報!A:B,2,FALSE)</f>
        <v>14</v>
      </c>
      <c r="P1377">
        <f ca="1">VLOOKUP(K1377,投手データ!B:AI,output!O1377+6,FALSE)</f>
        <v>3</v>
      </c>
      <c r="R1377">
        <f t="shared" ca="1" si="119"/>
        <v>9.0090090090090089E-3</v>
      </c>
      <c r="S1377">
        <f t="shared" si="120"/>
        <v>0.74826388888888895</v>
      </c>
      <c r="T1377">
        <f>Prams!B$5/(S1377-Prams!B$6)</f>
        <v>89.863728312613304</v>
      </c>
      <c r="U1377">
        <f t="shared" ca="1" si="121"/>
        <v>0.86493055555555565</v>
      </c>
      <c r="V1377">
        <f ca="1">Prams!C$5/(U1377-Prams!C$6)</f>
        <v>85.706891970471233</v>
      </c>
      <c r="W1377">
        <f t="shared" ca="1" si="122"/>
        <v>0.77213416189613726</v>
      </c>
    </row>
    <row r="1378" spans="1:23" hidden="1" x14ac:dyDescent="0.55000000000000004">
      <c r="A1378" s="1" t="s">
        <v>3417</v>
      </c>
      <c r="B1378" s="1">
        <v>146</v>
      </c>
      <c r="C1378">
        <v>639.47619999999995</v>
      </c>
      <c r="D1378">
        <v>610</v>
      </c>
      <c r="E1378">
        <v>10.523899999999999</v>
      </c>
      <c r="F1378" t="s">
        <v>3415</v>
      </c>
      <c r="G1378" s="10" t="s">
        <v>3416</v>
      </c>
      <c r="H1378">
        <v>101</v>
      </c>
      <c r="I1378" t="s">
        <v>3375</v>
      </c>
      <c r="J1378">
        <f ca="1">VLOOKUP(G1378,INDIRECT("球速変換!A$1:B$" &amp; Prams!$B$8),2,)</f>
        <v>113</v>
      </c>
      <c r="K1378" t="str">
        <f ca="1">VLOOKUP(I1378,INDIRECT("投手名変換!A$1:B$" &amp; Prams!$B$9),2,)</f>
        <v>AD004</v>
      </c>
      <c r="L1378">
        <f t="shared" si="118"/>
        <v>45</v>
      </c>
      <c r="M1378">
        <f ca="1">(B1378-VLOOKUP(K1378,INDIRECT("投手データ!B1:D"&amp;Prams!$B$1),3,FALSE)*2)</f>
        <v>52</v>
      </c>
      <c r="N1378" t="str">
        <f ca="1">VLOOKUP(F1378,INDIRECT("球種変換表!A$1:B$" &amp; Prams!$B$2),2,)</f>
        <v>ナックルカーブ</v>
      </c>
      <c r="O1378">
        <f ca="1">VLOOKUP(N1378,球種情報!A:B,2,FALSE)</f>
        <v>14</v>
      </c>
      <c r="P1378">
        <f ca="1">VLOOKUP(K1378,投手データ!B:AI,output!O1378+6,FALSE)</f>
        <v>3</v>
      </c>
      <c r="R1378">
        <f t="shared" ca="1" si="119"/>
        <v>8.8495575221238937E-3</v>
      </c>
      <c r="S1378">
        <f t="shared" si="120"/>
        <v>0.74305555555555558</v>
      </c>
      <c r="T1378">
        <f>Prams!B$5/(S1378-Prams!B$6)</f>
        <v>90.549244889988287</v>
      </c>
      <c r="U1378">
        <f t="shared" ca="1" si="121"/>
        <v>0.85972222222222228</v>
      </c>
      <c r="V1378">
        <f ca="1">Prams!C$5/(U1378-Prams!C$6)</f>
        <v>86.330235372608641</v>
      </c>
      <c r="W1378">
        <f t="shared" ca="1" si="122"/>
        <v>0.76398438382839506</v>
      </c>
    </row>
    <row r="1379" spans="1:23" hidden="1" x14ac:dyDescent="0.55000000000000004">
      <c r="A1379" s="1" t="s">
        <v>3419</v>
      </c>
      <c r="B1379" s="1">
        <v>145</v>
      </c>
      <c r="C1379">
        <v>631.5</v>
      </c>
      <c r="D1379">
        <v>600.5</v>
      </c>
      <c r="E1379">
        <v>10.512</v>
      </c>
      <c r="F1379" t="s">
        <v>3404</v>
      </c>
      <c r="G1379" s="10" t="s">
        <v>3418</v>
      </c>
      <c r="H1379">
        <v>101</v>
      </c>
      <c r="I1379" t="s">
        <v>3381</v>
      </c>
      <c r="J1379">
        <f ca="1">VLOOKUP(G1379,INDIRECT("球速変換!A$1:B$" &amp; Prams!$B$8),2,)</f>
        <v>113</v>
      </c>
      <c r="K1379" t="str">
        <f ca="1">VLOOKUP(I1379,INDIRECT("投手名変換!A$1:B$" &amp; Prams!$B$9),2,)</f>
        <v>AD004</v>
      </c>
      <c r="L1379">
        <f t="shared" si="118"/>
        <v>44</v>
      </c>
      <c r="M1379">
        <f ca="1">(B1379-VLOOKUP(K1379,INDIRECT("投手データ!B1:D"&amp;Prams!$B$1),3,FALSE)*2)</f>
        <v>51</v>
      </c>
      <c r="N1379" t="str">
        <f ca="1">VLOOKUP(F1379,INDIRECT("球種変換表!A$1:B$" &amp; Prams!$B$2),2,)</f>
        <v>ナックルカーブ</v>
      </c>
      <c r="O1379">
        <f ca="1">VLOOKUP(N1379,球種情報!A:B,2,FALSE)</f>
        <v>14</v>
      </c>
      <c r="P1379">
        <f ca="1">VLOOKUP(K1379,投手データ!B:AI,output!O1379+6,FALSE)</f>
        <v>3</v>
      </c>
      <c r="R1379">
        <f t="shared" ca="1" si="119"/>
        <v>8.8495575221238937E-3</v>
      </c>
      <c r="S1379">
        <f t="shared" si="120"/>
        <v>0.73298611111111112</v>
      </c>
      <c r="T1379">
        <f>Prams!B$5/(S1379-Prams!B$6)</f>
        <v>91.904677350753815</v>
      </c>
      <c r="U1379">
        <f t="shared" ca="1" si="121"/>
        <v>0.8496527777777777</v>
      </c>
      <c r="V1379">
        <f ca="1">Prams!C$5/(U1379-Prams!C$6)</f>
        <v>87.561442920146845</v>
      </c>
      <c r="W1379">
        <f t="shared" ca="1" si="122"/>
        <v>0.77488002584200744</v>
      </c>
    </row>
    <row r="1380" spans="1:23" hidden="1" x14ac:dyDescent="0.55000000000000004">
      <c r="A1380" s="1" t="s">
        <v>3423</v>
      </c>
      <c r="B1380" s="1">
        <v>146</v>
      </c>
      <c r="C1380">
        <v>633.95001000000002</v>
      </c>
      <c r="D1380">
        <v>609.5</v>
      </c>
      <c r="E1380">
        <v>10.062519999999999</v>
      </c>
      <c r="F1380" t="s">
        <v>3420</v>
      </c>
      <c r="G1380" s="10" t="s">
        <v>3421</v>
      </c>
      <c r="H1380">
        <v>101</v>
      </c>
      <c r="I1380" t="s">
        <v>3422</v>
      </c>
      <c r="J1380">
        <f ca="1">VLOOKUP(G1380,INDIRECT("球速変換!A$1:B$" &amp; Prams!$B$8),2,)</f>
        <v>112</v>
      </c>
      <c r="K1380" t="str">
        <f ca="1">VLOOKUP(I1380,INDIRECT("投手名変換!A$1:B$" &amp; Prams!$B$9),2,)</f>
        <v>AD004</v>
      </c>
      <c r="L1380">
        <f t="shared" si="118"/>
        <v>45</v>
      </c>
      <c r="M1380">
        <f ca="1">(B1380-VLOOKUP(K1380,INDIRECT("投手データ!B1:D"&amp;Prams!$B$1),3,FALSE)*2)</f>
        <v>52</v>
      </c>
      <c r="N1380" t="str">
        <f ca="1">VLOOKUP(F1380,INDIRECT("球種変換表!A$1:B$" &amp; Prams!$B$2),2,)</f>
        <v>ナックルカーブ</v>
      </c>
      <c r="O1380">
        <f ca="1">VLOOKUP(N1380,球種情報!A:B,2,FALSE)</f>
        <v>14</v>
      </c>
      <c r="P1380">
        <f ca="1">VLOOKUP(K1380,投手データ!B:AI,output!O1380+6,FALSE)</f>
        <v>3</v>
      </c>
      <c r="R1380">
        <f t="shared" ca="1" si="119"/>
        <v>8.9285714285714281E-3</v>
      </c>
      <c r="S1380">
        <f t="shared" si="120"/>
        <v>0.74340277777777775</v>
      </c>
      <c r="T1380">
        <f>Prams!B$5/(S1380-Prams!B$6)</f>
        <v>90.503218565613608</v>
      </c>
      <c r="U1380">
        <f t="shared" ca="1" si="121"/>
        <v>0.86006944444444444</v>
      </c>
      <c r="V1380">
        <f ca="1">Prams!C$5/(U1380-Prams!C$6)</f>
        <v>86.288397194576817</v>
      </c>
      <c r="W1380">
        <f t="shared" ca="1" si="122"/>
        <v>0.77043211780872156</v>
      </c>
    </row>
    <row r="1381" spans="1:23" hidden="1" x14ac:dyDescent="0.55000000000000004">
      <c r="A1381" s="1" t="s">
        <v>3426</v>
      </c>
      <c r="B1381" s="1">
        <v>146</v>
      </c>
      <c r="C1381">
        <v>629</v>
      </c>
      <c r="D1381">
        <v>604</v>
      </c>
      <c r="E1381">
        <v>10.04998</v>
      </c>
      <c r="F1381" t="s">
        <v>3424</v>
      </c>
      <c r="G1381" s="10" t="s">
        <v>3425</v>
      </c>
      <c r="H1381">
        <v>101</v>
      </c>
      <c r="I1381" t="s">
        <v>3378</v>
      </c>
      <c r="J1381">
        <f ca="1">VLOOKUP(G1381,INDIRECT("球速変換!A$1:B$" &amp; Prams!$B$8),2,)</f>
        <v>111</v>
      </c>
      <c r="K1381" t="str">
        <f ca="1">VLOOKUP(I1381,INDIRECT("投手名変換!A$1:B$" &amp; Prams!$B$9),2,)</f>
        <v>AD004</v>
      </c>
      <c r="L1381">
        <f t="shared" si="118"/>
        <v>45</v>
      </c>
      <c r="M1381">
        <f ca="1">(B1381-VLOOKUP(K1381,INDIRECT("投手データ!B1:D"&amp;Prams!$B$1),3,FALSE)*2)</f>
        <v>52</v>
      </c>
      <c r="N1381" t="str">
        <f ca="1">VLOOKUP(F1381,INDIRECT("球種変換表!A$1:B$" &amp; Prams!$B$2),2,)</f>
        <v>ナックルカーブ</v>
      </c>
      <c r="O1381">
        <f ca="1">VLOOKUP(N1381,球種情報!A:B,2,FALSE)</f>
        <v>14</v>
      </c>
      <c r="P1381">
        <f ca="1">VLOOKUP(K1381,投手データ!B:AI,output!O1381+6,FALSE)</f>
        <v>3</v>
      </c>
      <c r="R1381">
        <f t="shared" ca="1" si="119"/>
        <v>9.0090090090090089E-3</v>
      </c>
      <c r="S1381">
        <f t="shared" si="120"/>
        <v>0.74722222222222223</v>
      </c>
      <c r="T1381">
        <f>Prams!B$5/(S1381-Prams!B$6)</f>
        <v>90</v>
      </c>
      <c r="U1381">
        <f t="shared" ca="1" si="121"/>
        <v>0.86388888888888893</v>
      </c>
      <c r="V1381">
        <f ca="1">Prams!C$5/(U1381-Prams!C$6)</f>
        <v>85.830839477987212</v>
      </c>
      <c r="W1381">
        <f t="shared" ca="1" si="122"/>
        <v>0.77325080610799291</v>
      </c>
    </row>
    <row r="1382" spans="1:23" hidden="1" x14ac:dyDescent="0.55000000000000004">
      <c r="A1382" s="1" t="s">
        <v>3429</v>
      </c>
      <c r="B1382" s="1">
        <v>147</v>
      </c>
      <c r="C1382">
        <v>635.5</v>
      </c>
      <c r="D1382">
        <v>610.5</v>
      </c>
      <c r="E1382">
        <v>11.510960000000001</v>
      </c>
      <c r="F1382" t="s">
        <v>3404</v>
      </c>
      <c r="G1382" s="10" t="s">
        <v>3427</v>
      </c>
      <c r="H1382">
        <v>101</v>
      </c>
      <c r="I1382" t="s">
        <v>3428</v>
      </c>
      <c r="J1382">
        <f ca="1">VLOOKUP(G1382,INDIRECT("球速変換!A$1:B$" &amp; Prams!$B$8),2,)</f>
        <v>110</v>
      </c>
      <c r="K1382" t="str">
        <f ca="1">VLOOKUP(I1382,INDIRECT("投手名変換!A$1:B$" &amp; Prams!$B$9),2,)</f>
        <v>AD004</v>
      </c>
      <c r="L1382">
        <f t="shared" si="118"/>
        <v>46</v>
      </c>
      <c r="M1382">
        <f ca="1">(B1382-VLOOKUP(K1382,INDIRECT("投手データ!B1:D"&amp;Prams!$B$1),3,FALSE)*2)</f>
        <v>53</v>
      </c>
      <c r="N1382" t="str">
        <f ca="1">VLOOKUP(F1382,INDIRECT("球種変換表!A$1:B$" &amp; Prams!$B$2),2,)</f>
        <v>ナックルカーブ</v>
      </c>
      <c r="O1382">
        <f ca="1">VLOOKUP(N1382,球種情報!A:B,2,FALSE)</f>
        <v>14</v>
      </c>
      <c r="P1382">
        <f ca="1">VLOOKUP(K1382,投手データ!B:AI,output!O1382+6,FALSE)</f>
        <v>3</v>
      </c>
      <c r="R1382">
        <f t="shared" ca="1" si="119"/>
        <v>9.0909090909090905E-3</v>
      </c>
      <c r="S1382">
        <f t="shared" si="120"/>
        <v>0.75937500000000002</v>
      </c>
      <c r="T1382">
        <f>Prams!B$5/(S1382-Prams!B$6)</f>
        <v>88.43543253585095</v>
      </c>
      <c r="U1382">
        <f t="shared" ca="1" si="121"/>
        <v>0.87604166666666672</v>
      </c>
      <c r="V1382">
        <f ca="1">Prams!C$5/(U1382-Prams!C$6)</f>
        <v>84.406721809472884</v>
      </c>
      <c r="W1382">
        <f t="shared" ca="1" si="122"/>
        <v>0.76733383463157168</v>
      </c>
    </row>
    <row r="1383" spans="1:23" hidden="1" x14ac:dyDescent="0.55000000000000004">
      <c r="A1383" s="1" t="s">
        <v>3430</v>
      </c>
      <c r="B1383" s="1">
        <v>129</v>
      </c>
      <c r="C1383">
        <v>640</v>
      </c>
      <c r="D1383">
        <v>616.5</v>
      </c>
      <c r="E1383">
        <v>11.01146</v>
      </c>
      <c r="F1383" t="s">
        <v>1</v>
      </c>
      <c r="G1383" s="10" t="s">
        <v>1912</v>
      </c>
      <c r="H1383">
        <v>103</v>
      </c>
      <c r="I1383" t="s">
        <v>3078</v>
      </c>
      <c r="J1383">
        <f ca="1">VLOOKUP(G1383,INDIRECT("球速変換!A$1:B$" &amp; Prams!$B$8),2,)</f>
        <v>140</v>
      </c>
      <c r="K1383" t="str">
        <f ca="1">VLOOKUP(I1383,INDIRECT("投手名変換!A$1:B$" &amp; Prams!$B$9),2,)</f>
        <v>パワプロ</v>
      </c>
      <c r="L1383">
        <f t="shared" ref="L1383:L1402" si="123">B1383-H1383</f>
        <v>26</v>
      </c>
      <c r="M1383">
        <f ca="1">(B1383-VLOOKUP(K1383,INDIRECT("投手データ!B1:D"&amp;Prams!$B$1),3,FALSE)*2)</f>
        <v>35</v>
      </c>
      <c r="N1383" t="str">
        <f ca="1">VLOOKUP(F1383,INDIRECT("球種変換表!A$1:B$" &amp; Prams!$B$2),2,)</f>
        <v>ストレート</v>
      </c>
      <c r="O1383">
        <f ca="1">VLOOKUP(N1383,球種情報!A:B,2,FALSE)</f>
        <v>1</v>
      </c>
      <c r="P1383">
        <f ca="1">VLOOKUP(K1383,投手データ!B:AI,output!O1383+6,FALSE)</f>
        <v>0</v>
      </c>
      <c r="Q1383" t="s">
        <v>3452</v>
      </c>
      <c r="R1383">
        <f t="shared" ref="R1383:R1402" ca="1" si="124">1/J1383</f>
        <v>7.1428571428571426E-3</v>
      </c>
      <c r="S1383">
        <f t="shared" ref="S1383:S1402" si="125">(L1383-(D1383-600)/24)*2/120</f>
        <v>0.421875</v>
      </c>
      <c r="T1383">
        <f>Prams!B$5/(S1383-Prams!B$6)</f>
        <v>170.98250708704973</v>
      </c>
      <c r="U1383">
        <f t="shared" ref="U1383:U1402" ca="1" si="126">(M1383-(D1383-600)/24)*2/120</f>
        <v>0.57187500000000002</v>
      </c>
      <c r="V1383">
        <f ca="1">Prams!C$5/(U1383-Prams!C$6)</f>
        <v>144.35351117856516</v>
      </c>
      <c r="W1383">
        <f t="shared" ref="W1383:W1402" ca="1" si="127">V1383/J1383</f>
        <v>1.0310965084183226</v>
      </c>
    </row>
    <row r="1384" spans="1:23" hidden="1" x14ac:dyDescent="0.55000000000000004">
      <c r="A1384" s="1" t="s">
        <v>3431</v>
      </c>
      <c r="B1384" s="1">
        <v>129</v>
      </c>
      <c r="C1384">
        <v>639.5</v>
      </c>
      <c r="D1384">
        <v>612.5</v>
      </c>
      <c r="E1384">
        <v>10.512</v>
      </c>
      <c r="F1384" t="s">
        <v>1</v>
      </c>
      <c r="G1384" s="10" t="s">
        <v>1914</v>
      </c>
      <c r="H1384">
        <v>103</v>
      </c>
      <c r="I1384" t="s">
        <v>3078</v>
      </c>
      <c r="J1384">
        <f ca="1">VLOOKUP(G1384,INDIRECT("球速変換!A$1:B$" &amp; Prams!$B$8),2,)</f>
        <v>139</v>
      </c>
      <c r="K1384" t="str">
        <f ca="1">VLOOKUP(I1384,INDIRECT("投手名変換!A$1:B$" &amp; Prams!$B$9),2,)</f>
        <v>パワプロ</v>
      </c>
      <c r="L1384">
        <f t="shared" si="123"/>
        <v>26</v>
      </c>
      <c r="M1384">
        <f ca="1">(B1384-VLOOKUP(K1384,INDIRECT("投手データ!B1:D"&amp;Prams!$B$1),3,FALSE)*2)</f>
        <v>35</v>
      </c>
      <c r="N1384" t="str">
        <f ca="1">VLOOKUP(F1384,INDIRECT("球種変換表!A$1:B$" &amp; Prams!$B$2),2,)</f>
        <v>ストレート</v>
      </c>
      <c r="O1384">
        <f ca="1">VLOOKUP(N1384,球種情報!A:B,2,FALSE)</f>
        <v>1</v>
      </c>
      <c r="P1384">
        <f ca="1">VLOOKUP(K1384,投手データ!B:AI,output!O1384+6,FALSE)</f>
        <v>0</v>
      </c>
      <c r="Q1384" t="s">
        <v>3452</v>
      </c>
      <c r="R1384">
        <f t="shared" ca="1" si="124"/>
        <v>7.1942446043165471E-3</v>
      </c>
      <c r="S1384">
        <f t="shared" si="125"/>
        <v>0.42465277777777782</v>
      </c>
      <c r="T1384">
        <f>Prams!B$5/(S1384-Prams!B$6)</f>
        <v>169.67895888447549</v>
      </c>
      <c r="U1384">
        <f t="shared" ca="1" si="126"/>
        <v>0.57465277777777779</v>
      </c>
      <c r="V1384">
        <f ca="1">Prams!C$5/(U1384-Prams!C$6)</f>
        <v>143.42327247887923</v>
      </c>
      <c r="W1384">
        <f t="shared" ca="1" si="127"/>
        <v>1.0318221041645987</v>
      </c>
    </row>
    <row r="1385" spans="1:23" hidden="1" x14ac:dyDescent="0.55000000000000004">
      <c r="A1385" s="1" t="s">
        <v>3432</v>
      </c>
      <c r="B1385" s="1">
        <v>129</v>
      </c>
      <c r="C1385">
        <v>640.5</v>
      </c>
      <c r="D1385">
        <v>619.5</v>
      </c>
      <c r="E1385">
        <v>10.512</v>
      </c>
      <c r="F1385" t="s">
        <v>1</v>
      </c>
      <c r="G1385" s="10" t="s">
        <v>1912</v>
      </c>
      <c r="H1385">
        <v>103</v>
      </c>
      <c r="I1385" t="s">
        <v>3078</v>
      </c>
      <c r="J1385">
        <f ca="1">VLOOKUP(G1385,INDIRECT("球速変換!A$1:B$" &amp; Prams!$B$8),2,)</f>
        <v>140</v>
      </c>
      <c r="K1385" t="str">
        <f ca="1">VLOOKUP(I1385,INDIRECT("投手名変換!A$1:B$" &amp; Prams!$B$9),2,)</f>
        <v>パワプロ</v>
      </c>
      <c r="L1385">
        <f t="shared" si="123"/>
        <v>26</v>
      </c>
      <c r="M1385">
        <f ca="1">(B1385-VLOOKUP(K1385,INDIRECT("投手データ!B1:D"&amp;Prams!$B$1),3,FALSE)*2)</f>
        <v>35</v>
      </c>
      <c r="N1385" t="str">
        <f ca="1">VLOOKUP(F1385,INDIRECT("球種変換表!A$1:B$" &amp; Prams!$B$2),2,)</f>
        <v>ストレート</v>
      </c>
      <c r="O1385">
        <f ca="1">VLOOKUP(N1385,球種情報!A:B,2,FALSE)</f>
        <v>1</v>
      </c>
      <c r="P1385">
        <f ca="1">VLOOKUP(K1385,投手データ!B:AI,output!O1385+6,FALSE)</f>
        <v>0</v>
      </c>
      <c r="Q1385" t="s">
        <v>3452</v>
      </c>
      <c r="R1385">
        <f t="shared" ca="1" si="124"/>
        <v>7.1428571428571426E-3</v>
      </c>
      <c r="S1385">
        <f t="shared" si="125"/>
        <v>0.41979166666666667</v>
      </c>
      <c r="T1385">
        <f>Prams!B$5/(S1385-Prams!B$6)</f>
        <v>171.97338834928951</v>
      </c>
      <c r="U1385">
        <f t="shared" ca="1" si="126"/>
        <v>0.5697916666666667</v>
      </c>
      <c r="V1385">
        <f ca="1">Prams!C$5/(U1385-Prams!C$6)</f>
        <v>145.05914787947518</v>
      </c>
      <c r="W1385">
        <f t="shared" ca="1" si="127"/>
        <v>1.0361367705676798</v>
      </c>
    </row>
    <row r="1386" spans="1:23" hidden="1" x14ac:dyDescent="0.55000000000000004">
      <c r="A1386" s="1" t="s">
        <v>3433</v>
      </c>
      <c r="B1386" s="1">
        <v>129</v>
      </c>
      <c r="C1386">
        <v>641</v>
      </c>
      <c r="D1386">
        <v>620.5</v>
      </c>
      <c r="E1386">
        <v>10.012589999999999</v>
      </c>
      <c r="F1386" t="s">
        <v>1</v>
      </c>
      <c r="G1386" s="10" t="s">
        <v>2375</v>
      </c>
      <c r="H1386">
        <v>103</v>
      </c>
      <c r="I1386" t="s">
        <v>3078</v>
      </c>
      <c r="J1386">
        <f ca="1">VLOOKUP(G1386,INDIRECT("球速変換!A$1:B$" &amp; Prams!$B$8),2,)</f>
        <v>141</v>
      </c>
      <c r="K1386" t="str">
        <f ca="1">VLOOKUP(I1386,INDIRECT("投手名変換!A$1:B$" &amp; Prams!$B$9),2,)</f>
        <v>パワプロ</v>
      </c>
      <c r="L1386">
        <f t="shared" si="123"/>
        <v>26</v>
      </c>
      <c r="M1386">
        <f ca="1">(B1386-VLOOKUP(K1386,INDIRECT("投手データ!B1:D"&amp;Prams!$B$1),3,FALSE)*2)</f>
        <v>35</v>
      </c>
      <c r="N1386" t="str">
        <f ca="1">VLOOKUP(F1386,INDIRECT("球種変換表!A$1:B$" &amp; Prams!$B$2),2,)</f>
        <v>ストレート</v>
      </c>
      <c r="O1386">
        <f ca="1">VLOOKUP(N1386,球種情報!A:B,2,FALSE)</f>
        <v>1</v>
      </c>
      <c r="P1386">
        <f ca="1">VLOOKUP(K1386,投手データ!B:AI,output!O1386+6,FALSE)</f>
        <v>0</v>
      </c>
      <c r="Q1386" t="s">
        <v>3452</v>
      </c>
      <c r="R1386">
        <f t="shared" ca="1" si="124"/>
        <v>7.0921985815602835E-3</v>
      </c>
      <c r="S1386">
        <f t="shared" si="125"/>
        <v>0.41909722222222218</v>
      </c>
      <c r="T1386">
        <f>Prams!B$5/(S1386-Prams!B$6)</f>
        <v>172.3062392097053</v>
      </c>
      <c r="U1386">
        <f t="shared" ca="1" si="126"/>
        <v>0.56909722222222225</v>
      </c>
      <c r="V1386">
        <f ca="1">Prams!C$5/(U1386-Prams!C$6)</f>
        <v>145.29589565149269</v>
      </c>
      <c r="W1386">
        <f t="shared" ca="1" si="127"/>
        <v>1.0304673450460473</v>
      </c>
    </row>
    <row r="1387" spans="1:23" hidden="1" x14ac:dyDescent="0.55000000000000004">
      <c r="A1387" s="1" t="s">
        <v>3434</v>
      </c>
      <c r="B1387" s="1">
        <v>129</v>
      </c>
      <c r="C1387">
        <v>639</v>
      </c>
      <c r="D1387">
        <v>612.5</v>
      </c>
      <c r="E1387">
        <v>11.01146</v>
      </c>
      <c r="F1387" t="s">
        <v>1</v>
      </c>
      <c r="G1387" s="10" t="s">
        <v>1914</v>
      </c>
      <c r="H1387">
        <v>103</v>
      </c>
      <c r="I1387" t="s">
        <v>3078</v>
      </c>
      <c r="J1387">
        <f ca="1">VLOOKUP(G1387,INDIRECT("球速変換!A$1:B$" &amp; Prams!$B$8),2,)</f>
        <v>139</v>
      </c>
      <c r="K1387" t="str">
        <f ca="1">VLOOKUP(I1387,INDIRECT("投手名変換!A$1:B$" &amp; Prams!$B$9),2,)</f>
        <v>パワプロ</v>
      </c>
      <c r="L1387">
        <f t="shared" si="123"/>
        <v>26</v>
      </c>
      <c r="M1387">
        <f ca="1">(B1387-VLOOKUP(K1387,INDIRECT("投手データ!B1:D"&amp;Prams!$B$1),3,FALSE)*2)</f>
        <v>35</v>
      </c>
      <c r="N1387" t="str">
        <f ca="1">VLOOKUP(F1387,INDIRECT("球種変換表!A$1:B$" &amp; Prams!$B$2),2,)</f>
        <v>ストレート</v>
      </c>
      <c r="O1387">
        <f ca="1">VLOOKUP(N1387,球種情報!A:B,2,FALSE)</f>
        <v>1</v>
      </c>
      <c r="P1387">
        <f ca="1">VLOOKUP(K1387,投手データ!B:AI,output!O1387+6,FALSE)</f>
        <v>0</v>
      </c>
      <c r="Q1387" t="s">
        <v>3452</v>
      </c>
      <c r="R1387">
        <f t="shared" ca="1" si="124"/>
        <v>7.1942446043165471E-3</v>
      </c>
      <c r="S1387">
        <f t="shared" si="125"/>
        <v>0.42465277777777782</v>
      </c>
      <c r="T1387">
        <f>Prams!B$5/(S1387-Prams!B$6)</f>
        <v>169.67895888447549</v>
      </c>
      <c r="U1387">
        <f t="shared" ca="1" si="126"/>
        <v>0.57465277777777779</v>
      </c>
      <c r="V1387">
        <f ca="1">Prams!C$5/(U1387-Prams!C$6)</f>
        <v>143.42327247887923</v>
      </c>
      <c r="W1387">
        <f t="shared" ca="1" si="127"/>
        <v>1.0318221041645987</v>
      </c>
    </row>
    <row r="1388" spans="1:23" hidden="1" x14ac:dyDescent="0.55000000000000004">
      <c r="A1388" s="1" t="s">
        <v>3435</v>
      </c>
      <c r="B1388" s="1">
        <v>129</v>
      </c>
      <c r="C1388">
        <v>640.5</v>
      </c>
      <c r="D1388">
        <v>618.5</v>
      </c>
      <c r="E1388">
        <v>10.512</v>
      </c>
      <c r="F1388" t="s">
        <v>1</v>
      </c>
      <c r="G1388" s="10" t="s">
        <v>3079</v>
      </c>
      <c r="H1388">
        <v>103</v>
      </c>
      <c r="I1388" t="s">
        <v>3078</v>
      </c>
      <c r="J1388">
        <f ca="1">VLOOKUP(G1388,INDIRECT("球速変換!A$1:B$" &amp; Prams!$B$8),2,)</f>
        <v>140</v>
      </c>
      <c r="K1388" t="str">
        <f ca="1">VLOOKUP(I1388,INDIRECT("投手名変換!A$1:B$" &amp; Prams!$B$9),2,)</f>
        <v>パワプロ</v>
      </c>
      <c r="L1388">
        <f t="shared" si="123"/>
        <v>26</v>
      </c>
      <c r="M1388">
        <f ca="1">(B1388-VLOOKUP(K1388,INDIRECT("投手データ!B1:D"&amp;Prams!$B$1),3,FALSE)*2)</f>
        <v>35</v>
      </c>
      <c r="N1388" t="str">
        <f ca="1">VLOOKUP(F1388,INDIRECT("球種変換表!A$1:B$" &amp; Prams!$B$2),2,)</f>
        <v>ストレート</v>
      </c>
      <c r="O1388">
        <f ca="1">VLOOKUP(N1388,球種情報!A:B,2,FALSE)</f>
        <v>1</v>
      </c>
      <c r="P1388">
        <f ca="1">VLOOKUP(K1388,投手データ!B:AI,output!O1388+6,FALSE)</f>
        <v>0</v>
      </c>
      <c r="Q1388" t="s">
        <v>3452</v>
      </c>
      <c r="R1388">
        <f t="shared" ca="1" si="124"/>
        <v>7.1428571428571426E-3</v>
      </c>
      <c r="S1388">
        <f t="shared" si="125"/>
        <v>0.42048611111111112</v>
      </c>
      <c r="T1388">
        <f>Prams!B$5/(S1388-Prams!B$6)</f>
        <v>171.64182097218259</v>
      </c>
      <c r="U1388">
        <f t="shared" ca="1" si="126"/>
        <v>0.57048611111111103</v>
      </c>
      <c r="V1388">
        <f ca="1">Prams!C$5/(U1388-Prams!C$6)</f>
        <v>144.82317037461203</v>
      </c>
      <c r="W1388">
        <f t="shared" ca="1" si="127"/>
        <v>1.0344512169615145</v>
      </c>
    </row>
    <row r="1389" spans="1:23" hidden="1" x14ac:dyDescent="0.55000000000000004">
      <c r="A1389" s="1" t="s">
        <v>3436</v>
      </c>
      <c r="B1389" s="1">
        <v>128</v>
      </c>
      <c r="C1389">
        <v>638</v>
      </c>
      <c r="D1389">
        <v>606</v>
      </c>
      <c r="E1389">
        <v>11.0001</v>
      </c>
      <c r="F1389" t="s">
        <v>1</v>
      </c>
      <c r="G1389" s="10" t="s">
        <v>2861</v>
      </c>
      <c r="H1389">
        <v>103</v>
      </c>
      <c r="I1389" t="s">
        <v>3078</v>
      </c>
      <c r="J1389">
        <f ca="1">VLOOKUP(G1389,INDIRECT("球速変換!A$1:B$" &amp; Prams!$B$8),2,)</f>
        <v>141</v>
      </c>
      <c r="K1389" t="str">
        <f ca="1">VLOOKUP(I1389,INDIRECT("投手名変換!A$1:B$" &amp; Prams!$B$9),2,)</f>
        <v>パワプロ</v>
      </c>
      <c r="L1389">
        <f t="shared" si="123"/>
        <v>25</v>
      </c>
      <c r="M1389">
        <f ca="1">(B1389-VLOOKUP(K1389,INDIRECT("投手データ!B1:D"&amp;Prams!$B$1),3,FALSE)*2)</f>
        <v>34</v>
      </c>
      <c r="N1389" t="str">
        <f ca="1">VLOOKUP(F1389,INDIRECT("球種変換表!A$1:B$" &amp; Prams!$B$2),2,)</f>
        <v>ストレート</v>
      </c>
      <c r="O1389">
        <f ca="1">VLOOKUP(N1389,球種情報!A:B,2,FALSE)</f>
        <v>1</v>
      </c>
      <c r="P1389">
        <f ca="1">VLOOKUP(K1389,投手データ!B:AI,output!O1389+6,FALSE)</f>
        <v>0</v>
      </c>
      <c r="Q1389" t="s">
        <v>3452</v>
      </c>
      <c r="R1389">
        <f t="shared" ca="1" si="124"/>
        <v>7.0921985815602835E-3</v>
      </c>
      <c r="S1389">
        <f t="shared" si="125"/>
        <v>0.41249999999999998</v>
      </c>
      <c r="T1389">
        <f>Prams!B$5/(S1389-Prams!B$6)</f>
        <v>175.5337876206701</v>
      </c>
      <c r="U1389">
        <f t="shared" ca="1" si="126"/>
        <v>0.5625</v>
      </c>
      <c r="V1389">
        <f ca="1">Prams!C$5/(U1389-Prams!C$6)</f>
        <v>147.584148961566</v>
      </c>
      <c r="W1389">
        <f t="shared" ca="1" si="127"/>
        <v>1.046696091926</v>
      </c>
    </row>
    <row r="1390" spans="1:23" hidden="1" x14ac:dyDescent="0.55000000000000004">
      <c r="A1390" s="1" t="s">
        <v>3437</v>
      </c>
      <c r="B1390" s="1">
        <v>132</v>
      </c>
      <c r="C1390">
        <v>640</v>
      </c>
      <c r="D1390">
        <v>617.5</v>
      </c>
      <c r="E1390">
        <v>11.01146</v>
      </c>
      <c r="F1390" t="s">
        <v>1</v>
      </c>
      <c r="G1390" s="10" t="s">
        <v>1912</v>
      </c>
      <c r="H1390">
        <v>106</v>
      </c>
      <c r="I1390" t="s">
        <v>3078</v>
      </c>
      <c r="J1390">
        <f ca="1">VLOOKUP(G1390,INDIRECT("球速変換!A$1:B$" &amp; Prams!$B$8),2,)</f>
        <v>140</v>
      </c>
      <c r="K1390" t="str">
        <f ca="1">VLOOKUP(I1390,INDIRECT("投手名変換!A$1:B$" &amp; Prams!$B$9),2,)</f>
        <v>パワプロ</v>
      </c>
      <c r="L1390">
        <f t="shared" si="123"/>
        <v>26</v>
      </c>
      <c r="M1390">
        <f ca="1">(B1390-VLOOKUP(K1390,INDIRECT("投手データ!B1:D"&amp;Prams!$B$1),3,FALSE)*2)</f>
        <v>38</v>
      </c>
      <c r="N1390" t="str">
        <f ca="1">VLOOKUP(F1390,INDIRECT("球種変換表!A$1:B$" &amp; Prams!$B$2),2,)</f>
        <v>ストレート</v>
      </c>
      <c r="O1390">
        <f ca="1">VLOOKUP(N1390,球種情報!A:B,2,FALSE)</f>
        <v>1</v>
      </c>
      <c r="P1390">
        <f ca="1">VLOOKUP(K1390,投手データ!B:AI,output!O1390+6,FALSE)</f>
        <v>0</v>
      </c>
      <c r="Q1390" t="s">
        <v>3452</v>
      </c>
      <c r="R1390">
        <f t="shared" ca="1" si="124"/>
        <v>7.1428571428571426E-3</v>
      </c>
      <c r="S1390">
        <f t="shared" si="125"/>
        <v>0.42118055555555556</v>
      </c>
      <c r="T1390">
        <f>Prams!B$5/(S1390-Prams!B$6)</f>
        <v>171.31152966894248</v>
      </c>
      <c r="U1390">
        <f t="shared" ca="1" si="126"/>
        <v>0.62118055555555562</v>
      </c>
      <c r="V1390">
        <f ca="1">Prams!C$5/(U1390-Prams!C$6)</f>
        <v>129.45041267034645</v>
      </c>
      <c r="W1390">
        <f t="shared" ca="1" si="127"/>
        <v>0.92464580478818892</v>
      </c>
    </row>
    <row r="1391" spans="1:23" hidden="1" x14ac:dyDescent="0.55000000000000004">
      <c r="A1391" s="1" t="s">
        <v>3438</v>
      </c>
      <c r="B1391" s="1">
        <v>129</v>
      </c>
      <c r="C1391">
        <v>640.5</v>
      </c>
      <c r="D1391">
        <v>619.5</v>
      </c>
      <c r="E1391">
        <v>10.512</v>
      </c>
      <c r="F1391" t="s">
        <v>1</v>
      </c>
      <c r="G1391" s="10" t="s">
        <v>1912</v>
      </c>
      <c r="H1391">
        <v>103</v>
      </c>
      <c r="I1391" t="s">
        <v>3078</v>
      </c>
      <c r="J1391">
        <f ca="1">VLOOKUP(G1391,INDIRECT("球速変換!A$1:B$" &amp; Prams!$B$8),2,)</f>
        <v>140</v>
      </c>
      <c r="K1391" t="str">
        <f ca="1">VLOOKUP(I1391,INDIRECT("投手名変換!A$1:B$" &amp; Prams!$B$9),2,)</f>
        <v>パワプロ</v>
      </c>
      <c r="L1391">
        <f t="shared" si="123"/>
        <v>26</v>
      </c>
      <c r="M1391">
        <f ca="1">(B1391-VLOOKUP(K1391,INDIRECT("投手データ!B1:D"&amp;Prams!$B$1),3,FALSE)*2)</f>
        <v>35</v>
      </c>
      <c r="N1391" t="str">
        <f ca="1">VLOOKUP(F1391,INDIRECT("球種変換表!A$1:B$" &amp; Prams!$B$2),2,)</f>
        <v>ストレート</v>
      </c>
      <c r="O1391">
        <f ca="1">VLOOKUP(N1391,球種情報!A:B,2,FALSE)</f>
        <v>1</v>
      </c>
      <c r="P1391">
        <f ca="1">VLOOKUP(K1391,投手データ!B:AI,output!O1391+6,FALSE)</f>
        <v>0</v>
      </c>
      <c r="Q1391" t="s">
        <v>3452</v>
      </c>
      <c r="R1391">
        <f t="shared" ca="1" si="124"/>
        <v>7.1428571428571426E-3</v>
      </c>
      <c r="S1391">
        <f t="shared" si="125"/>
        <v>0.41979166666666667</v>
      </c>
      <c r="T1391">
        <f>Prams!B$5/(S1391-Prams!B$6)</f>
        <v>171.97338834928951</v>
      </c>
      <c r="U1391">
        <f t="shared" ca="1" si="126"/>
        <v>0.5697916666666667</v>
      </c>
      <c r="V1391">
        <f ca="1">Prams!C$5/(U1391-Prams!C$6)</f>
        <v>145.05914787947518</v>
      </c>
      <c r="W1391">
        <f t="shared" ca="1" si="127"/>
        <v>1.0361367705676798</v>
      </c>
    </row>
    <row r="1392" spans="1:23" hidden="1" x14ac:dyDescent="0.55000000000000004">
      <c r="A1392" s="1" t="s">
        <v>3439</v>
      </c>
      <c r="B1392" s="1">
        <v>129</v>
      </c>
      <c r="C1392">
        <v>639.5</v>
      </c>
      <c r="D1392">
        <v>614.5</v>
      </c>
      <c r="E1392">
        <v>10.512</v>
      </c>
      <c r="F1392" t="s">
        <v>1</v>
      </c>
      <c r="G1392" s="10" t="s">
        <v>2862</v>
      </c>
      <c r="H1392">
        <v>103</v>
      </c>
      <c r="I1392" t="s">
        <v>3078</v>
      </c>
      <c r="J1392">
        <f ca="1">VLOOKUP(G1392,INDIRECT("球速変換!A$1:B$" &amp; Prams!$B$8),2,)</f>
        <v>139</v>
      </c>
      <c r="K1392" t="str">
        <f ca="1">VLOOKUP(I1392,INDIRECT("投手名変換!A$1:B$" &amp; Prams!$B$9),2,)</f>
        <v>パワプロ</v>
      </c>
      <c r="L1392">
        <f t="shared" si="123"/>
        <v>26</v>
      </c>
      <c r="M1392">
        <f ca="1">(B1392-VLOOKUP(K1392,INDIRECT("投手データ!B1:D"&amp;Prams!$B$1),3,FALSE)*2)</f>
        <v>35</v>
      </c>
      <c r="N1392" t="str">
        <f ca="1">VLOOKUP(F1392,INDIRECT("球種変換表!A$1:B$" &amp; Prams!$B$2),2,)</f>
        <v>ストレート</v>
      </c>
      <c r="O1392">
        <f ca="1">VLOOKUP(N1392,球種情報!A:B,2,FALSE)</f>
        <v>1</v>
      </c>
      <c r="P1392">
        <f ca="1">VLOOKUP(K1392,投手データ!B:AI,output!O1392+6,FALSE)</f>
        <v>0</v>
      </c>
      <c r="Q1392" t="s">
        <v>3452</v>
      </c>
      <c r="R1392">
        <f t="shared" ca="1" si="124"/>
        <v>7.1942446043165471E-3</v>
      </c>
      <c r="S1392">
        <f t="shared" si="125"/>
        <v>0.42326388888888888</v>
      </c>
      <c r="T1392">
        <f>Prams!B$5/(S1392-Prams!B$6)</f>
        <v>170.3282389585741</v>
      </c>
      <c r="U1392">
        <f t="shared" ca="1" si="126"/>
        <v>0.57326388888888891</v>
      </c>
      <c r="V1392">
        <f ca="1">Prams!C$5/(U1392-Prams!C$6)</f>
        <v>143.88688833002541</v>
      </c>
      <c r="W1392">
        <f t="shared" ca="1" si="127"/>
        <v>1.0351574700001829</v>
      </c>
    </row>
    <row r="1393" spans="1:23" x14ac:dyDescent="0.55000000000000004">
      <c r="A1393" s="1" t="s">
        <v>3440</v>
      </c>
      <c r="B1393" s="1">
        <v>127</v>
      </c>
      <c r="C1393">
        <v>641</v>
      </c>
      <c r="D1393">
        <v>618.5</v>
      </c>
      <c r="E1393">
        <v>11.01146</v>
      </c>
      <c r="F1393" t="s">
        <v>5</v>
      </c>
      <c r="G1393" s="10" t="s">
        <v>645</v>
      </c>
      <c r="H1393">
        <v>102</v>
      </c>
      <c r="I1393" t="s">
        <v>3078</v>
      </c>
      <c r="J1393">
        <f ca="1">VLOOKUP(G1393,INDIRECT("球速変換!A$1:B$" &amp; Prams!$B$8),2,)</f>
        <v>142</v>
      </c>
      <c r="K1393" t="str">
        <f ca="1">VLOOKUP(I1393,INDIRECT("投手名変換!A$1:B$" &amp; Prams!$B$9),2,)</f>
        <v>パワプロ</v>
      </c>
      <c r="L1393">
        <f t="shared" si="123"/>
        <v>25</v>
      </c>
      <c r="M1393">
        <f ca="1">(B1393-VLOOKUP(K1393,INDIRECT("投手データ!B1:D"&amp;Prams!$B$1),3,FALSE)*2)</f>
        <v>33</v>
      </c>
      <c r="N1393" t="str">
        <f ca="1">VLOOKUP(F1393,INDIRECT("球種変換表!A$1:B$" &amp; Prams!$B$2),2,)</f>
        <v>全力ストレート</v>
      </c>
      <c r="O1393">
        <f ca="1">VLOOKUP(N1393,球種情報!A:B,2,FALSE)</f>
        <v>2</v>
      </c>
      <c r="P1393">
        <f ca="1">VLOOKUP(K1393,投手データ!B:AI,output!O1393+6,FALSE)</f>
        <v>0</v>
      </c>
      <c r="Q1393" t="s">
        <v>3452</v>
      </c>
      <c r="R1393">
        <f t="shared" ca="1" si="124"/>
        <v>7.0422535211267607E-3</v>
      </c>
      <c r="S1393">
        <f t="shared" si="125"/>
        <v>0.40381944444444445</v>
      </c>
      <c r="T1393">
        <f>Prams!B$5/(S1393-Prams!B$6)</f>
        <v>179.96943404465219</v>
      </c>
      <c r="U1393">
        <f t="shared" ca="1" si="126"/>
        <v>0.5371527777777777</v>
      </c>
      <c r="V1393">
        <f ca="1">Prams!C$5/(U1393-Prams!C$6)</f>
        <v>157.08947691612732</v>
      </c>
      <c r="W1393">
        <f t="shared" ca="1" si="127"/>
        <v>1.1062639219445587</v>
      </c>
    </row>
    <row r="1394" spans="1:23" x14ac:dyDescent="0.55000000000000004">
      <c r="A1394" s="1" t="s">
        <v>3441</v>
      </c>
      <c r="B1394" s="1">
        <v>125</v>
      </c>
      <c r="C1394">
        <v>639.5</v>
      </c>
      <c r="D1394">
        <v>610.5</v>
      </c>
      <c r="E1394">
        <v>10.512</v>
      </c>
      <c r="F1394" t="s">
        <v>5</v>
      </c>
      <c r="G1394" s="10" t="s">
        <v>2862</v>
      </c>
      <c r="H1394">
        <v>102</v>
      </c>
      <c r="I1394" t="s">
        <v>3078</v>
      </c>
      <c r="J1394">
        <f ca="1">VLOOKUP(G1394,INDIRECT("球速変換!A$1:B$" &amp; Prams!$B$8),2,)</f>
        <v>139</v>
      </c>
      <c r="K1394" t="str">
        <f ca="1">VLOOKUP(I1394,INDIRECT("投手名変換!A$1:B$" &amp; Prams!$B$9),2,)</f>
        <v>パワプロ</v>
      </c>
      <c r="L1394">
        <f t="shared" si="123"/>
        <v>23</v>
      </c>
      <c r="M1394">
        <f ca="1">(B1394-VLOOKUP(K1394,INDIRECT("投手データ!B1:D"&amp;Prams!$B$1),3,FALSE)*2)</f>
        <v>31</v>
      </c>
      <c r="N1394" t="str">
        <f ca="1">VLOOKUP(F1394,INDIRECT("球種変換表!A$1:B$" &amp; Prams!$B$2),2,)</f>
        <v>全力ストレート</v>
      </c>
      <c r="O1394">
        <f ca="1">VLOOKUP(N1394,球種情報!A:B,2,FALSE)</f>
        <v>2</v>
      </c>
      <c r="P1394">
        <f ca="1">VLOOKUP(K1394,投手データ!B:AI,output!O1394+6,FALSE)</f>
        <v>0</v>
      </c>
      <c r="Q1394" t="s">
        <v>3452</v>
      </c>
      <c r="R1394">
        <f t="shared" ca="1" si="124"/>
        <v>7.1942446043165471E-3</v>
      </c>
      <c r="S1394">
        <f t="shared" si="125"/>
        <v>0.37604166666666666</v>
      </c>
      <c r="T1394">
        <f>Prams!B$5/(S1394-Prams!B$6)</f>
        <v>195.80247565256408</v>
      </c>
      <c r="U1394">
        <f t="shared" ca="1" si="126"/>
        <v>0.50937500000000002</v>
      </c>
      <c r="V1394">
        <f ca="1">Prams!C$5/(U1394-Prams!C$6)</f>
        <v>169.01920579591277</v>
      </c>
      <c r="W1394">
        <f t="shared" ca="1" si="127"/>
        <v>1.2159655093231134</v>
      </c>
    </row>
    <row r="1395" spans="1:23" x14ac:dyDescent="0.55000000000000004">
      <c r="A1395" s="1" t="s">
        <v>3443</v>
      </c>
      <c r="B1395" s="1">
        <v>126</v>
      </c>
      <c r="C1395">
        <v>639.5</v>
      </c>
      <c r="D1395">
        <v>610</v>
      </c>
      <c r="E1395">
        <v>11.5001</v>
      </c>
      <c r="F1395" t="s">
        <v>3442</v>
      </c>
      <c r="G1395" s="10" t="s">
        <v>2862</v>
      </c>
      <c r="H1395">
        <v>103</v>
      </c>
      <c r="I1395" t="s">
        <v>3078</v>
      </c>
      <c r="J1395">
        <f ca="1">VLOOKUP(G1395,INDIRECT("球速変換!A$1:B$" &amp; Prams!$B$8),2,)</f>
        <v>139</v>
      </c>
      <c r="K1395" t="str">
        <f ca="1">VLOOKUP(I1395,INDIRECT("投手名変換!A$1:B$" &amp; Prams!$B$9),2,)</f>
        <v>パワプロ</v>
      </c>
      <c r="L1395">
        <f t="shared" si="123"/>
        <v>23</v>
      </c>
      <c r="M1395">
        <f ca="1">(B1395-VLOOKUP(K1395,INDIRECT("投手データ!B1:D"&amp;Prams!$B$1),3,FALSE)*2)</f>
        <v>32</v>
      </c>
      <c r="N1395" t="str">
        <f ca="1">VLOOKUP(F1395,INDIRECT("球種変換表!A$1:B$" &amp; Prams!$B$2),2,)</f>
        <v>全力ストレート</v>
      </c>
      <c r="O1395">
        <f ca="1">VLOOKUP(N1395,球種情報!A:B,2,FALSE)</f>
        <v>2</v>
      </c>
      <c r="P1395">
        <f ca="1">VLOOKUP(K1395,投手データ!B:AI,output!O1395+6,FALSE)</f>
        <v>0</v>
      </c>
      <c r="Q1395" t="s">
        <v>3452</v>
      </c>
      <c r="R1395">
        <f t="shared" ca="1" si="124"/>
        <v>7.1942446043165471E-3</v>
      </c>
      <c r="S1395">
        <f t="shared" si="125"/>
        <v>0.37638888888888888</v>
      </c>
      <c r="T1395">
        <f>Prams!B$5/(S1395-Prams!B$6)</f>
        <v>195.58738751406077</v>
      </c>
      <c r="U1395">
        <f t="shared" ca="1" si="126"/>
        <v>0.52638888888888891</v>
      </c>
      <c r="V1395">
        <f ca="1">Prams!C$5/(U1395-Prams!C$6)</f>
        <v>161.50677774230064</v>
      </c>
      <c r="W1395">
        <f t="shared" ca="1" si="127"/>
        <v>1.1619192643330982</v>
      </c>
    </row>
    <row r="1396" spans="1:23" x14ac:dyDescent="0.55000000000000004">
      <c r="A1396" s="1" t="s">
        <v>3444</v>
      </c>
      <c r="B1396" s="1">
        <v>125</v>
      </c>
      <c r="C1396">
        <v>640.5</v>
      </c>
      <c r="D1396">
        <v>616.5</v>
      </c>
      <c r="E1396">
        <v>10.512</v>
      </c>
      <c r="F1396" t="s">
        <v>5</v>
      </c>
      <c r="G1396" s="10" t="s">
        <v>2861</v>
      </c>
      <c r="H1396">
        <v>102</v>
      </c>
      <c r="I1396" t="s">
        <v>3078</v>
      </c>
      <c r="J1396">
        <f ca="1">VLOOKUP(G1396,INDIRECT("球速変換!A$1:B$" &amp; Prams!$B$8),2,)</f>
        <v>141</v>
      </c>
      <c r="K1396" t="str">
        <f ca="1">VLOOKUP(I1396,INDIRECT("投手名変換!A$1:B$" &amp; Prams!$B$9),2,)</f>
        <v>パワプロ</v>
      </c>
      <c r="L1396">
        <f t="shared" si="123"/>
        <v>23</v>
      </c>
      <c r="M1396">
        <f ca="1">(B1396-VLOOKUP(K1396,INDIRECT("投手データ!B1:D"&amp;Prams!$B$1),3,FALSE)*2)</f>
        <v>31</v>
      </c>
      <c r="N1396" t="str">
        <f ca="1">VLOOKUP(F1396,INDIRECT("球種変換表!A$1:B$" &amp; Prams!$B$2),2,)</f>
        <v>全力ストレート</v>
      </c>
      <c r="O1396">
        <f ca="1">VLOOKUP(N1396,球種情報!A:B,2,FALSE)</f>
        <v>2</v>
      </c>
      <c r="P1396">
        <f ca="1">VLOOKUP(K1396,投手データ!B:AI,output!O1396+6,FALSE)</f>
        <v>0</v>
      </c>
      <c r="Q1396" t="s">
        <v>3452</v>
      </c>
      <c r="R1396">
        <f t="shared" ca="1" si="124"/>
        <v>7.0921985815602835E-3</v>
      </c>
      <c r="S1396">
        <f t="shared" si="125"/>
        <v>0.37187500000000001</v>
      </c>
      <c r="T1396">
        <f>Prams!B$5/(S1396-Prams!B$6)</f>
        <v>198.42092594078474</v>
      </c>
      <c r="U1396">
        <f t="shared" ca="1" si="126"/>
        <v>0.50520833333333337</v>
      </c>
      <c r="V1396">
        <f ca="1">Prams!C$5/(U1396-Prams!C$6)</f>
        <v>170.96674578849121</v>
      </c>
      <c r="W1396">
        <f t="shared" ca="1" si="127"/>
        <v>1.2125301119751151</v>
      </c>
    </row>
    <row r="1397" spans="1:23" x14ac:dyDescent="0.55000000000000004">
      <c r="A1397" s="1" t="s">
        <v>3445</v>
      </c>
      <c r="B1397" s="1">
        <v>125</v>
      </c>
      <c r="C1397">
        <v>640.45239000000004</v>
      </c>
      <c r="D1397">
        <v>613.5</v>
      </c>
      <c r="E1397">
        <v>10.55955</v>
      </c>
      <c r="F1397" t="s">
        <v>2863</v>
      </c>
      <c r="G1397" s="10" t="s">
        <v>1912</v>
      </c>
      <c r="H1397">
        <v>102</v>
      </c>
      <c r="I1397" t="s">
        <v>3078</v>
      </c>
      <c r="J1397">
        <f ca="1">VLOOKUP(G1397,INDIRECT("球速変換!A$1:B$" &amp; Prams!$B$8),2,)</f>
        <v>140</v>
      </c>
      <c r="K1397" t="str">
        <f ca="1">VLOOKUP(I1397,INDIRECT("投手名変換!A$1:B$" &amp; Prams!$B$9),2,)</f>
        <v>パワプロ</v>
      </c>
      <c r="L1397">
        <f t="shared" si="123"/>
        <v>23</v>
      </c>
      <c r="M1397">
        <f ca="1">(B1397-VLOOKUP(K1397,INDIRECT("投手データ!B1:D"&amp;Prams!$B$1),3,FALSE)*2)</f>
        <v>31</v>
      </c>
      <c r="N1397" t="str">
        <f ca="1">VLOOKUP(F1397,INDIRECT("球種変換表!A$1:B$" &amp; Prams!$B$2),2,)</f>
        <v>全力ストレート</v>
      </c>
      <c r="O1397">
        <f ca="1">VLOOKUP(N1397,球種情報!A:B,2,FALSE)</f>
        <v>2</v>
      </c>
      <c r="P1397">
        <f ca="1">VLOOKUP(K1397,投手データ!B:AI,output!O1397+6,FALSE)</f>
        <v>0</v>
      </c>
      <c r="Q1397" t="s">
        <v>3452</v>
      </c>
      <c r="R1397">
        <f t="shared" ca="1" si="124"/>
        <v>7.1428571428571426E-3</v>
      </c>
      <c r="S1397">
        <f t="shared" si="125"/>
        <v>0.37395833333333334</v>
      </c>
      <c r="T1397">
        <f>Prams!B$5/(S1397-Prams!B$6)</f>
        <v>197.10300486197829</v>
      </c>
      <c r="U1397">
        <f t="shared" ca="1" si="126"/>
        <v>0.5072916666666667</v>
      </c>
      <c r="V1397">
        <f ca="1">Prams!C$5/(U1397-Prams!C$6)</f>
        <v>169.98739774992552</v>
      </c>
      <c r="W1397">
        <f t="shared" ca="1" si="127"/>
        <v>1.2141956982137536</v>
      </c>
    </row>
    <row r="1398" spans="1:23" x14ac:dyDescent="0.55000000000000004">
      <c r="A1398" s="1" t="s">
        <v>3446</v>
      </c>
      <c r="B1398" s="1">
        <v>125</v>
      </c>
      <c r="C1398">
        <v>640</v>
      </c>
      <c r="D1398">
        <v>615.5</v>
      </c>
      <c r="E1398">
        <v>11.01146</v>
      </c>
      <c r="F1398" t="s">
        <v>5</v>
      </c>
      <c r="G1398" s="10" t="s">
        <v>3081</v>
      </c>
      <c r="H1398">
        <v>102</v>
      </c>
      <c r="I1398" t="s">
        <v>3078</v>
      </c>
      <c r="J1398">
        <f ca="1">VLOOKUP(G1398,INDIRECT("球速変換!A$1:B$" &amp; Prams!$B$8),2,)</f>
        <v>145</v>
      </c>
      <c r="K1398" t="str">
        <f ca="1">VLOOKUP(I1398,INDIRECT("投手名変換!A$1:B$" &amp; Prams!$B$9),2,)</f>
        <v>パワプロ</v>
      </c>
      <c r="L1398">
        <f t="shared" si="123"/>
        <v>23</v>
      </c>
      <c r="M1398">
        <f ca="1">(B1398-VLOOKUP(K1398,INDIRECT("投手データ!B1:D"&amp;Prams!$B$1),3,FALSE)*2)</f>
        <v>31</v>
      </c>
      <c r="N1398" t="str">
        <f ca="1">VLOOKUP(F1398,INDIRECT("球種変換表!A$1:B$" &amp; Prams!$B$2),2,)</f>
        <v>全力ストレート</v>
      </c>
      <c r="O1398">
        <f ca="1">VLOOKUP(N1398,球種情報!A:B,2,FALSE)</f>
        <v>2</v>
      </c>
      <c r="P1398">
        <f ca="1">VLOOKUP(K1398,投手データ!B:AI,output!O1398+6,FALSE)</f>
        <v>0</v>
      </c>
      <c r="Q1398" t="s">
        <v>3452</v>
      </c>
      <c r="R1398">
        <f t="shared" ca="1" si="124"/>
        <v>6.8965517241379309E-3</v>
      </c>
      <c r="S1398">
        <f t="shared" si="125"/>
        <v>0.37256944444444445</v>
      </c>
      <c r="T1398">
        <f>Prams!B$5/(S1398-Prams!B$6)</f>
        <v>197.9796649972869</v>
      </c>
      <c r="U1398">
        <f t="shared" ca="1" si="126"/>
        <v>0.50590277777777781</v>
      </c>
      <c r="V1398">
        <f ca="1">Prams!C$5/(U1398-Prams!C$6)</f>
        <v>170.63904499766156</v>
      </c>
      <c r="W1398">
        <f t="shared" ca="1" si="127"/>
        <v>1.1768209999838728</v>
      </c>
    </row>
    <row r="1399" spans="1:23" x14ac:dyDescent="0.55000000000000004">
      <c r="A1399" s="1" t="s">
        <v>3447</v>
      </c>
      <c r="B1399" s="1">
        <v>125</v>
      </c>
      <c r="C1399">
        <v>640.5</v>
      </c>
      <c r="D1399">
        <v>621.5</v>
      </c>
      <c r="E1399">
        <v>10.512</v>
      </c>
      <c r="F1399" t="s">
        <v>5</v>
      </c>
      <c r="G1399" s="10" t="s">
        <v>3080</v>
      </c>
      <c r="H1399">
        <v>102</v>
      </c>
      <c r="I1399" t="s">
        <v>3078</v>
      </c>
      <c r="J1399">
        <f ca="1">VLOOKUP(G1399,INDIRECT("球速変換!A$1:B$" &amp; Prams!$B$8),2,)</f>
        <v>148</v>
      </c>
      <c r="K1399" t="str">
        <f ca="1">VLOOKUP(I1399,INDIRECT("投手名変換!A$1:B$" &amp; Prams!$B$9),2,)</f>
        <v>パワプロ</v>
      </c>
      <c r="L1399">
        <f t="shared" si="123"/>
        <v>23</v>
      </c>
      <c r="M1399">
        <f ca="1">(B1399-VLOOKUP(K1399,INDIRECT("投手データ!B1:D"&amp;Prams!$B$1),3,FALSE)*2)</f>
        <v>31</v>
      </c>
      <c r="N1399" t="str">
        <f ca="1">VLOOKUP(F1399,INDIRECT("球種変換表!A$1:B$" &amp; Prams!$B$2),2,)</f>
        <v>全力ストレート</v>
      </c>
      <c r="O1399">
        <f ca="1">VLOOKUP(N1399,球種情報!A:B,2,FALSE)</f>
        <v>2</v>
      </c>
      <c r="P1399">
        <f ca="1">VLOOKUP(K1399,投手データ!B:AI,output!O1399+6,FALSE)</f>
        <v>0</v>
      </c>
      <c r="Q1399" t="s">
        <v>3452</v>
      </c>
      <c r="R1399">
        <f t="shared" ca="1" si="124"/>
        <v>6.7567567567567571E-3</v>
      </c>
      <c r="S1399">
        <f t="shared" si="125"/>
        <v>0.3684027777777778</v>
      </c>
      <c r="T1399">
        <f>Prams!B$5/(S1399-Prams!B$6)</f>
        <v>200.65706789761714</v>
      </c>
      <c r="U1399">
        <f t="shared" ca="1" si="126"/>
        <v>0.50173611111111116</v>
      </c>
      <c r="V1399">
        <f ca="1">Prams!C$5/(U1399-Prams!C$6)</f>
        <v>172.62431260616307</v>
      </c>
      <c r="W1399">
        <f t="shared" ca="1" si="127"/>
        <v>1.1663804905821828</v>
      </c>
    </row>
    <row r="1400" spans="1:23" x14ac:dyDescent="0.55000000000000004">
      <c r="A1400" s="1" t="s">
        <v>3449</v>
      </c>
      <c r="B1400" s="1">
        <v>125</v>
      </c>
      <c r="C1400">
        <v>639.5</v>
      </c>
      <c r="D1400">
        <v>613.5</v>
      </c>
      <c r="E1400">
        <v>10.512</v>
      </c>
      <c r="F1400" t="s">
        <v>3448</v>
      </c>
      <c r="G1400" s="10" t="s">
        <v>1912</v>
      </c>
      <c r="H1400">
        <v>102</v>
      </c>
      <c r="I1400" t="s">
        <v>3078</v>
      </c>
      <c r="J1400">
        <f ca="1">VLOOKUP(G1400,INDIRECT("球速変換!A$1:B$" &amp; Prams!$B$8),2,)</f>
        <v>140</v>
      </c>
      <c r="K1400" t="str">
        <f ca="1">VLOOKUP(I1400,INDIRECT("投手名変換!A$1:B$" &amp; Prams!$B$9),2,)</f>
        <v>パワプロ</v>
      </c>
      <c r="L1400">
        <f t="shared" si="123"/>
        <v>23</v>
      </c>
      <c r="M1400">
        <f ca="1">(B1400-VLOOKUP(K1400,INDIRECT("投手データ!B1:D"&amp;Prams!$B$1),3,FALSE)*2)</f>
        <v>31</v>
      </c>
      <c r="N1400" t="str">
        <f ca="1">VLOOKUP(F1400,INDIRECT("球種変換表!A$1:B$" &amp; Prams!$B$2),2,)</f>
        <v>全力ストレート</v>
      </c>
      <c r="O1400">
        <f ca="1">VLOOKUP(N1400,球種情報!A:B,2,FALSE)</f>
        <v>2</v>
      </c>
      <c r="P1400">
        <f ca="1">VLOOKUP(K1400,投手データ!B:AI,output!O1400+6,FALSE)</f>
        <v>0</v>
      </c>
      <c r="Q1400" t="s">
        <v>3452</v>
      </c>
      <c r="R1400">
        <f t="shared" ca="1" si="124"/>
        <v>7.1428571428571426E-3</v>
      </c>
      <c r="S1400">
        <f t="shared" si="125"/>
        <v>0.37395833333333334</v>
      </c>
      <c r="T1400">
        <f>Prams!B$5/(S1400-Prams!B$6)</f>
        <v>197.10300486197829</v>
      </c>
      <c r="U1400">
        <f t="shared" ca="1" si="126"/>
        <v>0.5072916666666667</v>
      </c>
      <c r="V1400">
        <f ca="1">Prams!C$5/(U1400-Prams!C$6)</f>
        <v>169.98739774992552</v>
      </c>
      <c r="W1400">
        <f t="shared" ca="1" si="127"/>
        <v>1.2141956982137536</v>
      </c>
    </row>
    <row r="1401" spans="1:23" x14ac:dyDescent="0.55000000000000004">
      <c r="A1401" s="1" t="s">
        <v>3450</v>
      </c>
      <c r="B1401" s="1">
        <v>125</v>
      </c>
      <c r="C1401">
        <v>641.5</v>
      </c>
      <c r="D1401">
        <v>621.5</v>
      </c>
      <c r="E1401">
        <v>10.512</v>
      </c>
      <c r="F1401" t="s">
        <v>5</v>
      </c>
      <c r="G1401" s="10" t="s">
        <v>636</v>
      </c>
      <c r="H1401">
        <v>102</v>
      </c>
      <c r="I1401" t="s">
        <v>3078</v>
      </c>
      <c r="J1401">
        <f ca="1">VLOOKUP(G1401,INDIRECT("球速変換!A$1:B$" &amp; Prams!$B$8),2,)</f>
        <v>143</v>
      </c>
      <c r="K1401" t="str">
        <f ca="1">VLOOKUP(I1401,INDIRECT("投手名変換!A$1:B$" &amp; Prams!$B$9),2,)</f>
        <v>パワプロ</v>
      </c>
      <c r="L1401">
        <f t="shared" si="123"/>
        <v>23</v>
      </c>
      <c r="M1401">
        <f ca="1">(B1401-VLOOKUP(K1401,INDIRECT("投手データ!B1:D"&amp;Prams!$B$1),3,FALSE)*2)</f>
        <v>31</v>
      </c>
      <c r="N1401" t="str">
        <f ca="1">VLOOKUP(F1401,INDIRECT("球種変換表!A$1:B$" &amp; Prams!$B$2),2,)</f>
        <v>全力ストレート</v>
      </c>
      <c r="O1401">
        <f ca="1">VLOOKUP(N1401,球種情報!A:B,2,FALSE)</f>
        <v>2</v>
      </c>
      <c r="P1401">
        <f ca="1">VLOOKUP(K1401,投手データ!B:AI,output!O1401+6,FALSE)</f>
        <v>0</v>
      </c>
      <c r="Q1401" t="s">
        <v>3452</v>
      </c>
      <c r="R1401">
        <f t="shared" ca="1" si="124"/>
        <v>6.993006993006993E-3</v>
      </c>
      <c r="S1401">
        <f t="shared" si="125"/>
        <v>0.3684027777777778</v>
      </c>
      <c r="T1401">
        <f>Prams!B$5/(S1401-Prams!B$6)</f>
        <v>200.65706789761714</v>
      </c>
      <c r="U1401">
        <f t="shared" ca="1" si="126"/>
        <v>0.50173611111111116</v>
      </c>
      <c r="V1401">
        <f ca="1">Prams!C$5/(U1401-Prams!C$6)</f>
        <v>172.62431260616307</v>
      </c>
      <c r="W1401">
        <f t="shared" ca="1" si="127"/>
        <v>1.2071630252179235</v>
      </c>
    </row>
    <row r="1402" spans="1:23" x14ac:dyDescent="0.55000000000000004">
      <c r="A1402" s="1" t="s">
        <v>3451</v>
      </c>
      <c r="B1402" s="1">
        <v>125</v>
      </c>
      <c r="C1402">
        <v>639.5</v>
      </c>
      <c r="D1402">
        <v>612</v>
      </c>
      <c r="E1402">
        <v>10.547610000000001</v>
      </c>
      <c r="F1402" t="s">
        <v>5</v>
      </c>
      <c r="G1402" s="10" t="s">
        <v>1912</v>
      </c>
      <c r="H1402">
        <v>102</v>
      </c>
      <c r="I1402" t="s">
        <v>3078</v>
      </c>
      <c r="J1402">
        <f ca="1">VLOOKUP(G1402,INDIRECT("球速変換!A$1:B$" &amp; Prams!$B$8),2,)</f>
        <v>140</v>
      </c>
      <c r="K1402" t="str">
        <f ca="1">VLOOKUP(I1402,INDIRECT("投手名変換!A$1:B$" &amp; Prams!$B$9),2,)</f>
        <v>パワプロ</v>
      </c>
      <c r="L1402">
        <f t="shared" si="123"/>
        <v>23</v>
      </c>
      <c r="M1402">
        <f ca="1">(B1402-VLOOKUP(K1402,INDIRECT("投手データ!B1:D"&amp;Prams!$B$1),3,FALSE)*2)</f>
        <v>31</v>
      </c>
      <c r="N1402" t="str">
        <f ca="1">VLOOKUP(F1402,INDIRECT("球種変換表!A$1:B$" &amp; Prams!$B$2),2,)</f>
        <v>全力ストレート</v>
      </c>
      <c r="O1402">
        <f ca="1">VLOOKUP(N1402,球種情報!A:B,2,FALSE)</f>
        <v>2</v>
      </c>
      <c r="P1402">
        <f ca="1">VLOOKUP(K1402,投手データ!B:AI,output!O1402+6,FALSE)</f>
        <v>0</v>
      </c>
      <c r="Q1402" t="s">
        <v>3452</v>
      </c>
      <c r="R1402">
        <f t="shared" ca="1" si="124"/>
        <v>7.1428571428571426E-3</v>
      </c>
      <c r="S1402">
        <f t="shared" si="125"/>
        <v>0.375</v>
      </c>
      <c r="T1402">
        <f>Prams!B$5/(S1402-Prams!B$6)</f>
        <v>196.45058786145538</v>
      </c>
      <c r="U1402">
        <f t="shared" ca="1" si="126"/>
        <v>0.5083333333333333</v>
      </c>
      <c r="V1402">
        <f ca="1">Prams!C$5/(U1402-Prams!C$6)</f>
        <v>169.50191921038203</v>
      </c>
      <c r="W1402">
        <f t="shared" ca="1" si="127"/>
        <v>1.2107279943598717</v>
      </c>
    </row>
    <row r="1405" spans="1:23" x14ac:dyDescent="0.55000000000000004">
      <c r="A1405" s="1"/>
      <c r="B1405" s="1"/>
    </row>
    <row r="1408" spans="1:23" x14ac:dyDescent="0.55000000000000004">
      <c r="A1408" s="1"/>
      <c r="B1408" s="1"/>
    </row>
    <row r="1411" spans="1:2" x14ac:dyDescent="0.55000000000000004">
      <c r="A1411" s="1"/>
      <c r="B1411" s="1"/>
    </row>
    <row r="1414" spans="1:2" x14ac:dyDescent="0.55000000000000004">
      <c r="A1414" s="1"/>
      <c r="B1414" s="1"/>
    </row>
    <row r="1417" spans="1:2" x14ac:dyDescent="0.55000000000000004">
      <c r="A1417" s="1"/>
      <c r="B1417" s="1"/>
    </row>
    <row r="1420" spans="1:2" x14ac:dyDescent="0.55000000000000004">
      <c r="A1420" s="1"/>
      <c r="B1420" s="1"/>
    </row>
    <row r="1423" spans="1:2" x14ac:dyDescent="0.55000000000000004">
      <c r="A1423" s="1"/>
      <c r="B1423" s="1"/>
    </row>
    <row r="1426" spans="1:2" x14ac:dyDescent="0.55000000000000004">
      <c r="A1426" s="1"/>
      <c r="B1426" s="1"/>
    </row>
    <row r="1429" spans="1:2" x14ac:dyDescent="0.55000000000000004">
      <c r="A1429" s="1"/>
      <c r="B1429" s="1"/>
    </row>
    <row r="1432" spans="1:2" x14ac:dyDescent="0.55000000000000004">
      <c r="A1432" s="1"/>
      <c r="B1432" s="1"/>
    </row>
    <row r="1435" spans="1:2" x14ac:dyDescent="0.55000000000000004">
      <c r="A1435" s="1"/>
      <c r="B1435" s="1"/>
    </row>
    <row r="1438" spans="1:2" x14ac:dyDescent="0.55000000000000004">
      <c r="A1438" s="1"/>
      <c r="B1438" s="1"/>
    </row>
    <row r="1441" spans="1:2" x14ac:dyDescent="0.55000000000000004">
      <c r="A1441" s="1"/>
      <c r="B1441" s="1"/>
    </row>
    <row r="1444" spans="1:2" x14ac:dyDescent="0.55000000000000004">
      <c r="A1444" s="1"/>
      <c r="B1444" s="1"/>
    </row>
    <row r="1447" spans="1:2" x14ac:dyDescent="0.55000000000000004">
      <c r="A1447" s="1"/>
      <c r="B1447" s="1"/>
    </row>
    <row r="1450" spans="1:2" x14ac:dyDescent="0.55000000000000004">
      <c r="A1450" s="1"/>
      <c r="B1450" s="1"/>
    </row>
    <row r="1453" spans="1:2" x14ac:dyDescent="0.55000000000000004">
      <c r="A1453" s="1"/>
      <c r="B1453" s="1"/>
    </row>
    <row r="1456" spans="1:2" x14ac:dyDescent="0.55000000000000004">
      <c r="A1456" s="1"/>
      <c r="B1456" s="1"/>
    </row>
    <row r="1459" spans="1:2" x14ac:dyDescent="0.55000000000000004">
      <c r="A1459" s="1"/>
      <c r="B1459" s="1"/>
    </row>
    <row r="1462" spans="1:2" x14ac:dyDescent="0.55000000000000004">
      <c r="A1462" s="1"/>
      <c r="B1462" s="1"/>
    </row>
    <row r="1465" spans="1:2" x14ac:dyDescent="0.55000000000000004">
      <c r="A1465" s="1"/>
      <c r="B1465" s="1"/>
    </row>
    <row r="1468" spans="1:2" x14ac:dyDescent="0.55000000000000004">
      <c r="A1468" s="1"/>
      <c r="B1468" s="1"/>
    </row>
    <row r="1471" spans="1:2" x14ac:dyDescent="0.55000000000000004">
      <c r="A1471" s="1"/>
      <c r="B1471" s="1"/>
    </row>
    <row r="1474" spans="1:2" x14ac:dyDescent="0.55000000000000004">
      <c r="A1474" s="1"/>
      <c r="B1474" s="1"/>
    </row>
    <row r="1477" spans="1:2" x14ac:dyDescent="0.55000000000000004">
      <c r="A1477" s="1"/>
      <c r="B1477" s="1"/>
    </row>
    <row r="1480" spans="1:2" x14ac:dyDescent="0.55000000000000004">
      <c r="A1480" s="1"/>
      <c r="B1480" s="1"/>
    </row>
    <row r="1483" spans="1:2" x14ac:dyDescent="0.55000000000000004">
      <c r="A1483" s="1"/>
      <c r="B1483" s="1"/>
    </row>
    <row r="1486" spans="1:2" x14ac:dyDescent="0.55000000000000004">
      <c r="A1486" s="1"/>
      <c r="B1486" s="1"/>
    </row>
    <row r="1489" spans="1:2" x14ac:dyDescent="0.55000000000000004">
      <c r="A1489" s="1"/>
      <c r="B1489" s="1"/>
    </row>
    <row r="1492" spans="1:2" x14ac:dyDescent="0.55000000000000004">
      <c r="A1492" s="1"/>
      <c r="B1492" s="1"/>
    </row>
    <row r="1495" spans="1:2" x14ac:dyDescent="0.55000000000000004">
      <c r="A1495" s="1"/>
      <c r="B1495" s="1"/>
    </row>
    <row r="1498" spans="1:2" x14ac:dyDescent="0.55000000000000004">
      <c r="A1498" s="1"/>
      <c r="B1498" s="1"/>
    </row>
    <row r="1501" spans="1:2" x14ac:dyDescent="0.55000000000000004">
      <c r="A1501" s="1"/>
      <c r="B1501" s="1"/>
    </row>
    <row r="1504" spans="1:2" x14ac:dyDescent="0.55000000000000004">
      <c r="A1504" s="1"/>
      <c r="B1504" s="1"/>
    </row>
    <row r="1507" spans="1:2" x14ac:dyDescent="0.55000000000000004">
      <c r="A1507" s="1"/>
      <c r="B1507" s="1"/>
    </row>
    <row r="1510" spans="1:2" x14ac:dyDescent="0.55000000000000004">
      <c r="A1510" s="1"/>
      <c r="B1510" s="1"/>
    </row>
    <row r="1513" spans="1:2" x14ac:dyDescent="0.55000000000000004">
      <c r="A1513" s="1"/>
      <c r="B1513" s="1"/>
    </row>
    <row r="1516" spans="1:2" x14ac:dyDescent="0.55000000000000004">
      <c r="A1516" s="1"/>
      <c r="B1516" s="1"/>
    </row>
    <row r="1519" spans="1:2" x14ac:dyDescent="0.55000000000000004">
      <c r="A1519" s="1"/>
      <c r="B1519" s="1"/>
    </row>
    <row r="1522" spans="1:2" x14ac:dyDescent="0.55000000000000004">
      <c r="A1522" s="1"/>
      <c r="B1522" s="1"/>
    </row>
    <row r="1525" spans="1:2" x14ac:dyDescent="0.55000000000000004">
      <c r="A1525" s="1"/>
      <c r="B1525" s="1"/>
    </row>
    <row r="1528" spans="1:2" x14ac:dyDescent="0.55000000000000004">
      <c r="A1528" s="1"/>
      <c r="B1528" s="1"/>
    </row>
    <row r="1531" spans="1:2" x14ac:dyDescent="0.55000000000000004">
      <c r="A1531" s="1"/>
      <c r="B1531" s="1"/>
    </row>
    <row r="1534" spans="1:2" x14ac:dyDescent="0.55000000000000004">
      <c r="A1534" s="1"/>
      <c r="B1534" s="1"/>
    </row>
    <row r="1537" spans="1:2" x14ac:dyDescent="0.55000000000000004">
      <c r="A1537" s="1"/>
      <c r="B1537" s="1"/>
    </row>
    <row r="1540" spans="1:2" x14ac:dyDescent="0.55000000000000004">
      <c r="A1540" s="1"/>
      <c r="B1540" s="1"/>
    </row>
    <row r="1543" spans="1:2" x14ac:dyDescent="0.55000000000000004">
      <c r="A1543" s="1"/>
      <c r="B1543" s="1"/>
    </row>
    <row r="1546" spans="1:2" x14ac:dyDescent="0.55000000000000004">
      <c r="A1546" s="1"/>
      <c r="B1546" s="1"/>
    </row>
    <row r="1549" spans="1:2" x14ac:dyDescent="0.55000000000000004">
      <c r="A1549" s="1"/>
      <c r="B1549" s="1"/>
    </row>
    <row r="1552" spans="1:2" x14ac:dyDescent="0.55000000000000004">
      <c r="A1552" s="1"/>
      <c r="B1552" s="1"/>
    </row>
    <row r="1555" spans="1:2" x14ac:dyDescent="0.55000000000000004">
      <c r="A1555" s="1"/>
      <c r="B1555" s="1"/>
    </row>
    <row r="1558" spans="1:2" x14ac:dyDescent="0.55000000000000004">
      <c r="A1558" s="1"/>
      <c r="B1558" s="1"/>
    </row>
    <row r="1561" spans="1:2" x14ac:dyDescent="0.55000000000000004">
      <c r="A1561" s="1"/>
      <c r="B1561" s="1"/>
    </row>
    <row r="1564" spans="1:2" x14ac:dyDescent="0.55000000000000004">
      <c r="A1564" s="1"/>
      <c r="B1564" s="1"/>
    </row>
    <row r="1567" spans="1:2" x14ac:dyDescent="0.55000000000000004">
      <c r="A1567" s="1"/>
      <c r="B1567" s="1"/>
    </row>
    <row r="1570" spans="1:2" x14ac:dyDescent="0.55000000000000004">
      <c r="A1570" s="1"/>
      <c r="B1570" s="1"/>
    </row>
    <row r="1573" spans="1:2" x14ac:dyDescent="0.55000000000000004">
      <c r="A1573" s="1"/>
      <c r="B1573" s="1"/>
    </row>
    <row r="1576" spans="1:2" x14ac:dyDescent="0.55000000000000004">
      <c r="A1576" s="1"/>
      <c r="B1576" s="1"/>
    </row>
    <row r="1579" spans="1:2" x14ac:dyDescent="0.55000000000000004">
      <c r="A1579" s="1"/>
      <c r="B1579" s="1"/>
    </row>
    <row r="1582" spans="1:2" x14ac:dyDescent="0.55000000000000004">
      <c r="A1582" s="1"/>
      <c r="B1582" s="1"/>
    </row>
    <row r="1585" spans="1:2" x14ac:dyDescent="0.55000000000000004">
      <c r="A1585" s="1"/>
      <c r="B1585" s="1"/>
    </row>
    <row r="1588" spans="1:2" x14ac:dyDescent="0.55000000000000004">
      <c r="A1588" s="1"/>
      <c r="B1588" s="1"/>
    </row>
    <row r="1591" spans="1:2" x14ac:dyDescent="0.55000000000000004">
      <c r="A1591" s="1"/>
      <c r="B1591" s="1"/>
    </row>
    <row r="1594" spans="1:2" x14ac:dyDescent="0.55000000000000004">
      <c r="A1594" s="1"/>
      <c r="B1594" s="1"/>
    </row>
    <row r="1597" spans="1:2" x14ac:dyDescent="0.55000000000000004">
      <c r="A1597" s="1"/>
      <c r="B1597" s="1"/>
    </row>
    <row r="1600" spans="1:2" x14ac:dyDescent="0.55000000000000004">
      <c r="A1600" s="1"/>
      <c r="B1600" s="1"/>
    </row>
    <row r="1603" spans="1:2" x14ac:dyDescent="0.55000000000000004">
      <c r="A1603" s="1"/>
      <c r="B1603" s="1"/>
    </row>
    <row r="1606" spans="1:2" x14ac:dyDescent="0.55000000000000004">
      <c r="A1606" s="1"/>
      <c r="B1606" s="1"/>
    </row>
    <row r="1609" spans="1:2" x14ac:dyDescent="0.55000000000000004">
      <c r="A1609" s="1"/>
      <c r="B1609" s="1"/>
    </row>
    <row r="1612" spans="1:2" x14ac:dyDescent="0.55000000000000004">
      <c r="A1612" s="1"/>
      <c r="B1612" s="1"/>
    </row>
    <row r="1615" spans="1:2" x14ac:dyDescent="0.55000000000000004">
      <c r="A1615" s="1"/>
      <c r="B1615" s="1"/>
    </row>
    <row r="1618" spans="1:2" x14ac:dyDescent="0.55000000000000004">
      <c r="A1618" s="1"/>
      <c r="B1618" s="1"/>
    </row>
    <row r="1621" spans="1:2" x14ac:dyDescent="0.55000000000000004">
      <c r="A1621" s="1"/>
      <c r="B1621" s="1"/>
    </row>
    <row r="1624" spans="1:2" x14ac:dyDescent="0.55000000000000004">
      <c r="A1624" s="1"/>
      <c r="B1624" s="1"/>
    </row>
    <row r="1627" spans="1:2" x14ac:dyDescent="0.55000000000000004">
      <c r="A1627" s="1"/>
      <c r="B1627" s="1"/>
    </row>
    <row r="1630" spans="1:2" x14ac:dyDescent="0.55000000000000004">
      <c r="A1630" s="1"/>
      <c r="B1630" s="1"/>
    </row>
    <row r="1633" spans="1:2" x14ac:dyDescent="0.55000000000000004">
      <c r="A1633" s="1"/>
      <c r="B1633" s="1"/>
    </row>
    <row r="1636" spans="1:2" x14ac:dyDescent="0.55000000000000004">
      <c r="A1636" s="1"/>
      <c r="B1636" s="1"/>
    </row>
    <row r="1639" spans="1:2" x14ac:dyDescent="0.55000000000000004">
      <c r="A1639" s="1"/>
      <c r="B1639" s="1"/>
    </row>
    <row r="1642" spans="1:2" x14ac:dyDescent="0.55000000000000004">
      <c r="A1642" s="1"/>
      <c r="B1642" s="1"/>
    </row>
    <row r="1645" spans="1:2" x14ac:dyDescent="0.55000000000000004">
      <c r="A1645" s="1"/>
      <c r="B1645" s="1"/>
    </row>
    <row r="1648" spans="1:2" x14ac:dyDescent="0.55000000000000004">
      <c r="A1648" s="1"/>
      <c r="B1648" s="1"/>
    </row>
    <row r="1651" spans="1:2" x14ac:dyDescent="0.55000000000000004">
      <c r="A1651" s="1"/>
      <c r="B1651" s="1"/>
    </row>
    <row r="1654" spans="1:2" x14ac:dyDescent="0.55000000000000004">
      <c r="A1654" s="1"/>
      <c r="B1654" s="1"/>
    </row>
    <row r="1657" spans="1:2" x14ac:dyDescent="0.55000000000000004">
      <c r="A1657" s="1"/>
      <c r="B1657" s="1"/>
    </row>
    <row r="1660" spans="1:2" x14ac:dyDescent="0.55000000000000004">
      <c r="A1660" s="1"/>
      <c r="B1660" s="1"/>
    </row>
    <row r="1663" spans="1:2" x14ac:dyDescent="0.55000000000000004">
      <c r="A1663" s="1"/>
      <c r="B1663" s="1"/>
    </row>
    <row r="1666" spans="1:2" x14ac:dyDescent="0.55000000000000004">
      <c r="A1666" s="1"/>
      <c r="B1666" s="1"/>
    </row>
    <row r="1669" spans="1:2" x14ac:dyDescent="0.55000000000000004">
      <c r="A1669" s="1"/>
      <c r="B1669" s="1"/>
    </row>
    <row r="1672" spans="1:2" x14ac:dyDescent="0.55000000000000004">
      <c r="A1672" s="1"/>
      <c r="B1672" s="1"/>
    </row>
    <row r="1675" spans="1:2" x14ac:dyDescent="0.55000000000000004">
      <c r="A1675" s="1"/>
      <c r="B1675" s="1"/>
    </row>
    <row r="1678" spans="1:2" x14ac:dyDescent="0.55000000000000004">
      <c r="A1678" s="1"/>
      <c r="B1678" s="1"/>
    </row>
    <row r="1681" spans="1:2" x14ac:dyDescent="0.55000000000000004">
      <c r="A1681" s="1"/>
      <c r="B1681" s="1"/>
    </row>
    <row r="1684" spans="1:2" x14ac:dyDescent="0.55000000000000004">
      <c r="A1684" s="1"/>
      <c r="B1684" s="1"/>
    </row>
    <row r="1687" spans="1:2" x14ac:dyDescent="0.55000000000000004">
      <c r="A1687" s="1"/>
      <c r="B1687" s="1"/>
    </row>
    <row r="1690" spans="1:2" x14ac:dyDescent="0.55000000000000004">
      <c r="A1690" s="1"/>
      <c r="B1690" s="1"/>
    </row>
    <row r="1693" spans="1:2" x14ac:dyDescent="0.55000000000000004">
      <c r="A1693" s="1"/>
      <c r="B1693" s="1"/>
    </row>
    <row r="1696" spans="1:2" x14ac:dyDescent="0.55000000000000004">
      <c r="A1696" s="1"/>
      <c r="B1696" s="1"/>
    </row>
    <row r="1699" spans="1:2" x14ac:dyDescent="0.55000000000000004">
      <c r="A1699" s="1"/>
      <c r="B1699" s="1"/>
    </row>
    <row r="1702" spans="1:2" x14ac:dyDescent="0.55000000000000004">
      <c r="A1702" s="1"/>
      <c r="B1702" s="1"/>
    </row>
    <row r="1705" spans="1:2" x14ac:dyDescent="0.55000000000000004">
      <c r="A1705" s="1"/>
      <c r="B1705" s="1"/>
    </row>
    <row r="1708" spans="1:2" x14ac:dyDescent="0.55000000000000004">
      <c r="A1708" s="1"/>
      <c r="B1708" s="1"/>
    </row>
    <row r="1711" spans="1:2" x14ac:dyDescent="0.55000000000000004">
      <c r="A1711" s="1"/>
      <c r="B1711" s="1"/>
    </row>
    <row r="1714" spans="1:2" x14ac:dyDescent="0.55000000000000004">
      <c r="A1714" s="1"/>
      <c r="B1714" s="1"/>
    </row>
    <row r="1717" spans="1:2" x14ac:dyDescent="0.55000000000000004">
      <c r="A1717" s="1"/>
      <c r="B1717" s="1"/>
    </row>
    <row r="1720" spans="1:2" x14ac:dyDescent="0.55000000000000004">
      <c r="A1720" s="1"/>
      <c r="B1720" s="1"/>
    </row>
    <row r="1723" spans="1:2" x14ac:dyDescent="0.55000000000000004">
      <c r="A1723" s="1"/>
      <c r="B1723" s="1"/>
    </row>
    <row r="1726" spans="1:2" x14ac:dyDescent="0.55000000000000004">
      <c r="A1726" s="1"/>
      <c r="B1726" s="1"/>
    </row>
    <row r="1729" spans="1:2" x14ac:dyDescent="0.55000000000000004">
      <c r="A1729" s="1"/>
      <c r="B1729" s="1"/>
    </row>
    <row r="1732" spans="1:2" x14ac:dyDescent="0.55000000000000004">
      <c r="A1732" s="1"/>
      <c r="B1732" s="1"/>
    </row>
    <row r="1735" spans="1:2" x14ac:dyDescent="0.55000000000000004">
      <c r="A1735" s="1"/>
      <c r="B1735" s="1"/>
    </row>
    <row r="1738" spans="1:2" x14ac:dyDescent="0.55000000000000004">
      <c r="A1738" s="1"/>
      <c r="B1738" s="1"/>
    </row>
    <row r="1741" spans="1:2" x14ac:dyDescent="0.55000000000000004">
      <c r="A1741" s="1"/>
      <c r="B1741" s="1"/>
    </row>
    <row r="1744" spans="1:2" x14ac:dyDescent="0.55000000000000004">
      <c r="A1744" s="1"/>
      <c r="B1744" s="1"/>
    </row>
    <row r="1747" spans="1:2" x14ac:dyDescent="0.55000000000000004">
      <c r="A1747" s="1"/>
      <c r="B1747" s="1"/>
    </row>
    <row r="1750" spans="1:2" x14ac:dyDescent="0.55000000000000004">
      <c r="A1750" s="1"/>
      <c r="B1750" s="1"/>
    </row>
    <row r="1753" spans="1:2" x14ac:dyDescent="0.55000000000000004">
      <c r="A1753" s="1"/>
      <c r="B1753" s="1"/>
    </row>
    <row r="1756" spans="1:2" x14ac:dyDescent="0.55000000000000004">
      <c r="A1756" s="1"/>
      <c r="B1756" s="1"/>
    </row>
    <row r="1759" spans="1:2" x14ac:dyDescent="0.55000000000000004">
      <c r="A1759" s="1"/>
      <c r="B1759" s="1"/>
    </row>
    <row r="1762" spans="1:2" x14ac:dyDescent="0.55000000000000004">
      <c r="A1762" s="1"/>
      <c r="B1762" s="1"/>
    </row>
    <row r="1765" spans="1:2" x14ac:dyDescent="0.55000000000000004">
      <c r="A1765" s="1"/>
      <c r="B1765" s="1"/>
    </row>
    <row r="1768" spans="1:2" x14ac:dyDescent="0.55000000000000004">
      <c r="A1768" s="1"/>
      <c r="B1768" s="1"/>
    </row>
    <row r="1771" spans="1:2" x14ac:dyDescent="0.55000000000000004">
      <c r="A1771" s="1"/>
      <c r="B1771" s="1"/>
    </row>
    <row r="1774" spans="1:2" x14ac:dyDescent="0.55000000000000004">
      <c r="A1774" s="1"/>
      <c r="B1774" s="1"/>
    </row>
    <row r="1777" spans="1:2" x14ac:dyDescent="0.55000000000000004">
      <c r="A1777" s="1"/>
      <c r="B1777" s="1"/>
    </row>
    <row r="1780" spans="1:2" x14ac:dyDescent="0.55000000000000004">
      <c r="A1780" s="1"/>
      <c r="B1780" s="1"/>
    </row>
    <row r="1783" spans="1:2" x14ac:dyDescent="0.55000000000000004">
      <c r="A1783" s="1"/>
      <c r="B1783" s="1"/>
    </row>
    <row r="1786" spans="1:2" x14ac:dyDescent="0.55000000000000004">
      <c r="A1786" s="1"/>
      <c r="B1786" s="1"/>
    </row>
    <row r="1789" spans="1:2" x14ac:dyDescent="0.55000000000000004">
      <c r="A1789" s="1"/>
      <c r="B1789" s="1"/>
    </row>
    <row r="1792" spans="1:2" x14ac:dyDescent="0.55000000000000004">
      <c r="A1792" s="1"/>
      <c r="B1792" s="1"/>
    </row>
    <row r="1795" spans="1:2" x14ac:dyDescent="0.55000000000000004">
      <c r="A1795" s="1"/>
      <c r="B1795" s="1"/>
    </row>
    <row r="1798" spans="1:2" x14ac:dyDescent="0.55000000000000004">
      <c r="A1798" s="1"/>
      <c r="B1798" s="1"/>
    </row>
    <row r="1801" spans="1:2" x14ac:dyDescent="0.55000000000000004">
      <c r="A1801" s="1"/>
      <c r="B1801" s="1"/>
    </row>
    <row r="1804" spans="1:2" x14ac:dyDescent="0.55000000000000004">
      <c r="A1804" s="1"/>
      <c r="B1804" s="1"/>
    </row>
    <row r="1807" spans="1:2" x14ac:dyDescent="0.55000000000000004">
      <c r="A1807" s="1"/>
      <c r="B1807" s="1"/>
    </row>
    <row r="1810" spans="1:2" x14ac:dyDescent="0.55000000000000004">
      <c r="A1810" s="1"/>
      <c r="B1810" s="1"/>
    </row>
    <row r="1813" spans="1:2" x14ac:dyDescent="0.55000000000000004">
      <c r="A1813" s="1"/>
      <c r="B1813" s="1"/>
    </row>
    <row r="1816" spans="1:2" x14ac:dyDescent="0.55000000000000004">
      <c r="A1816" s="1"/>
      <c r="B1816" s="1"/>
    </row>
    <row r="1819" spans="1:2" x14ac:dyDescent="0.55000000000000004">
      <c r="A1819" s="1"/>
      <c r="B1819" s="1"/>
    </row>
    <row r="1822" spans="1:2" x14ac:dyDescent="0.55000000000000004">
      <c r="A1822" s="1"/>
      <c r="B1822" s="1"/>
    </row>
    <row r="1825" spans="1:2" x14ac:dyDescent="0.55000000000000004">
      <c r="A1825" s="1"/>
      <c r="B1825" s="1"/>
    </row>
    <row r="1828" spans="1:2" x14ac:dyDescent="0.55000000000000004">
      <c r="A1828" s="1"/>
      <c r="B1828" s="1"/>
    </row>
    <row r="1831" spans="1:2" x14ac:dyDescent="0.55000000000000004">
      <c r="A1831" s="1"/>
      <c r="B1831" s="1"/>
    </row>
    <row r="1834" spans="1:2" x14ac:dyDescent="0.55000000000000004">
      <c r="A1834" s="1"/>
      <c r="B1834" s="1"/>
    </row>
    <row r="1837" spans="1:2" x14ac:dyDescent="0.55000000000000004">
      <c r="A1837" s="1"/>
      <c r="B1837" s="1"/>
    </row>
    <row r="1840" spans="1:2" x14ac:dyDescent="0.55000000000000004">
      <c r="A1840" s="1"/>
      <c r="B1840" s="1"/>
    </row>
    <row r="1843" spans="1:2" x14ac:dyDescent="0.55000000000000004">
      <c r="A1843" s="1"/>
      <c r="B1843" s="1"/>
    </row>
    <row r="1846" spans="1:2" x14ac:dyDescent="0.55000000000000004">
      <c r="A1846" s="1"/>
      <c r="B1846" s="1"/>
    </row>
    <row r="1849" spans="1:2" x14ac:dyDescent="0.55000000000000004">
      <c r="A1849" s="1"/>
      <c r="B1849" s="1"/>
    </row>
    <row r="1852" spans="1:2" x14ac:dyDescent="0.55000000000000004">
      <c r="A1852" s="1"/>
      <c r="B1852" s="1"/>
    </row>
    <row r="1855" spans="1:2" x14ac:dyDescent="0.55000000000000004">
      <c r="A1855" s="1"/>
      <c r="B1855" s="1"/>
    </row>
    <row r="1858" spans="1:2" x14ac:dyDescent="0.55000000000000004">
      <c r="A1858" s="1"/>
      <c r="B1858" s="1"/>
    </row>
    <row r="1861" spans="1:2" x14ac:dyDescent="0.55000000000000004">
      <c r="A1861" s="1"/>
      <c r="B1861" s="1"/>
    </row>
    <row r="1864" spans="1:2" x14ac:dyDescent="0.55000000000000004">
      <c r="A1864" s="1"/>
      <c r="B1864" s="1"/>
    </row>
    <row r="1867" spans="1:2" x14ac:dyDescent="0.55000000000000004">
      <c r="A1867" s="1"/>
      <c r="B1867" s="1"/>
    </row>
    <row r="1870" spans="1:2" x14ac:dyDescent="0.55000000000000004">
      <c r="A1870" s="1"/>
      <c r="B1870" s="1"/>
    </row>
    <row r="1873" spans="1:2" x14ac:dyDescent="0.55000000000000004">
      <c r="A1873" s="1"/>
      <c r="B1873" s="1"/>
    </row>
    <row r="1876" spans="1:2" x14ac:dyDescent="0.55000000000000004">
      <c r="A1876" s="1"/>
      <c r="B1876" s="1"/>
    </row>
    <row r="1879" spans="1:2" x14ac:dyDescent="0.55000000000000004">
      <c r="A1879" s="1"/>
      <c r="B1879" s="1"/>
    </row>
    <row r="1882" spans="1:2" x14ac:dyDescent="0.55000000000000004">
      <c r="A1882" s="1"/>
      <c r="B1882" s="1"/>
    </row>
    <row r="1885" spans="1:2" x14ac:dyDescent="0.55000000000000004">
      <c r="A1885" s="1"/>
      <c r="B1885" s="1"/>
    </row>
    <row r="1888" spans="1:2" x14ac:dyDescent="0.55000000000000004">
      <c r="A1888" s="1"/>
      <c r="B1888" s="1"/>
    </row>
    <row r="1891" spans="1:2" x14ac:dyDescent="0.55000000000000004">
      <c r="A1891" s="1"/>
      <c r="B1891" s="1"/>
    </row>
    <row r="1894" spans="1:2" x14ac:dyDescent="0.55000000000000004">
      <c r="A1894" s="1"/>
      <c r="B1894" s="1"/>
    </row>
    <row r="1897" spans="1:2" x14ac:dyDescent="0.55000000000000004">
      <c r="A1897" s="1"/>
      <c r="B1897" s="1"/>
    </row>
    <row r="1900" spans="1:2" x14ac:dyDescent="0.55000000000000004">
      <c r="A1900" s="1"/>
      <c r="B1900" s="1"/>
    </row>
    <row r="1903" spans="1:2" x14ac:dyDescent="0.55000000000000004">
      <c r="A1903" s="1"/>
      <c r="B1903" s="1"/>
    </row>
    <row r="1906" spans="1:2" x14ac:dyDescent="0.55000000000000004">
      <c r="A1906" s="1"/>
      <c r="B1906" s="1"/>
    </row>
    <row r="1909" spans="1:2" x14ac:dyDescent="0.55000000000000004">
      <c r="A1909" s="1"/>
      <c r="B1909" s="1"/>
    </row>
    <row r="1912" spans="1:2" x14ac:dyDescent="0.55000000000000004">
      <c r="A1912" s="1"/>
      <c r="B1912" s="1"/>
    </row>
    <row r="1915" spans="1:2" x14ac:dyDescent="0.55000000000000004">
      <c r="A1915" s="1"/>
      <c r="B1915" s="1"/>
    </row>
    <row r="1918" spans="1:2" x14ac:dyDescent="0.55000000000000004">
      <c r="A1918" s="1"/>
      <c r="B1918" s="1"/>
    </row>
    <row r="1921" spans="1:2" x14ac:dyDescent="0.55000000000000004">
      <c r="A1921" s="1"/>
      <c r="B1921" s="1"/>
    </row>
    <row r="1924" spans="1:2" x14ac:dyDescent="0.55000000000000004">
      <c r="A1924" s="1"/>
      <c r="B1924" s="1"/>
    </row>
    <row r="1927" spans="1:2" x14ac:dyDescent="0.55000000000000004">
      <c r="A1927" s="1"/>
      <c r="B1927" s="1"/>
    </row>
    <row r="1930" spans="1:2" x14ac:dyDescent="0.55000000000000004">
      <c r="A1930" s="1"/>
      <c r="B1930" s="1"/>
    </row>
    <row r="1933" spans="1:2" x14ac:dyDescent="0.55000000000000004">
      <c r="A1933" s="1"/>
      <c r="B1933" s="1"/>
    </row>
    <row r="1936" spans="1:2" x14ac:dyDescent="0.55000000000000004">
      <c r="A1936" s="1"/>
      <c r="B1936" s="1"/>
    </row>
    <row r="1939" spans="1:2" x14ac:dyDescent="0.55000000000000004">
      <c r="A1939" s="1"/>
      <c r="B1939" s="1"/>
    </row>
    <row r="1942" spans="1:2" x14ac:dyDescent="0.55000000000000004">
      <c r="A1942" s="1"/>
      <c r="B1942" s="1"/>
    </row>
    <row r="1945" spans="1:2" x14ac:dyDescent="0.55000000000000004">
      <c r="A1945" s="1"/>
      <c r="B1945" s="1"/>
    </row>
    <row r="1948" spans="1:2" x14ac:dyDescent="0.55000000000000004">
      <c r="A1948" s="1"/>
      <c r="B1948" s="1"/>
    </row>
    <row r="1951" spans="1:2" x14ac:dyDescent="0.55000000000000004">
      <c r="A1951" s="1"/>
      <c r="B1951" s="1"/>
    </row>
    <row r="1954" spans="1:2" x14ac:dyDescent="0.55000000000000004">
      <c r="A1954" s="1"/>
      <c r="B1954" s="1"/>
    </row>
    <row r="1957" spans="1:2" x14ac:dyDescent="0.55000000000000004">
      <c r="A1957" s="1"/>
      <c r="B1957" s="1"/>
    </row>
    <row r="1960" spans="1:2" x14ac:dyDescent="0.55000000000000004">
      <c r="A1960" s="1"/>
      <c r="B1960" s="1"/>
    </row>
    <row r="1963" spans="1:2" x14ac:dyDescent="0.55000000000000004">
      <c r="A1963" s="1"/>
      <c r="B1963" s="1"/>
    </row>
    <row r="1966" spans="1:2" x14ac:dyDescent="0.55000000000000004">
      <c r="A1966" s="1"/>
      <c r="B1966" s="1"/>
    </row>
    <row r="1969" spans="1:2" x14ac:dyDescent="0.55000000000000004">
      <c r="A1969" s="1"/>
      <c r="B1969" s="1"/>
    </row>
    <row r="1972" spans="1:2" x14ac:dyDescent="0.55000000000000004">
      <c r="A1972" s="1"/>
      <c r="B1972" s="1"/>
    </row>
    <row r="1975" spans="1:2" x14ac:dyDescent="0.55000000000000004">
      <c r="A1975" s="1"/>
      <c r="B1975" s="1"/>
    </row>
    <row r="1978" spans="1:2" x14ac:dyDescent="0.55000000000000004">
      <c r="A1978" s="1"/>
      <c r="B1978" s="1"/>
    </row>
    <row r="1981" spans="1:2" x14ac:dyDescent="0.55000000000000004">
      <c r="A1981" s="1"/>
      <c r="B1981" s="1"/>
    </row>
    <row r="1984" spans="1:2" x14ac:dyDescent="0.55000000000000004">
      <c r="A1984" s="1"/>
      <c r="B1984" s="1"/>
    </row>
    <row r="1987" spans="1:2" x14ac:dyDescent="0.55000000000000004">
      <c r="A1987" s="1"/>
      <c r="B1987" s="1"/>
    </row>
    <row r="1990" spans="1:2" x14ac:dyDescent="0.55000000000000004">
      <c r="A1990" s="1"/>
      <c r="B1990" s="1"/>
    </row>
    <row r="1993" spans="1:2" x14ac:dyDescent="0.55000000000000004">
      <c r="A1993" s="1"/>
      <c r="B1993" s="1"/>
    </row>
    <row r="1996" spans="1:2" x14ac:dyDescent="0.55000000000000004">
      <c r="A1996" s="1"/>
      <c r="B1996" s="1"/>
    </row>
    <row r="1999" spans="1:2" x14ac:dyDescent="0.55000000000000004">
      <c r="A1999" s="1"/>
      <c r="B1999" s="1"/>
    </row>
    <row r="2002" spans="1:2" x14ac:dyDescent="0.55000000000000004">
      <c r="A2002" s="1"/>
      <c r="B2002" s="1"/>
    </row>
    <row r="2005" spans="1:2" x14ac:dyDescent="0.55000000000000004">
      <c r="A2005" s="1"/>
      <c r="B2005" s="1"/>
    </row>
    <row r="2008" spans="1:2" x14ac:dyDescent="0.55000000000000004">
      <c r="A2008" s="1"/>
      <c r="B2008" s="1"/>
    </row>
    <row r="2011" spans="1:2" x14ac:dyDescent="0.55000000000000004">
      <c r="A2011" s="1"/>
      <c r="B2011" s="1"/>
    </row>
    <row r="2014" spans="1:2" x14ac:dyDescent="0.55000000000000004">
      <c r="A2014" s="1"/>
      <c r="B2014" s="1"/>
    </row>
    <row r="2017" spans="1:2" x14ac:dyDescent="0.55000000000000004">
      <c r="A2017" s="1"/>
      <c r="B2017" s="1"/>
    </row>
    <row r="2020" spans="1:2" x14ac:dyDescent="0.55000000000000004">
      <c r="A2020" s="1"/>
      <c r="B2020" s="1"/>
    </row>
    <row r="2023" spans="1:2" x14ac:dyDescent="0.55000000000000004">
      <c r="A2023" s="1"/>
      <c r="B2023" s="1"/>
    </row>
    <row r="2026" spans="1:2" x14ac:dyDescent="0.55000000000000004">
      <c r="A2026" s="1"/>
      <c r="B2026" s="1"/>
    </row>
    <row r="2029" spans="1:2" x14ac:dyDescent="0.55000000000000004">
      <c r="A2029" s="1"/>
      <c r="B2029" s="1"/>
    </row>
    <row r="2032" spans="1:2" x14ac:dyDescent="0.55000000000000004">
      <c r="A2032" s="1"/>
      <c r="B2032" s="1"/>
    </row>
    <row r="2035" spans="1:2" x14ac:dyDescent="0.55000000000000004">
      <c r="A2035" s="1"/>
      <c r="B2035" s="1"/>
    </row>
    <row r="2038" spans="1:2" x14ac:dyDescent="0.55000000000000004">
      <c r="A2038" s="1"/>
      <c r="B2038" s="1"/>
    </row>
    <row r="2041" spans="1:2" x14ac:dyDescent="0.55000000000000004">
      <c r="A2041" s="1"/>
      <c r="B2041" s="1"/>
    </row>
    <row r="2044" spans="1:2" x14ac:dyDescent="0.55000000000000004">
      <c r="A2044" s="1"/>
      <c r="B2044" s="1"/>
    </row>
    <row r="2047" spans="1:2" x14ac:dyDescent="0.55000000000000004">
      <c r="A2047" s="1"/>
      <c r="B2047" s="1"/>
    </row>
    <row r="2050" spans="1:2" x14ac:dyDescent="0.55000000000000004">
      <c r="A2050" s="1"/>
      <c r="B2050" s="1"/>
    </row>
    <row r="2053" spans="1:2" x14ac:dyDescent="0.55000000000000004">
      <c r="A2053" s="1"/>
      <c r="B2053" s="1"/>
    </row>
    <row r="2056" spans="1:2" x14ac:dyDescent="0.55000000000000004">
      <c r="A2056" s="1"/>
      <c r="B2056" s="1"/>
    </row>
    <row r="2059" spans="1:2" x14ac:dyDescent="0.55000000000000004">
      <c r="A2059" s="1"/>
      <c r="B2059" s="1"/>
    </row>
    <row r="2062" spans="1:2" x14ac:dyDescent="0.55000000000000004">
      <c r="A2062" s="1"/>
      <c r="B2062" s="1"/>
    </row>
    <row r="2065" spans="1:2" x14ac:dyDescent="0.55000000000000004">
      <c r="A2065" s="1"/>
      <c r="B2065" s="1"/>
    </row>
    <row r="2068" spans="1:2" x14ac:dyDescent="0.55000000000000004">
      <c r="A2068" s="1"/>
      <c r="B2068" s="1"/>
    </row>
    <row r="2071" spans="1:2" x14ac:dyDescent="0.55000000000000004">
      <c r="A2071" s="1"/>
      <c r="B2071" s="1"/>
    </row>
    <row r="2074" spans="1:2" x14ac:dyDescent="0.55000000000000004">
      <c r="A2074" s="1"/>
      <c r="B2074" s="1"/>
    </row>
    <row r="2077" spans="1:2" x14ac:dyDescent="0.55000000000000004">
      <c r="A2077" s="1"/>
      <c r="B2077" s="1"/>
    </row>
    <row r="2080" spans="1:2" x14ac:dyDescent="0.55000000000000004">
      <c r="A2080" s="1"/>
      <c r="B2080" s="1"/>
    </row>
    <row r="2083" spans="1:2" x14ac:dyDescent="0.55000000000000004">
      <c r="A2083" s="1"/>
      <c r="B2083" s="1"/>
    </row>
    <row r="2086" spans="1:2" x14ac:dyDescent="0.55000000000000004">
      <c r="A2086" s="1"/>
      <c r="B2086" s="1"/>
    </row>
    <row r="2089" spans="1:2" x14ac:dyDescent="0.55000000000000004">
      <c r="A2089" s="1"/>
      <c r="B2089" s="1"/>
    </row>
    <row r="2092" spans="1:2" x14ac:dyDescent="0.55000000000000004">
      <c r="A2092" s="1"/>
      <c r="B2092" s="1"/>
    </row>
    <row r="2095" spans="1:2" x14ac:dyDescent="0.55000000000000004">
      <c r="A2095" s="1"/>
      <c r="B2095" s="1"/>
    </row>
    <row r="2098" spans="1:2" x14ac:dyDescent="0.55000000000000004">
      <c r="A2098" s="1"/>
      <c r="B2098" s="1"/>
    </row>
    <row r="2101" spans="1:2" x14ac:dyDescent="0.55000000000000004">
      <c r="A2101" s="1"/>
      <c r="B2101" s="1"/>
    </row>
    <row r="2104" spans="1:2" x14ac:dyDescent="0.55000000000000004">
      <c r="A2104" s="1"/>
      <c r="B2104" s="1"/>
    </row>
    <row r="2107" spans="1:2" x14ac:dyDescent="0.55000000000000004">
      <c r="A2107" s="1"/>
      <c r="B2107" s="1"/>
    </row>
    <row r="2110" spans="1:2" x14ac:dyDescent="0.55000000000000004">
      <c r="A2110" s="1"/>
      <c r="B2110" s="1"/>
    </row>
    <row r="2113" spans="1:2" x14ac:dyDescent="0.55000000000000004">
      <c r="A2113" s="1"/>
      <c r="B2113" s="1"/>
    </row>
    <row r="2116" spans="1:2" x14ac:dyDescent="0.55000000000000004">
      <c r="A2116" s="1"/>
      <c r="B2116" s="1"/>
    </row>
    <row r="2119" spans="1:2" x14ac:dyDescent="0.55000000000000004">
      <c r="A2119" s="1"/>
      <c r="B2119" s="1"/>
    </row>
    <row r="2122" spans="1:2" x14ac:dyDescent="0.55000000000000004">
      <c r="A2122" s="1"/>
      <c r="B2122" s="1"/>
    </row>
    <row r="2125" spans="1:2" x14ac:dyDescent="0.55000000000000004">
      <c r="A2125" s="1"/>
      <c r="B2125" s="1"/>
    </row>
    <row r="2128" spans="1:2" x14ac:dyDescent="0.55000000000000004">
      <c r="A2128" s="1"/>
      <c r="B2128" s="1"/>
    </row>
    <row r="2131" spans="1:2" x14ac:dyDescent="0.55000000000000004">
      <c r="A2131" s="1"/>
      <c r="B2131" s="1"/>
    </row>
    <row r="2134" spans="1:2" x14ac:dyDescent="0.55000000000000004">
      <c r="A2134" s="1"/>
      <c r="B2134" s="1"/>
    </row>
    <row r="2137" spans="1:2" x14ac:dyDescent="0.55000000000000004">
      <c r="A2137" s="1"/>
      <c r="B2137" s="1"/>
    </row>
    <row r="2140" spans="1:2" x14ac:dyDescent="0.55000000000000004">
      <c r="A2140" s="1"/>
      <c r="B2140" s="1"/>
    </row>
    <row r="2143" spans="1:2" x14ac:dyDescent="0.55000000000000004">
      <c r="A2143" s="1"/>
      <c r="B2143" s="1"/>
    </row>
    <row r="2146" spans="1:2" x14ac:dyDescent="0.55000000000000004">
      <c r="A2146" s="1"/>
      <c r="B2146" s="1"/>
    </row>
    <row r="2149" spans="1:2" x14ac:dyDescent="0.55000000000000004">
      <c r="A2149" s="1"/>
      <c r="B2149" s="1"/>
    </row>
    <row r="2152" spans="1:2" x14ac:dyDescent="0.55000000000000004">
      <c r="A2152" s="1"/>
      <c r="B2152" s="1"/>
    </row>
    <row r="2155" spans="1:2" x14ac:dyDescent="0.55000000000000004">
      <c r="A2155" s="1"/>
      <c r="B2155" s="1"/>
    </row>
    <row r="2158" spans="1:2" x14ac:dyDescent="0.55000000000000004">
      <c r="A2158" s="1"/>
      <c r="B2158" s="1"/>
    </row>
    <row r="2161" spans="1:2" x14ac:dyDescent="0.55000000000000004">
      <c r="A2161" s="1"/>
      <c r="B2161" s="1"/>
    </row>
    <row r="2164" spans="1:2" x14ac:dyDescent="0.55000000000000004">
      <c r="A2164" s="1"/>
      <c r="B2164" s="1"/>
    </row>
    <row r="2167" spans="1:2" x14ac:dyDescent="0.55000000000000004">
      <c r="A2167" s="1"/>
      <c r="B2167" s="1"/>
    </row>
    <row r="2170" spans="1:2" x14ac:dyDescent="0.55000000000000004">
      <c r="A2170" s="1"/>
      <c r="B2170" s="1"/>
    </row>
    <row r="2173" spans="1:2" x14ac:dyDescent="0.55000000000000004">
      <c r="A2173" s="1"/>
      <c r="B2173" s="1"/>
    </row>
    <row r="2176" spans="1:2" x14ac:dyDescent="0.55000000000000004">
      <c r="A2176" s="1"/>
      <c r="B2176" s="1"/>
    </row>
    <row r="2179" spans="1:2" x14ac:dyDescent="0.55000000000000004">
      <c r="A2179" s="1"/>
      <c r="B2179" s="1"/>
    </row>
    <row r="2182" spans="1:2" x14ac:dyDescent="0.55000000000000004">
      <c r="A2182" s="1"/>
      <c r="B2182" s="1"/>
    </row>
    <row r="2185" spans="1:2" x14ac:dyDescent="0.55000000000000004">
      <c r="A2185" s="1"/>
      <c r="B2185" s="1"/>
    </row>
    <row r="2188" spans="1:2" x14ac:dyDescent="0.55000000000000004">
      <c r="A2188" s="1"/>
      <c r="B2188" s="1"/>
    </row>
    <row r="2191" spans="1:2" x14ac:dyDescent="0.55000000000000004">
      <c r="A2191" s="1"/>
      <c r="B2191" s="1"/>
    </row>
    <row r="2194" spans="1:2" x14ac:dyDescent="0.55000000000000004">
      <c r="A2194" s="1"/>
      <c r="B2194" s="1"/>
    </row>
    <row r="2197" spans="1:2" x14ac:dyDescent="0.55000000000000004">
      <c r="A2197" s="1"/>
      <c r="B2197" s="1"/>
    </row>
    <row r="2200" spans="1:2" x14ac:dyDescent="0.55000000000000004">
      <c r="A2200" s="1"/>
      <c r="B2200" s="1"/>
    </row>
    <row r="2203" spans="1:2" x14ac:dyDescent="0.55000000000000004">
      <c r="A2203" s="1"/>
      <c r="B2203" s="1"/>
    </row>
    <row r="2206" spans="1:2" x14ac:dyDescent="0.55000000000000004">
      <c r="A2206" s="1"/>
      <c r="B2206" s="1"/>
    </row>
    <row r="2209" spans="1:2" x14ac:dyDescent="0.55000000000000004">
      <c r="A2209" s="1"/>
      <c r="B2209" s="1"/>
    </row>
    <row r="2212" spans="1:2" x14ac:dyDescent="0.55000000000000004">
      <c r="A2212" s="1"/>
      <c r="B2212" s="1"/>
    </row>
    <row r="2215" spans="1:2" x14ac:dyDescent="0.55000000000000004">
      <c r="A2215" s="1"/>
      <c r="B2215" s="1"/>
    </row>
    <row r="2218" spans="1:2" x14ac:dyDescent="0.55000000000000004">
      <c r="A2218" s="1"/>
      <c r="B2218" s="1"/>
    </row>
    <row r="2221" spans="1:2" x14ac:dyDescent="0.55000000000000004">
      <c r="A2221" s="1"/>
      <c r="B2221" s="1"/>
    </row>
    <row r="2224" spans="1:2" x14ac:dyDescent="0.55000000000000004">
      <c r="A2224" s="1"/>
      <c r="B2224" s="1"/>
    </row>
    <row r="2227" spans="1:2" x14ac:dyDescent="0.55000000000000004">
      <c r="A2227" s="1"/>
      <c r="B2227" s="1"/>
    </row>
    <row r="2230" spans="1:2" x14ac:dyDescent="0.55000000000000004">
      <c r="A2230" s="1"/>
      <c r="B2230" s="1"/>
    </row>
    <row r="2233" spans="1:2" x14ac:dyDescent="0.55000000000000004">
      <c r="A2233" s="1"/>
      <c r="B2233" s="1"/>
    </row>
    <row r="2236" spans="1:2" x14ac:dyDescent="0.55000000000000004">
      <c r="A2236" s="1"/>
      <c r="B2236" s="1"/>
    </row>
    <row r="2239" spans="1:2" x14ac:dyDescent="0.55000000000000004">
      <c r="A2239" s="1"/>
      <c r="B2239" s="1"/>
    </row>
    <row r="2242" spans="1:2" x14ac:dyDescent="0.55000000000000004">
      <c r="A2242" s="1"/>
      <c r="B2242" s="1"/>
    </row>
    <row r="2245" spans="1:2" x14ac:dyDescent="0.55000000000000004">
      <c r="A2245" s="1"/>
      <c r="B2245" s="1"/>
    </row>
    <row r="2248" spans="1:2" x14ac:dyDescent="0.55000000000000004">
      <c r="A2248" s="1"/>
      <c r="B2248" s="1"/>
    </row>
    <row r="2251" spans="1:2" x14ac:dyDescent="0.55000000000000004">
      <c r="A2251" s="1"/>
      <c r="B2251" s="1"/>
    </row>
    <row r="2254" spans="1:2" x14ac:dyDescent="0.55000000000000004">
      <c r="A2254" s="1"/>
      <c r="B2254" s="1"/>
    </row>
    <row r="2257" spans="1:2" x14ac:dyDescent="0.55000000000000004">
      <c r="A2257" s="1"/>
      <c r="B2257" s="1"/>
    </row>
    <row r="2260" spans="1:2" x14ac:dyDescent="0.55000000000000004">
      <c r="A2260" s="1"/>
      <c r="B2260" s="1"/>
    </row>
    <row r="2263" spans="1:2" x14ac:dyDescent="0.55000000000000004">
      <c r="A2263" s="1"/>
      <c r="B2263" s="1"/>
    </row>
    <row r="2266" spans="1:2" x14ac:dyDescent="0.55000000000000004">
      <c r="A2266" s="1"/>
      <c r="B2266" s="1"/>
    </row>
    <row r="2269" spans="1:2" x14ac:dyDescent="0.55000000000000004">
      <c r="A2269" s="1"/>
      <c r="B2269" s="1"/>
    </row>
    <row r="2272" spans="1:2" x14ac:dyDescent="0.55000000000000004">
      <c r="A2272" s="1"/>
      <c r="B2272" s="1"/>
    </row>
    <row r="2275" spans="1:2" x14ac:dyDescent="0.55000000000000004">
      <c r="A2275" s="1"/>
      <c r="B2275" s="1"/>
    </row>
    <row r="2278" spans="1:2" x14ac:dyDescent="0.55000000000000004">
      <c r="A2278" s="1"/>
      <c r="B2278" s="1"/>
    </row>
    <row r="2281" spans="1:2" x14ac:dyDescent="0.55000000000000004">
      <c r="A2281" s="1"/>
      <c r="B2281" s="1"/>
    </row>
    <row r="2284" spans="1:2" x14ac:dyDescent="0.55000000000000004">
      <c r="A2284" s="1"/>
      <c r="B2284" s="1"/>
    </row>
    <row r="2287" spans="1:2" x14ac:dyDescent="0.55000000000000004">
      <c r="A2287" s="1"/>
      <c r="B2287" s="1"/>
    </row>
    <row r="2290" spans="1:2" x14ac:dyDescent="0.55000000000000004">
      <c r="A2290" s="1"/>
      <c r="B2290" s="1"/>
    </row>
    <row r="2293" spans="1:2" x14ac:dyDescent="0.55000000000000004">
      <c r="A2293" s="1"/>
      <c r="B2293" s="1"/>
    </row>
    <row r="2296" spans="1:2" x14ac:dyDescent="0.55000000000000004">
      <c r="A2296" s="1"/>
      <c r="B2296" s="1"/>
    </row>
    <row r="2299" spans="1:2" x14ac:dyDescent="0.55000000000000004">
      <c r="A2299" s="1"/>
      <c r="B2299" s="1"/>
    </row>
    <row r="2302" spans="1:2" x14ac:dyDescent="0.55000000000000004">
      <c r="A2302" s="1"/>
      <c r="B2302" s="1"/>
    </row>
    <row r="2305" spans="1:2" x14ac:dyDescent="0.55000000000000004">
      <c r="A2305" s="1"/>
      <c r="B2305" s="1"/>
    </row>
    <row r="2308" spans="1:2" x14ac:dyDescent="0.55000000000000004">
      <c r="A2308" s="1"/>
      <c r="B2308" s="1"/>
    </row>
    <row r="2311" spans="1:2" x14ac:dyDescent="0.55000000000000004">
      <c r="A2311" s="1"/>
      <c r="B2311" s="1"/>
    </row>
    <row r="2314" spans="1:2" x14ac:dyDescent="0.55000000000000004">
      <c r="A2314" s="1"/>
      <c r="B2314" s="1"/>
    </row>
    <row r="2317" spans="1:2" x14ac:dyDescent="0.55000000000000004">
      <c r="A2317" s="1"/>
      <c r="B2317" s="1"/>
    </row>
    <row r="2320" spans="1:2" x14ac:dyDescent="0.55000000000000004">
      <c r="A2320" s="1"/>
      <c r="B2320" s="1"/>
    </row>
    <row r="2323" spans="1:2" x14ac:dyDescent="0.55000000000000004">
      <c r="A2323" s="1"/>
      <c r="B2323" s="1"/>
    </row>
    <row r="2326" spans="1:2" x14ac:dyDescent="0.55000000000000004">
      <c r="A2326" s="1"/>
      <c r="B2326" s="1"/>
    </row>
    <row r="2329" spans="1:2" x14ac:dyDescent="0.55000000000000004">
      <c r="A2329" s="1"/>
      <c r="B2329" s="1"/>
    </row>
    <row r="2332" spans="1:2" x14ac:dyDescent="0.55000000000000004">
      <c r="A2332" s="1"/>
      <c r="B2332" s="1"/>
    </row>
    <row r="2335" spans="1:2" x14ac:dyDescent="0.55000000000000004">
      <c r="A2335" s="1"/>
      <c r="B2335" s="1"/>
    </row>
    <row r="2338" spans="1:2" x14ac:dyDescent="0.55000000000000004">
      <c r="A2338" s="1"/>
      <c r="B2338" s="1"/>
    </row>
    <row r="2341" spans="1:2" x14ac:dyDescent="0.55000000000000004">
      <c r="A2341" s="1"/>
      <c r="B2341" s="1"/>
    </row>
    <row r="2344" spans="1:2" x14ac:dyDescent="0.55000000000000004">
      <c r="A2344" s="1"/>
      <c r="B2344" s="1"/>
    </row>
    <row r="2347" spans="1:2" x14ac:dyDescent="0.55000000000000004">
      <c r="A2347" s="1"/>
      <c r="B2347" s="1"/>
    </row>
    <row r="2350" spans="1:2" x14ac:dyDescent="0.55000000000000004">
      <c r="A2350" s="1"/>
      <c r="B2350" s="1"/>
    </row>
    <row r="2353" spans="1:2" x14ac:dyDescent="0.55000000000000004">
      <c r="A2353" s="1"/>
      <c r="B2353" s="1"/>
    </row>
    <row r="2356" spans="1:2" x14ac:dyDescent="0.55000000000000004">
      <c r="A2356" s="1"/>
      <c r="B2356" s="1"/>
    </row>
    <row r="2359" spans="1:2" x14ac:dyDescent="0.55000000000000004">
      <c r="A2359" s="1"/>
      <c r="B2359" s="1"/>
    </row>
    <row r="2362" spans="1:2" x14ac:dyDescent="0.55000000000000004">
      <c r="A2362" s="1"/>
      <c r="B2362" s="1"/>
    </row>
    <row r="2365" spans="1:2" x14ac:dyDescent="0.55000000000000004">
      <c r="A2365" s="1"/>
      <c r="B2365" s="1"/>
    </row>
    <row r="2368" spans="1:2" x14ac:dyDescent="0.55000000000000004">
      <c r="A2368" s="1"/>
      <c r="B2368" s="1"/>
    </row>
    <row r="2371" spans="1:2" x14ac:dyDescent="0.55000000000000004">
      <c r="A2371" s="1"/>
      <c r="B2371" s="1"/>
    </row>
    <row r="2374" spans="1:2" x14ac:dyDescent="0.55000000000000004">
      <c r="A2374" s="1"/>
      <c r="B2374" s="1"/>
    </row>
    <row r="2377" spans="1:2" x14ac:dyDescent="0.55000000000000004">
      <c r="A2377" s="1"/>
      <c r="B2377" s="1"/>
    </row>
    <row r="2380" spans="1:2" x14ac:dyDescent="0.55000000000000004">
      <c r="A2380" s="1"/>
      <c r="B2380" s="1"/>
    </row>
    <row r="2383" spans="1:2" x14ac:dyDescent="0.55000000000000004">
      <c r="A2383" s="1"/>
      <c r="B2383" s="1"/>
    </row>
    <row r="2386" spans="1:2" x14ac:dyDescent="0.55000000000000004">
      <c r="A2386" s="1"/>
      <c r="B2386" s="1"/>
    </row>
    <row r="2389" spans="1:2" x14ac:dyDescent="0.55000000000000004">
      <c r="A2389" s="1"/>
      <c r="B2389" s="1"/>
    </row>
    <row r="2392" spans="1:2" x14ac:dyDescent="0.55000000000000004">
      <c r="A2392" s="1"/>
      <c r="B2392" s="1"/>
    </row>
    <row r="2395" spans="1:2" x14ac:dyDescent="0.55000000000000004">
      <c r="A2395" s="1"/>
      <c r="B2395" s="1"/>
    </row>
    <row r="2398" spans="1:2" x14ac:dyDescent="0.55000000000000004">
      <c r="A2398" s="1"/>
      <c r="B2398" s="1"/>
    </row>
    <row r="2401" spans="1:2" x14ac:dyDescent="0.55000000000000004">
      <c r="A2401" s="1"/>
      <c r="B2401" s="1"/>
    </row>
    <row r="2404" spans="1:2" x14ac:dyDescent="0.55000000000000004">
      <c r="A2404" s="1"/>
      <c r="B2404" s="1"/>
    </row>
    <row r="2407" spans="1:2" x14ac:dyDescent="0.55000000000000004">
      <c r="A2407" s="1"/>
      <c r="B2407" s="1"/>
    </row>
    <row r="2410" spans="1:2" x14ac:dyDescent="0.55000000000000004">
      <c r="A2410" s="1"/>
      <c r="B2410" s="1"/>
    </row>
    <row r="2413" spans="1:2" x14ac:dyDescent="0.55000000000000004">
      <c r="A2413" s="1"/>
      <c r="B2413" s="1"/>
    </row>
    <row r="2416" spans="1:2" x14ac:dyDescent="0.55000000000000004">
      <c r="A2416" s="1"/>
      <c r="B2416" s="1"/>
    </row>
    <row r="2419" spans="1:2" x14ac:dyDescent="0.55000000000000004">
      <c r="A2419" s="1"/>
      <c r="B2419" s="1"/>
    </row>
    <row r="2422" spans="1:2" x14ac:dyDescent="0.55000000000000004">
      <c r="A2422" s="1"/>
      <c r="B2422" s="1"/>
    </row>
    <row r="2425" spans="1:2" x14ac:dyDescent="0.55000000000000004">
      <c r="A2425" s="1"/>
      <c r="B2425" s="1"/>
    </row>
    <row r="2428" spans="1:2" x14ac:dyDescent="0.55000000000000004">
      <c r="A2428" s="1"/>
      <c r="B2428" s="1"/>
    </row>
    <row r="2431" spans="1:2" x14ac:dyDescent="0.55000000000000004">
      <c r="A2431" s="1"/>
      <c r="B2431" s="1"/>
    </row>
    <row r="2434" spans="1:2" x14ac:dyDescent="0.55000000000000004">
      <c r="A2434" s="1"/>
      <c r="B2434" s="1"/>
    </row>
    <row r="2437" spans="1:2" x14ac:dyDescent="0.55000000000000004">
      <c r="A2437" s="1"/>
      <c r="B2437" s="1"/>
    </row>
    <row r="2440" spans="1:2" x14ac:dyDescent="0.55000000000000004">
      <c r="A2440" s="1"/>
      <c r="B2440" s="1"/>
    </row>
    <row r="2443" spans="1:2" x14ac:dyDescent="0.55000000000000004">
      <c r="A2443" s="1"/>
      <c r="B2443" s="1"/>
    </row>
    <row r="2446" spans="1:2" x14ac:dyDescent="0.55000000000000004">
      <c r="A2446" s="1"/>
      <c r="B2446" s="1"/>
    </row>
    <row r="2449" spans="1:2" x14ac:dyDescent="0.55000000000000004">
      <c r="A2449" s="1"/>
      <c r="B2449" s="1"/>
    </row>
    <row r="2452" spans="1:2" x14ac:dyDescent="0.55000000000000004">
      <c r="A2452" s="1"/>
      <c r="B2452" s="1"/>
    </row>
    <row r="2455" spans="1:2" x14ac:dyDescent="0.55000000000000004">
      <c r="A2455" s="1"/>
      <c r="B2455" s="1"/>
    </row>
    <row r="2458" spans="1:2" x14ac:dyDescent="0.55000000000000004">
      <c r="A2458" s="1"/>
      <c r="B2458" s="1"/>
    </row>
    <row r="2461" spans="1:2" x14ac:dyDescent="0.55000000000000004">
      <c r="A2461" s="1"/>
      <c r="B2461" s="1"/>
    </row>
    <row r="2464" spans="1:2" x14ac:dyDescent="0.55000000000000004">
      <c r="A2464" s="1"/>
      <c r="B2464" s="1"/>
    </row>
    <row r="2467" spans="1:2" x14ac:dyDescent="0.55000000000000004">
      <c r="A2467" s="1"/>
      <c r="B2467" s="1"/>
    </row>
    <row r="2470" spans="1:2" x14ac:dyDescent="0.55000000000000004">
      <c r="A2470" s="1"/>
      <c r="B2470" s="1"/>
    </row>
    <row r="2473" spans="1:2" x14ac:dyDescent="0.55000000000000004">
      <c r="A2473" s="1"/>
      <c r="B2473" s="1"/>
    </row>
    <row r="2476" spans="1:2" x14ac:dyDescent="0.55000000000000004">
      <c r="A2476" s="1"/>
      <c r="B2476" s="1"/>
    </row>
    <row r="2479" spans="1:2" x14ac:dyDescent="0.55000000000000004">
      <c r="A2479" s="1"/>
      <c r="B2479" s="1"/>
    </row>
    <row r="2482" spans="1:2" x14ac:dyDescent="0.55000000000000004">
      <c r="A2482" s="1"/>
      <c r="B2482" s="1"/>
    </row>
    <row r="2485" spans="1:2" x14ac:dyDescent="0.55000000000000004">
      <c r="A2485" s="1"/>
      <c r="B2485" s="1"/>
    </row>
    <row r="2488" spans="1:2" x14ac:dyDescent="0.55000000000000004">
      <c r="A2488" s="1"/>
      <c r="B2488" s="1"/>
    </row>
    <row r="2491" spans="1:2" x14ac:dyDescent="0.55000000000000004">
      <c r="A2491" s="1"/>
      <c r="B2491" s="1"/>
    </row>
    <row r="2494" spans="1:2" x14ac:dyDescent="0.55000000000000004">
      <c r="A2494" s="1"/>
      <c r="B2494" s="1"/>
    </row>
    <row r="2497" spans="1:2" x14ac:dyDescent="0.55000000000000004">
      <c r="A2497" s="1"/>
      <c r="B2497" s="1"/>
    </row>
    <row r="2500" spans="1:2" x14ac:dyDescent="0.55000000000000004">
      <c r="A2500" s="1"/>
      <c r="B2500" s="1"/>
    </row>
    <row r="2503" spans="1:2" x14ac:dyDescent="0.55000000000000004">
      <c r="A2503" s="1"/>
      <c r="B2503" s="1"/>
    </row>
    <row r="2506" spans="1:2" x14ac:dyDescent="0.55000000000000004">
      <c r="A2506" s="1"/>
      <c r="B2506" s="1"/>
    </row>
    <row r="2509" spans="1:2" x14ac:dyDescent="0.55000000000000004">
      <c r="A2509" s="1"/>
      <c r="B2509" s="1"/>
    </row>
    <row r="2512" spans="1:2" x14ac:dyDescent="0.55000000000000004">
      <c r="A2512" s="1"/>
      <c r="B2512" s="1"/>
    </row>
    <row r="2515" spans="1:2" x14ac:dyDescent="0.55000000000000004">
      <c r="A2515" s="1"/>
      <c r="B2515" s="1"/>
    </row>
    <row r="2518" spans="1:2" x14ac:dyDescent="0.55000000000000004">
      <c r="A2518" s="1"/>
      <c r="B2518" s="1"/>
    </row>
    <row r="2521" spans="1:2" x14ac:dyDescent="0.55000000000000004">
      <c r="A2521" s="1"/>
      <c r="B2521" s="1"/>
    </row>
    <row r="2524" spans="1:2" x14ac:dyDescent="0.55000000000000004">
      <c r="A2524" s="1"/>
      <c r="B2524" s="1"/>
    </row>
    <row r="2527" spans="1:2" x14ac:dyDescent="0.55000000000000004">
      <c r="A2527" s="1"/>
      <c r="B2527" s="1"/>
    </row>
    <row r="2530" spans="1:2" x14ac:dyDescent="0.55000000000000004">
      <c r="A2530" s="1"/>
      <c r="B2530" s="1"/>
    </row>
    <row r="2533" spans="1:2" x14ac:dyDescent="0.55000000000000004">
      <c r="A2533" s="1"/>
      <c r="B2533" s="1"/>
    </row>
    <row r="2536" spans="1:2" x14ac:dyDescent="0.55000000000000004">
      <c r="A2536" s="1"/>
      <c r="B2536" s="1"/>
    </row>
    <row r="2539" spans="1:2" x14ac:dyDescent="0.55000000000000004">
      <c r="A2539" s="1"/>
      <c r="B2539" s="1"/>
    </row>
    <row r="2542" spans="1:2" x14ac:dyDescent="0.55000000000000004">
      <c r="A2542" s="1"/>
      <c r="B2542" s="1"/>
    </row>
    <row r="2545" spans="1:2" x14ac:dyDescent="0.55000000000000004">
      <c r="A2545" s="1"/>
      <c r="B2545" s="1"/>
    </row>
    <row r="2548" spans="1:2" x14ac:dyDescent="0.55000000000000004">
      <c r="A2548" s="1"/>
      <c r="B2548" s="1"/>
    </row>
    <row r="2551" spans="1:2" x14ac:dyDescent="0.55000000000000004">
      <c r="A2551" s="1"/>
      <c r="B2551" s="1"/>
    </row>
    <row r="2554" spans="1:2" x14ac:dyDescent="0.55000000000000004">
      <c r="A2554" s="1"/>
      <c r="B2554" s="1"/>
    </row>
    <row r="2557" spans="1:2" x14ac:dyDescent="0.55000000000000004">
      <c r="A2557" s="1"/>
      <c r="B2557" s="1"/>
    </row>
    <row r="2560" spans="1:2" x14ac:dyDescent="0.55000000000000004">
      <c r="A2560" s="1"/>
      <c r="B2560" s="1"/>
    </row>
    <row r="2563" spans="1:2" x14ac:dyDescent="0.55000000000000004">
      <c r="A2563" s="1"/>
      <c r="B2563" s="1"/>
    </row>
    <row r="2566" spans="1:2" x14ac:dyDescent="0.55000000000000004">
      <c r="A2566" s="1"/>
      <c r="B2566" s="1"/>
    </row>
    <row r="2569" spans="1:2" x14ac:dyDescent="0.55000000000000004">
      <c r="A2569" s="1"/>
      <c r="B2569" s="1"/>
    </row>
    <row r="2572" spans="1:2" x14ac:dyDescent="0.55000000000000004">
      <c r="A2572" s="1"/>
      <c r="B2572" s="1"/>
    </row>
    <row r="2575" spans="1:2" x14ac:dyDescent="0.55000000000000004">
      <c r="A2575" s="1"/>
      <c r="B2575" s="1"/>
    </row>
    <row r="2578" spans="1:2" x14ac:dyDescent="0.55000000000000004">
      <c r="A2578" s="1"/>
      <c r="B2578" s="1"/>
    </row>
    <row r="2581" spans="1:2" x14ac:dyDescent="0.55000000000000004">
      <c r="A2581" s="1"/>
      <c r="B2581" s="1"/>
    </row>
    <row r="2584" spans="1:2" x14ac:dyDescent="0.55000000000000004">
      <c r="A2584" s="1"/>
      <c r="B2584" s="1"/>
    </row>
    <row r="2587" spans="1:2" x14ac:dyDescent="0.55000000000000004">
      <c r="A2587" s="1"/>
      <c r="B2587" s="1"/>
    </row>
    <row r="2590" spans="1:2" x14ac:dyDescent="0.55000000000000004">
      <c r="A2590" s="1"/>
      <c r="B2590" s="1"/>
    </row>
    <row r="2593" spans="1:2" x14ac:dyDescent="0.55000000000000004">
      <c r="A2593" s="1"/>
      <c r="B2593" s="1"/>
    </row>
    <row r="2596" spans="1:2" x14ac:dyDescent="0.55000000000000004">
      <c r="A2596" s="1"/>
      <c r="B2596" s="1"/>
    </row>
    <row r="2599" spans="1:2" x14ac:dyDescent="0.55000000000000004">
      <c r="A2599" s="1"/>
      <c r="B2599" s="1"/>
    </row>
    <row r="2602" spans="1:2" x14ac:dyDescent="0.55000000000000004">
      <c r="A2602" s="1"/>
      <c r="B2602" s="1"/>
    </row>
    <row r="2605" spans="1:2" x14ac:dyDescent="0.55000000000000004">
      <c r="A2605" s="1"/>
      <c r="B2605" s="1"/>
    </row>
    <row r="2608" spans="1:2" x14ac:dyDescent="0.55000000000000004">
      <c r="A2608" s="1"/>
      <c r="B2608" s="1"/>
    </row>
    <row r="2611" spans="1:2" x14ac:dyDescent="0.55000000000000004">
      <c r="A2611" s="1"/>
      <c r="B2611" s="1"/>
    </row>
    <row r="2614" spans="1:2" x14ac:dyDescent="0.55000000000000004">
      <c r="A2614" s="1"/>
      <c r="B2614" s="1"/>
    </row>
    <row r="2617" spans="1:2" x14ac:dyDescent="0.55000000000000004">
      <c r="A2617" s="1"/>
      <c r="B2617" s="1"/>
    </row>
    <row r="2620" spans="1:2" x14ac:dyDescent="0.55000000000000004">
      <c r="A2620" s="1"/>
      <c r="B2620" s="1"/>
    </row>
    <row r="2623" spans="1:2" x14ac:dyDescent="0.55000000000000004">
      <c r="A2623" s="1"/>
      <c r="B2623" s="1"/>
    </row>
    <row r="2626" spans="1:2" x14ac:dyDescent="0.55000000000000004">
      <c r="A2626" s="1"/>
      <c r="B2626" s="1"/>
    </row>
    <row r="2629" spans="1:2" x14ac:dyDescent="0.55000000000000004">
      <c r="A2629" s="1"/>
      <c r="B2629" s="1"/>
    </row>
    <row r="2632" spans="1:2" x14ac:dyDescent="0.55000000000000004">
      <c r="A2632" s="1"/>
      <c r="B2632" s="1"/>
    </row>
    <row r="2635" spans="1:2" x14ac:dyDescent="0.55000000000000004">
      <c r="A2635" s="1"/>
      <c r="B2635" s="1"/>
    </row>
    <row r="2638" spans="1:2" x14ac:dyDescent="0.55000000000000004">
      <c r="A2638" s="1"/>
      <c r="B2638" s="1"/>
    </row>
    <row r="2641" spans="1:2" x14ac:dyDescent="0.55000000000000004">
      <c r="A2641" s="1"/>
      <c r="B2641" s="1"/>
    </row>
    <row r="2644" spans="1:2" x14ac:dyDescent="0.55000000000000004">
      <c r="A2644" s="1"/>
      <c r="B2644" s="1"/>
    </row>
    <row r="2647" spans="1:2" x14ac:dyDescent="0.55000000000000004">
      <c r="A2647" s="1"/>
      <c r="B2647" s="1"/>
    </row>
    <row r="2650" spans="1:2" x14ac:dyDescent="0.55000000000000004">
      <c r="A2650" s="1"/>
      <c r="B2650" s="1"/>
    </row>
    <row r="2653" spans="1:2" x14ac:dyDescent="0.55000000000000004">
      <c r="A2653" s="1"/>
      <c r="B2653" s="1"/>
    </row>
    <row r="2656" spans="1:2" x14ac:dyDescent="0.55000000000000004">
      <c r="A2656" s="1"/>
      <c r="B2656" s="1"/>
    </row>
    <row r="2659" spans="1:2" x14ac:dyDescent="0.55000000000000004">
      <c r="A2659" s="1"/>
      <c r="B2659" s="1"/>
    </row>
    <row r="2662" spans="1:2" x14ac:dyDescent="0.55000000000000004">
      <c r="A2662" s="1"/>
      <c r="B2662" s="1"/>
    </row>
    <row r="2665" spans="1:2" x14ac:dyDescent="0.55000000000000004">
      <c r="A2665" s="1"/>
      <c r="B2665" s="1"/>
    </row>
    <row r="2668" spans="1:2" x14ac:dyDescent="0.55000000000000004">
      <c r="A2668" s="1"/>
      <c r="B2668" s="1"/>
    </row>
    <row r="2671" spans="1:2" x14ac:dyDescent="0.55000000000000004">
      <c r="A2671" s="1"/>
      <c r="B2671" s="1"/>
    </row>
    <row r="2674" spans="1:2" x14ac:dyDescent="0.55000000000000004">
      <c r="A2674" s="1"/>
      <c r="B2674" s="1"/>
    </row>
    <row r="2677" spans="1:2" x14ac:dyDescent="0.55000000000000004">
      <c r="A2677" s="1"/>
      <c r="B2677" s="1"/>
    </row>
    <row r="2680" spans="1:2" x14ac:dyDescent="0.55000000000000004">
      <c r="A2680" s="1"/>
      <c r="B2680" s="1"/>
    </row>
    <row r="2683" spans="1:2" x14ac:dyDescent="0.55000000000000004">
      <c r="A2683" s="1"/>
      <c r="B2683" s="1"/>
    </row>
    <row r="2686" spans="1:2" x14ac:dyDescent="0.55000000000000004">
      <c r="A2686" s="1"/>
      <c r="B2686" s="1"/>
    </row>
    <row r="2689" spans="1:2" x14ac:dyDescent="0.55000000000000004">
      <c r="A2689" s="1"/>
      <c r="B2689" s="1"/>
    </row>
    <row r="2692" spans="1:2" x14ac:dyDescent="0.55000000000000004">
      <c r="A2692" s="1"/>
      <c r="B2692" s="1"/>
    </row>
    <row r="2695" spans="1:2" x14ac:dyDescent="0.55000000000000004">
      <c r="A2695" s="1"/>
      <c r="B2695" s="1"/>
    </row>
    <row r="2698" spans="1:2" x14ac:dyDescent="0.55000000000000004">
      <c r="A2698" s="1"/>
      <c r="B2698" s="1"/>
    </row>
    <row r="2701" spans="1:2" x14ac:dyDescent="0.55000000000000004">
      <c r="A2701" s="1"/>
      <c r="B2701" s="1"/>
    </row>
    <row r="2704" spans="1:2" x14ac:dyDescent="0.55000000000000004">
      <c r="A2704" s="1"/>
      <c r="B2704" s="1"/>
    </row>
    <row r="2707" spans="1:2" x14ac:dyDescent="0.55000000000000004">
      <c r="A2707" s="1"/>
      <c r="B2707" s="1"/>
    </row>
    <row r="2710" spans="1:2" x14ac:dyDescent="0.55000000000000004">
      <c r="A2710" s="1"/>
      <c r="B2710" s="1"/>
    </row>
    <row r="2713" spans="1:2" x14ac:dyDescent="0.55000000000000004">
      <c r="A2713" s="1"/>
      <c r="B2713" s="1"/>
    </row>
    <row r="2716" spans="1:2" x14ac:dyDescent="0.55000000000000004">
      <c r="A2716" s="1"/>
      <c r="B2716" s="1"/>
    </row>
    <row r="2719" spans="1:2" x14ac:dyDescent="0.55000000000000004">
      <c r="A2719" s="1"/>
      <c r="B2719" s="1"/>
    </row>
    <row r="2722" spans="1:2" x14ac:dyDescent="0.55000000000000004">
      <c r="A2722" s="1"/>
      <c r="B2722" s="1"/>
    </row>
    <row r="2725" spans="1:2" x14ac:dyDescent="0.55000000000000004">
      <c r="A2725" s="1"/>
      <c r="B2725" s="1"/>
    </row>
    <row r="2728" spans="1:2" x14ac:dyDescent="0.55000000000000004">
      <c r="A2728" s="1"/>
      <c r="B2728" s="1"/>
    </row>
    <row r="2731" spans="1:2" x14ac:dyDescent="0.55000000000000004">
      <c r="A2731" s="1"/>
      <c r="B2731" s="1"/>
    </row>
    <row r="2734" spans="1:2" x14ac:dyDescent="0.55000000000000004">
      <c r="A2734" s="1"/>
      <c r="B2734" s="1"/>
    </row>
    <row r="2737" spans="1:2" x14ac:dyDescent="0.55000000000000004">
      <c r="A2737" s="1"/>
      <c r="B2737" s="1"/>
    </row>
    <row r="2740" spans="1:2" x14ac:dyDescent="0.55000000000000004">
      <c r="A2740" s="1"/>
      <c r="B2740" s="1"/>
    </row>
    <row r="2743" spans="1:2" x14ac:dyDescent="0.55000000000000004">
      <c r="A2743" s="1"/>
      <c r="B2743" s="1"/>
    </row>
    <row r="2746" spans="1:2" x14ac:dyDescent="0.55000000000000004">
      <c r="A2746" s="1"/>
      <c r="B2746" s="1"/>
    </row>
    <row r="2749" spans="1:2" x14ac:dyDescent="0.55000000000000004">
      <c r="A2749" s="1"/>
      <c r="B2749" s="1"/>
    </row>
    <row r="2752" spans="1:2" x14ac:dyDescent="0.55000000000000004">
      <c r="A2752" s="1"/>
      <c r="B2752" s="1"/>
    </row>
    <row r="2755" spans="1:2" x14ac:dyDescent="0.55000000000000004">
      <c r="A2755" s="1"/>
      <c r="B2755" s="1"/>
    </row>
    <row r="2758" spans="1:2" x14ac:dyDescent="0.55000000000000004">
      <c r="A2758" s="1"/>
      <c r="B2758" s="1"/>
    </row>
    <row r="2761" spans="1:2" x14ac:dyDescent="0.55000000000000004">
      <c r="A2761" s="1"/>
      <c r="B2761" s="1"/>
    </row>
    <row r="2764" spans="1:2" x14ac:dyDescent="0.55000000000000004">
      <c r="A2764" s="1"/>
      <c r="B2764" s="1"/>
    </row>
    <row r="2767" spans="1:2" x14ac:dyDescent="0.55000000000000004">
      <c r="A2767" s="1"/>
      <c r="B2767" s="1"/>
    </row>
    <row r="2770" spans="1:2" x14ac:dyDescent="0.55000000000000004">
      <c r="A2770" s="1"/>
      <c r="B2770" s="1"/>
    </row>
    <row r="2773" spans="1:2" x14ac:dyDescent="0.55000000000000004">
      <c r="A2773" s="1"/>
      <c r="B2773" s="1"/>
    </row>
    <row r="2776" spans="1:2" x14ac:dyDescent="0.55000000000000004">
      <c r="A2776" s="1"/>
      <c r="B2776" s="1"/>
    </row>
    <row r="2779" spans="1:2" x14ac:dyDescent="0.55000000000000004">
      <c r="A2779" s="1"/>
      <c r="B2779" s="1"/>
    </row>
    <row r="2782" spans="1:2" x14ac:dyDescent="0.55000000000000004">
      <c r="A2782" s="1"/>
      <c r="B2782" s="1"/>
    </row>
    <row r="2785" spans="1:2" x14ac:dyDescent="0.55000000000000004">
      <c r="A2785" s="1"/>
      <c r="B2785" s="1"/>
    </row>
    <row r="2788" spans="1:2" x14ac:dyDescent="0.55000000000000004">
      <c r="A2788" s="1"/>
      <c r="B2788" s="1"/>
    </row>
    <row r="2791" spans="1:2" x14ac:dyDescent="0.55000000000000004">
      <c r="A2791" s="1"/>
      <c r="B2791" s="1"/>
    </row>
    <row r="2794" spans="1:2" x14ac:dyDescent="0.55000000000000004">
      <c r="A2794" s="1"/>
      <c r="B2794" s="1"/>
    </row>
    <row r="2797" spans="1:2" x14ac:dyDescent="0.55000000000000004">
      <c r="A2797" s="1"/>
      <c r="B2797" s="1"/>
    </row>
    <row r="2800" spans="1:2" x14ac:dyDescent="0.55000000000000004">
      <c r="A2800" s="1"/>
      <c r="B2800" s="1"/>
    </row>
    <row r="2803" spans="1:2" x14ac:dyDescent="0.55000000000000004">
      <c r="A2803" s="1"/>
      <c r="B2803" s="1"/>
    </row>
    <row r="2806" spans="1:2" x14ac:dyDescent="0.55000000000000004">
      <c r="A2806" s="1"/>
      <c r="B2806" s="1"/>
    </row>
    <row r="2809" spans="1:2" x14ac:dyDescent="0.55000000000000004">
      <c r="A2809" s="1"/>
      <c r="B2809" s="1"/>
    </row>
    <row r="2812" spans="1:2" x14ac:dyDescent="0.55000000000000004">
      <c r="A2812" s="1"/>
      <c r="B2812" s="1"/>
    </row>
    <row r="2815" spans="1:2" x14ac:dyDescent="0.55000000000000004">
      <c r="A2815" s="1"/>
      <c r="B2815" s="1"/>
    </row>
    <row r="2818" spans="1:2" x14ac:dyDescent="0.55000000000000004">
      <c r="A2818" s="1"/>
      <c r="B2818" s="1"/>
    </row>
    <row r="2821" spans="1:2" x14ac:dyDescent="0.55000000000000004">
      <c r="A2821" s="1"/>
      <c r="B2821" s="1"/>
    </row>
    <row r="2824" spans="1:2" x14ac:dyDescent="0.55000000000000004">
      <c r="A2824" s="1"/>
      <c r="B2824" s="1"/>
    </row>
    <row r="2827" spans="1:2" x14ac:dyDescent="0.55000000000000004">
      <c r="A2827" s="1"/>
      <c r="B2827" s="1"/>
    </row>
    <row r="2830" spans="1:2" x14ac:dyDescent="0.55000000000000004">
      <c r="A2830" s="1"/>
      <c r="B2830" s="1"/>
    </row>
    <row r="2833" spans="1:2" x14ac:dyDescent="0.55000000000000004">
      <c r="A2833" s="1"/>
      <c r="B2833" s="1"/>
    </row>
    <row r="2836" spans="1:2" x14ac:dyDescent="0.55000000000000004">
      <c r="A2836" s="1"/>
      <c r="B2836" s="1"/>
    </row>
    <row r="2839" spans="1:2" x14ac:dyDescent="0.55000000000000004">
      <c r="A2839" s="1"/>
      <c r="B2839" s="1"/>
    </row>
    <row r="2842" spans="1:2" x14ac:dyDescent="0.55000000000000004">
      <c r="A2842" s="1"/>
      <c r="B2842" s="1"/>
    </row>
    <row r="2845" spans="1:2" x14ac:dyDescent="0.55000000000000004">
      <c r="A2845" s="1"/>
      <c r="B2845" s="1"/>
    </row>
    <row r="2848" spans="1:2" x14ac:dyDescent="0.55000000000000004">
      <c r="A2848" s="1"/>
      <c r="B2848" s="1"/>
    </row>
    <row r="2851" spans="1:2" x14ac:dyDescent="0.55000000000000004">
      <c r="A2851" s="1"/>
      <c r="B2851" s="1"/>
    </row>
    <row r="2854" spans="1:2" x14ac:dyDescent="0.55000000000000004">
      <c r="A2854" s="1"/>
      <c r="B2854" s="1"/>
    </row>
    <row r="2857" spans="1:2" x14ac:dyDescent="0.55000000000000004">
      <c r="A2857" s="1"/>
      <c r="B2857" s="1"/>
    </row>
    <row r="2860" spans="1:2" x14ac:dyDescent="0.55000000000000004">
      <c r="A2860" s="1"/>
      <c r="B2860" s="1"/>
    </row>
    <row r="2863" spans="1:2" x14ac:dyDescent="0.55000000000000004">
      <c r="A2863" s="1"/>
      <c r="B2863" s="1"/>
    </row>
    <row r="2866" spans="1:2" x14ac:dyDescent="0.55000000000000004">
      <c r="A2866" s="1"/>
      <c r="B2866" s="1"/>
    </row>
    <row r="2869" spans="1:2" x14ac:dyDescent="0.55000000000000004">
      <c r="A2869" s="1"/>
      <c r="B2869" s="1"/>
    </row>
    <row r="2872" spans="1:2" x14ac:dyDescent="0.55000000000000004">
      <c r="A2872" s="1"/>
      <c r="B2872" s="1"/>
    </row>
    <row r="2875" spans="1:2" x14ac:dyDescent="0.55000000000000004">
      <c r="A2875" s="1"/>
      <c r="B2875" s="1"/>
    </row>
    <row r="2878" spans="1:2" x14ac:dyDescent="0.55000000000000004">
      <c r="A2878" s="1"/>
      <c r="B2878" s="1"/>
    </row>
    <row r="2881" spans="1:2" x14ac:dyDescent="0.55000000000000004">
      <c r="A2881" s="1"/>
      <c r="B2881" s="1"/>
    </row>
    <row r="2884" spans="1:2" x14ac:dyDescent="0.55000000000000004">
      <c r="A2884" s="1"/>
      <c r="B2884" s="1"/>
    </row>
    <row r="2887" spans="1:2" x14ac:dyDescent="0.55000000000000004">
      <c r="A2887" s="1"/>
      <c r="B2887" s="1"/>
    </row>
    <row r="2890" spans="1:2" x14ac:dyDescent="0.55000000000000004">
      <c r="A2890" s="1"/>
      <c r="B2890" s="1"/>
    </row>
    <row r="2893" spans="1:2" x14ac:dyDescent="0.55000000000000004">
      <c r="A2893" s="1"/>
      <c r="B2893" s="1"/>
    </row>
    <row r="2896" spans="1:2" x14ac:dyDescent="0.55000000000000004">
      <c r="A2896" s="1"/>
      <c r="B2896" s="1"/>
    </row>
    <row r="2899" spans="1:2" x14ac:dyDescent="0.55000000000000004">
      <c r="A2899" s="1"/>
      <c r="B2899" s="1"/>
    </row>
    <row r="2902" spans="1:2" x14ac:dyDescent="0.55000000000000004">
      <c r="A2902" s="1"/>
      <c r="B2902" s="1"/>
    </row>
    <row r="2905" spans="1:2" x14ac:dyDescent="0.55000000000000004">
      <c r="A2905" s="1"/>
      <c r="B2905" s="1"/>
    </row>
    <row r="2908" spans="1:2" x14ac:dyDescent="0.55000000000000004">
      <c r="A2908" s="1"/>
      <c r="B2908" s="1"/>
    </row>
    <row r="2911" spans="1:2" x14ac:dyDescent="0.55000000000000004">
      <c r="A2911" s="1"/>
      <c r="B2911" s="1"/>
    </row>
    <row r="2914" spans="1:2" x14ac:dyDescent="0.55000000000000004">
      <c r="A2914" s="1"/>
      <c r="B2914" s="1"/>
    </row>
    <row r="2917" spans="1:2" x14ac:dyDescent="0.55000000000000004">
      <c r="A2917" s="1"/>
      <c r="B2917" s="1"/>
    </row>
    <row r="2920" spans="1:2" x14ac:dyDescent="0.55000000000000004">
      <c r="A2920" s="1"/>
      <c r="B2920" s="1"/>
    </row>
    <row r="2923" spans="1:2" x14ac:dyDescent="0.55000000000000004">
      <c r="A2923" s="1"/>
      <c r="B2923" s="1"/>
    </row>
    <row r="2926" spans="1:2" x14ac:dyDescent="0.55000000000000004">
      <c r="A2926" s="1"/>
      <c r="B2926" s="1"/>
    </row>
    <row r="2929" spans="1:2" x14ac:dyDescent="0.55000000000000004">
      <c r="A2929" s="1"/>
      <c r="B2929" s="1"/>
    </row>
    <row r="2932" spans="1:2" x14ac:dyDescent="0.55000000000000004">
      <c r="A2932" s="1"/>
      <c r="B2932" s="1"/>
    </row>
    <row r="2935" spans="1:2" x14ac:dyDescent="0.55000000000000004">
      <c r="A2935" s="1"/>
      <c r="B2935" s="1"/>
    </row>
    <row r="2938" spans="1:2" x14ac:dyDescent="0.55000000000000004">
      <c r="A2938" s="1"/>
      <c r="B2938" s="1"/>
    </row>
    <row r="2941" spans="1:2" x14ac:dyDescent="0.55000000000000004">
      <c r="A2941" s="1"/>
      <c r="B2941" s="1"/>
    </row>
    <row r="2944" spans="1:2" x14ac:dyDescent="0.55000000000000004">
      <c r="A2944" s="1"/>
      <c r="B2944" s="1"/>
    </row>
    <row r="2947" spans="1:2" x14ac:dyDescent="0.55000000000000004">
      <c r="A2947" s="1"/>
      <c r="B2947" s="1"/>
    </row>
    <row r="2950" spans="1:2" x14ac:dyDescent="0.55000000000000004">
      <c r="A2950" s="1"/>
      <c r="B2950" s="1"/>
    </row>
    <row r="2953" spans="1:2" x14ac:dyDescent="0.55000000000000004">
      <c r="A2953" s="1"/>
      <c r="B2953" s="1"/>
    </row>
    <row r="2956" spans="1:2" x14ac:dyDescent="0.55000000000000004">
      <c r="A2956" s="1"/>
      <c r="B2956" s="1"/>
    </row>
    <row r="2959" spans="1:2" x14ac:dyDescent="0.55000000000000004">
      <c r="A2959" s="1"/>
      <c r="B2959" s="1"/>
    </row>
    <row r="2962" spans="1:2" x14ac:dyDescent="0.55000000000000004">
      <c r="A2962" s="1"/>
      <c r="B2962" s="1"/>
    </row>
    <row r="2965" spans="1:2" x14ac:dyDescent="0.55000000000000004">
      <c r="A2965" s="1"/>
      <c r="B2965" s="1"/>
    </row>
    <row r="2968" spans="1:2" x14ac:dyDescent="0.55000000000000004">
      <c r="A2968" s="1"/>
      <c r="B2968" s="1"/>
    </row>
    <row r="2971" spans="1:2" x14ac:dyDescent="0.55000000000000004">
      <c r="A2971" s="1"/>
      <c r="B2971" s="1"/>
    </row>
    <row r="2974" spans="1:2" x14ac:dyDescent="0.55000000000000004">
      <c r="A2974" s="1"/>
      <c r="B2974" s="1"/>
    </row>
    <row r="2977" spans="1:2" x14ac:dyDescent="0.55000000000000004">
      <c r="A2977" s="1"/>
      <c r="B2977" s="1"/>
    </row>
    <row r="2980" spans="1:2" x14ac:dyDescent="0.55000000000000004">
      <c r="A2980" s="1"/>
      <c r="B2980" s="1"/>
    </row>
    <row r="2983" spans="1:2" x14ac:dyDescent="0.55000000000000004">
      <c r="A2983" s="1"/>
      <c r="B2983" s="1"/>
    </row>
    <row r="2986" spans="1:2" x14ac:dyDescent="0.55000000000000004">
      <c r="A2986" s="1"/>
      <c r="B2986" s="1"/>
    </row>
    <row r="2989" spans="1:2" x14ac:dyDescent="0.55000000000000004">
      <c r="A2989" s="1"/>
      <c r="B2989" s="1"/>
    </row>
    <row r="2992" spans="1:2" x14ac:dyDescent="0.55000000000000004">
      <c r="A2992" s="1"/>
      <c r="B2992" s="1"/>
    </row>
    <row r="2995" spans="1:2" x14ac:dyDescent="0.55000000000000004">
      <c r="A2995" s="1"/>
      <c r="B2995" s="1"/>
    </row>
    <row r="2998" spans="1:2" x14ac:dyDescent="0.55000000000000004">
      <c r="A2998" s="1"/>
      <c r="B2998" s="1"/>
    </row>
    <row r="3001" spans="1:2" x14ac:dyDescent="0.55000000000000004">
      <c r="A3001" s="1"/>
      <c r="B3001" s="1"/>
    </row>
    <row r="3004" spans="1:2" x14ac:dyDescent="0.55000000000000004">
      <c r="A3004" s="1"/>
      <c r="B3004" s="1"/>
    </row>
    <row r="3007" spans="1:2" x14ac:dyDescent="0.55000000000000004">
      <c r="A3007" s="1"/>
      <c r="B3007" s="1"/>
    </row>
    <row r="3010" spans="1:2" x14ac:dyDescent="0.55000000000000004">
      <c r="A3010" s="1"/>
      <c r="B3010" s="1"/>
    </row>
    <row r="3013" spans="1:2" x14ac:dyDescent="0.55000000000000004">
      <c r="A3013" s="1"/>
      <c r="B3013" s="1"/>
    </row>
    <row r="3016" spans="1:2" x14ac:dyDescent="0.55000000000000004">
      <c r="A3016" s="1"/>
      <c r="B3016" s="1"/>
    </row>
    <row r="3019" spans="1:2" x14ac:dyDescent="0.55000000000000004">
      <c r="A3019" s="1"/>
      <c r="B3019" s="1"/>
    </row>
    <row r="3022" spans="1:2" x14ac:dyDescent="0.55000000000000004">
      <c r="A3022" s="1"/>
      <c r="B3022" s="1"/>
    </row>
    <row r="3025" spans="1:2" x14ac:dyDescent="0.55000000000000004">
      <c r="A3025" s="1"/>
      <c r="B3025" s="1"/>
    </row>
    <row r="3028" spans="1:2" x14ac:dyDescent="0.55000000000000004">
      <c r="A3028" s="1"/>
      <c r="B3028" s="1"/>
    </row>
    <row r="3031" spans="1:2" x14ac:dyDescent="0.55000000000000004">
      <c r="A3031" s="1"/>
      <c r="B3031" s="1"/>
    </row>
    <row r="3034" spans="1:2" x14ac:dyDescent="0.55000000000000004">
      <c r="A3034" s="1"/>
      <c r="B3034" s="1"/>
    </row>
    <row r="3037" spans="1:2" x14ac:dyDescent="0.55000000000000004">
      <c r="A3037" s="1"/>
      <c r="B3037" s="1"/>
    </row>
    <row r="3040" spans="1:2" x14ac:dyDescent="0.55000000000000004">
      <c r="A3040" s="1"/>
      <c r="B3040" s="1"/>
    </row>
    <row r="3043" spans="1:2" x14ac:dyDescent="0.55000000000000004">
      <c r="A3043" s="1"/>
      <c r="B3043" s="1"/>
    </row>
    <row r="3046" spans="1:2" x14ac:dyDescent="0.55000000000000004">
      <c r="A3046" s="1"/>
      <c r="B3046" s="1"/>
    </row>
    <row r="3049" spans="1:2" x14ac:dyDescent="0.55000000000000004">
      <c r="A3049" s="1"/>
      <c r="B3049" s="1"/>
    </row>
    <row r="3052" spans="1:2" x14ac:dyDescent="0.55000000000000004">
      <c r="A3052" s="1"/>
      <c r="B3052" s="1"/>
    </row>
    <row r="3055" spans="1:2" x14ac:dyDescent="0.55000000000000004">
      <c r="A3055" s="1"/>
      <c r="B3055" s="1"/>
    </row>
    <row r="3058" spans="1:2" x14ac:dyDescent="0.55000000000000004">
      <c r="A3058" s="1"/>
      <c r="B3058" s="1"/>
    </row>
    <row r="3061" spans="1:2" x14ac:dyDescent="0.55000000000000004">
      <c r="A3061" s="1"/>
      <c r="B3061" s="1"/>
    </row>
    <row r="3064" spans="1:2" x14ac:dyDescent="0.55000000000000004">
      <c r="A3064" s="1"/>
      <c r="B3064" s="1"/>
    </row>
    <row r="3067" spans="1:2" x14ac:dyDescent="0.55000000000000004">
      <c r="A3067" s="1"/>
      <c r="B3067" s="1"/>
    </row>
    <row r="3070" spans="1:2" x14ac:dyDescent="0.55000000000000004">
      <c r="A3070" s="1"/>
      <c r="B3070" s="1"/>
    </row>
    <row r="3073" spans="1:2" x14ac:dyDescent="0.55000000000000004">
      <c r="A3073" s="1"/>
      <c r="B3073" s="1"/>
    </row>
    <row r="3076" spans="1:2" x14ac:dyDescent="0.55000000000000004">
      <c r="A3076" s="1"/>
      <c r="B3076" s="1"/>
    </row>
    <row r="3079" spans="1:2" x14ac:dyDescent="0.55000000000000004">
      <c r="A3079" s="1"/>
      <c r="B3079" s="1"/>
    </row>
    <row r="3082" spans="1:2" x14ac:dyDescent="0.55000000000000004">
      <c r="A3082" s="1"/>
      <c r="B3082" s="1"/>
    </row>
    <row r="3085" spans="1:2" x14ac:dyDescent="0.55000000000000004">
      <c r="A3085" s="1"/>
      <c r="B3085" s="1"/>
    </row>
    <row r="3088" spans="1:2" x14ac:dyDescent="0.55000000000000004">
      <c r="A3088" s="1"/>
      <c r="B3088" s="1"/>
    </row>
    <row r="3091" spans="1:2" x14ac:dyDescent="0.55000000000000004">
      <c r="A3091" s="1"/>
      <c r="B3091" s="1"/>
    </row>
    <row r="3094" spans="1:2" x14ac:dyDescent="0.55000000000000004">
      <c r="A3094" s="1"/>
      <c r="B3094" s="1"/>
    </row>
    <row r="3097" spans="1:2" x14ac:dyDescent="0.55000000000000004">
      <c r="A3097" s="1"/>
      <c r="B3097" s="1"/>
    </row>
    <row r="3100" spans="1:2" x14ac:dyDescent="0.55000000000000004">
      <c r="A3100" s="1"/>
      <c r="B3100" s="1"/>
    </row>
    <row r="3103" spans="1:2" x14ac:dyDescent="0.55000000000000004">
      <c r="A3103" s="1"/>
      <c r="B3103" s="1"/>
    </row>
    <row r="3106" spans="1:2" x14ac:dyDescent="0.55000000000000004">
      <c r="A3106" s="1"/>
      <c r="B3106" s="1"/>
    </row>
    <row r="3109" spans="1:2" x14ac:dyDescent="0.55000000000000004">
      <c r="A3109" s="1"/>
      <c r="B3109" s="1"/>
    </row>
    <row r="3112" spans="1:2" x14ac:dyDescent="0.55000000000000004">
      <c r="A3112" s="1"/>
      <c r="B3112" s="1"/>
    </row>
    <row r="3115" spans="1:2" x14ac:dyDescent="0.55000000000000004">
      <c r="A3115" s="1"/>
      <c r="B3115" s="1"/>
    </row>
    <row r="3118" spans="1:2" x14ac:dyDescent="0.55000000000000004">
      <c r="A3118" s="1"/>
      <c r="B3118" s="1"/>
    </row>
    <row r="3121" spans="1:2" x14ac:dyDescent="0.55000000000000004">
      <c r="A3121" s="1"/>
      <c r="B3121" s="1"/>
    </row>
  </sheetData>
  <autoFilter ref="A1:X1402" xr:uid="{7708A247-2452-4922-8850-19800A41A335}">
    <filterColumn colId="10">
      <filters>
        <filter val="パワプロ"/>
      </filters>
    </filterColumn>
    <filterColumn colId="13">
      <filters>
        <filter val="全力ストレート"/>
      </filters>
    </filterColumn>
    <filterColumn colId="23">
      <filters blank="1"/>
    </filterColumn>
  </autoFilter>
  <phoneticPr fontId="1"/>
  <hyperlinks>
    <hyperlink ref="A12" r:id="rId1" display="out/パワプロ2020 - 投球解析 - 2020-08-23 11-10-26-00_out.mp4" xr:uid="{8FE50EB1-0016-4F4A-8FD8-F84E611ABA95}"/>
    <hyperlink ref="B12" r:id="rId2" display="result/パワプロ2020 - 投球解析 - 2020-08-23 11-10-26-00_ball.txt" xr:uid="{90B628C9-0705-460A-8D76-EBE87B20ECB0}"/>
    <hyperlink ref="A13" r:id="rId3" display="out/パワプロ2020 - 投球解析 - 2020-08-23 11-10-26-01_out.mp4" xr:uid="{4FAE8B27-F23F-4253-B61F-423278381A77}"/>
    <hyperlink ref="B13" r:id="rId4" display="result/パワプロ2020 - 投球解析 - 2020-08-23 11-10-26-01_ball.txt" xr:uid="{F77E884E-CBAC-4973-A4D3-761422A1921E}"/>
    <hyperlink ref="A14" r:id="rId5" display="out/パワプロ2020 - 投球解析 - 2020-08-23 11-10-26-02_out.mp4" xr:uid="{7484B414-A214-4D61-993D-92C08BD3B103}"/>
    <hyperlink ref="B14" r:id="rId6" display="result/パワプロ2020 - 投球解析 - 2020-08-23 11-10-26-02_ball.txt" xr:uid="{3759518A-9E3D-44F7-A1DF-30BB1656C75C}"/>
    <hyperlink ref="A15" r:id="rId7" display="out/パワプロ2020 - 投球解析 - 2020-08-23 11-10-26-03_out.mp4" xr:uid="{08A26AC1-B492-41AE-BB4A-5FBE78076F57}"/>
    <hyperlink ref="B15" r:id="rId8" display="result/パワプロ2020 - 投球解析 - 2020-08-23 11-10-26-03_ball.txt" xr:uid="{F54116B3-E82D-40A8-A84D-525EBCF88325}"/>
    <hyperlink ref="A16" r:id="rId9" display="out/パワプロ2020 - 投球解析 - 2020-08-23 11-10-26-04_out.mp4" xr:uid="{9CD675B7-30D7-4178-8800-38C1E4218EB4}"/>
    <hyperlink ref="B16" r:id="rId10" display="result/パワプロ2020 - 投球解析 - 2020-08-23 11-10-26-04_ball.txt" xr:uid="{B0D58989-1491-40DA-8D4B-99D0A5113F72}"/>
    <hyperlink ref="A17" r:id="rId11" display="out/パワプロ2020 - 投球解析 - 2020-08-23 11-10-26-05_out.mp4" xr:uid="{68AEC55C-368B-4806-A532-C4A3B5B53982}"/>
    <hyperlink ref="B17" r:id="rId12" display="result/パワプロ2020 - 投球解析 - 2020-08-23 11-10-26-05_ball.txt" xr:uid="{34425DC5-C396-4D71-A8E2-CE3DCDF55A77}"/>
    <hyperlink ref="A18" r:id="rId13" display="out/パワプロ2020 - 投球解析 - 2020-08-23 11-10-26-06_out.mp4" xr:uid="{652C719C-2964-4380-BC75-26D6D7364C91}"/>
    <hyperlink ref="B18" r:id="rId14" display="result/パワプロ2020 - 投球解析 - 2020-08-23 11-10-26-06_ball.txt" xr:uid="{FC9678A2-5B7D-451F-929F-E8096DEAB91B}"/>
    <hyperlink ref="A19" r:id="rId15" display="out/パワプロ2020 - 投球解析 - 2020-08-23 11-10-26-07_out.mp4" xr:uid="{40AFCEB1-BF45-4E61-8B0D-751B761A8D2F}"/>
    <hyperlink ref="B19" r:id="rId16" display="result/パワプロ2020 - 投球解析 - 2020-08-23 11-10-26-07_ball.txt" xr:uid="{27421BD4-738F-4E80-8CB7-99A83D211CDA}"/>
    <hyperlink ref="A20" r:id="rId17" display="out/パワプロ2020 - 投球解析 - 2020-08-23 11-10-26-08_out.mp4" xr:uid="{372566D1-33E4-4E01-8056-CC63D7AA91D7}"/>
    <hyperlink ref="B20" r:id="rId18" display="result/パワプロ2020 - 投球解析 - 2020-08-23 11-10-26-08_ball.txt" xr:uid="{DEB2808F-9368-482F-9B79-20173FD39363}"/>
    <hyperlink ref="A21" r:id="rId19" display="out/パワプロ2020 - 投球解析 - 2020-08-23 11-10-26-09_out.mp4" xr:uid="{D35BA939-3D47-43E1-94E1-D1C540C5AE27}"/>
    <hyperlink ref="B21" r:id="rId20" display="result/パワプロ2020 - 投球解析 - 2020-08-23 11-10-26-09_ball.txt" xr:uid="{9749440F-547F-483A-AD9B-D2176631FBE9}"/>
    <hyperlink ref="A22" r:id="rId21" display="out/パワプロ2020 - 投球解析 - 2020-08-23 11-11-35-00_out.mp4" xr:uid="{044BA091-95B5-4BA5-865E-3CAD6F536B5D}"/>
    <hyperlink ref="B22" r:id="rId22" display="result/パワプロ2020 - 投球解析 - 2020-08-23 11-11-35-00_ball.txt" xr:uid="{27680FD5-E175-4FDC-BF9D-23CA9B2203E3}"/>
    <hyperlink ref="A23" r:id="rId23" display="out/パワプロ2020 - 投球解析 - 2020-08-23 11-11-35-01_out.mp4" xr:uid="{605740BD-B430-44F3-AE02-2D5484FEED2D}"/>
    <hyperlink ref="B23" r:id="rId24" display="result/パワプロ2020 - 投球解析 - 2020-08-23 11-11-35-01_ball.txt" xr:uid="{09907699-8CD6-428F-9331-E2F6C3C49AC8}"/>
    <hyperlink ref="A24" r:id="rId25" display="out/パワプロ2020 - 投球解析 - 2020-08-23 11-11-35-02_out.mp4" xr:uid="{2A1874D1-6CF1-4B97-9417-2B0D1CB0ACA0}"/>
    <hyperlink ref="B24" r:id="rId26" display="result/パワプロ2020 - 投球解析 - 2020-08-23 11-11-35-02_ball.txt" xr:uid="{5609F674-26A6-42AF-B902-6A2EE314F2D9}"/>
    <hyperlink ref="A25" r:id="rId27" display="out/パワプロ2020 - 投球解析 - 2020-08-23 11-11-35-03_out.mp4" xr:uid="{3AF226A0-93B8-4310-909F-D6CE04189736}"/>
    <hyperlink ref="B25" r:id="rId28" display="result/パワプロ2020 - 投球解析 - 2020-08-23 11-11-35-03_ball.txt" xr:uid="{18C8B802-1ECF-4651-BF8C-FF1D9E4EEF19}"/>
    <hyperlink ref="A26" r:id="rId29" display="out/パワプロ2020 - 投球解析 - 2020-08-23 11-11-35-04_out.mp4" xr:uid="{3FD6FE40-3152-40A3-A37D-8A2BFEBDE8D1}"/>
    <hyperlink ref="B26" r:id="rId30" display="result/パワプロ2020 - 投球解析 - 2020-08-23 11-11-35-04_ball.txt" xr:uid="{CEBC7557-A0A6-4C03-826C-F35313B52A58}"/>
    <hyperlink ref="A27" r:id="rId31" display="out/パワプロ2020 - 投球解析 - 2020-08-23 11-11-35-05_out.mp4" xr:uid="{52D8C3BE-5A17-413A-AD23-B0818D92F715}"/>
    <hyperlink ref="B27" r:id="rId32" display="result/パワプロ2020 - 投球解析 - 2020-08-23 11-11-35-05_ball.txt" xr:uid="{6241F2F6-F555-4DF7-A769-2DE5AF8686F7}"/>
    <hyperlink ref="A28" r:id="rId33" display="out/パワプロ2020 - 投球解析 - 2020-08-23 11-11-35-06_out.mp4" xr:uid="{CCF2E047-6273-4530-90F4-5A97068884F3}"/>
    <hyperlink ref="B28" r:id="rId34" display="result/パワプロ2020 - 投球解析 - 2020-08-23 11-11-35-06_ball.txt" xr:uid="{BBF848DB-F6EB-4779-853F-DD9086F6247D}"/>
    <hyperlink ref="A29" r:id="rId35" display="out/パワプロ2020 - 投球解析 - 2020-08-23 11-11-35-07_out.mp4" xr:uid="{5CD41619-FBD5-44FF-84BD-2AC637E5DF3C}"/>
    <hyperlink ref="B29" r:id="rId36" display="result/パワプロ2020 - 投球解析 - 2020-08-23 11-11-35-07_ball.txt" xr:uid="{C4667B71-FC78-4005-874B-B445C64008E3}"/>
    <hyperlink ref="A30" r:id="rId37" display="out/パワプロ2020 - 投球解析 - 2020-08-23 11-11-35-08_out.mp4" xr:uid="{E251EEC9-2F5D-46AB-BF26-EAED2EA6B82C}"/>
    <hyperlink ref="B30" r:id="rId38" display="result/パワプロ2020 - 投球解析 - 2020-08-23 11-11-35-08_ball.txt" xr:uid="{552E26F4-4B48-405C-9AB4-33B1DFCF219E}"/>
    <hyperlink ref="A31" r:id="rId39" display="out/パワプロ2020 - 投球解析 - 2020-08-23 11-11-35-09_out.mp4" xr:uid="{83A5C518-CF7E-48AC-947B-612A6C563119}"/>
    <hyperlink ref="B31" r:id="rId40" display="result/パワプロ2020 - 投球解析 - 2020-08-23 11-11-35-09_ball.txt" xr:uid="{ED00B162-B2FD-40C1-A3BF-A5E204351131}"/>
    <hyperlink ref="A32" r:id="rId41" display="out/パワプロ2020 - 投球解析 - 2020-08-23 11-12-45-00_out.mp4" xr:uid="{58AE9C7D-03EA-4333-B405-89A1C5A3AEC3}"/>
    <hyperlink ref="B32" r:id="rId42" display="result/パワプロ2020 - 投球解析 - 2020-08-23 11-12-45-00_ball.txt" xr:uid="{B217FA34-A53C-4DE8-9170-1D95762D4FC5}"/>
    <hyperlink ref="A33" r:id="rId43" display="out/パワプロ2020 - 投球解析 - 2020-08-23 11-12-45-01_out.mp4" xr:uid="{F4177E5C-42D6-42A6-AEDF-EF77ED248873}"/>
    <hyperlink ref="B33" r:id="rId44" display="result/パワプロ2020 - 投球解析 - 2020-08-23 11-12-45-01_ball.txt" xr:uid="{892223F4-8867-49C2-A4B7-24932A53C659}"/>
    <hyperlink ref="A34" r:id="rId45" display="out/パワプロ2020 - 投球解析 - 2020-08-23 11-12-45-02_out.mp4" xr:uid="{87895620-6D63-46CA-A1FC-A9E986B843D2}"/>
    <hyperlink ref="B34" r:id="rId46" display="result/パワプロ2020 - 投球解析 - 2020-08-23 11-12-45-02_ball.txt" xr:uid="{F84F4912-885F-4908-95E7-B1DF9D298400}"/>
    <hyperlink ref="A35" r:id="rId47" display="out/パワプロ2020 - 投球解析 - 2020-08-23 11-12-45-03_out.mp4" xr:uid="{96940FA3-D1A5-4EF9-ABD1-87A85D040A44}"/>
    <hyperlink ref="B35" r:id="rId48" display="result/パワプロ2020 - 投球解析 - 2020-08-23 11-12-45-03_ball.txt" xr:uid="{4C054E67-1127-4F4F-AC5B-9A639951C763}"/>
    <hyperlink ref="A36" r:id="rId49" display="out/パワプロ2020 - 投球解析 - 2020-08-23 11-12-45-04_out.mp4" xr:uid="{EB0F35EA-E501-4B60-A4F8-F2C327040963}"/>
    <hyperlink ref="B36" r:id="rId50" display="result/パワプロ2020 - 投球解析 - 2020-08-23 11-12-45-04_ball.txt" xr:uid="{50C7783D-E1D9-4E88-AB70-61F36DD25420}"/>
    <hyperlink ref="A37" r:id="rId51" display="out/パワプロ2020 - 投球解析 - 2020-08-23 11-12-45-05_out.mp4" xr:uid="{1DBB95E7-1C98-4667-B5C9-BF1864419A76}"/>
    <hyperlink ref="B37" r:id="rId52" display="result/パワプロ2020 - 投球解析 - 2020-08-23 11-12-45-05_ball.txt" xr:uid="{6277FC01-5859-44CB-943B-CD55E22F64DE}"/>
    <hyperlink ref="A38" r:id="rId53" display="out/パワプロ2020 - 投球解析 - 2020-08-23 11-12-45-06_out.mp4" xr:uid="{AA2D56BA-5522-4CD5-AE02-1E0C3E82B674}"/>
    <hyperlink ref="B38" r:id="rId54" display="result/パワプロ2020 - 投球解析 - 2020-08-23 11-12-45-06_ball.txt" xr:uid="{CA334242-2D25-4D68-A00A-E3DE549F30B8}"/>
    <hyperlink ref="A39" r:id="rId55" display="out/パワプロ2020 - 投球解析 - 2020-08-23 11-12-45-07_out.mp4" xr:uid="{27A308DD-9702-4A68-8842-F06202439159}"/>
    <hyperlink ref="B39" r:id="rId56" display="result/パワプロ2020 - 投球解析 - 2020-08-23 11-12-45-07_ball.txt" xr:uid="{6CE7F201-0F94-444B-A51E-46CB458503ED}"/>
    <hyperlink ref="A40" r:id="rId57" display="out/パワプロ2020 - 投球解析 - 2020-08-23 11-12-45-08_out.mp4" xr:uid="{5A9D545F-F609-47C0-B6C9-C14BCC97130B}"/>
    <hyperlink ref="B40" r:id="rId58" display="result/パワプロ2020 - 投球解析 - 2020-08-23 11-12-45-08_ball.txt" xr:uid="{437057E4-BC06-493B-A51D-A9679651DC6C}"/>
    <hyperlink ref="A41" r:id="rId59" display="out/パワプロ2020 - 投球解析 - 2020-08-23 11-12-45-09_out.mp4" xr:uid="{36801DDD-E467-49FC-8C7D-34ACAE5EC63A}"/>
    <hyperlink ref="B41" r:id="rId60" display="result/パワプロ2020 - 投球解析 - 2020-08-23 11-12-45-09_ball.txt" xr:uid="{F47C20DC-6B36-451E-8D21-741D79572923}"/>
    <hyperlink ref="A42" r:id="rId61" display="out/パワプロ2020 - 投球解析 - 2020-08-23 11-13-59-00_out.mp4" xr:uid="{5D461B7F-006E-4774-AA85-3FB27830F3A1}"/>
    <hyperlink ref="B42" r:id="rId62" display="result/パワプロ2020 - 投球解析 - 2020-08-23 11-13-59-00_ball.txt" xr:uid="{704AA35C-B572-4DF2-A3FE-655C6E4C856D}"/>
    <hyperlink ref="A43" r:id="rId63" display="out/パワプロ2020 - 投球解析 - 2020-08-23 11-13-59-01_out.mp4" xr:uid="{A388098D-C7E2-47E1-BC11-2CDDE2F8F195}"/>
    <hyperlink ref="B43" r:id="rId64" display="result/パワプロ2020 - 投球解析 - 2020-08-23 11-13-59-01_ball.txt" xr:uid="{4B4A82A2-8EC2-45EE-9140-F7D054E1123B}"/>
    <hyperlink ref="A44" r:id="rId65" display="out/パワプロ2020 - 投球解析 - 2020-08-23 11-13-59-02_out.mp4" xr:uid="{B5C60B64-4337-4F5A-B02B-8F62260BC139}"/>
    <hyperlink ref="B44" r:id="rId66" display="result/パワプロ2020 - 投球解析 - 2020-08-23 11-13-59-02_ball.txt" xr:uid="{74CE09BC-ABBE-49FD-BC4B-0F1C3D7F6F4A}"/>
    <hyperlink ref="A45" r:id="rId67" display="out/パワプロ2020 - 投球解析 - 2020-08-23 11-13-59-03_out.mp4" xr:uid="{8C9172A8-22A1-4D86-AFD0-6B69AD24A428}"/>
    <hyperlink ref="B45" r:id="rId68" display="result/パワプロ2020 - 投球解析 - 2020-08-23 11-13-59-03_ball.txt" xr:uid="{0FD04512-34C8-4ADB-8C5C-120AC346A3E1}"/>
    <hyperlink ref="A46" r:id="rId69" display="out/パワプロ2020 - 投球解析 - 2020-08-23 11-13-59-04_out.mp4" xr:uid="{2E17CA61-19ED-4409-9925-F3914A89F4CA}"/>
    <hyperlink ref="B46" r:id="rId70" display="result/パワプロ2020 - 投球解析 - 2020-08-23 11-13-59-04_ball.txt" xr:uid="{6A03779F-ACA9-4B21-8B07-4906AF987407}"/>
    <hyperlink ref="A47" r:id="rId71" display="out/パワプロ2020 - 投球解析 - 2020-08-23 11-13-59-05_out.mp4" xr:uid="{6BB2BA11-2F96-4B84-826C-3D4EBC6F612F}"/>
    <hyperlink ref="B47" r:id="rId72" display="result/パワプロ2020 - 投球解析 - 2020-08-23 11-13-59-05_ball.txt" xr:uid="{46818E5E-A9E8-45D0-B599-74F908535525}"/>
    <hyperlink ref="A48" r:id="rId73" display="out/パワプロ2020 - 投球解析 - 2020-08-23 11-13-59-06_out.mp4" xr:uid="{D0E0CDBD-6388-4200-A575-38733581AAA0}"/>
    <hyperlink ref="B48" r:id="rId74" display="result/パワプロ2020 - 投球解析 - 2020-08-23 11-13-59-06_ball.txt" xr:uid="{5EB9F2C8-597E-4661-953C-8F22B4F07B4B}"/>
    <hyperlink ref="A49" r:id="rId75" display="out/パワプロ2020 - 投球解析 - 2020-08-23 11-13-59-07_out.mp4" xr:uid="{A5F36728-C2CD-4F7C-A2EB-F218EB3AE002}"/>
    <hyperlink ref="B49" r:id="rId76" display="result/パワプロ2020 - 投球解析 - 2020-08-23 11-13-59-07_ball.txt" xr:uid="{E3C242F9-C893-4FEA-B637-DEC28C6DD8EB}"/>
    <hyperlink ref="A50" r:id="rId77" display="out/パワプロ2020 - 投球解析 - 2020-08-23 11-13-59-08_out.mp4" xr:uid="{34F67E5D-F2B7-4914-BCB3-48F2892BDE59}"/>
    <hyperlink ref="B50" r:id="rId78" display="result/パワプロ2020 - 投球解析 - 2020-08-23 11-13-59-08_ball.txt" xr:uid="{B3D8900D-B266-4801-83ED-9D1AFBD4FC5F}"/>
    <hyperlink ref="A51" r:id="rId79" display="out/パワプロ2020 - 投球解析 - 2020-08-23 11-13-59-09_out.mp4" xr:uid="{D5D90CBA-835D-49B4-ADB0-F9C129064DDF}"/>
    <hyperlink ref="B51" r:id="rId80" display="result/パワプロ2020 - 投球解析 - 2020-08-23 11-13-59-09_ball.txt" xr:uid="{68CB9C19-F45D-4483-B129-B3EA7F42F8F4}"/>
    <hyperlink ref="A52" r:id="rId81" display="out/パワプロ2020 - 投球解析 - 2020-08-23 11-15-09-00_out.mp4" xr:uid="{4B38170B-D450-40A5-BA7E-C582CAFA2AB9}"/>
    <hyperlink ref="B52" r:id="rId82" display="result/パワプロ2020 - 投球解析 - 2020-08-23 11-15-09-00_ball.txt" xr:uid="{43A2CDD4-B206-4B7C-B300-E2489FE167B1}"/>
    <hyperlink ref="A53" r:id="rId83" display="out/パワプロ2020 - 投球解析 - 2020-08-23 11-15-09-01_out.mp4" xr:uid="{34E82AA0-8A86-4BFD-9472-DFDEDE32BC1E}"/>
    <hyperlink ref="B53" r:id="rId84" display="result/パワプロ2020 - 投球解析 - 2020-08-23 11-15-09-01_ball.txt" xr:uid="{7F5F492F-93EC-4A82-8EDD-5203C350F0F2}"/>
    <hyperlink ref="A54" r:id="rId85" display="out/パワプロ2020 - 投球解析 - 2020-08-23 11-15-09-02_out.mp4" xr:uid="{363E7969-7D85-47C6-8A86-A9B5BF1413CC}"/>
    <hyperlink ref="B54" r:id="rId86" display="result/パワプロ2020 - 投球解析 - 2020-08-23 11-15-09-02_ball.txt" xr:uid="{13B0AB05-91CB-4F87-B2B1-FE18A317BD13}"/>
    <hyperlink ref="A55" r:id="rId87" display="out/パワプロ2020 - 投球解析 - 2020-08-23 11-15-09-03_out.mp4" xr:uid="{B1E0192C-0259-476E-9B7C-2A0D9BE0A8FC}"/>
    <hyperlink ref="B55" r:id="rId88" display="result/パワプロ2020 - 投球解析 - 2020-08-23 11-15-09-03_ball.txt" xr:uid="{FDB41D6A-10FD-4843-8BBF-E9DE3C4ADEB6}"/>
    <hyperlink ref="A56" r:id="rId89" display="out/パワプロ2020 - 投球解析 - 2020-08-23 11-15-09-04_out.mp4" xr:uid="{A10925C7-E6B3-487D-86E7-BAD402AE2EA0}"/>
    <hyperlink ref="B56" r:id="rId90" display="result/パワプロ2020 - 投球解析 - 2020-08-23 11-15-09-04_ball.txt" xr:uid="{26D34616-1935-41C6-93DC-4862EAA6C1CB}"/>
    <hyperlink ref="A57" r:id="rId91" display="out/パワプロ2020 - 投球解析 - 2020-08-23 11-15-09-05_out.mp4" xr:uid="{2F0CDC22-714F-464C-A5AF-811A1861964D}"/>
    <hyperlink ref="B57" r:id="rId92" display="result/パワプロ2020 - 投球解析 - 2020-08-23 11-15-09-05_ball.txt" xr:uid="{E98B13ED-C31C-4611-A956-63012919974D}"/>
    <hyperlink ref="A58" r:id="rId93" display="out/パワプロ2020 - 投球解析 - 2020-08-23 11-15-09-06_out.mp4" xr:uid="{C762DF11-1085-4A93-B5AF-69C708D0550A}"/>
    <hyperlink ref="B58" r:id="rId94" display="result/パワプロ2020 - 投球解析 - 2020-08-23 11-15-09-06_ball.txt" xr:uid="{A0F3AB53-652F-4D97-8BC6-839BCE7A848F}"/>
    <hyperlink ref="A59" r:id="rId95" display="out/パワプロ2020 - 投球解析 - 2020-08-23 11-15-09-07_out.mp4" xr:uid="{E760E551-5B01-4DB2-838C-7D7E548475FB}"/>
    <hyperlink ref="B59" r:id="rId96" display="result/パワプロ2020 - 投球解析 - 2020-08-23 11-15-09-07_ball.txt" xr:uid="{860F4FF7-0F4D-4990-88EB-625A1C4B1B60}"/>
    <hyperlink ref="A60" r:id="rId97" display="out/パワプロ2020 - 投球解析 - 2020-08-23 11-15-09-08_out.mp4" xr:uid="{FA2C2C22-3A51-49B6-ABB7-2313302CAD35}"/>
    <hyperlink ref="B60" r:id="rId98" display="result/パワプロ2020 - 投球解析 - 2020-08-23 11-15-09-08_ball.txt" xr:uid="{CE518E81-3D09-407D-8E12-29F765AD9C2A}"/>
    <hyperlink ref="A61" r:id="rId99" display="out/パワプロ2020 - 投球解析 - 2020-08-23 11-15-09-09_out.mp4" xr:uid="{F3E2BB69-0DAE-40D4-83F6-0A50BACC6227}"/>
    <hyperlink ref="B61" r:id="rId100" display="result/パワプロ2020 - 投球解析 - 2020-08-23 11-15-09-09_ball.txt" xr:uid="{B17FC0E9-5893-4345-BFFB-94DEB7D9BD4A}"/>
    <hyperlink ref="A62" r:id="rId101" display="out/パワプロ2020 - 投球解析 - 2020-08-23 11-16-20-00_out.mp4" xr:uid="{6C15346E-F3D3-4E80-A9E0-29CC08C8CB2E}"/>
    <hyperlink ref="B62" r:id="rId102" display="result/パワプロ2020 - 投球解析 - 2020-08-23 11-16-20-00_ball.txt" xr:uid="{7F6545B6-B542-4805-8CFF-B4F1D5A01E33}"/>
    <hyperlink ref="A63" r:id="rId103" display="out/パワプロ2020 - 投球解析 - 2020-08-23 11-16-20-01_out.mp4" xr:uid="{FFFD8AEA-C227-4801-AB58-BB3FBC21F8A1}"/>
    <hyperlink ref="B63" r:id="rId104" display="result/パワプロ2020 - 投球解析 - 2020-08-23 11-16-20-01_ball.txt" xr:uid="{0816040A-34A0-45D3-B787-AA50AC1C4094}"/>
    <hyperlink ref="A64" r:id="rId105" display="out/パワプロ2020 - 投球解析 - 2020-08-23 11-16-20-02_out.mp4" xr:uid="{5BAC0CF7-3083-483B-B054-7D58AA17053A}"/>
    <hyperlink ref="B64" r:id="rId106" display="result/パワプロ2020 - 投球解析 - 2020-08-23 11-16-20-02_ball.txt" xr:uid="{A5C81AE5-7ECD-4A81-94F4-123E3F0C03A8}"/>
    <hyperlink ref="A65" r:id="rId107" display="out/パワプロ2020 - 投球解析 - 2020-08-23 11-16-20-03_out.mp4" xr:uid="{AC0D20DA-A4B6-45EF-81B4-A5B89FCDD787}"/>
    <hyperlink ref="B65" r:id="rId108" display="result/パワプロ2020 - 投球解析 - 2020-08-23 11-16-20-03_ball.txt" xr:uid="{551A2AB5-DB6F-4264-A22C-4D86122DFD52}"/>
    <hyperlink ref="A66" r:id="rId109" display="out/パワプロ2020 - 投球解析 - 2020-08-23 11-16-20-04_out.mp4" xr:uid="{AD22E60E-D21B-422B-9F7C-488179217EE1}"/>
    <hyperlink ref="B66" r:id="rId110" display="result/パワプロ2020 - 投球解析 - 2020-08-23 11-16-20-04_ball.txt" xr:uid="{EC3F8E69-601A-472D-8332-646D4E9EB509}"/>
    <hyperlink ref="A67" r:id="rId111" display="out/パワプロ2020 - 投球解析 - 2020-08-23 11-16-20-05_out.mp4" xr:uid="{DD9D3514-3F2F-46CB-8B1C-8FCFC97ABF82}"/>
    <hyperlink ref="B67" r:id="rId112" display="result/パワプロ2020 - 投球解析 - 2020-08-23 11-16-20-05_ball.txt" xr:uid="{7E8CA43E-EB55-4D95-A0F9-D1E5BEEF9AFB}"/>
    <hyperlink ref="A68" r:id="rId113" display="out/パワプロ2020 - 投球解析 - 2020-08-23 11-16-20-06_out.mp4" xr:uid="{D35646FE-270A-48EA-8A9E-FD9FFA3835A0}"/>
    <hyperlink ref="B68" r:id="rId114" display="result/パワプロ2020 - 投球解析 - 2020-08-23 11-16-20-06_ball.txt" xr:uid="{9E75B4AB-1711-4D64-A8EB-332FC42D4B31}"/>
    <hyperlink ref="A69" r:id="rId115" display="out/パワプロ2020 - 投球解析 - 2020-08-23 11-16-20-07_out.mp4" xr:uid="{C125E56A-ABFE-4E23-A65D-80FC7095E73C}"/>
    <hyperlink ref="B69" r:id="rId116" display="result/パワプロ2020 - 投球解析 - 2020-08-23 11-16-20-07_ball.txt" xr:uid="{43780259-5AA1-4A47-85D8-0B4A46E4EF02}"/>
    <hyperlink ref="A70" r:id="rId117" display="out/パワプロ2020 - 投球解析 - 2020-08-23 11-16-20-08_out.mp4" xr:uid="{F57B6AB5-0F39-4DCD-AD03-007EED791F40}"/>
    <hyperlink ref="B70" r:id="rId118" display="result/パワプロ2020 - 投球解析 - 2020-08-23 11-16-20-08_ball.txt" xr:uid="{B2C102A7-BD0C-4B42-B1E9-A6D348268CE8}"/>
    <hyperlink ref="A71" r:id="rId119" display="out/パワプロ2020 - 投球解析 - 2020-08-23 11-16-20-09_out.mp4" xr:uid="{1BED3937-5421-4323-977D-A55442971719}"/>
    <hyperlink ref="B71" r:id="rId120" display="result/パワプロ2020 - 投球解析 - 2020-08-23 11-16-20-09_ball.txt" xr:uid="{525C03E8-7F7D-47A6-94DD-AAB0B10DEC55}"/>
    <hyperlink ref="A82" r:id="rId121" display="out/パワプロ2020 - 投球解析 - 2020-08-23 14-04-47-00_out.mp4" xr:uid="{F35F6E05-C7D5-4D02-A697-DC485EA99676}"/>
    <hyperlink ref="B82" r:id="rId122" display="result/パワプロ2020 - 投球解析 - 2020-08-23 14-04-47-00_ball.txt" xr:uid="{C900251D-73F8-4331-AE36-4E9A89D5A5C6}"/>
    <hyperlink ref="A83" r:id="rId123" display="out/パワプロ2020 - 投球解析 - 2020-08-23 14-04-47-01_out.mp4" xr:uid="{1945C12A-89FF-487C-9908-9D18B1CC44E4}"/>
    <hyperlink ref="B83" r:id="rId124" display="result/パワプロ2020 - 投球解析 - 2020-08-23 14-04-47-01_ball.txt" xr:uid="{E3BAC4C6-CFDF-49CD-9FD0-F3701CFBBD4A}"/>
    <hyperlink ref="A84" r:id="rId125" display="out/パワプロ2020 - 投球解析 - 2020-08-23 14-04-47-02_out.mp4" xr:uid="{9CDDBF4E-4C1A-475C-93CC-605D73941DAA}"/>
    <hyperlink ref="B84" r:id="rId126" display="result/パワプロ2020 - 投球解析 - 2020-08-23 14-04-47-02_ball.txt" xr:uid="{3C94EA1F-0A73-484A-950C-9237DC6D4E85}"/>
    <hyperlink ref="A85" r:id="rId127" display="out/パワプロ2020 - 投球解析 - 2020-08-23 14-04-47-03_out.mp4" xr:uid="{7950CFE5-861B-4A18-B668-B8CBCB92F439}"/>
    <hyperlink ref="B85" r:id="rId128" display="result/パワプロ2020 - 投球解析 - 2020-08-23 14-04-47-03_ball.txt" xr:uid="{5D506598-A67A-42B9-BED5-4880EB214F8D}"/>
    <hyperlink ref="A86" r:id="rId129" display="out/パワプロ2020 - 投球解析 - 2020-08-23 14-04-47-04_out.mp4" xr:uid="{421F2EDE-1980-4CE1-A8C6-DFB62D520080}"/>
    <hyperlink ref="B86" r:id="rId130" display="result/パワプロ2020 - 投球解析 - 2020-08-23 14-04-47-04_ball.txt" xr:uid="{5BBA882E-A973-4831-9FFC-CD57FFAF82DD}"/>
    <hyperlink ref="A87" r:id="rId131" display="out/パワプロ2020 - 投球解析 - 2020-08-23 14-04-47-05_out.mp4" xr:uid="{6C104E50-ECB4-48E2-88A6-17895CE13BD1}"/>
    <hyperlink ref="B87" r:id="rId132" display="result/パワプロ2020 - 投球解析 - 2020-08-23 14-04-47-05_ball.txt" xr:uid="{36E1A243-5DF9-435B-9F8B-BBE63479076D}"/>
    <hyperlink ref="A88" r:id="rId133" display="out/パワプロ2020 - 投球解析 - 2020-08-23 14-04-47-06_out.mp4" xr:uid="{4CEF89EF-A1F0-4F6D-A1E1-89810E0ADDEF}"/>
    <hyperlink ref="B88" r:id="rId134" display="result/パワプロ2020 - 投球解析 - 2020-08-23 14-04-47-06_ball.txt" xr:uid="{F398429E-D790-45DD-9DF7-7E8FAF310B1C}"/>
    <hyperlink ref="A89" r:id="rId135" display="out/パワプロ2020 - 投球解析 - 2020-08-23 14-04-47-07_out.mp4" xr:uid="{6B0D3EEE-AC0B-4F92-927B-E7563E7A07EF}"/>
    <hyperlink ref="B89" r:id="rId136" display="result/パワプロ2020 - 投球解析 - 2020-08-23 14-04-47-07_ball.txt" xr:uid="{20CE114D-5B18-44DC-B3E0-4C755E730085}"/>
    <hyperlink ref="A90" r:id="rId137" display="out/パワプロ2020 - 投球解析 - 2020-08-23 14-04-47-08_out.mp4" xr:uid="{38F0244B-D97C-4D26-9D5E-E2F8B7B08B1C}"/>
    <hyperlink ref="B90" r:id="rId138" display="result/パワプロ2020 - 投球解析 - 2020-08-23 14-04-47-08_ball.txt" xr:uid="{CAA1301B-E222-47C7-9142-DE3512B6C6A3}"/>
    <hyperlink ref="A91" r:id="rId139" display="out/パワプロ2020 - 投球解析 - 2020-08-23 14-04-47-09_out.mp4" xr:uid="{AA992F59-5386-40B5-83E0-A6DDDCCA24DA}"/>
    <hyperlink ref="B91" r:id="rId140" display="result/パワプロ2020 - 投球解析 - 2020-08-23 14-04-47-09_ball.txt" xr:uid="{62DFC47E-165B-499E-A0F2-1E1DE143528A}"/>
    <hyperlink ref="A92" r:id="rId141" display="out/パワプロ2020 - 投球解析 - 2020-08-23 14-05-50-00_out.mp4" xr:uid="{2439B445-1055-4C52-8529-CAA1730FF58A}"/>
    <hyperlink ref="B92" r:id="rId142" display="result/パワプロ2020 - 投球解析 - 2020-08-23 14-05-50-00_ball.txt" xr:uid="{7D8AE810-A542-472A-973E-DEBC60699B06}"/>
    <hyperlink ref="A93" r:id="rId143" display="out/パワプロ2020 - 投球解析 - 2020-08-23 14-05-50-01_out.mp4" xr:uid="{F3171A97-8F69-4791-8EA1-7E0F9049594D}"/>
    <hyperlink ref="B93" r:id="rId144" display="result/パワプロ2020 - 投球解析 - 2020-08-23 14-05-50-01_ball.txt" xr:uid="{2E1F51DE-EAD6-4DBF-988C-48BDC04945BC}"/>
    <hyperlink ref="A94" r:id="rId145" display="out/パワプロ2020 - 投球解析 - 2020-08-23 14-05-50-02_out.mp4" xr:uid="{1F32F50F-C991-41D5-B2D5-A25E63B2550F}"/>
    <hyperlink ref="B94" r:id="rId146" display="result/パワプロ2020 - 投球解析 - 2020-08-23 14-05-50-02_ball.txt" xr:uid="{7C70BFDD-3D99-4A69-AB72-E45DAD1A9934}"/>
    <hyperlink ref="A95" r:id="rId147" display="out/パワプロ2020 - 投球解析 - 2020-08-23 14-05-50-03_out.mp4" xr:uid="{3E608FCF-5635-4531-BBB0-CC3EBC2868E9}"/>
    <hyperlink ref="B95" r:id="rId148" display="result/パワプロ2020 - 投球解析 - 2020-08-23 14-05-50-03_ball.txt" xr:uid="{DFFE838E-430F-4ECA-91A0-A291E0BA4A56}"/>
    <hyperlink ref="A96" r:id="rId149" display="out/パワプロ2020 - 投球解析 - 2020-08-23 14-05-50-04_out.mp4" xr:uid="{0F399B25-4149-4755-85BF-95839541A282}"/>
    <hyperlink ref="B96" r:id="rId150" display="result/パワプロ2020 - 投球解析 - 2020-08-23 14-05-50-04_ball.txt" xr:uid="{AE1837DE-F4E8-4EE5-8FFA-EC1CE0117C2D}"/>
    <hyperlink ref="A97" r:id="rId151" display="out/パワプロ2020 - 投球解析 - 2020-08-23 14-05-50-05_out.mp4" xr:uid="{677A5BB4-6186-4211-B8C7-6D5705FC28AB}"/>
    <hyperlink ref="B97" r:id="rId152" display="result/パワプロ2020 - 投球解析 - 2020-08-23 14-05-50-05_ball.txt" xr:uid="{33B9F3F2-D2F6-459B-BE2A-EF10A679AF66}"/>
    <hyperlink ref="A98" r:id="rId153" display="out/パワプロ2020 - 投球解析 - 2020-08-23 14-05-50-06_out.mp4" xr:uid="{2AF9F933-7474-49E4-B6C5-C02C6A7F484D}"/>
    <hyperlink ref="B98" r:id="rId154" display="result/パワプロ2020 - 投球解析 - 2020-08-23 14-05-50-06_ball.txt" xr:uid="{2D6CF6DB-2366-49A8-91C8-46CD19297F09}"/>
    <hyperlink ref="A99" r:id="rId155" display="out/パワプロ2020 - 投球解析 - 2020-08-23 14-05-50-07_out.mp4" xr:uid="{427B555F-9399-4307-BFF5-EBE9FFAB7047}"/>
    <hyperlink ref="B99" r:id="rId156" display="result/パワプロ2020 - 投球解析 - 2020-08-23 14-05-50-07_ball.txt" xr:uid="{EC876AB5-190E-4E52-8F26-2908ACE8CDBB}"/>
    <hyperlink ref="A100" r:id="rId157" display="out/パワプロ2020 - 投球解析 - 2020-08-23 14-05-50-08_out.mp4" xr:uid="{22EE52D9-39D7-465C-B130-2B89B112E505}"/>
    <hyperlink ref="B100" r:id="rId158" display="result/パワプロ2020 - 投球解析 - 2020-08-23 14-05-50-08_ball.txt" xr:uid="{BC3F797E-CAA0-4218-B654-4F968737ABCA}"/>
    <hyperlink ref="A101" r:id="rId159" display="out/パワプロ2020 - 投球解析 - 2020-08-23 14-05-50-09_out.mp4" xr:uid="{F2E65F48-407B-4BC6-B334-D5426BAA7942}"/>
    <hyperlink ref="B101" r:id="rId160" display="result/パワプロ2020 - 投球解析 - 2020-08-23 14-05-50-09_ball.txt" xr:uid="{58AB05C1-2468-4BD5-909B-3831FF968A0C}"/>
    <hyperlink ref="A102" r:id="rId161" display="out/パワプロ2020 - 投球解析 - 2020-08-23 14-06-56-00_out.mp4" xr:uid="{0CD0BE75-2770-46DA-99F7-91DAB24F8003}"/>
    <hyperlink ref="B102" r:id="rId162" display="result/パワプロ2020 - 投球解析 - 2020-08-23 14-06-56-00_ball.txt" xr:uid="{3E9772B2-C8B8-41B4-A355-0E0CBB82C314}"/>
    <hyperlink ref="A103" r:id="rId163" display="out/パワプロ2020 - 投球解析 - 2020-08-23 14-06-56-01_out.mp4" xr:uid="{6F5766B5-8D77-48FE-A2DA-9D49E25EF430}"/>
    <hyperlink ref="B103" r:id="rId164" display="result/パワプロ2020 - 投球解析 - 2020-08-23 14-06-56-01_ball.txt" xr:uid="{91C5E242-B236-4E92-93A2-027AEE7C14DF}"/>
    <hyperlink ref="A104" r:id="rId165" display="out/パワプロ2020 - 投球解析 - 2020-08-23 14-06-56-02_out.mp4" xr:uid="{914E1557-79A6-4513-B70B-C9EF317726EA}"/>
    <hyperlink ref="B104" r:id="rId166" display="result/パワプロ2020 - 投球解析 - 2020-08-23 14-06-56-02_ball.txt" xr:uid="{11FC1D7E-3AAF-466D-A7BF-8612B2B355B8}"/>
    <hyperlink ref="A105" r:id="rId167" display="out/パワプロ2020 - 投球解析 - 2020-08-23 14-06-56-03_out.mp4" xr:uid="{C01592FB-A45A-4EBA-BF03-8FEA44632B27}"/>
    <hyperlink ref="B105" r:id="rId168" display="result/パワプロ2020 - 投球解析 - 2020-08-23 14-06-56-03_ball.txt" xr:uid="{D9B5E315-9E9E-4E71-A123-9C7029C2353D}"/>
    <hyperlink ref="A106" r:id="rId169" display="out/パワプロ2020 - 投球解析 - 2020-08-23 14-06-56-04_out.mp4" xr:uid="{CE916EE3-A49C-4150-8A5E-6AC6616BCED8}"/>
    <hyperlink ref="B106" r:id="rId170" display="result/パワプロ2020 - 投球解析 - 2020-08-23 14-06-56-04_ball.txt" xr:uid="{0E33E273-87E9-4A11-B0F5-645D8E481353}"/>
    <hyperlink ref="A107" r:id="rId171" display="out/パワプロ2020 - 投球解析 - 2020-08-23 14-06-56-05_out.mp4" xr:uid="{EE0F851F-1EEB-43E4-9246-C6294529B8BB}"/>
    <hyperlink ref="B107" r:id="rId172" display="result/パワプロ2020 - 投球解析 - 2020-08-23 14-06-56-05_ball.txt" xr:uid="{66CB4E24-0B75-4145-890B-A51EA30A491F}"/>
    <hyperlink ref="A108" r:id="rId173" display="out/パワプロ2020 - 投球解析 - 2020-08-23 14-06-56-06_out.mp4" xr:uid="{2AD04F89-529A-433D-B518-6129AA1476CA}"/>
    <hyperlink ref="B108" r:id="rId174" display="result/パワプロ2020 - 投球解析 - 2020-08-23 14-06-56-06_ball.txt" xr:uid="{8C9FCE9A-8FD1-4ECE-944F-46E314C9BC42}"/>
    <hyperlink ref="A109" r:id="rId175" display="out/パワプロ2020 - 投球解析 - 2020-08-23 14-06-56-07_out.mp4" xr:uid="{4BB333B6-B212-4B87-8C5C-D2A986598AF0}"/>
    <hyperlink ref="B109" r:id="rId176" display="result/パワプロ2020 - 投球解析 - 2020-08-23 14-06-56-07_ball.txt" xr:uid="{BC6ED9AA-56F7-4AC5-9071-57BBAF1D7C05}"/>
    <hyperlink ref="A110" r:id="rId177" display="out/パワプロ2020 - 投球解析 - 2020-08-23 14-06-56-08_out.mp4" xr:uid="{68887613-EF8B-4C33-9108-1BF9933E7654}"/>
    <hyperlink ref="B110" r:id="rId178" display="result/パワプロ2020 - 投球解析 - 2020-08-23 14-06-56-08_ball.txt" xr:uid="{C827FBC4-E07E-404C-8EFA-92D27C157239}"/>
    <hyperlink ref="A111" r:id="rId179" display="out/パワプロ2020 - 投球解析 - 2020-08-23 14-06-56-09_out.mp4" xr:uid="{CF42A1C3-FF42-4094-9A42-8C6B77D3E5AB}"/>
    <hyperlink ref="B111" r:id="rId180" display="result/パワプロ2020 - 投球解析 - 2020-08-23 14-06-56-09_ball.txt" xr:uid="{CC634A15-BB35-4588-ADB1-073BBAB7EE1F}"/>
    <hyperlink ref="A112" r:id="rId181" display="out/パワプロ2020 - 投球解析 - 2020-08-23 14-08-02-00_out.mp4" xr:uid="{2961FEB4-187B-4C54-9A66-93BFFDDCBA7E}"/>
    <hyperlink ref="B112" r:id="rId182" display="result/パワプロ2020 - 投球解析 - 2020-08-23 14-08-02-00_ball.txt" xr:uid="{C395A906-B94D-4139-BD9F-C9E7F20ACD05}"/>
    <hyperlink ref="A113" r:id="rId183" display="out/パワプロ2020 - 投球解析 - 2020-08-23 14-08-02-01_out.mp4" xr:uid="{C5E0224D-7548-49DB-80F7-220AB9FB3945}"/>
    <hyperlink ref="B113" r:id="rId184" display="result/パワプロ2020 - 投球解析 - 2020-08-23 14-08-02-01_ball.txt" xr:uid="{5B11BF31-2857-4442-B55F-2A42AEA74F84}"/>
    <hyperlink ref="A114" r:id="rId185" display="out/パワプロ2020 - 投球解析 - 2020-08-23 14-08-02-02_out.mp4" xr:uid="{F7CBB076-CB11-42A5-BF93-6351E784DFE7}"/>
    <hyperlink ref="B114" r:id="rId186" display="result/パワプロ2020 - 投球解析 - 2020-08-23 14-08-02-02_ball.txt" xr:uid="{FACAED39-06B8-428F-92E3-9114476AF202}"/>
    <hyperlink ref="A115" r:id="rId187" display="out/パワプロ2020 - 投球解析 - 2020-08-23 14-08-02-03_out.mp4" xr:uid="{EFE458B8-0586-422B-A5A6-68FB39A2775A}"/>
    <hyperlink ref="B115" r:id="rId188" display="result/パワプロ2020 - 投球解析 - 2020-08-23 14-08-02-03_ball.txt" xr:uid="{18046769-0232-40ED-A8B2-5D2EA665D6E6}"/>
    <hyperlink ref="A116" r:id="rId189" display="out/パワプロ2020 - 投球解析 - 2020-08-23 14-08-02-04_out.mp4" xr:uid="{6CDCDEB0-38F9-4C21-8EB3-781F75AEF06B}"/>
    <hyperlink ref="B116" r:id="rId190" display="result/パワプロ2020 - 投球解析 - 2020-08-23 14-08-02-04_ball.txt" xr:uid="{D828932E-3F1B-4CFF-891D-71BE66774529}"/>
    <hyperlink ref="A117" r:id="rId191" display="out/パワプロ2020 - 投球解析 - 2020-08-23 14-08-02-05_out.mp4" xr:uid="{6E4BC7B6-ED3E-43E2-AFA9-FC1B2AF2F4E6}"/>
    <hyperlink ref="B117" r:id="rId192" display="result/パワプロ2020 - 投球解析 - 2020-08-23 14-08-02-05_ball.txt" xr:uid="{B1817462-9971-43C1-8EA3-895B24984369}"/>
    <hyperlink ref="A118" r:id="rId193" display="out/パワプロ2020 - 投球解析 - 2020-08-23 14-08-02-06_out.mp4" xr:uid="{680B21C0-7F2C-4406-B24F-7367E836A558}"/>
    <hyperlink ref="B118" r:id="rId194" display="result/パワプロ2020 - 投球解析 - 2020-08-23 14-08-02-06_ball.txt" xr:uid="{7AA6E906-E9EE-412E-9C6D-C48C6BC3939F}"/>
    <hyperlink ref="A119" r:id="rId195" display="out/パワプロ2020 - 投球解析 - 2020-08-23 14-08-02-07_out.mp4" xr:uid="{826165E3-CA47-43C4-9C8C-EEC4B8B309CD}"/>
    <hyperlink ref="B119" r:id="rId196" display="result/パワプロ2020 - 投球解析 - 2020-08-23 14-08-02-07_ball.txt" xr:uid="{934C0D6B-1922-4447-8A00-3B8D39147C8A}"/>
    <hyperlink ref="A120" r:id="rId197" display="out/パワプロ2020 - 投球解析 - 2020-08-23 14-08-02-08_out.mp4" xr:uid="{DA1B4671-1CC7-4C40-8C21-19732B582269}"/>
    <hyperlink ref="B120" r:id="rId198" display="result/パワプロ2020 - 投球解析 - 2020-08-23 14-08-02-08_ball.txt" xr:uid="{626DE288-0B14-4F60-BEB1-6143B9E423E1}"/>
    <hyperlink ref="A121" r:id="rId199" display="out/パワプロ2020 - 投球解析 - 2020-08-23 14-08-02-09_out.mp4" xr:uid="{D572C1A2-43E1-4705-8DE9-EB91795D56B5}"/>
    <hyperlink ref="B121" r:id="rId200" display="result/パワプロ2020 - 投球解析 - 2020-08-23 14-08-02-09_ball.txt" xr:uid="{326DE54C-1E6C-43D4-9C7B-F7DD2B863403}"/>
    <hyperlink ref="A132" r:id="rId201" display="out/パワプロ2020 - 投球解析 - 2020-08-23 14-19-33-00_out.mp4" xr:uid="{B0501A4D-1504-4D3B-BFF5-06EBA216B780}"/>
    <hyperlink ref="B132" r:id="rId202" display="result/パワプロ2020 - 投球解析 - 2020-08-23 14-19-33-00_ball.txt" xr:uid="{2BFF289A-F40D-4CD5-9410-A50F9C59F2AA}"/>
    <hyperlink ref="A133" r:id="rId203" display="out/パワプロ2020 - 投球解析 - 2020-08-23 14-19-33-01_out.mp4" xr:uid="{1F10F204-FA2C-43E0-9A9F-84700282EAD1}"/>
    <hyperlink ref="B133" r:id="rId204" display="result/パワプロ2020 - 投球解析 - 2020-08-23 14-19-33-01_ball.txt" xr:uid="{DA625707-ACF2-462C-9EE2-31BC20E50657}"/>
    <hyperlink ref="A134" r:id="rId205" display="out/パワプロ2020 - 投球解析 - 2020-08-23 14-19-33-02_out.mp4" xr:uid="{EE3A527F-384B-40B2-836C-B857DB45FF1B}"/>
    <hyperlink ref="B134" r:id="rId206" display="result/パワプロ2020 - 投球解析 - 2020-08-23 14-19-33-02_ball.txt" xr:uid="{47EF054B-C385-480D-8C29-C0A0858DEBEC}"/>
    <hyperlink ref="A135" r:id="rId207" display="out/パワプロ2020 - 投球解析 - 2020-08-23 14-19-33-03_out.mp4" xr:uid="{CF3FA288-CC52-4224-9030-A8990B430A95}"/>
    <hyperlink ref="B135" r:id="rId208" display="result/パワプロ2020 - 投球解析 - 2020-08-23 14-19-33-03_ball.txt" xr:uid="{67D8C86F-43A8-4872-8D7C-CE1B61F426AA}"/>
    <hyperlink ref="A136" r:id="rId209" display="out/パワプロ2020 - 投球解析 - 2020-08-23 14-19-33-04_out.mp4" xr:uid="{71AEBA17-7EB8-43FE-A6E1-FE5ED9848C2C}"/>
    <hyperlink ref="B136" r:id="rId210" display="result/パワプロ2020 - 投球解析 - 2020-08-23 14-19-33-04_ball.txt" xr:uid="{100A21C2-8F14-44D1-B651-AD46E945454B}"/>
    <hyperlink ref="A137" r:id="rId211" display="out/パワプロ2020 - 投球解析 - 2020-08-23 14-19-33-05_out.mp4" xr:uid="{FEDED574-12DA-4EAC-AF5D-78A6C37F950F}"/>
    <hyperlink ref="B137" r:id="rId212" display="result/パワプロ2020 - 投球解析 - 2020-08-23 14-19-33-05_ball.txt" xr:uid="{B7BA3A93-F160-4C00-8AA6-54C5268DEF3A}"/>
    <hyperlink ref="A138" r:id="rId213" display="out/パワプロ2020 - 投球解析 - 2020-08-23 14-19-33-06_out.mp4" xr:uid="{81FECC7A-7630-4A63-8816-05692C8643FC}"/>
    <hyperlink ref="B138" r:id="rId214" display="result/パワプロ2020 - 投球解析 - 2020-08-23 14-19-33-06_ball.txt" xr:uid="{3385EDAA-B5E0-4EE0-BFD6-6A2B6F992216}"/>
    <hyperlink ref="A139" r:id="rId215" display="out/パワプロ2020 - 投球解析 - 2020-08-23 14-19-33-07_out.mp4" xr:uid="{2A8157CF-5388-42AA-A66F-BA6DC0B57F19}"/>
    <hyperlink ref="B139" r:id="rId216" display="result/パワプロ2020 - 投球解析 - 2020-08-23 14-19-33-07_ball.txt" xr:uid="{0D04E22C-374E-455E-ACCE-FB7EA4EDD9AF}"/>
    <hyperlink ref="A140" r:id="rId217" display="out/パワプロ2020 - 投球解析 - 2020-08-23 14-19-33-08_out.mp4" xr:uid="{2681E1DD-F06F-49B1-8808-05D83A1CA775}"/>
    <hyperlink ref="B140" r:id="rId218" display="result/パワプロ2020 - 投球解析 - 2020-08-23 14-19-33-08_ball.txt" xr:uid="{D77943CB-B00E-41EB-8576-CA4089393CD3}"/>
    <hyperlink ref="A141" r:id="rId219" display="out/パワプロ2020 - 投球解析 - 2020-08-23 14-19-33-09_out.mp4" xr:uid="{646724AF-B632-413C-9FE2-07316A7C884F}"/>
    <hyperlink ref="B141" r:id="rId220" display="result/パワプロ2020 - 投球解析 - 2020-08-23 14-19-33-09_ball.txt" xr:uid="{06BD8729-8AD7-4B99-9B7E-FF53325AD28B}"/>
    <hyperlink ref="A142" r:id="rId221" display="out/パワプロ2020 - 投球解析 - 2020-08-23 14-21-04-00_out.mp4" xr:uid="{AA064618-47F2-495F-BFA1-2D682AEF3701}"/>
    <hyperlink ref="B142" r:id="rId222" display="result/パワプロ2020 - 投球解析 - 2020-08-23 14-21-04-00_ball.txt" xr:uid="{2FA5C60F-7A7B-47B8-B3AD-911242B576AE}"/>
    <hyperlink ref="A143" r:id="rId223" display="out/パワプロ2020 - 投球解析 - 2020-08-23 14-21-04-01_out.mp4" xr:uid="{4A2D1811-1B72-47BA-9FD8-1A9F2DA336BC}"/>
    <hyperlink ref="B143" r:id="rId224" display="result/パワプロ2020 - 投球解析 - 2020-08-23 14-21-04-01_ball.txt" xr:uid="{78A11087-43A8-4882-8BA7-294EB00C7B63}"/>
    <hyperlink ref="A144" r:id="rId225" display="out/パワプロ2020 - 投球解析 - 2020-08-23 14-21-04-02_out.mp4" xr:uid="{BD60CF5B-AAFA-4DE5-8D53-2D8ECFD7B608}"/>
    <hyperlink ref="B144" r:id="rId226" display="result/パワプロ2020 - 投球解析 - 2020-08-23 14-21-04-02_ball.txt" xr:uid="{8F4901FC-62F7-4DE5-9C43-8DCB7AC37DCA}"/>
    <hyperlink ref="A145" r:id="rId227" display="out/パワプロ2020 - 投球解析 - 2020-08-23 14-21-04-03_out.mp4" xr:uid="{EBE2329B-2AD7-46D1-9376-6530A01A1586}"/>
    <hyperlink ref="B145" r:id="rId228" display="result/パワプロ2020 - 投球解析 - 2020-08-23 14-21-04-03_ball.txt" xr:uid="{8E986D0F-9FA2-4E89-BB0C-DD26078DAB4D}"/>
    <hyperlink ref="A146" r:id="rId229" display="out/パワプロ2020 - 投球解析 - 2020-08-23 14-21-04-04_out.mp4" xr:uid="{7B2E3F90-0A31-4407-89EB-0883572BF602}"/>
    <hyperlink ref="B146" r:id="rId230" display="result/パワプロ2020 - 投球解析 - 2020-08-23 14-21-04-04_ball.txt" xr:uid="{EB6F8BCC-705A-4D6D-A4FB-04BFEE2189C9}"/>
    <hyperlink ref="A147" r:id="rId231" display="out/パワプロ2020 - 投球解析 - 2020-08-23 14-21-04-05_out.mp4" xr:uid="{6AC8E34B-7C46-4765-99AE-95E9AAB4C846}"/>
    <hyperlink ref="B147" r:id="rId232" display="result/パワプロ2020 - 投球解析 - 2020-08-23 14-21-04-05_ball.txt" xr:uid="{52DF093C-23DF-4CFA-9441-083946BA20CD}"/>
    <hyperlink ref="A148" r:id="rId233" display="out/パワプロ2020 - 投球解析 - 2020-08-23 14-21-04-06_out.mp4" xr:uid="{35F78B62-02C8-4E35-8756-97C11F6F25AA}"/>
    <hyperlink ref="B148" r:id="rId234" display="result/パワプロ2020 - 投球解析 - 2020-08-23 14-21-04-06_ball.txt" xr:uid="{139D431D-DA7A-43A2-9193-DFB36456285B}"/>
    <hyperlink ref="A149" r:id="rId235" display="out/パワプロ2020 - 投球解析 - 2020-08-23 14-21-04-07_out.mp4" xr:uid="{9359576A-0545-449B-8798-E9D261B2977C}"/>
    <hyperlink ref="B149" r:id="rId236" display="result/パワプロ2020 - 投球解析 - 2020-08-23 14-21-04-07_ball.txt" xr:uid="{E55771B9-8C01-4BC2-95AA-F2528DF5E910}"/>
    <hyperlink ref="A150" r:id="rId237" display="out/パワプロ2020 - 投球解析 - 2020-08-23 14-21-04-08_out.mp4" xr:uid="{4DBF39D8-B3F7-4FA7-8F18-657469CC16EA}"/>
    <hyperlink ref="B150" r:id="rId238" display="result/パワプロ2020 - 投球解析 - 2020-08-23 14-21-04-08_ball.txt" xr:uid="{34BB1BC1-6B3B-4108-8D28-C13EA7588FC0}"/>
    <hyperlink ref="A151" r:id="rId239" display="out/パワプロ2020 - 投球解析 - 2020-08-23 14-21-04-09_out.mp4" xr:uid="{9E19E868-4CC6-4273-90BA-669E3351A506}"/>
    <hyperlink ref="B151" r:id="rId240" display="result/パワプロ2020 - 投球解析 - 2020-08-23 14-21-04-09_ball.txt" xr:uid="{C266B0A5-28FA-4200-ACC7-0043F3211D66}"/>
    <hyperlink ref="A161" r:id="rId241" display="out/パワプロ2020 - 投球解析 - 2020-08-23 14-23-42-00_out.mp4" xr:uid="{863B8078-579C-40ED-AB2A-07522EE125BA}"/>
    <hyperlink ref="B161" r:id="rId242" display="result/パワプロ2020 - 投球解析 - 2020-08-23 14-23-42-00_ball.txt" xr:uid="{96571D92-C5E9-44AF-B066-AAB86D3F2808}"/>
    <hyperlink ref="A162" r:id="rId243" display="out/パワプロ2020 - 投球解析 - 2020-08-23 14-23-42-01_out.mp4" xr:uid="{5E90613E-23DB-47E7-B18E-C1081F807D0C}"/>
    <hyperlink ref="B162" r:id="rId244" display="result/パワプロ2020 - 投球解析 - 2020-08-23 14-23-42-01_ball.txt" xr:uid="{1C4C606C-204D-4A9F-9B88-7487120650B2}"/>
    <hyperlink ref="A163" r:id="rId245" display="out/パワプロ2020 - 投球解析 - 2020-08-23 14-23-42-02_out.mp4" xr:uid="{0F2743BA-0A5F-4F90-B555-D82D2A450832}"/>
    <hyperlink ref="B163" r:id="rId246" display="result/パワプロ2020 - 投球解析 - 2020-08-23 14-23-42-02_ball.txt" xr:uid="{4F893598-C5D3-4DBE-BA4A-219ADBF51BD8}"/>
    <hyperlink ref="A164" r:id="rId247" display="out/パワプロ2020 - 投球解析 - 2020-08-23 14-23-42-03_out.mp4" xr:uid="{176BDCAE-1B33-47A6-9D34-557CBB3FA416}"/>
    <hyperlink ref="B164" r:id="rId248" display="result/パワプロ2020 - 投球解析 - 2020-08-23 14-23-42-03_ball.txt" xr:uid="{7031B2D3-D1FE-40D7-B290-49A881602F15}"/>
    <hyperlink ref="A165" r:id="rId249" display="out/パワプロ2020 - 投球解析 - 2020-08-23 14-23-42-04_out.mp4" xr:uid="{C647F1D5-A223-480C-9BD3-374EFC7D6357}"/>
    <hyperlink ref="B165" r:id="rId250" display="result/パワプロ2020 - 投球解析 - 2020-08-23 14-23-42-04_ball.txt" xr:uid="{A1177AB4-1BD2-45C3-B666-3BA71428E461}"/>
    <hyperlink ref="A166" r:id="rId251" display="out/パワプロ2020 - 投球解析 - 2020-08-23 14-23-42-05_out.mp4" xr:uid="{D2E5748F-4FC1-4855-9C9B-47A7170C864A}"/>
    <hyperlink ref="B166" r:id="rId252" display="result/パワプロ2020 - 投球解析 - 2020-08-23 14-23-42-05_ball.txt" xr:uid="{200A5262-0EA9-4A7C-8179-7CDD40B01B02}"/>
    <hyperlink ref="A167" r:id="rId253" display="out/パワプロ2020 - 投球解析 - 2020-08-23 14-23-42-06_out.mp4" xr:uid="{8C59BBD9-0D9E-40E9-956C-D12392425D4F}"/>
    <hyperlink ref="B167" r:id="rId254" display="result/パワプロ2020 - 投球解析 - 2020-08-23 14-23-42-06_ball.txt" xr:uid="{E85971E1-D4D4-4534-A225-2B00C496252B}"/>
    <hyperlink ref="A168" r:id="rId255" display="out/パワプロ2020 - 投球解析 - 2020-08-23 14-23-42-07_out.mp4" xr:uid="{22DBC0AE-1925-483C-A258-FD82CEF6582E}"/>
    <hyperlink ref="B168" r:id="rId256" display="result/パワプロ2020 - 投球解析 - 2020-08-23 14-23-42-07_ball.txt" xr:uid="{A80E1F2F-D4DE-47C1-9436-995DA3ADF71D}"/>
    <hyperlink ref="A169" r:id="rId257" display="out/パワプロ2020 - 投球解析 - 2020-08-23 14-23-42-08_out.mp4" xr:uid="{5D5C19AA-4939-4314-AFFA-EC0D961FA98A}"/>
    <hyperlink ref="B169" r:id="rId258" display="result/パワプロ2020 - 投球解析 - 2020-08-23 14-23-42-08_ball.txt" xr:uid="{FAA31714-4D63-4163-B10C-C9D07DD92335}"/>
    <hyperlink ref="A170" r:id="rId259" display="out/パワプロ2020 - 投球解析 - 2020-08-23 14-23-42-09_out.mp4" xr:uid="{94805D02-AB97-42D9-95EA-02FFF1705328}"/>
    <hyperlink ref="B170" r:id="rId260" display="result/パワプロ2020 - 投球解析 - 2020-08-23 14-23-42-09_ball.txt" xr:uid="{320CC498-941E-4A45-B15A-77B063C95039}"/>
    <hyperlink ref="A171" r:id="rId261" display="out/パワプロ2020 - 投球解析 - 2020-08-23 14-24-49-00_out.mp4" xr:uid="{E5095FD8-E363-440D-AED1-DD13D33A24FA}"/>
    <hyperlink ref="B171" r:id="rId262" display="result/パワプロ2020 - 投球解析 - 2020-08-23 14-24-49-00_ball.txt" xr:uid="{046C3E60-BF75-4AB6-B7C3-AA79DCF1BDE8}"/>
    <hyperlink ref="A172" r:id="rId263" display="out/パワプロ2020 - 投球解析 - 2020-08-23 14-24-49-01_out.mp4" xr:uid="{4B6CA63B-63A8-4A8E-A863-30949D1DF0A6}"/>
    <hyperlink ref="B172" r:id="rId264" display="result/パワプロ2020 - 投球解析 - 2020-08-23 14-24-49-01_ball.txt" xr:uid="{345F9949-4F9E-4E37-8552-5ECC5D1524E3}"/>
    <hyperlink ref="A173" r:id="rId265" display="out/パワプロ2020 - 投球解析 - 2020-08-23 14-24-49-02_out.mp4" xr:uid="{D4460F2A-CE2A-4082-B0E2-56F21260F0FD}"/>
    <hyperlink ref="B173" r:id="rId266" display="result/パワプロ2020 - 投球解析 - 2020-08-23 14-24-49-02_ball.txt" xr:uid="{8D960DB6-3315-4B38-9C0A-CD1FDD32AA30}"/>
    <hyperlink ref="A174" r:id="rId267" display="out/パワプロ2020 - 投球解析 - 2020-08-23 14-24-49-03_out.mp4" xr:uid="{7A51194E-F56B-4543-82C7-29F3F3D9B980}"/>
    <hyperlink ref="B174" r:id="rId268" display="result/パワプロ2020 - 投球解析 - 2020-08-23 14-24-49-03_ball.txt" xr:uid="{3A069A1A-8A96-410E-A0C3-2CC9C2CB6631}"/>
    <hyperlink ref="A175" r:id="rId269" display="out/パワプロ2020 - 投球解析 - 2020-08-23 14-24-49-04_out.mp4" xr:uid="{93673077-6604-4C66-A7FB-DB6D28647159}"/>
    <hyperlink ref="B175" r:id="rId270" display="result/パワプロ2020 - 投球解析 - 2020-08-23 14-24-49-04_ball.txt" xr:uid="{E45EF89F-19B6-46E7-AA91-C47C284719CB}"/>
    <hyperlink ref="A176" r:id="rId271" display="out/パワプロ2020 - 投球解析 - 2020-08-23 14-24-49-05_out.mp4" xr:uid="{3EE2F81A-2234-4032-83E8-4B78A9B6EE50}"/>
    <hyperlink ref="B176" r:id="rId272" display="result/パワプロ2020 - 投球解析 - 2020-08-23 14-24-49-05_ball.txt" xr:uid="{F3966180-8D8B-4216-8A2B-33E90E8F1B72}"/>
    <hyperlink ref="A177" r:id="rId273" display="out/パワプロ2020 - 投球解析 - 2020-08-23 14-24-49-06_out.mp4" xr:uid="{2F443DC4-BE63-4F40-AF37-267E48DC23BE}"/>
    <hyperlink ref="B177" r:id="rId274" display="result/パワプロ2020 - 投球解析 - 2020-08-23 14-24-49-06_ball.txt" xr:uid="{97B60AF3-B9F9-4D35-AEDB-C647EB7EF3E2}"/>
    <hyperlink ref="A178" r:id="rId275" display="out/パワプロ2020 - 投球解析 - 2020-08-23 14-24-49-07_out.mp4" xr:uid="{9AE7E5E9-3A3C-4A8E-A334-43D85514CF17}"/>
    <hyperlink ref="B178" r:id="rId276" display="result/パワプロ2020 - 投球解析 - 2020-08-23 14-24-49-07_ball.txt" xr:uid="{2190E3A5-8230-492C-A0B6-B3DD633F9C38}"/>
    <hyperlink ref="A179" r:id="rId277" display="out/パワプロ2020 - 投球解析 - 2020-08-23 14-24-49-08_out.mp4" xr:uid="{F992DB2C-BA22-4C80-8AB8-DDE298E718C5}"/>
    <hyperlink ref="B179" r:id="rId278" display="result/パワプロ2020 - 投球解析 - 2020-08-23 14-24-49-08_ball.txt" xr:uid="{89BB5914-2CC7-4FE4-BEA9-3AAEACD90339}"/>
    <hyperlink ref="A180" r:id="rId279" display="out/パワプロ2020 - 投球解析 - 2020-08-23 14-24-49-09_out.mp4" xr:uid="{2B4B329B-7EE2-41B9-A833-381B44B115E2}"/>
    <hyperlink ref="B180" r:id="rId280" display="result/パワプロ2020 - 投球解析 - 2020-08-23 14-24-49-09_ball.txt" xr:uid="{8013051C-B990-491C-8776-5D2697764BC0}"/>
    <hyperlink ref="A181" r:id="rId281" display="out/パワプロ2020 - 投球解析 - 2020-08-23 14-25-58-00_out.mp4" xr:uid="{BAA05001-9CE3-4739-AAD6-D37D673876DC}"/>
    <hyperlink ref="B181" r:id="rId282" display="result/パワプロ2020 - 投球解析 - 2020-08-23 14-25-58-00_ball.txt" xr:uid="{F4F26E7D-0FCE-4B5C-9CA8-A01E256CD983}"/>
    <hyperlink ref="A182" r:id="rId283" display="out/パワプロ2020 - 投球解析 - 2020-08-23 14-25-58-01_out.mp4" xr:uid="{FE68B96B-0933-42C6-B5CB-B439777836CA}"/>
    <hyperlink ref="B182" r:id="rId284" display="result/パワプロ2020 - 投球解析 - 2020-08-23 14-25-58-01_ball.txt" xr:uid="{40ED8E0E-68FB-44F0-8FB7-AD7F6EA6D236}"/>
    <hyperlink ref="A183" r:id="rId285" display="out/パワプロ2020 - 投球解析 - 2020-08-23 14-25-58-02_out.mp4" xr:uid="{2DBB544D-A858-4CCD-8BF3-CFCE8E8A8423}"/>
    <hyperlink ref="B183" r:id="rId286" display="result/パワプロ2020 - 投球解析 - 2020-08-23 14-25-58-02_ball.txt" xr:uid="{20B7E84C-11A8-49EF-98D6-90F7BA3071E7}"/>
    <hyperlink ref="A184" r:id="rId287" display="out/パワプロ2020 - 投球解析 - 2020-08-23 14-25-58-03_out.mp4" xr:uid="{F65F07D6-9DF7-44E0-8877-C61ABE20CE44}"/>
    <hyperlink ref="B184" r:id="rId288" display="result/パワプロ2020 - 投球解析 - 2020-08-23 14-25-58-03_ball.txt" xr:uid="{4881D9B3-1BDA-4DFF-888C-79325173D811}"/>
    <hyperlink ref="A185" r:id="rId289" display="out/パワプロ2020 - 投球解析 - 2020-08-23 14-25-58-04_out.mp4" xr:uid="{654F5246-FCB8-47BB-A965-B58BF3524D69}"/>
    <hyperlink ref="B185" r:id="rId290" display="result/パワプロ2020 - 投球解析 - 2020-08-23 14-25-58-04_ball.txt" xr:uid="{6D5EB877-19B7-4030-9EA5-AB1B4A42ADA8}"/>
    <hyperlink ref="A186" r:id="rId291" display="out/パワプロ2020 - 投球解析 - 2020-08-23 14-25-58-05_out.mp4" xr:uid="{A0985605-8B13-4CBE-9CD1-95DF068BA71D}"/>
    <hyperlink ref="B186" r:id="rId292" display="result/パワプロ2020 - 投球解析 - 2020-08-23 14-25-58-05_ball.txt" xr:uid="{8C1B6E4D-86E5-410B-9CBD-27BCDDE0BB96}"/>
    <hyperlink ref="A187" r:id="rId293" display="out/パワプロ2020 - 投球解析 - 2020-08-23 14-25-58-06_out.mp4" xr:uid="{FFA82C13-104E-4E09-B66B-CC3F2CA4B020}"/>
    <hyperlink ref="B187" r:id="rId294" display="result/パワプロ2020 - 投球解析 - 2020-08-23 14-25-58-06_ball.txt" xr:uid="{89052F9D-848A-4262-9D3E-66EB18281BAC}"/>
    <hyperlink ref="A188" r:id="rId295" display="out/パワプロ2020 - 投球解析 - 2020-08-23 14-25-58-07_out.mp4" xr:uid="{84861029-7652-4B75-9CCA-347EB18F0F63}"/>
    <hyperlink ref="B188" r:id="rId296" display="result/パワプロ2020 - 投球解析 - 2020-08-23 14-25-58-07_ball.txt" xr:uid="{336D0D20-4488-46E5-9E0C-890E3ED65333}"/>
    <hyperlink ref="A189" r:id="rId297" display="out/パワプロ2020 - 投球解析 - 2020-08-23 14-25-58-08_out.mp4" xr:uid="{85F0737F-E191-4939-BF25-B75F0225B463}"/>
    <hyperlink ref="B189" r:id="rId298" display="result/パワプロ2020 - 投球解析 - 2020-08-23 14-25-58-08_ball.txt" xr:uid="{3171F7B9-0E3C-4012-83B3-D3ED4E18287C}"/>
    <hyperlink ref="A190" r:id="rId299" display="out/パワプロ2020 - 投球解析 - 2020-08-23 14-25-58-09_out.mp4" xr:uid="{5F4427B0-816C-4A13-B924-753EBB15DEC1}"/>
    <hyperlink ref="B190" r:id="rId300" display="result/パワプロ2020 - 投球解析 - 2020-08-23 14-25-58-09_ball.txt" xr:uid="{391C7881-0B71-400E-ABAD-5448270F2BBD}"/>
    <hyperlink ref="A191" r:id="rId301" display="out/パワプロ2020 - 投球解析 - 2020-08-23 14-27-07-00_out.mp4" xr:uid="{15C2E6E3-9C61-4425-8697-D0CF745D04E3}"/>
    <hyperlink ref="B191" r:id="rId302" display="result/パワプロ2020 - 投球解析 - 2020-08-23 14-27-07-00_ball.txt" xr:uid="{1B3547A0-245E-4E0C-B509-0EE1AE269579}"/>
    <hyperlink ref="A192" r:id="rId303" display="out/パワプロ2020 - 投球解析 - 2020-08-23 14-27-07-01_out.mp4" xr:uid="{E36A4378-C924-4852-BD12-FC93A90329B1}"/>
    <hyperlink ref="B192" r:id="rId304" display="result/パワプロ2020 - 投球解析 - 2020-08-23 14-27-07-01_ball.txt" xr:uid="{7E9AEA3B-17E3-481E-B524-CA3E43071D1C}"/>
    <hyperlink ref="A193" r:id="rId305" display="out/パワプロ2020 - 投球解析 - 2020-08-23 14-27-07-02_out.mp4" xr:uid="{553DFB4B-9FAE-421D-8A3B-C2CB21D4D7A1}"/>
    <hyperlink ref="B193" r:id="rId306" display="result/パワプロ2020 - 投球解析 - 2020-08-23 14-27-07-02_ball.txt" xr:uid="{79D7FB08-C040-4013-A558-326BC87E829E}"/>
    <hyperlink ref="A194" r:id="rId307" display="out/パワプロ2020 - 投球解析 - 2020-08-23 14-27-07-03_out.mp4" xr:uid="{8006C0E3-47C4-4028-95A7-AA06AA12B390}"/>
    <hyperlink ref="B194" r:id="rId308" display="result/パワプロ2020 - 投球解析 - 2020-08-23 14-27-07-03_ball.txt" xr:uid="{F7DC49CB-D3E5-477E-95B5-BDE263861D33}"/>
    <hyperlink ref="A195" r:id="rId309" display="out/パワプロ2020 - 投球解析 - 2020-08-23 14-27-07-04_out.mp4" xr:uid="{2E2F37F5-AAD2-473E-A396-2D7F9BDCE16F}"/>
    <hyperlink ref="B195" r:id="rId310" display="result/パワプロ2020 - 投球解析 - 2020-08-23 14-27-07-04_ball.txt" xr:uid="{3E125581-6028-42CA-8C8C-79A0F981B0F3}"/>
    <hyperlink ref="A196" r:id="rId311" display="out/パワプロ2020 - 投球解析 - 2020-08-23 14-27-07-05_out.mp4" xr:uid="{AB4DB58E-1FB3-4F8D-999C-42B671CBE639}"/>
    <hyperlink ref="B196" r:id="rId312" display="result/パワプロ2020 - 投球解析 - 2020-08-23 14-27-07-05_ball.txt" xr:uid="{074B4255-BC59-4B06-A009-C8BD0CFF2C01}"/>
    <hyperlink ref="A197" r:id="rId313" display="out/パワプロ2020 - 投球解析 - 2020-08-23 14-27-07-06_out.mp4" xr:uid="{96C6F4BD-8830-4E41-94A0-A20017053D89}"/>
    <hyperlink ref="B197" r:id="rId314" display="result/パワプロ2020 - 投球解析 - 2020-08-23 14-27-07-06_ball.txt" xr:uid="{19650D49-79EC-4E14-8805-9E864F1FC096}"/>
    <hyperlink ref="A198" r:id="rId315" display="out/パワプロ2020 - 投球解析 - 2020-08-23 14-27-07-07_out.mp4" xr:uid="{3072DF06-DF40-43B6-989A-DC17033CFE22}"/>
    <hyperlink ref="B198" r:id="rId316" display="result/パワプロ2020 - 投球解析 - 2020-08-23 14-27-07-07_ball.txt" xr:uid="{1637D742-EFD0-4C08-BE0C-E34394CD737A}"/>
    <hyperlink ref="A199" r:id="rId317" display="out/パワプロ2020 - 投球解析 - 2020-08-23 14-27-07-08_out.mp4" xr:uid="{68042729-C0C8-4FFF-A763-83A562CAF7FB}"/>
    <hyperlink ref="B199" r:id="rId318" display="result/パワプロ2020 - 投球解析 - 2020-08-23 14-27-07-08_ball.txt" xr:uid="{FE68ABF3-A8C2-4FB0-AA08-02E014CE2C2B}"/>
    <hyperlink ref="A200" r:id="rId319" display="out/パワプロ2020 - 投球解析 - 2020-08-23 14-27-07-09_out.mp4" xr:uid="{CBAAFFB1-8F5A-465C-9D75-3DD0CBCB27D9}"/>
    <hyperlink ref="B200" r:id="rId320" display="result/パワプロ2020 - 投球解析 - 2020-08-23 14-27-07-09_ball.txt" xr:uid="{4DE63E2B-BB5D-457C-AF1B-9D8541DB81F6}"/>
    <hyperlink ref="A211" r:id="rId321" display="out/パワプロ2020 - 投球解析 - 2020-08-23 15-48-07-00_out.mp4" xr:uid="{166C7F21-E9C7-4575-984A-25A8D039D8A3}"/>
    <hyperlink ref="B211" r:id="rId322" display="result/パワプロ2020 - 投球解析 - 2020-08-23 15-48-07-00_ball.txt" xr:uid="{D76A4713-63F3-4713-B5D7-01B4205A053C}"/>
    <hyperlink ref="A212" r:id="rId323" display="out/パワプロ2020 - 投球解析 - 2020-08-23 15-48-07-01_out.mp4" xr:uid="{34EDC80E-55F8-4C6F-9162-E7BB972DDC62}"/>
    <hyperlink ref="B212" r:id="rId324" display="result/パワプロ2020 - 投球解析 - 2020-08-23 15-48-07-01_ball.txt" xr:uid="{2F261155-FC29-4A8C-9257-3D5B1D75454F}"/>
    <hyperlink ref="A213" r:id="rId325" display="out/パワプロ2020 - 投球解析 - 2020-08-23 15-48-07-02_out.mp4" xr:uid="{D5660B99-C6DA-4A5E-A958-2AC004666F8E}"/>
    <hyperlink ref="B213" r:id="rId326" display="result/パワプロ2020 - 投球解析 - 2020-08-23 15-48-07-02_ball.txt" xr:uid="{2714F2E5-EAF1-4EA6-AB77-695607DFACBF}"/>
    <hyperlink ref="A214" r:id="rId327" display="out/パワプロ2020 - 投球解析 - 2020-08-23 15-48-07-03_out.mp4" xr:uid="{45D87A18-0EC7-4C9A-A0DB-977636D6E136}"/>
    <hyperlink ref="B214" r:id="rId328" display="result/パワプロ2020 - 投球解析 - 2020-08-23 15-48-07-03_ball.txt" xr:uid="{035516BA-3A47-4EA1-AB4C-8BB59A660BD8}"/>
    <hyperlink ref="A215" r:id="rId329" display="out/パワプロ2020 - 投球解析 - 2020-08-23 15-48-07-04_out.mp4" xr:uid="{7D50939A-3E21-4682-AD05-8D16A7F8904D}"/>
    <hyperlink ref="B215" r:id="rId330" display="result/パワプロ2020 - 投球解析 - 2020-08-23 15-48-07-04_ball.txt" xr:uid="{D9C56A9E-A632-4E21-973B-E53AA7D16A5C}"/>
    <hyperlink ref="A216" r:id="rId331" display="out/パワプロ2020 - 投球解析 - 2020-08-23 15-48-07-05_out.mp4" xr:uid="{36B1B295-9839-4A00-807E-0C6BD6E2CAB6}"/>
    <hyperlink ref="B216" r:id="rId332" display="result/パワプロ2020 - 投球解析 - 2020-08-23 15-48-07-05_ball.txt" xr:uid="{A9DA8E23-6FD8-42A4-A556-EA9EBB23CB3D}"/>
    <hyperlink ref="A217" r:id="rId333" display="out/パワプロ2020 - 投球解析 - 2020-08-23 15-48-07-06_out.mp4" xr:uid="{158C4938-2350-4B9F-A333-13ED166A09BC}"/>
    <hyperlink ref="B217" r:id="rId334" display="result/パワプロ2020 - 投球解析 - 2020-08-23 15-48-07-06_ball.txt" xr:uid="{16F98C3A-2D55-4AAB-B3F1-159F6C6A116F}"/>
    <hyperlink ref="A218" r:id="rId335" display="out/パワプロ2020 - 投球解析 - 2020-08-23 15-48-07-07_out.mp4" xr:uid="{82C8E8D3-5EF9-4733-BADD-316885EAA3C1}"/>
    <hyperlink ref="B218" r:id="rId336" display="result/パワプロ2020 - 投球解析 - 2020-08-23 15-48-07-07_ball.txt" xr:uid="{5B552F79-98C6-47D8-B636-95AAFBF11A9C}"/>
    <hyperlink ref="A219" r:id="rId337" display="out/パワプロ2020 - 投球解析 - 2020-08-23 15-48-07-08_out.mp4" xr:uid="{03A1EE81-32C9-451C-BD22-4D64EF39E9DD}"/>
    <hyperlink ref="B219" r:id="rId338" display="result/パワプロ2020 - 投球解析 - 2020-08-23 15-48-07-08_ball.txt" xr:uid="{7E799FF0-2345-4195-9921-C9EE82B56A69}"/>
    <hyperlink ref="A220" r:id="rId339" display="out/パワプロ2020 - 投球解析 - 2020-08-23 15-48-07-09_out.mp4" xr:uid="{5D270B9A-30B6-4C9E-849F-F9F58B68D6CA}"/>
    <hyperlink ref="B220" r:id="rId340" display="result/パワプロ2020 - 投球解析 - 2020-08-23 15-48-07-09_ball.txt" xr:uid="{37467135-BE58-4FEE-9B07-A06D02D0E33C}"/>
    <hyperlink ref="A221" r:id="rId341" display="out/パワプロ2020 - 投球解析 - 2020-08-23 15-49-19-00_out.mp4" xr:uid="{5DB105CF-514B-4AC7-9DF7-0DFD1DF54122}"/>
    <hyperlink ref="B221" r:id="rId342" display="result/パワプロ2020 - 投球解析 - 2020-08-23 15-49-19-00_ball.txt" xr:uid="{53EFDCB4-72A0-4F19-9AA4-C08858B17D87}"/>
    <hyperlink ref="A222" r:id="rId343" display="out/パワプロ2020 - 投球解析 - 2020-08-23 15-49-19-01_out.mp4" xr:uid="{4B001C24-FFD8-4EFA-AC58-BC51AE401957}"/>
    <hyperlink ref="B222" r:id="rId344" display="result/パワプロ2020 - 投球解析 - 2020-08-23 15-49-19-01_ball.txt" xr:uid="{F4130A9B-C0FF-4BE2-87CD-77E9BBD442C4}"/>
    <hyperlink ref="A223" r:id="rId345" display="out/パワプロ2020 - 投球解析 - 2020-08-23 15-49-19-02_out.mp4" xr:uid="{323496B2-63A9-47CF-9475-66498224BD87}"/>
    <hyperlink ref="B223" r:id="rId346" display="result/パワプロ2020 - 投球解析 - 2020-08-23 15-49-19-02_ball.txt" xr:uid="{B9BE44FD-87E7-478F-83A3-77BC5B007904}"/>
    <hyperlink ref="A224" r:id="rId347" display="out/パワプロ2020 - 投球解析 - 2020-08-23 15-49-19-03_out.mp4" xr:uid="{AEA6197C-916F-42EE-987C-3E7EFCFC8E8A}"/>
    <hyperlink ref="B224" r:id="rId348" display="result/パワプロ2020 - 投球解析 - 2020-08-23 15-49-19-03_ball.txt" xr:uid="{AC501E90-95B5-467D-8486-53CEB31E3A08}"/>
    <hyperlink ref="A225" r:id="rId349" display="out/パワプロ2020 - 投球解析 - 2020-08-23 15-49-19-04_out.mp4" xr:uid="{53980310-D94D-417C-8CFF-0CCE85C66F5D}"/>
    <hyperlink ref="B225" r:id="rId350" display="result/パワプロ2020 - 投球解析 - 2020-08-23 15-49-19-04_ball.txt" xr:uid="{05B3A2BB-9891-4EE5-AFD8-9D12DFA2906D}"/>
    <hyperlink ref="A226" r:id="rId351" display="out/パワプロ2020 - 投球解析 - 2020-08-23 15-49-19-05_out.mp4" xr:uid="{FF0671EA-B3A9-4A79-860E-AFBBE1C3B78B}"/>
    <hyperlink ref="B226" r:id="rId352" display="result/パワプロ2020 - 投球解析 - 2020-08-23 15-49-19-05_ball.txt" xr:uid="{79B7E8F5-A7A8-4F13-8894-6051C05BB6FC}"/>
    <hyperlink ref="A227" r:id="rId353" display="out/パワプロ2020 - 投球解析 - 2020-08-23 15-49-19-06_out.mp4" xr:uid="{B8A7213B-8FAA-4DB5-89FD-84F3D43A92CA}"/>
    <hyperlink ref="B227" r:id="rId354" display="result/パワプロ2020 - 投球解析 - 2020-08-23 15-49-19-06_ball.txt" xr:uid="{3ED42696-5BDC-41CD-91AF-D566736E1E4D}"/>
    <hyperlink ref="A228" r:id="rId355" display="out/パワプロ2020 - 投球解析 - 2020-08-23 15-49-19-07_out.mp4" xr:uid="{6DAAFB26-9F78-44F5-9E5B-45FB39AD5146}"/>
    <hyperlink ref="B228" r:id="rId356" display="result/パワプロ2020 - 投球解析 - 2020-08-23 15-49-19-07_ball.txt" xr:uid="{38FBA64F-ABC7-4DD9-8A39-37C2B93A9A5C}"/>
    <hyperlink ref="A229" r:id="rId357" display="out/パワプロ2020 - 投球解析 - 2020-08-23 15-49-19-08_out.mp4" xr:uid="{784ED869-8084-4D66-81FF-81624508BA09}"/>
    <hyperlink ref="B229" r:id="rId358" display="result/パワプロ2020 - 投球解析 - 2020-08-23 15-49-19-08_ball.txt" xr:uid="{5B5927FB-466A-47E5-A107-D1E1D73110F3}"/>
    <hyperlink ref="A230" r:id="rId359" display="out/パワプロ2020 - 投球解析 - 2020-08-23 15-49-19-09_out.mp4" xr:uid="{B0153326-3895-429E-9586-C939AAC4762B}"/>
    <hyperlink ref="B230" r:id="rId360" display="result/パワプロ2020 - 投球解析 - 2020-08-23 15-49-19-09_ball.txt" xr:uid="{680D811E-29D9-482C-8420-CC67B6F298B8}"/>
    <hyperlink ref="A241" r:id="rId361" display="out/パワプロ2020 - 投球解析 - 2020-08-23 15-52-13-00_out.mp4" xr:uid="{64F1BB80-E100-4429-B7B6-2D4CBEC839B0}"/>
    <hyperlink ref="B241" r:id="rId362" display="result/パワプロ2020 - 投球解析 - 2020-08-23 15-52-13-00_ball.txt" xr:uid="{C6DF39A9-B116-480E-AB9E-422EDF31BF17}"/>
    <hyperlink ref="A242" r:id="rId363" display="out/パワプロ2020 - 投球解析 - 2020-08-23 15-52-13-01_out.mp4" xr:uid="{1C73E6C5-071E-49FF-A7F1-29F3E414F85A}"/>
    <hyperlink ref="B242" r:id="rId364" display="result/パワプロ2020 - 投球解析 - 2020-08-23 15-52-13-01_ball.txt" xr:uid="{8AA4E27D-FBC9-4DEC-84CD-368EF5CC9607}"/>
    <hyperlink ref="A243" r:id="rId365" display="out/パワプロ2020 - 投球解析 - 2020-08-23 15-52-13-02_out.mp4" xr:uid="{F50DCDC1-266E-40B2-B6C1-55CB7E788222}"/>
    <hyperlink ref="B243" r:id="rId366" display="result/パワプロ2020 - 投球解析 - 2020-08-23 15-52-13-02_ball.txt" xr:uid="{CF6D93F6-2868-43F0-8DEB-5CC3A948AC47}"/>
    <hyperlink ref="A244" r:id="rId367" display="out/パワプロ2020 - 投球解析 - 2020-08-23 15-52-13-03_out.mp4" xr:uid="{32849C11-4C64-4A35-A2AB-77AD74844DA3}"/>
    <hyperlink ref="B244" r:id="rId368" display="result/パワプロ2020 - 投球解析 - 2020-08-23 15-52-13-03_ball.txt" xr:uid="{806B41DE-A17B-4F2B-8F0C-BF0FA3B562EC}"/>
    <hyperlink ref="A245" r:id="rId369" display="out/パワプロ2020 - 投球解析 - 2020-08-23 15-52-13-04_out.mp4" xr:uid="{663AA331-CBA2-47D9-9F4D-061E6839D1D3}"/>
    <hyperlink ref="B245" r:id="rId370" display="result/パワプロ2020 - 投球解析 - 2020-08-23 15-52-13-04_ball.txt" xr:uid="{741E3874-0A16-406B-A336-E2897EAFE471}"/>
    <hyperlink ref="A246" r:id="rId371" display="out/パワプロ2020 - 投球解析 - 2020-08-23 15-52-13-05_out.mp4" xr:uid="{E2FA1DD4-C187-49BD-806B-42CEE6EA8277}"/>
    <hyperlink ref="B246" r:id="rId372" display="result/パワプロ2020 - 投球解析 - 2020-08-23 15-52-13-05_ball.txt" xr:uid="{36DD310F-1EFE-450C-9300-81324172DDCF}"/>
    <hyperlink ref="A247" r:id="rId373" display="out/パワプロ2020 - 投球解析 - 2020-08-23 15-52-13-06_out.mp4" xr:uid="{269EDDA1-03FB-4F03-8BDF-3023F657A89A}"/>
    <hyperlink ref="B247" r:id="rId374" display="result/パワプロ2020 - 投球解析 - 2020-08-23 15-52-13-06_ball.txt" xr:uid="{B36C8046-97FF-4EE7-8459-1C1146E620BB}"/>
    <hyperlink ref="A248" r:id="rId375" display="out/パワプロ2020 - 投球解析 - 2020-08-23 15-52-13-07_out.mp4" xr:uid="{23458D4C-E904-4640-BC9A-6D39D224287F}"/>
    <hyperlink ref="B248" r:id="rId376" display="result/パワプロ2020 - 投球解析 - 2020-08-23 15-52-13-07_ball.txt" xr:uid="{E9B58EA8-C5EB-45D7-8873-E6C8C1269154}"/>
    <hyperlink ref="A249" r:id="rId377" display="out/パワプロ2020 - 投球解析 - 2020-08-23 15-52-13-08_out.mp4" xr:uid="{191A5ED4-D07D-474F-9AD9-8BAB4F666CC6}"/>
    <hyperlink ref="B249" r:id="rId378" display="result/パワプロ2020 - 投球解析 - 2020-08-23 15-52-13-08_ball.txt" xr:uid="{3D8B3D41-2AC0-4A73-9FC3-08443B5D1A48}"/>
    <hyperlink ref="A250" r:id="rId379" display="out/パワプロ2020 - 投球解析 - 2020-08-23 15-52-13-09_out.mp4" xr:uid="{5BF845B3-CD1B-4E10-A0EB-0FDC41DD1014}"/>
    <hyperlink ref="B250" r:id="rId380" display="result/パワプロ2020 - 投球解析 - 2020-08-23 15-52-13-09_ball.txt" xr:uid="{99E21FA0-D7A4-4675-9EC4-E8F1A1B8F7BB}"/>
    <hyperlink ref="A261" r:id="rId381" display="out/パワプロ2020 - 投球解析 - 2020-08-23 15-54-48-00_out.mp4" xr:uid="{50CD37C6-5546-4595-A23C-C9AAD07D4B5A}"/>
    <hyperlink ref="B261" r:id="rId382" display="result/パワプロ2020 - 投球解析 - 2020-08-23 15-54-48-00_ball.txt" xr:uid="{2951DEF6-4772-4634-81F2-A62E00D483BA}"/>
    <hyperlink ref="A262" r:id="rId383" display="out/パワプロ2020 - 投球解析 - 2020-08-23 15-54-48-01_out.mp4" xr:uid="{857175A0-631E-474E-B550-BFFF42C66D51}"/>
    <hyperlink ref="B262" r:id="rId384" display="result/パワプロ2020 - 投球解析 - 2020-08-23 15-54-48-01_ball.txt" xr:uid="{0BE3DF23-25E8-4644-93A3-D3F9F129BF4C}"/>
    <hyperlink ref="A263" r:id="rId385" display="out/パワプロ2020 - 投球解析 - 2020-08-23 15-54-48-02_out.mp4" xr:uid="{12E5222D-AFDD-46D7-AAC4-E2A3761ACCD2}"/>
    <hyperlink ref="B263" r:id="rId386" display="result/パワプロ2020 - 投球解析 - 2020-08-23 15-54-48-02_ball.txt" xr:uid="{8FDFD75F-AA73-4DB1-9870-D7FE1826493E}"/>
    <hyperlink ref="A264" r:id="rId387" display="out/パワプロ2020 - 投球解析 - 2020-08-23 15-54-48-03_out.mp4" xr:uid="{E3B06522-90B2-4231-A888-A1082BFBB103}"/>
    <hyperlink ref="B264" r:id="rId388" display="result/パワプロ2020 - 投球解析 - 2020-08-23 15-54-48-03_ball.txt" xr:uid="{FABB9C6F-8D4E-4B47-9EAC-D1A930CBB86D}"/>
    <hyperlink ref="A265" r:id="rId389" display="out/パワプロ2020 - 投球解析 - 2020-08-23 15-54-48-04_out.mp4" xr:uid="{916601AF-2C6A-4ECF-A9AB-3A858EE999E5}"/>
    <hyperlink ref="B265" r:id="rId390" display="result/パワプロ2020 - 投球解析 - 2020-08-23 15-54-48-04_ball.txt" xr:uid="{EBB8C9B6-D6D0-41AF-87A9-74AFC8E26DF4}"/>
    <hyperlink ref="A266" r:id="rId391" display="out/パワプロ2020 - 投球解析 - 2020-08-23 15-54-48-05_out.mp4" xr:uid="{387512B3-0FF8-42CE-892F-F8D3D3059BBD}"/>
    <hyperlink ref="B266" r:id="rId392" display="result/パワプロ2020 - 投球解析 - 2020-08-23 15-54-48-05_ball.txt" xr:uid="{BFF5F880-8956-460B-B6EF-2FEA7FE2E52D}"/>
    <hyperlink ref="A267" r:id="rId393" display="out/パワプロ2020 - 投球解析 - 2020-08-23 15-54-48-06_out.mp4" xr:uid="{4352CAE6-A5B8-4D18-85A6-C7A3882E0800}"/>
    <hyperlink ref="B267" r:id="rId394" display="result/パワプロ2020 - 投球解析 - 2020-08-23 15-54-48-06_ball.txt" xr:uid="{1C23DAAE-4E7C-441B-AB96-F89A1F0DD441}"/>
    <hyperlink ref="A268" r:id="rId395" display="out/パワプロ2020 - 投球解析 - 2020-08-23 15-54-48-07_out.mp4" xr:uid="{46891946-CF4B-42A4-8A2A-B624283856F3}"/>
    <hyperlink ref="B268" r:id="rId396" display="result/パワプロ2020 - 投球解析 - 2020-08-23 15-54-48-07_ball.txt" xr:uid="{80458211-6DA9-4DCF-A707-C48BF5D52EA4}"/>
    <hyperlink ref="A269" r:id="rId397" display="out/パワプロ2020 - 投球解析 - 2020-08-23 15-54-48-08_out.mp4" xr:uid="{720765EA-9F13-4095-90BC-D8CC7D3998A0}"/>
    <hyperlink ref="B269" r:id="rId398" display="result/パワプロ2020 - 投球解析 - 2020-08-23 15-54-48-08_ball.txt" xr:uid="{5DA36326-C3C8-40D5-8EC2-A1C2C235E15A}"/>
    <hyperlink ref="A280" r:id="rId399" display="out/パワプロ2020 - 投球解析 - 2020-08-23 16-03-31-00_out.mp4" xr:uid="{28E70C4A-0AF8-45C3-8C85-D5568F941657}"/>
    <hyperlink ref="B280" r:id="rId400" display="result/パワプロ2020 - 投球解析 - 2020-08-23 16-03-31-00_ball.txt" xr:uid="{3C1A6106-9C9B-4E58-A93C-82A3C23A53B3}"/>
    <hyperlink ref="A281" r:id="rId401" display="out/パワプロ2020 - 投球解析 - 2020-08-23 16-03-31-01_out.mp4" xr:uid="{0ABFB69D-3C3F-4716-ABD9-8C705778A96C}"/>
    <hyperlink ref="B281" r:id="rId402" display="result/パワプロ2020 - 投球解析 - 2020-08-23 16-03-31-01_ball.txt" xr:uid="{A3214C61-9B1B-48DA-9625-6C7043501174}"/>
    <hyperlink ref="A282" r:id="rId403" display="out/パワプロ2020 - 投球解析 - 2020-08-23 16-03-31-02_out.mp4" xr:uid="{A857C65E-194C-4852-A382-6C22968044AE}"/>
    <hyperlink ref="B282" r:id="rId404" display="result/パワプロ2020 - 投球解析 - 2020-08-23 16-03-31-02_ball.txt" xr:uid="{B73499EE-898D-40CC-86B9-3FF20F734022}"/>
    <hyperlink ref="A283" r:id="rId405" display="out/パワプロ2020 - 投球解析 - 2020-08-23 16-03-31-03_out.mp4" xr:uid="{422C7C26-04BD-40E7-81C2-140DE7A12371}"/>
    <hyperlink ref="B283" r:id="rId406" display="result/パワプロ2020 - 投球解析 - 2020-08-23 16-03-31-03_ball.txt" xr:uid="{13D96C92-7F57-4EE1-8543-04C64A7DF691}"/>
    <hyperlink ref="A284" r:id="rId407" display="out/パワプロ2020 - 投球解析 - 2020-08-23 16-03-31-04_out.mp4" xr:uid="{7749C22F-513A-4310-94CF-767760E39CA9}"/>
    <hyperlink ref="B284" r:id="rId408" display="result/パワプロ2020 - 投球解析 - 2020-08-23 16-03-31-04_ball.txt" xr:uid="{AB746A61-B9F1-4EC0-A0C4-FE7CAA55ED21}"/>
    <hyperlink ref="A285" r:id="rId409" display="out/パワプロ2020 - 投球解析 - 2020-08-23 16-03-31-05_out.mp4" xr:uid="{B5090DA3-6358-4042-AA01-116CF08108B4}"/>
    <hyperlink ref="B285" r:id="rId410" display="result/パワプロ2020 - 投球解析 - 2020-08-23 16-03-31-05_ball.txt" xr:uid="{78012226-F7F6-4497-9717-EC7D368A5F64}"/>
    <hyperlink ref="A286" r:id="rId411" display="out/パワプロ2020 - 投球解析 - 2020-08-23 16-03-31-06_out.mp4" xr:uid="{EA529D4C-63B4-465A-93BD-C8782DBCCF20}"/>
    <hyperlink ref="B286" r:id="rId412" display="result/パワプロ2020 - 投球解析 - 2020-08-23 16-03-31-06_ball.txt" xr:uid="{E794703B-4CAE-40E7-80FB-14F5FEF32A77}"/>
    <hyperlink ref="A287" r:id="rId413" display="out/パワプロ2020 - 投球解析 - 2020-08-23 16-03-31-07_out.mp4" xr:uid="{59655B55-AF45-4256-92BA-33C88DAF0E1B}"/>
    <hyperlink ref="B287" r:id="rId414" display="result/パワプロ2020 - 投球解析 - 2020-08-23 16-03-31-07_ball.txt" xr:uid="{428B3F0C-6572-4DEE-AD5D-8A6BC03D0BE8}"/>
    <hyperlink ref="A288" r:id="rId415" display="out/パワプロ2020 - 投球解析 - 2020-08-23 16-03-31-08_out.mp4" xr:uid="{89B5F84B-DCDC-458E-8178-EC17A7F21166}"/>
    <hyperlink ref="B288" r:id="rId416" display="result/パワプロ2020 - 投球解析 - 2020-08-23 16-03-31-08_ball.txt" xr:uid="{C526CAFC-D4C4-43EB-BEA8-C7FD1346D1EA}"/>
    <hyperlink ref="A289" r:id="rId417" display="out/パワプロ2020 - 投球解析 - 2020-08-23 16-03-31-09_out.mp4" xr:uid="{187496D2-0143-45AA-9880-5187005BE276}"/>
    <hyperlink ref="B289" r:id="rId418" display="result/パワプロ2020 - 投球解析 - 2020-08-23 16-03-31-09_ball.txt" xr:uid="{01E75D6C-430E-4B4A-AD49-45641F21C7A6}"/>
    <hyperlink ref="A300" r:id="rId419" display="out/パワプロ2020 - 投球解析 - 2020-08-23 16-06-08-00_out.mp4" xr:uid="{6D30D023-50C6-4DDB-ADBC-146B4A0117E6}"/>
    <hyperlink ref="B300" r:id="rId420" display="result/パワプロ2020 - 投球解析 - 2020-08-23 16-06-08-00_ball.txt" xr:uid="{C6482CA1-F955-4A2B-BAF2-44190A360D3A}"/>
    <hyperlink ref="A301" r:id="rId421" display="out/パワプロ2020 - 投球解析 - 2020-08-23 16-06-08-01_out.mp4" xr:uid="{B70D1297-6807-483F-9576-8E61F219256F}"/>
    <hyperlink ref="B301" r:id="rId422" display="result/パワプロ2020 - 投球解析 - 2020-08-23 16-06-08-01_ball.txt" xr:uid="{E12FF907-A575-4478-8D51-7FAC969889FF}"/>
    <hyperlink ref="A302" r:id="rId423" display="out/パワプロ2020 - 投球解析 - 2020-08-23 16-06-08-02_out.mp4" xr:uid="{2551BFDC-38BB-41FD-8148-0AC86398F780}"/>
    <hyperlink ref="B302" r:id="rId424" display="result/パワプロ2020 - 投球解析 - 2020-08-23 16-06-08-02_ball.txt" xr:uid="{A21079E2-CA90-43E7-BD22-0C3B79725900}"/>
    <hyperlink ref="A303" r:id="rId425" display="out/パワプロ2020 - 投球解析 - 2020-08-23 16-06-08-03_out.mp4" xr:uid="{A4A2BDF1-0F3A-4C63-96F6-8858E33CD6EF}"/>
    <hyperlink ref="B303" r:id="rId426" display="result/パワプロ2020 - 投球解析 - 2020-08-23 16-06-08-03_ball.txt" xr:uid="{13985869-819B-4944-BAC0-72E17D90BD10}"/>
    <hyperlink ref="A304" r:id="rId427" display="out/パワプロ2020 - 投球解析 - 2020-08-23 16-06-08-04_out.mp4" xr:uid="{D147A769-44E8-4A4C-8C44-15BEE8243711}"/>
    <hyperlink ref="B304" r:id="rId428" display="result/パワプロ2020 - 投球解析 - 2020-08-23 16-06-08-04_ball.txt" xr:uid="{8E291A40-6F50-41DA-86A8-CBD429F5984D}"/>
    <hyperlink ref="A305" r:id="rId429" display="out/パワプロ2020 - 投球解析 - 2020-08-23 16-06-08-05_out.mp4" xr:uid="{17F54606-71FA-4684-83EF-EF197C76F161}"/>
    <hyperlink ref="B305" r:id="rId430" display="result/パワプロ2020 - 投球解析 - 2020-08-23 16-06-08-05_ball.txt" xr:uid="{59C6ECD4-4C4B-457B-920E-A99D9FD14103}"/>
    <hyperlink ref="A306" r:id="rId431" display="out/パワプロ2020 - 投球解析 - 2020-08-23 16-06-08-06_out.mp4" xr:uid="{B1507EF9-D583-4DD7-964C-C22A42ADA824}"/>
    <hyperlink ref="B306" r:id="rId432" display="result/パワプロ2020 - 投球解析 - 2020-08-23 16-06-08-06_ball.txt" xr:uid="{CCB4CDEC-E6B5-40E0-8100-6D4377C46E2D}"/>
    <hyperlink ref="A307" r:id="rId433" display="out/パワプロ2020 - 投球解析 - 2020-08-23 16-06-08-07_out.mp4" xr:uid="{2E106A5F-867F-43A5-A5AB-163965BC0C4B}"/>
    <hyperlink ref="B307" r:id="rId434" display="result/パワプロ2020 - 投球解析 - 2020-08-23 16-06-08-07_ball.txt" xr:uid="{23AEB244-EEFE-4B7F-B0CE-7D4C9EE13CDA}"/>
    <hyperlink ref="A308" r:id="rId435" display="out/パワプロ2020 - 投球解析 - 2020-08-23 16-06-08-08_out.mp4" xr:uid="{E6FEA82F-BDD2-47E9-BB79-5ED6B71A03AF}"/>
    <hyperlink ref="B308" r:id="rId436" display="result/パワプロ2020 - 投球解析 - 2020-08-23 16-06-08-08_ball.txt" xr:uid="{C4D84F50-44D3-49ED-8AAE-12E990B21BA0}"/>
    <hyperlink ref="A309" r:id="rId437" display="out/パワプロ2020 - 投球解析 - 2020-08-23 16-06-08-09_out.mp4" xr:uid="{17E41907-5F10-4448-8878-D532EDC51996}"/>
    <hyperlink ref="B309" r:id="rId438" display="result/パワプロ2020 - 投球解析 - 2020-08-23 16-06-08-09_ball.txt" xr:uid="{06916D1E-43CE-4ADB-93AA-E2EA789960F5}"/>
    <hyperlink ref="A320" r:id="rId439" display="out/パワプロ2020 - 投球解析 - 2020-08-23 16-08-46-00_out.mp4" xr:uid="{075EDDFB-AD40-4611-AE11-C6F655561241}"/>
    <hyperlink ref="B320" r:id="rId440" display="result/パワプロ2020 - 投球解析 - 2020-08-23 16-08-46-00_ball.txt" xr:uid="{97B275EA-8C06-4058-901A-4A3AF815EC57}"/>
    <hyperlink ref="A321" r:id="rId441" display="out/パワプロ2020 - 投球解析 - 2020-08-23 16-08-46-01_out.mp4" xr:uid="{C41F09B9-6126-4840-97E8-F1B3FDC0C9F0}"/>
    <hyperlink ref="B321" r:id="rId442" display="result/パワプロ2020 - 投球解析 - 2020-08-23 16-08-46-01_ball.txt" xr:uid="{0ABB53C6-B09F-4E56-A6DF-1A3BD3C69EFF}"/>
    <hyperlink ref="A322" r:id="rId443" display="out/パワプロ2020 - 投球解析 - 2020-08-23 16-08-46-02_out.mp4" xr:uid="{8E6F57D7-9AC6-4B2D-AC0B-163334E3BF07}"/>
    <hyperlink ref="B322" r:id="rId444" display="result/パワプロ2020 - 投球解析 - 2020-08-23 16-08-46-02_ball.txt" xr:uid="{24F23BF7-4CC8-463E-B895-A938AA9664A3}"/>
    <hyperlink ref="A323" r:id="rId445" display="out/パワプロ2020 - 投球解析 - 2020-08-23 16-08-46-03_out.mp4" xr:uid="{F7ACA13D-844D-4932-91C8-A7B4AEE43B48}"/>
    <hyperlink ref="B323" r:id="rId446" display="result/パワプロ2020 - 投球解析 - 2020-08-23 16-08-46-03_ball.txt" xr:uid="{E0113E8F-5AF1-4422-948E-6E0EDEC5FD87}"/>
    <hyperlink ref="A324" r:id="rId447" display="out/パワプロ2020 - 投球解析 - 2020-08-23 16-08-46-04_out.mp4" xr:uid="{CC44EA8D-AFE2-42F5-92A9-C34433BC9484}"/>
    <hyperlink ref="B324" r:id="rId448" display="result/パワプロ2020 - 投球解析 - 2020-08-23 16-08-46-04_ball.txt" xr:uid="{BC5A1FFB-B0C8-4DFC-83E9-74551F4E20FD}"/>
    <hyperlink ref="A325" r:id="rId449" display="out/パワプロ2020 - 投球解析 - 2020-08-23 16-08-46-05_out.mp4" xr:uid="{191C359E-B74D-4757-8A33-34E1947E687D}"/>
    <hyperlink ref="B325" r:id="rId450" display="result/パワプロ2020 - 投球解析 - 2020-08-23 16-08-46-05_ball.txt" xr:uid="{39791F37-111A-4E35-BA1A-86C9AC5800DB}"/>
    <hyperlink ref="A326" r:id="rId451" display="out/パワプロ2020 - 投球解析 - 2020-08-23 16-08-46-06_out.mp4" xr:uid="{C621421B-8905-49EE-B83A-C25443D30F1A}"/>
    <hyperlink ref="B326" r:id="rId452" display="result/パワプロ2020 - 投球解析 - 2020-08-23 16-08-46-06_ball.txt" xr:uid="{ADC2C1B4-B03D-4044-A4BB-8456D9CD0D63}"/>
    <hyperlink ref="A327" r:id="rId453" display="out/パワプロ2020 - 投球解析 - 2020-08-23 16-08-46-07_out.mp4" xr:uid="{11F2DD89-DB8D-4AC1-ACD1-ED7793CF14A4}"/>
    <hyperlink ref="B327" r:id="rId454" display="result/パワプロ2020 - 投球解析 - 2020-08-23 16-08-46-07_ball.txt" xr:uid="{55FE1096-AD34-4B57-81CD-597B430D6D04}"/>
    <hyperlink ref="A328" r:id="rId455" display="out/パワプロ2020 - 投球解析 - 2020-08-23 16-08-46-08_out.mp4" xr:uid="{1F74FACC-D6B9-47A5-98F7-735A29CA27A9}"/>
    <hyperlink ref="B328" r:id="rId456" display="result/パワプロ2020 - 投球解析 - 2020-08-23 16-08-46-08_ball.txt" xr:uid="{DD928F1B-C198-4A0D-AB0E-9EE0BF14CE38}"/>
    <hyperlink ref="A329" r:id="rId457" display="out/パワプロ2020 - 投球解析 - 2020-08-23 16-08-46-09_out.mp4" xr:uid="{354A9293-B421-44A7-9FA0-EA33D5111AF9}"/>
    <hyperlink ref="B329" r:id="rId458" display="result/パワプロ2020 - 投球解析 - 2020-08-23 16-08-46-09_ball.txt" xr:uid="{2C525618-4D96-4A73-B5D3-965347601EB3}"/>
    <hyperlink ref="A330" r:id="rId459" display="out/パワプロ2020 - 投球解析 - 2020-08-23 16-09-58-00_out.mp4" xr:uid="{EC54C18B-AD70-44B0-8130-16F09D71D68F}"/>
    <hyperlink ref="B330" r:id="rId460" display="result/パワプロ2020 - 投球解析 - 2020-08-23 16-09-58-00_ball.txt" xr:uid="{935BA84F-35A3-4735-9EC5-233C1F03BEDB}"/>
    <hyperlink ref="A331" r:id="rId461" display="out/パワプロ2020 - 投球解析 - 2020-08-23 16-09-58-01_out.mp4" xr:uid="{B1757C52-48E0-41FC-AE5A-F41EA35D19A1}"/>
    <hyperlink ref="B331" r:id="rId462" display="result/パワプロ2020 - 投球解析 - 2020-08-23 16-09-58-01_ball.txt" xr:uid="{A20759CF-2C6F-4B72-89DA-D149B5635BC8}"/>
    <hyperlink ref="A332" r:id="rId463" display="out/パワプロ2020 - 投球解析 - 2020-08-23 16-09-58-02_out.mp4" xr:uid="{9165172D-5E5A-4CBB-9801-AE8A1BAB4200}"/>
    <hyperlink ref="B332" r:id="rId464" display="result/パワプロ2020 - 投球解析 - 2020-08-23 16-09-58-02_ball.txt" xr:uid="{C2D40C3F-EEE1-4266-9B19-121AA11F7DAE}"/>
    <hyperlink ref="A333" r:id="rId465" display="out/パワプロ2020 - 投球解析 - 2020-08-23 16-09-58-03_out.mp4" xr:uid="{B6B4006A-AF69-472A-AEC5-2AC093585CFB}"/>
    <hyperlink ref="B333" r:id="rId466" display="result/パワプロ2020 - 投球解析 - 2020-08-23 16-09-58-03_ball.txt" xr:uid="{5D0BE426-5B85-4871-8D2F-DC5A977914DE}"/>
    <hyperlink ref="A334" r:id="rId467" display="out/パワプロ2020 - 投球解析 - 2020-08-23 16-09-58-04_out.mp4" xr:uid="{E1EB2830-47C0-412E-A6A5-80D353A7D5B4}"/>
    <hyperlink ref="B334" r:id="rId468" display="result/パワプロ2020 - 投球解析 - 2020-08-23 16-09-58-04_ball.txt" xr:uid="{99F559A2-EF1E-49AC-B106-A0F3575BB524}"/>
    <hyperlink ref="A335" r:id="rId469" display="out/パワプロ2020 - 投球解析 - 2020-08-23 16-09-58-05_out.mp4" xr:uid="{C79C9E1E-EEA1-4CB1-868A-4C341DD3FE3C}"/>
    <hyperlink ref="B335" r:id="rId470" display="result/パワプロ2020 - 投球解析 - 2020-08-23 16-09-58-05_ball.txt" xr:uid="{C78F5A07-87C1-4878-A3C4-028AC2EB5AE1}"/>
    <hyperlink ref="A336" r:id="rId471" display="out/パワプロ2020 - 投球解析 - 2020-08-23 16-09-58-06_out.mp4" xr:uid="{5219F3E1-8473-4C09-A238-DA36C84A35E6}"/>
    <hyperlink ref="B336" r:id="rId472" display="result/パワプロ2020 - 投球解析 - 2020-08-23 16-09-58-06_ball.txt" xr:uid="{4BAEF71C-7EC1-43F9-AB5C-062327D35176}"/>
    <hyperlink ref="A337" r:id="rId473" display="out/パワプロ2020 - 投球解析 - 2020-08-23 16-09-58-07_out.mp4" xr:uid="{CDF954CE-1EA9-4015-9F23-914E4ED485D8}"/>
    <hyperlink ref="B337" r:id="rId474" display="result/パワプロ2020 - 投球解析 - 2020-08-23 16-09-58-07_ball.txt" xr:uid="{442ED80B-0DAD-40EC-93B0-7BBA71146309}"/>
    <hyperlink ref="A338" r:id="rId475" display="out/パワプロ2020 - 投球解析 - 2020-08-23 16-09-58-08_out.mp4" xr:uid="{093BFE09-ACCB-4915-B16D-1820C91DB194}"/>
    <hyperlink ref="B338" r:id="rId476" display="result/パワプロ2020 - 投球解析 - 2020-08-23 16-09-58-08_ball.txt" xr:uid="{3E5CE03D-38DE-4B9F-B6D7-13D79EB45059}"/>
    <hyperlink ref="A339" r:id="rId477" display="out/パワプロ2020 - 投球解析 - 2020-08-23 16-09-58-09_out.mp4" xr:uid="{31906D43-5D85-4AFD-B5A5-7BF77D0A5442}"/>
    <hyperlink ref="B339" r:id="rId478" display="result/パワプロ2020 - 投球解析 - 2020-08-23 16-09-58-09_ball.txt" xr:uid="{DBD5F3D2-CAA7-4BA4-9CC7-5C61BBC83D42}"/>
    <hyperlink ref="A350" r:id="rId479" display="out/パワプロ2020 - 投球解析 - 2020-08-23 16-12-41-00_out.mp4" xr:uid="{80A27A9F-CEA6-443F-9A94-6F81E70F9F52}"/>
    <hyperlink ref="B350" r:id="rId480" display="result/パワプロ2020 - 投球解析 - 2020-08-23 16-12-41-00_ball.txt" xr:uid="{229D7504-1A91-4177-AC54-FD12A502692F}"/>
    <hyperlink ref="A351" r:id="rId481" display="out/パワプロ2020 - 投球解析 - 2020-08-23 16-12-41-01_out.mp4" xr:uid="{E9EA56AE-A1F3-41BE-A7C2-AC8D171B4EB8}"/>
    <hyperlink ref="B351" r:id="rId482" display="result/パワプロ2020 - 投球解析 - 2020-08-23 16-12-41-01_ball.txt" xr:uid="{97D1253B-8DF0-4647-95E0-3E2D610E0DE8}"/>
    <hyperlink ref="A352" r:id="rId483" display="out/パワプロ2020 - 投球解析 - 2020-08-23 16-12-41-02_out.mp4" xr:uid="{7AF95B00-9757-446E-9EA5-D23D3CDE9386}"/>
    <hyperlink ref="B352" r:id="rId484" display="result/パワプロ2020 - 投球解析 - 2020-08-23 16-12-41-02_ball.txt" xr:uid="{2F3414B6-723D-4B77-93C2-1CA3A2A8CD06}"/>
    <hyperlink ref="A353" r:id="rId485" display="out/パワプロ2020 - 投球解析 - 2020-08-23 16-12-41-03_out.mp4" xr:uid="{1FD7F5F5-2877-4108-898D-071AB0661E61}"/>
    <hyperlink ref="B353" r:id="rId486" display="result/パワプロ2020 - 投球解析 - 2020-08-23 16-12-41-03_ball.txt" xr:uid="{A4FB0155-C10C-4BCD-B672-CF0C950665F5}"/>
    <hyperlink ref="A354" r:id="rId487" display="out/パワプロ2020 - 投球解析 - 2020-08-23 16-12-41-04_out.mp4" xr:uid="{6D6C58AD-48EF-4DB0-94C6-1DD3A57E2367}"/>
    <hyperlink ref="B354" r:id="rId488" display="result/パワプロ2020 - 投球解析 - 2020-08-23 16-12-41-04_ball.txt" xr:uid="{0C7C9719-B568-4978-8024-27FFE1A772AF}"/>
    <hyperlink ref="A355" r:id="rId489" display="out/パワプロ2020 - 投球解析 - 2020-08-23 16-12-41-05_out.mp4" xr:uid="{E8C5679F-8ED5-4C12-B8D3-64FFCE031481}"/>
    <hyperlink ref="B355" r:id="rId490" display="result/パワプロ2020 - 投球解析 - 2020-08-23 16-12-41-05_ball.txt" xr:uid="{CB82A653-04BD-4CCA-A921-190AA7B7ECE7}"/>
    <hyperlink ref="A356" r:id="rId491" display="out/パワプロ2020 - 投球解析 - 2020-08-23 16-12-41-06_out.mp4" xr:uid="{543C2E85-E0D8-4A3A-B2DC-7EDF570D00FE}"/>
    <hyperlink ref="B356" r:id="rId492" display="result/パワプロ2020 - 投球解析 - 2020-08-23 16-12-41-06_ball.txt" xr:uid="{CBD2EBD6-70C4-41F7-8B71-33E3D00EC0A0}"/>
    <hyperlink ref="A357" r:id="rId493" display="out/パワプロ2020 - 投球解析 - 2020-08-23 16-12-41-07_out.mp4" xr:uid="{60880894-8B01-446A-B4B4-A30FA3E8338C}"/>
    <hyperlink ref="B357" r:id="rId494" display="result/パワプロ2020 - 投球解析 - 2020-08-23 16-12-41-07_ball.txt" xr:uid="{95AC3DA9-6BE2-48E4-9707-1ECC36AC90F7}"/>
    <hyperlink ref="A358" r:id="rId495" display="out/パワプロ2020 - 投球解析 - 2020-08-23 16-12-41-08_out.mp4" xr:uid="{824DF29E-AF8D-4E16-BA2E-EBF0B1AD9F04}"/>
    <hyperlink ref="B358" r:id="rId496" display="result/パワプロ2020 - 投球解析 - 2020-08-23 16-12-41-08_ball.txt" xr:uid="{F100BD8B-C080-41D3-955D-2F28168313E4}"/>
    <hyperlink ref="A359" r:id="rId497" display="out/パワプロ2020 - 投球解析 - 2020-08-23 16-12-41-09_out.mp4" xr:uid="{4A2C8614-74B1-4A5B-9865-2EF833BE4347}"/>
    <hyperlink ref="B359" r:id="rId498" display="result/パワプロ2020 - 投球解析 - 2020-08-23 16-12-41-09_ball.txt" xr:uid="{8C6E3D0A-FEFA-4326-91B9-83DF3D5D9D7D}"/>
    <hyperlink ref="A360" r:id="rId499" display="out/パワプロ2020 - 投球解析 - 2020-08-23 16-13-55-00_out.mp4" xr:uid="{C352D191-B93E-4EBA-8785-7D7A557DDAB3}"/>
    <hyperlink ref="B360" r:id="rId500" display="result/パワプロ2020 - 投球解析 - 2020-08-23 16-13-55-00_ball.txt" xr:uid="{A48BC0D4-591C-4A07-9CC9-F9AEE27338E2}"/>
    <hyperlink ref="A361" r:id="rId501" display="out/パワプロ2020 - 投球解析 - 2020-08-23 16-13-55-01_out.mp4" xr:uid="{F3CD2E1F-1B18-44FF-8009-004438855B5D}"/>
    <hyperlink ref="B361" r:id="rId502" display="result/パワプロ2020 - 投球解析 - 2020-08-23 16-13-55-01_ball.txt" xr:uid="{3DF2F602-8B48-4E02-ADD2-7DA9E4CF2F69}"/>
    <hyperlink ref="A362" r:id="rId503" display="out/パワプロ2020 - 投球解析 - 2020-08-23 16-13-55-02_out.mp4" xr:uid="{83293BDD-B070-4201-A5CE-2A4AB37D65A8}"/>
    <hyperlink ref="B362" r:id="rId504" display="result/パワプロ2020 - 投球解析 - 2020-08-23 16-13-55-02_ball.txt" xr:uid="{83EBD58E-7B51-4976-B8A2-B4BFF0785B39}"/>
    <hyperlink ref="A363" r:id="rId505" display="out/パワプロ2020 - 投球解析 - 2020-08-23 16-13-55-03_out.mp4" xr:uid="{E004AE04-2B22-4796-A4E1-2228B41CBDCB}"/>
    <hyperlink ref="B363" r:id="rId506" display="result/パワプロ2020 - 投球解析 - 2020-08-23 16-13-55-03_ball.txt" xr:uid="{F4593E52-E6FA-449C-A990-F58FC7EF3383}"/>
    <hyperlink ref="A364" r:id="rId507" display="out/パワプロ2020 - 投球解析 - 2020-08-23 16-13-55-04_out.mp4" xr:uid="{89027FA1-B426-40E6-BE7E-EB7D373C4E22}"/>
    <hyperlink ref="B364" r:id="rId508" display="result/パワプロ2020 - 投球解析 - 2020-08-23 16-13-55-04_ball.txt" xr:uid="{0909A1CD-D6AD-4C7A-B895-3ABB67E296A5}"/>
    <hyperlink ref="A365" r:id="rId509" display="out/パワプロ2020 - 投球解析 - 2020-08-23 16-13-55-05_out.mp4" xr:uid="{B0C587E0-3F1D-4CD7-BD91-BCDDB6075FD1}"/>
    <hyperlink ref="B365" r:id="rId510" display="result/パワプロ2020 - 投球解析 - 2020-08-23 16-13-55-05_ball.txt" xr:uid="{8E22ABEF-B37C-4CF1-936A-CBB349240FFC}"/>
    <hyperlink ref="A366" r:id="rId511" display="out/パワプロ2020 - 投球解析 - 2020-08-23 16-13-55-06_out.mp4" xr:uid="{269B0422-B841-4E1F-89FD-DD6C11F973E9}"/>
    <hyperlink ref="B366" r:id="rId512" display="result/パワプロ2020 - 投球解析 - 2020-08-23 16-13-55-06_ball.txt" xr:uid="{AAD5AD99-AA84-431C-995D-C8CD287448F7}"/>
    <hyperlink ref="A367" r:id="rId513" display="out/パワプロ2020 - 投球解析 - 2020-08-23 16-13-55-07_out.mp4" xr:uid="{2003FC4E-4099-4381-8307-EF13C9C6807F}"/>
    <hyperlink ref="B367" r:id="rId514" display="result/パワプロ2020 - 投球解析 - 2020-08-23 16-13-55-07_ball.txt" xr:uid="{68D3BA5B-A21C-41BB-A7C0-1FE592E1DA8B}"/>
    <hyperlink ref="A368" r:id="rId515" display="out/パワプロ2020 - 投球解析 - 2020-08-23 16-13-55-08_out.mp4" xr:uid="{4D2E1984-4BEB-408C-BFE2-2922DB2A4FB3}"/>
    <hyperlink ref="B368" r:id="rId516" display="result/パワプロ2020 - 投球解析 - 2020-08-23 16-13-55-08_ball.txt" xr:uid="{E99D31FE-7DEB-43D4-8370-6A2BB472610C}"/>
    <hyperlink ref="A369" r:id="rId517" display="out/パワプロ2020 - 投球解析 - 2020-08-23 16-13-55-09_out.mp4" xr:uid="{D26C47C3-04D9-45DB-9696-3F2038D9D036}"/>
    <hyperlink ref="B369" r:id="rId518" display="result/パワプロ2020 - 投球解析 - 2020-08-23 16-13-55-09_ball.txt" xr:uid="{337F0AE8-7EAA-4337-A40F-F134527C991B}"/>
    <hyperlink ref="A370" r:id="rId519" display="out/パワプロ2020 - 投球解析 - 2020-08-23 16-15-07-00_out.mp4" xr:uid="{D2A40412-D625-40EC-BECD-60EB72B4674B}"/>
    <hyperlink ref="B370" r:id="rId520" display="result/パワプロ2020 - 投球解析 - 2020-08-23 16-15-07-00_ball.txt" xr:uid="{51C2B548-2D16-4C76-9A8F-A168EA1DC734}"/>
    <hyperlink ref="A371" r:id="rId521" display="out/パワプロ2020 - 投球解析 - 2020-08-23 16-15-07-01_out.mp4" xr:uid="{2CAE8A69-01CC-4D83-84AE-FF953A5045C6}"/>
    <hyperlink ref="B371" r:id="rId522" display="result/パワプロ2020 - 投球解析 - 2020-08-23 16-15-07-01_ball.txt" xr:uid="{A9DD0972-C96E-41BB-A02D-902ED7B750A8}"/>
    <hyperlink ref="A372" r:id="rId523" display="out/パワプロ2020 - 投球解析 - 2020-08-23 16-15-07-02_out.mp4" xr:uid="{F43B8223-5BBE-4D36-9B4D-BA2BA11BE072}"/>
    <hyperlink ref="B372" r:id="rId524" display="result/パワプロ2020 - 投球解析 - 2020-08-23 16-15-07-02_ball.txt" xr:uid="{20DF93B3-E2C9-4EFF-BD79-D2D49E4204FC}"/>
    <hyperlink ref="A373" r:id="rId525" display="out/パワプロ2020 - 投球解析 - 2020-08-23 16-15-07-03_out.mp4" xr:uid="{2E05B17A-8E1F-4D1B-90C6-E83546CF77AB}"/>
    <hyperlink ref="B373" r:id="rId526" display="result/パワプロ2020 - 投球解析 - 2020-08-23 16-15-07-03_ball.txt" xr:uid="{3FAF3F3E-86ED-4496-AC59-E0598F3869DE}"/>
    <hyperlink ref="A374" r:id="rId527" display="out/パワプロ2020 - 投球解析 - 2020-08-23 16-15-07-04_out.mp4" xr:uid="{2A0BD780-DC3A-4C51-8438-0719481A6BC9}"/>
    <hyperlink ref="B374" r:id="rId528" display="result/パワプロ2020 - 投球解析 - 2020-08-23 16-15-07-04_ball.txt" xr:uid="{1485575B-2696-48D1-AEB2-13B5B501D8BA}"/>
    <hyperlink ref="A375" r:id="rId529" display="out/パワプロ2020 - 投球解析 - 2020-08-23 16-15-07-05_out.mp4" xr:uid="{0510203F-B228-4B57-BF09-D60E67857E82}"/>
    <hyperlink ref="B375" r:id="rId530" display="result/パワプロ2020 - 投球解析 - 2020-08-23 16-15-07-05_ball.txt" xr:uid="{C8B3C07A-CBB1-4ECB-B4F5-44A24C968DCC}"/>
    <hyperlink ref="A376" r:id="rId531" display="out/パワプロ2020 - 投球解析 - 2020-08-23 16-15-07-06_out.mp4" xr:uid="{498BE551-F6E1-4641-A855-A1C1A8F81A7D}"/>
    <hyperlink ref="B376" r:id="rId532" display="result/パワプロ2020 - 投球解析 - 2020-08-23 16-15-07-06_ball.txt" xr:uid="{D684E273-2E29-426C-BE57-C674B387DD39}"/>
    <hyperlink ref="A377" r:id="rId533" display="out/パワプロ2020 - 投球解析 - 2020-08-23 16-15-07-07_out.mp4" xr:uid="{A5C00441-967C-49C9-BAB2-0235CE656AEF}"/>
    <hyperlink ref="B377" r:id="rId534" display="result/パワプロ2020 - 投球解析 - 2020-08-23 16-15-07-07_ball.txt" xr:uid="{24510B07-2BAA-4208-86B9-9CD11E77B23E}"/>
    <hyperlink ref="A378" r:id="rId535" display="out/パワプロ2020 - 投球解析 - 2020-08-23 16-15-07-08_out.mp4" xr:uid="{2EBC8E62-1F0B-4707-9057-707F1EFCC21C}"/>
    <hyperlink ref="B378" r:id="rId536" display="result/パワプロ2020 - 投球解析 - 2020-08-23 16-15-07-08_ball.txt" xr:uid="{61745E2D-991F-422E-B806-BD4A2EE52611}"/>
    <hyperlink ref="A379" r:id="rId537" display="out/パワプロ2020 - 投球解析 - 2020-08-23 16-15-07-09_out.mp4" xr:uid="{87BA5F6D-7022-4738-ACA3-2E336FE970B0}"/>
    <hyperlink ref="B379" r:id="rId538" display="result/パワプロ2020 - 投球解析 - 2020-08-23 16-15-07-09_ball.txt" xr:uid="{B53F1C8F-F46A-4B58-96E1-E8A4A7422249}"/>
    <hyperlink ref="A390" r:id="rId539" display="out/パワプロ2020 - 投球解析 - 2020-08-23 16-25-48-00_out.mp4" xr:uid="{1CD38655-CCCF-465A-A366-E4CDECCA5B76}"/>
    <hyperlink ref="B390" r:id="rId540" display="result/パワプロ2020 - 投球解析 - 2020-08-23 16-25-48-00_ball.txt" xr:uid="{81ABF39D-6921-4743-84AF-FA8F773D4F0D}"/>
    <hyperlink ref="A391" r:id="rId541" display="out/パワプロ2020 - 投球解析 - 2020-08-23 16-25-48-01_out.mp4" xr:uid="{40132094-AB30-40CE-8C87-9349FF47412E}"/>
    <hyperlink ref="B391" r:id="rId542" display="result/パワプロ2020 - 投球解析 - 2020-08-23 16-25-48-01_ball.txt" xr:uid="{614EF7DD-D6D1-4CAF-8F61-E41BD1E945E8}"/>
    <hyperlink ref="A392" r:id="rId543" display="out/パワプロ2020 - 投球解析 - 2020-08-23 16-25-48-02_out.mp4" xr:uid="{A7875396-1EED-437A-B08A-046CB0E46497}"/>
    <hyperlink ref="B392" r:id="rId544" display="result/パワプロ2020 - 投球解析 - 2020-08-23 16-25-48-02_ball.txt" xr:uid="{53BD4370-84A7-4A40-9186-4A0A05C13CB6}"/>
    <hyperlink ref="A393" r:id="rId545" display="out/パワプロ2020 - 投球解析 - 2020-08-23 16-25-48-03_out.mp4" xr:uid="{3F89C542-B104-4218-961D-9E95F075E31B}"/>
    <hyperlink ref="B393" r:id="rId546" display="result/パワプロ2020 - 投球解析 - 2020-08-23 16-25-48-03_ball.txt" xr:uid="{1F8F7A90-47D2-4D36-9FCC-CC5AE8CBAAD4}"/>
    <hyperlink ref="A394" r:id="rId547" display="out/パワプロ2020 - 投球解析 - 2020-08-23 16-25-48-04_out.mp4" xr:uid="{4A22F1CE-B99D-4251-8515-A2D323520C8D}"/>
    <hyperlink ref="B394" r:id="rId548" display="result/パワプロ2020 - 投球解析 - 2020-08-23 16-25-48-04_ball.txt" xr:uid="{0E7BF608-9097-4263-BF39-05DACC996EA5}"/>
    <hyperlink ref="A395" r:id="rId549" display="out/パワプロ2020 - 投球解析 - 2020-08-23 16-25-48-05_out.mp4" xr:uid="{E1CF1841-3B16-4D09-866E-7F53E81B13E5}"/>
    <hyperlink ref="B395" r:id="rId550" display="result/パワプロ2020 - 投球解析 - 2020-08-23 16-25-48-05_ball.txt" xr:uid="{28998F24-AC0B-4CF9-A666-5A8364EC5C32}"/>
    <hyperlink ref="A396" r:id="rId551" display="out/パワプロ2020 - 投球解析 - 2020-08-23 16-25-48-06_out.mp4" xr:uid="{317F0412-5499-4C1E-9AE9-C4F085CD7799}"/>
    <hyperlink ref="B396" r:id="rId552" display="result/パワプロ2020 - 投球解析 - 2020-08-23 16-25-48-06_ball.txt" xr:uid="{E47B1C1E-5E3E-4878-977C-06D1ADC171EF}"/>
    <hyperlink ref="A397" r:id="rId553" display="out/パワプロ2020 - 投球解析 - 2020-08-23 16-25-48-07_out.mp4" xr:uid="{4E29421D-F85D-43D7-B2DA-8C3BB0998264}"/>
    <hyperlink ref="B397" r:id="rId554" display="result/パワプロ2020 - 投球解析 - 2020-08-23 16-25-48-07_ball.txt" xr:uid="{4D4AE65C-F882-4D61-B2D8-F15CDF0B8100}"/>
    <hyperlink ref="A398" r:id="rId555" display="out/パワプロ2020 - 投球解析 - 2020-08-23 16-25-48-08_out.mp4" xr:uid="{47B89EBE-E0F7-4C38-BFDF-8D155FEA2327}"/>
    <hyperlink ref="B398" r:id="rId556" display="result/パワプロ2020 - 投球解析 - 2020-08-23 16-25-48-08_ball.txt" xr:uid="{5C1CF7C2-99E2-4188-9D86-06E25F2319ED}"/>
    <hyperlink ref="A399" r:id="rId557" display="out/パワプロ2020 - 投球解析 - 2020-08-23 16-25-48-09_out.mp4" xr:uid="{F1ECFFD5-CA72-4BBE-808D-F7B4350EE01B}"/>
    <hyperlink ref="B399" r:id="rId558" display="result/パワプロ2020 - 投球解析 - 2020-08-23 16-25-48-09_ball.txt" xr:uid="{9BBA3F77-1AE8-4079-8266-63C1215AC030}"/>
    <hyperlink ref="A400" r:id="rId559" display="out/パワプロ2020 - 投球解析 - 2020-08-23 16-26-58-00_out.mp4" xr:uid="{FB4083C7-9A93-4A4F-B1F6-3DC8C335908E}"/>
    <hyperlink ref="B400" r:id="rId560" display="result/パワプロ2020 - 投球解析 - 2020-08-23 16-26-58-00_ball.txt" xr:uid="{AA30DEAC-B65E-43F5-8FB0-1B666799BE50}"/>
    <hyperlink ref="A401" r:id="rId561" display="out/パワプロ2020 - 投球解析 - 2020-08-23 16-26-58-01_out.mp4" xr:uid="{3D37E03B-3BE3-4C2A-AFA3-9C2F08688928}"/>
    <hyperlink ref="B401" r:id="rId562" display="result/パワプロ2020 - 投球解析 - 2020-08-23 16-26-58-01_ball.txt" xr:uid="{DE6DF764-C10E-4574-AB58-2BFDE2A053DA}"/>
    <hyperlink ref="A402" r:id="rId563" display="out/パワプロ2020 - 投球解析 - 2020-08-23 16-26-58-02_out.mp4" xr:uid="{72BDE6EA-4D81-41F9-B67E-6BB3DD1CA14F}"/>
    <hyperlink ref="B402" r:id="rId564" display="result/パワプロ2020 - 投球解析 - 2020-08-23 16-26-58-02_ball.txt" xr:uid="{A4CBF9A8-6DD6-4B21-A68F-F0D73E18EC4C}"/>
    <hyperlink ref="A403" r:id="rId565" display="out/パワプロ2020 - 投球解析 - 2020-08-23 16-26-58-03_out.mp4" xr:uid="{F57E4E6F-2D3A-47C1-8F18-3EDDBC859740}"/>
    <hyperlink ref="B403" r:id="rId566" display="result/パワプロ2020 - 投球解析 - 2020-08-23 16-26-58-03_ball.txt" xr:uid="{5DD3B4F8-4498-4055-B78B-C044054274A7}"/>
    <hyperlink ref="A404" r:id="rId567" display="out/パワプロ2020 - 投球解析 - 2020-08-23 16-26-58-04_out.mp4" xr:uid="{B31CD272-BB85-4106-B42A-14C40969E435}"/>
    <hyperlink ref="B404" r:id="rId568" display="result/パワプロ2020 - 投球解析 - 2020-08-23 16-26-58-04_ball.txt" xr:uid="{CC21B354-D118-4B6A-9157-1D23BCFE1314}"/>
    <hyperlink ref="A405" r:id="rId569" display="out/パワプロ2020 - 投球解析 - 2020-08-23 16-26-58-05_out.mp4" xr:uid="{604B209D-0CB5-4507-9D9A-213A1320B4E7}"/>
    <hyperlink ref="B405" r:id="rId570" display="result/パワプロ2020 - 投球解析 - 2020-08-23 16-26-58-05_ball.txt" xr:uid="{867A6F9F-B91D-474E-8C1D-83BE641B10B7}"/>
    <hyperlink ref="A406" r:id="rId571" display="out/パワプロ2020 - 投球解析 - 2020-08-23 16-26-58-06_out.mp4" xr:uid="{A7F6310B-922E-4396-BDC4-833331CDE168}"/>
    <hyperlink ref="B406" r:id="rId572" display="result/パワプロ2020 - 投球解析 - 2020-08-23 16-26-58-06_ball.txt" xr:uid="{16418E19-1528-4DE5-8CCA-6469B24B3A89}"/>
    <hyperlink ref="A407" r:id="rId573" display="out/パワプロ2020 - 投球解析 - 2020-08-23 16-26-58-07_out.mp4" xr:uid="{710EF64C-DC04-44B7-A195-EDD9A28B633B}"/>
    <hyperlink ref="B407" r:id="rId574" display="result/パワプロ2020 - 投球解析 - 2020-08-23 16-26-58-07_ball.txt" xr:uid="{78CB4568-BAD6-4BFA-884A-8A80FBADD6A3}"/>
    <hyperlink ref="A408" r:id="rId575" display="out/パワプロ2020 - 投球解析 - 2020-08-23 16-26-58-08_out.mp4" xr:uid="{A68AFA1C-F1C2-43D1-BDF3-FAE49174D5C6}"/>
    <hyperlink ref="B408" r:id="rId576" display="result/パワプロ2020 - 投球解析 - 2020-08-23 16-26-58-08_ball.txt" xr:uid="{7CC0F2A2-24AD-4BFB-9D1F-DB72CBE35A93}"/>
    <hyperlink ref="A409" r:id="rId577" display="out/パワプロ2020 - 投球解析 - 2020-08-23 16-26-58-09_out.mp4" xr:uid="{1EF5ACAF-413B-4948-ADDD-42B492FA7C61}"/>
    <hyperlink ref="B409" r:id="rId578" display="result/パワプロ2020 - 投球解析 - 2020-08-23 16-26-58-09_ball.txt" xr:uid="{1EBE6B66-3885-48D2-AD37-87E56ADF56C1}"/>
    <hyperlink ref="A410" r:id="rId579" display="out/パワプロ2020 - 投球解析 - 2020-08-23 16-28-07-00_out.mp4" xr:uid="{C3881683-93EC-4F0B-9C6C-E98967E9C623}"/>
    <hyperlink ref="B410" r:id="rId580" display="result/パワプロ2020 - 投球解析 - 2020-08-23 16-28-07-00_ball.txt" xr:uid="{855C5E3D-AB88-409F-9655-7F74D2C5EFD2}"/>
    <hyperlink ref="A411" r:id="rId581" display="out/パワプロ2020 - 投球解析 - 2020-08-23 16-28-07-01_out.mp4" xr:uid="{39831842-9A43-4C7A-889D-BA4CB3FC5A17}"/>
    <hyperlink ref="B411" r:id="rId582" display="result/パワプロ2020 - 投球解析 - 2020-08-23 16-28-07-01_ball.txt" xr:uid="{A243B191-68E4-4E05-BC30-21DCE2A35FC0}"/>
    <hyperlink ref="A412" r:id="rId583" display="out/パワプロ2020 - 投球解析 - 2020-08-23 16-28-07-02_out.mp4" xr:uid="{5BAF45FF-623C-4F21-8BE6-1A4FB42CAD5B}"/>
    <hyperlink ref="B412" r:id="rId584" display="result/パワプロ2020 - 投球解析 - 2020-08-23 16-28-07-02_ball.txt" xr:uid="{940042CB-3DFA-488A-8C9D-FEA5F004BE8C}"/>
    <hyperlink ref="A413" r:id="rId585" display="out/パワプロ2020 - 投球解析 - 2020-08-23 16-28-07-03_out.mp4" xr:uid="{F1BDCC6E-AAE7-4F26-8C50-033538C600BF}"/>
    <hyperlink ref="B413" r:id="rId586" display="result/パワプロ2020 - 投球解析 - 2020-08-23 16-28-07-03_ball.txt" xr:uid="{ED21BB30-E5BC-4AED-BD2F-FD8755EB5B23}"/>
    <hyperlink ref="A414" r:id="rId587" display="out/パワプロ2020 - 投球解析 - 2020-08-23 16-28-07-04_out.mp4" xr:uid="{40C4BEEF-F303-4E6F-BC06-85E8C4B3C02F}"/>
    <hyperlink ref="B414" r:id="rId588" display="result/パワプロ2020 - 投球解析 - 2020-08-23 16-28-07-04_ball.txt" xr:uid="{3F132069-0989-4CDA-B56F-3B419744A2F6}"/>
    <hyperlink ref="A415" r:id="rId589" display="out/パワプロ2020 - 投球解析 - 2020-08-23 16-28-07-05_out.mp4" xr:uid="{F7992579-CF2F-49F1-BEFC-B45048033A5C}"/>
    <hyperlink ref="B415" r:id="rId590" display="result/パワプロ2020 - 投球解析 - 2020-08-23 16-28-07-05_ball.txt" xr:uid="{8FB3F41C-C26D-4D3A-8BBD-5634D2B5E0BB}"/>
    <hyperlink ref="A416" r:id="rId591" display="out/パワプロ2020 - 投球解析 - 2020-08-23 16-28-07-06_out.mp4" xr:uid="{A3425D63-3E29-477F-B5FF-20B9548A12C9}"/>
    <hyperlink ref="B416" r:id="rId592" display="result/パワプロ2020 - 投球解析 - 2020-08-23 16-28-07-06_ball.txt" xr:uid="{EC561557-B074-410D-AD52-D00E21967570}"/>
    <hyperlink ref="A417" r:id="rId593" display="out/パワプロ2020 - 投球解析 - 2020-08-23 16-28-07-07_out.mp4" xr:uid="{A4392E4E-0118-48E4-A385-71FFCCD1DA09}"/>
    <hyperlink ref="B417" r:id="rId594" display="result/パワプロ2020 - 投球解析 - 2020-08-23 16-28-07-07_ball.txt" xr:uid="{E8F96DD2-1EB3-4716-A85C-22123CBDE71C}"/>
    <hyperlink ref="A418" r:id="rId595" display="out/パワプロ2020 - 投球解析 - 2020-08-23 16-28-07-08_out.mp4" xr:uid="{CBD8EA20-362F-4D1E-B193-2E5F33686077}"/>
    <hyperlink ref="B418" r:id="rId596" display="result/パワプロ2020 - 投球解析 - 2020-08-23 16-28-07-08_ball.txt" xr:uid="{36FAB23A-C0B3-4FBB-ADC7-5E0774F3A8BE}"/>
    <hyperlink ref="A429" r:id="rId597" display="out/パワプロ2020 - 投球解析 - 2020-08-23 16-29-37-09_out.mp4" xr:uid="{EDCA9699-1675-44B1-B07F-3C2DE17D3F79}"/>
    <hyperlink ref="B429" r:id="rId598" display="result/パワプロ2020 - 投球解析 - 2020-08-23 16-29-37-09_ball.txt" xr:uid="{CAD0B835-4943-4CBE-AFD8-889DF8867058}"/>
    <hyperlink ref="A430" r:id="rId599" display="out/パワプロ2020 - 投球解析 - 2020-08-23 16-30-55-00_out.mp4" xr:uid="{0A258C12-4C27-4425-816F-475311A7FDD0}"/>
    <hyperlink ref="B430" r:id="rId600" display="result/パワプロ2020 - 投球解析 - 2020-08-23 16-30-55-00_ball.txt" xr:uid="{F4A2861E-B442-4A10-B30D-C0E12F9E1977}"/>
    <hyperlink ref="A431" r:id="rId601" display="out/パワプロ2020 - 投球解析 - 2020-08-23 16-30-55-01_out.mp4" xr:uid="{BCAA9AFE-F0A4-42D7-9874-4C2852B035F1}"/>
    <hyperlink ref="B431" r:id="rId602" display="result/パワプロ2020 - 投球解析 - 2020-08-23 16-30-55-01_ball.txt" xr:uid="{D290211B-403D-4E33-82A9-5E91BE879920}"/>
    <hyperlink ref="A432" r:id="rId603" display="out/パワプロ2020 - 投球解析 - 2020-08-23 16-30-55-02_out.mp4" xr:uid="{8151B01F-39C8-4EEA-AC37-FC3D12B5B122}"/>
    <hyperlink ref="B432" r:id="rId604" display="result/パワプロ2020 - 投球解析 - 2020-08-23 16-30-55-02_ball.txt" xr:uid="{F3BF59B4-E72B-4B0D-BEE7-A89D440F8B4E}"/>
    <hyperlink ref="A433" r:id="rId605" display="out/パワプロ2020 - 投球解析 - 2020-08-23 16-30-55-03_out.mp4" xr:uid="{71989EEC-97B0-4485-805C-4996DA77F035}"/>
    <hyperlink ref="B433" r:id="rId606" display="result/パワプロ2020 - 投球解析 - 2020-08-23 16-30-55-03_ball.txt" xr:uid="{86A8268B-942D-4A83-81CC-2F611FC8E4AD}"/>
    <hyperlink ref="A434" r:id="rId607" display="out/パワプロ2020 - 投球解析 - 2020-08-23 16-30-55-04_out.mp4" xr:uid="{EE2F5F3C-427D-4E52-A674-2F05E7206923}"/>
    <hyperlink ref="B434" r:id="rId608" display="result/パワプロ2020 - 投球解析 - 2020-08-23 16-30-55-04_ball.txt" xr:uid="{9202C8DF-582E-491C-B2F9-9BA8C7ED23D9}"/>
    <hyperlink ref="A435" r:id="rId609" display="out/パワプロ2020 - 投球解析 - 2020-08-23 16-30-55-05_out.mp4" xr:uid="{BDE3260F-F1F7-45DE-AE18-AE862DB5AD1B}"/>
    <hyperlink ref="B435" r:id="rId610" display="result/パワプロ2020 - 投球解析 - 2020-08-23 16-30-55-05_ball.txt" xr:uid="{584C14F2-555F-4EF7-B611-32EAC75B69BA}"/>
    <hyperlink ref="A436" r:id="rId611" display="out/パワプロ2020 - 投球解析 - 2020-08-23 16-30-55-06_out.mp4" xr:uid="{C7840B86-4E79-4415-975B-F6D0D4BA3643}"/>
    <hyperlink ref="B436" r:id="rId612" display="result/パワプロ2020 - 投球解析 - 2020-08-23 16-30-55-06_ball.txt" xr:uid="{8A2120BD-AADA-497C-B1FB-A95D180E2C93}"/>
    <hyperlink ref="A437" r:id="rId613" display="out/パワプロ2020 - 投球解析 - 2020-08-23 16-30-55-07_out.mp4" xr:uid="{EA85F53B-0A95-4344-B892-CC4F6229C855}"/>
    <hyperlink ref="B437" r:id="rId614" display="result/パワプロ2020 - 投球解析 - 2020-08-23 16-30-55-07_ball.txt" xr:uid="{67A597B1-77E0-46EC-AA92-C74840F21A60}"/>
    <hyperlink ref="A438" r:id="rId615" display="out/パワプロ2020 - 投球解析 - 2020-08-23 16-30-55-08_out.mp4" xr:uid="{5EF6E299-A407-460E-905C-07B47BFA5D8B}"/>
    <hyperlink ref="B438" r:id="rId616" display="result/パワプロ2020 - 投球解析 - 2020-08-23 16-30-55-08_ball.txt" xr:uid="{8BFE6C8F-8C55-4D70-9B63-84C46C261779}"/>
    <hyperlink ref="A439" r:id="rId617" display="out/パワプロ2020 - 投球解析 - 2020-08-23 16-30-55-09_out.mp4" xr:uid="{1FAA214D-1746-406C-B94F-85F9241C1CC2}"/>
    <hyperlink ref="B439" r:id="rId618" display="result/パワプロ2020 - 投球解析 - 2020-08-23 16-30-55-09_ball.txt" xr:uid="{13057B3B-C0E2-4809-A6ED-E9478CA9EF0D}"/>
    <hyperlink ref="A440" r:id="rId619" display="out/パワプロ2020 - 投球解析 - 2020-08-23 16-32-07-00_out.mp4" xr:uid="{CEFCB36E-7532-45EC-9F8C-51A202578241}"/>
    <hyperlink ref="B440" r:id="rId620" display="result/パワプロ2020 - 投球解析 - 2020-08-23 16-32-07-00_ball.txt" xr:uid="{71654255-4880-4D29-B44B-C4C6B1AF44DC}"/>
    <hyperlink ref="A441" r:id="rId621" display="out/パワプロ2020 - 投球解析 - 2020-08-23 16-32-07-01_out.mp4" xr:uid="{10D810FB-EEB6-4CE7-9372-0413FD38569B}"/>
    <hyperlink ref="B441" r:id="rId622" display="result/パワプロ2020 - 投球解析 - 2020-08-23 16-32-07-01_ball.txt" xr:uid="{D81FCBCC-A9D7-4912-BDBC-AB3BB29B5CEF}"/>
    <hyperlink ref="A442" r:id="rId623" display="out/パワプロ2020 - 投球解析 - 2020-08-23 16-32-07-02_out.mp4" xr:uid="{E6DE5C03-9071-4E3D-8C84-8E6D780EC500}"/>
    <hyperlink ref="B442" r:id="rId624" display="result/パワプロ2020 - 投球解析 - 2020-08-23 16-32-07-02_ball.txt" xr:uid="{BFE2F1DE-2593-4A42-9233-C8C25DABE209}"/>
    <hyperlink ref="A443" r:id="rId625" display="out/パワプロ2020 - 投球解析 - 2020-08-23 16-32-07-03_out.mp4" xr:uid="{A932DF4A-86A5-421C-BDBE-90E179D919C7}"/>
    <hyperlink ref="B443" r:id="rId626" display="result/パワプロ2020 - 投球解析 - 2020-08-23 16-32-07-03_ball.txt" xr:uid="{408C2534-E01B-4285-ACAA-81A9313F178C}"/>
    <hyperlink ref="A444" r:id="rId627" display="out/パワプロ2020 - 投球解析 - 2020-08-23 16-32-07-04_out.mp4" xr:uid="{033EA888-9EFE-40E9-AD50-612B263C8E47}"/>
    <hyperlink ref="B444" r:id="rId628" display="result/パワプロ2020 - 投球解析 - 2020-08-23 16-32-07-04_ball.txt" xr:uid="{3EFB1820-9BCD-4AA2-A1E3-D063152494E7}"/>
    <hyperlink ref="A445" r:id="rId629" display="out/パワプロ2020 - 投球解析 - 2020-08-23 16-32-07-05_out.mp4" xr:uid="{7989962B-CD8C-4D78-B5D9-CBAC6B657844}"/>
    <hyperlink ref="B445" r:id="rId630" display="result/パワプロ2020 - 投球解析 - 2020-08-23 16-32-07-05_ball.txt" xr:uid="{B9A2A751-3788-40AF-9CF3-26AE8D3E7962}"/>
    <hyperlink ref="A446" r:id="rId631" display="out/パワプロ2020 - 投球解析 - 2020-08-23 16-32-07-06_out.mp4" xr:uid="{9A5292FA-1608-4DB6-8FFF-C4321E43F0B6}"/>
    <hyperlink ref="B446" r:id="rId632" display="result/パワプロ2020 - 投球解析 - 2020-08-23 16-32-07-06_ball.txt" xr:uid="{C83CE155-136D-4C3C-83E9-FBC0F23D1952}"/>
    <hyperlink ref="A447" r:id="rId633" display="out/パワプロ2020 - 投球解析 - 2020-08-23 16-32-07-07_out.mp4" xr:uid="{3FBA77CE-257E-4086-930C-E073C03FAFEF}"/>
    <hyperlink ref="B447" r:id="rId634" display="result/パワプロ2020 - 投球解析 - 2020-08-23 16-32-07-07_ball.txt" xr:uid="{C0FCCDA7-25CD-4867-ABA8-F1D535127421}"/>
    <hyperlink ref="A448" r:id="rId635" display="out/パワプロ2020 - 投球解析 - 2020-08-23 16-32-07-08_out.mp4" xr:uid="{B88F4E66-08BC-4FF9-8362-2FAE91DB3E28}"/>
    <hyperlink ref="B448" r:id="rId636" display="result/パワプロ2020 - 投球解析 - 2020-08-23 16-32-07-08_ball.txt" xr:uid="{51DC0B54-B66B-48C0-BAE7-32178918632C}"/>
    <hyperlink ref="A449" r:id="rId637" display="out/パワプロ2020 - 投球解析 - 2020-08-23 16-32-07-09_out.mp4" xr:uid="{58995A1D-B671-4326-BCA7-3D9E2C50B604}"/>
    <hyperlink ref="B449" r:id="rId638" display="result/パワプロ2020 - 投球解析 - 2020-08-23 16-32-07-09_ball.txt" xr:uid="{0D57EF44-76D7-4746-B9E2-23FE293B9F11}"/>
    <hyperlink ref="A450" r:id="rId639" display="out/パワプロ2020 - 投球解析 - 2020-08-23 16-33-27-00_out.mp4" xr:uid="{1A9015A2-53A9-4564-927F-802C9CB30140}"/>
    <hyperlink ref="B450" r:id="rId640" display="result/パワプロ2020 - 投球解析 - 2020-08-23 16-33-27-00_ball.txt" xr:uid="{A1CA6AF6-9BEF-4A84-96E8-3BE1E77BB2FE}"/>
    <hyperlink ref="A451" r:id="rId641" display="out/パワプロ2020 - 投球解析 - 2020-08-23 16-33-27-01_out.mp4" xr:uid="{FE9C70B4-8F5A-43D2-9333-8F6F80FE8556}"/>
    <hyperlink ref="B451" r:id="rId642" display="result/パワプロ2020 - 投球解析 - 2020-08-23 16-33-27-01_ball.txt" xr:uid="{811A9F94-EE40-4FCD-A4C0-18AE66712E7A}"/>
    <hyperlink ref="A452" r:id="rId643" display="out/パワプロ2020 - 投球解析 - 2020-08-23 16-33-27-02_out.mp4" xr:uid="{BC5A7B2C-6407-488D-A6A9-9A3E66FB0BD9}"/>
    <hyperlink ref="B452" r:id="rId644" display="result/パワプロ2020 - 投球解析 - 2020-08-23 16-33-27-02_ball.txt" xr:uid="{6D09AAE2-AA93-4D84-8F18-E26C113D3060}"/>
    <hyperlink ref="A453" r:id="rId645" display="out/パワプロ2020 - 投球解析 - 2020-08-23 16-33-27-03_out.mp4" xr:uid="{B82190AF-3040-407D-A49B-480AFC0D41CA}"/>
    <hyperlink ref="B453" r:id="rId646" display="result/パワプロ2020 - 投球解析 - 2020-08-23 16-33-27-03_ball.txt" xr:uid="{187EE24E-4197-484B-B234-9E146A91A1E4}"/>
    <hyperlink ref="A454" r:id="rId647" display="out/パワプロ2020 - 投球解析 - 2020-08-23 16-33-27-04_out.mp4" xr:uid="{68EE12AD-6A7C-492D-9AD9-C83ED088874B}"/>
    <hyperlink ref="B454" r:id="rId648" display="result/パワプロ2020 - 投球解析 - 2020-08-23 16-33-27-04_ball.txt" xr:uid="{49F28C3E-B6E2-4B8A-B19F-855BF345F9BA}"/>
    <hyperlink ref="A455" r:id="rId649" display="out/パワプロ2020 - 投球解析 - 2020-08-23 16-33-27-05_out.mp4" xr:uid="{B806326C-D671-4787-A80E-43B82DCF4D54}"/>
    <hyperlink ref="B455" r:id="rId650" display="result/パワプロ2020 - 投球解析 - 2020-08-23 16-33-27-05_ball.txt" xr:uid="{C3AE8A7C-EA1D-4E05-A391-DCDAD10B7FA6}"/>
    <hyperlink ref="A456" r:id="rId651" display="out/パワプロ2020 - 投球解析 - 2020-08-23 16-33-27-06_out.mp4" xr:uid="{E4FD41D1-5752-4322-A8C2-7775329DDCA4}"/>
    <hyperlink ref="B456" r:id="rId652" display="result/パワプロ2020 - 投球解析 - 2020-08-23 16-33-27-06_ball.txt" xr:uid="{46F8E2A3-0944-4A51-9163-1BCE0016B024}"/>
    <hyperlink ref="A467" r:id="rId653" display="out/パワプロ2020 - 投球解析 - 2020-08-24 11-22-14-08_out.mp4" xr:uid="{B8B44FDE-6487-4CE9-ABFD-6DA7EA510669}"/>
    <hyperlink ref="B467" r:id="rId654" display="result/パワプロ2020 - 投球解析 - 2020-08-24 11-22-14-08_ball.txt" xr:uid="{15789315-9807-4F70-89C8-3D7C6E30F16A}"/>
    <hyperlink ref="A468" r:id="rId655" display="out/パワプロ2020 - 投球解析 - 2020-08-24 11-22-14-09_out.mp4" xr:uid="{74FC98B0-6639-4B68-8579-3E4E08D8A4BB}"/>
    <hyperlink ref="B468" r:id="rId656" display="result/パワプロ2020 - 投球解析 - 2020-08-24 11-22-14-09_ball.txt" xr:uid="{C6F8E1F4-E2DF-43CE-9BF7-96CBD417E253}"/>
    <hyperlink ref="A469" r:id="rId657" display="out/パワプロ2020 - 投球解析 - 2020-08-24 11-23-23-00_out.mp4" xr:uid="{413746E9-083F-481C-A99F-16AFB289674B}"/>
    <hyperlink ref="B469" r:id="rId658" display="result/パワプロ2020 - 投球解析 - 2020-08-24 11-23-23-00_ball.txt" xr:uid="{FF27EA7F-702F-4B6A-93EF-8E26E0140013}"/>
    <hyperlink ref="A470" r:id="rId659" display="out/パワプロ2020 - 投球解析 - 2020-08-24 11-23-23-01_out.mp4" xr:uid="{8EB6627E-FE91-4898-BD81-F54000412B36}"/>
    <hyperlink ref="B470" r:id="rId660" display="result/パワプロ2020 - 投球解析 - 2020-08-24 11-23-23-01_ball.txt" xr:uid="{815E0CF2-EBBF-4847-9592-B11A953FA6A6}"/>
    <hyperlink ref="A471" r:id="rId661" display="out/パワプロ2020 - 投球解析 - 2020-08-24 11-23-23-02_out.mp4" xr:uid="{B4A14D73-8497-4071-9C8B-457591892A3E}"/>
    <hyperlink ref="B471" r:id="rId662" display="result/パワプロ2020 - 投球解析 - 2020-08-24 11-23-23-02_ball.txt" xr:uid="{445E7D8F-E266-490D-B2DF-EF03FE1BD45E}"/>
    <hyperlink ref="A472" r:id="rId663" display="out/パワプロ2020 - 投球解析 - 2020-08-24 11-23-23-03_out.mp4" xr:uid="{6B691E62-5225-4825-8A60-B6659AB2E655}"/>
    <hyperlink ref="B472" r:id="rId664" display="result/パワプロ2020 - 投球解析 - 2020-08-24 11-23-23-03_ball.txt" xr:uid="{3FA25D03-62C8-404C-B5DC-78F1EF6406C9}"/>
    <hyperlink ref="A473" r:id="rId665" display="out/パワプロ2020 - 投球解析 - 2020-08-24 11-23-23-04_out.mp4" xr:uid="{09FE746D-0B4C-4133-8CB2-4E335345581C}"/>
    <hyperlink ref="B473" r:id="rId666" display="result/パワプロ2020 - 投球解析 - 2020-08-24 11-23-23-04_ball.txt" xr:uid="{78C43857-9DFC-438B-B785-14FC776EC67A}"/>
    <hyperlink ref="A474" r:id="rId667" display="out/パワプロ2020 - 投球解析 - 2020-08-24 11-23-23-05_out.mp4" xr:uid="{F4B42D3B-0DEF-4ED5-98CF-4989B4964E5C}"/>
    <hyperlink ref="B474" r:id="rId668" display="result/パワプロ2020 - 投球解析 - 2020-08-24 11-23-23-05_ball.txt" xr:uid="{BF52126A-F6BD-450F-9B69-E7586A481EC1}"/>
    <hyperlink ref="A475" r:id="rId669" display="out/パワプロ2020 - 投球解析 - 2020-08-24 11-23-23-06_out.mp4" xr:uid="{28DA9B98-D992-4CCC-A898-22BABFB8BF06}"/>
    <hyperlink ref="B475" r:id="rId670" display="result/パワプロ2020 - 投球解析 - 2020-08-24 11-23-23-06_ball.txt" xr:uid="{B0BB40A0-C203-4D4B-9836-62EEF73D3014}"/>
    <hyperlink ref="A476" r:id="rId671" display="out/パワプロ2020 - 投球解析 - 2020-08-24 11-23-23-07_out.mp4" xr:uid="{EE38C3F9-82E4-406D-955E-707C42242AB9}"/>
    <hyperlink ref="B476" r:id="rId672" display="result/パワプロ2020 - 投球解析 - 2020-08-24 11-23-23-07_ball.txt" xr:uid="{D9E62841-6672-4D47-A424-E3E674D79755}"/>
    <hyperlink ref="A477" r:id="rId673" display="out/パワプロ2020 - 投球解析 - 2020-08-24 11-23-23-08_out.mp4" xr:uid="{0B268C75-B491-4D42-B6D0-6D5F10BE0154}"/>
    <hyperlink ref="B477" r:id="rId674" display="result/パワプロ2020 - 投球解析 - 2020-08-24 11-23-23-08_ball.txt" xr:uid="{9DC4C6C2-4ECC-4E3F-96E7-F7B1C7AC222C}"/>
    <hyperlink ref="A478" r:id="rId675" display="out/パワプロ2020 - 投球解析 - 2020-08-24 11-23-23-09_out.mp4" xr:uid="{0253234F-7AC4-4FE6-9AB5-F9413112FD6A}"/>
    <hyperlink ref="B478" r:id="rId676" display="result/パワプロ2020 - 投球解析 - 2020-08-24 11-23-23-09_ball.txt" xr:uid="{738B480D-40F3-439D-8913-4E57FE176B73}"/>
    <hyperlink ref="A479" r:id="rId677" display="out/パワプロ2020 - 投球解析 - 2020-08-24 11-24-36-00_out.mp4" xr:uid="{3CC63727-B1B6-4DF9-996A-756698BBEDC9}"/>
    <hyperlink ref="B479" r:id="rId678" display="result/パワプロ2020 - 投球解析 - 2020-08-24 11-24-36-00_ball.txt" xr:uid="{8DBEDD67-C7DD-4FAC-B83D-291D9195515D}"/>
    <hyperlink ref="A480" r:id="rId679" display="out/パワプロ2020 - 投球解析 - 2020-08-24 11-24-36-01_out.mp4" xr:uid="{DC5CAEEF-946C-4344-9170-042A7DE54379}"/>
    <hyperlink ref="B480" r:id="rId680" display="result/パワプロ2020 - 投球解析 - 2020-08-24 11-24-36-01_ball.txt" xr:uid="{9B1A2AFD-DD8D-4638-A9AE-6F3BB3ED1261}"/>
    <hyperlink ref="A481" r:id="rId681" display="out/パワプロ2020 - 投球解析 - 2020-08-24 11-24-36-02_out.mp4" xr:uid="{5358164F-4355-4ED7-BFD2-8F3473C988A3}"/>
    <hyperlink ref="B481" r:id="rId682" display="result/パワプロ2020 - 投球解析 - 2020-08-24 11-24-36-02_ball.txt" xr:uid="{2E7D4393-7F2C-4180-A74D-7C9F9F0F5877}"/>
    <hyperlink ref="A482" r:id="rId683" display="out/パワプロ2020 - 投球解析 - 2020-08-24 11-24-36-03_out.mp4" xr:uid="{980F6FB8-314E-4E6F-BB86-457683052E2F}"/>
    <hyperlink ref="B482" r:id="rId684" display="result/パワプロ2020 - 投球解析 - 2020-08-24 11-24-36-03_ball.txt" xr:uid="{FEA91ECD-035E-4194-9D78-73DD525B37CD}"/>
    <hyperlink ref="A483" r:id="rId685" display="out/パワプロ2020 - 投球解析 - 2020-08-24 11-24-36-04_out.mp4" xr:uid="{E52A88F5-9304-4CE8-9906-F06FEAF6F902}"/>
    <hyperlink ref="B483" r:id="rId686" display="result/パワプロ2020 - 投球解析 - 2020-08-24 11-24-36-04_ball.txt" xr:uid="{22D36DE1-D740-4F48-9AFD-274A5A5EC02D}"/>
    <hyperlink ref="A484" r:id="rId687" display="out/パワプロ2020 - 投球解析 - 2020-08-24 11-24-36-05_out.mp4" xr:uid="{CAD46DA5-4E53-4C22-BA94-EEFC00828EE6}"/>
    <hyperlink ref="B484" r:id="rId688" display="result/パワプロ2020 - 投球解析 - 2020-08-24 11-24-36-05_ball.txt" xr:uid="{2BFA7EF9-6A1D-4286-98DE-58B88869E0FE}"/>
    <hyperlink ref="A485" r:id="rId689" display="out/パワプロ2020 - 投球解析 - 2020-08-24 11-24-36-06_out.mp4" xr:uid="{AA6EF84B-38F5-4717-86B7-8D27BBF89467}"/>
    <hyperlink ref="B485" r:id="rId690" display="result/パワプロ2020 - 投球解析 - 2020-08-24 11-24-36-06_ball.txt" xr:uid="{0819D1CC-D8BA-4DCE-AD9C-529600D56721}"/>
    <hyperlink ref="A486" r:id="rId691" display="out/パワプロ2020 - 投球解析 - 2020-08-24 11-24-36-07_out.mp4" xr:uid="{81AA2D8D-EAAF-4BA7-BC6B-1A3EEAD8C48E}"/>
    <hyperlink ref="B486" r:id="rId692" display="result/パワプロ2020 - 投球解析 - 2020-08-24 11-24-36-07_ball.txt" xr:uid="{C0FC4B5F-47BB-4366-BF2C-7D4F3367D139}"/>
    <hyperlink ref="A487" r:id="rId693" display="out/パワプロ2020 - 投球解析 - 2020-08-24 11-24-36-08_out.mp4" xr:uid="{9EA953B0-6784-4DB0-B315-C7C3921AF432}"/>
    <hyperlink ref="B487" r:id="rId694" display="result/パワプロ2020 - 投球解析 - 2020-08-24 11-24-36-08_ball.txt" xr:uid="{C067E228-A0FA-4AE7-9F76-0127FFFFDCBF}"/>
    <hyperlink ref="A488" r:id="rId695" display="out/パワプロ2020 - 投球解析 - 2020-08-24 11-24-36-09_out.mp4" xr:uid="{2318A002-365E-4FEC-8D68-A55FFA31EBAE}"/>
    <hyperlink ref="B488" r:id="rId696" display="result/パワプロ2020 - 投球解析 - 2020-08-24 11-24-36-09_ball.txt" xr:uid="{BF222400-D6D9-4291-8E42-122911EF5D54}"/>
    <hyperlink ref="A489" r:id="rId697" display="out/パワプロ2020 - 投球解析 - 2020-08-24 11-25-48-00_out.mp4" xr:uid="{69923D9B-2DE8-414E-8C00-79769305BFE2}"/>
    <hyperlink ref="B489" r:id="rId698" display="result/パワプロ2020 - 投球解析 - 2020-08-24 11-25-48-00_ball.txt" xr:uid="{E514D54B-5A76-4BF4-BF15-C13ABF61DD04}"/>
    <hyperlink ref="A490" r:id="rId699" display="out/パワプロ2020 - 投球解析 - 2020-08-24 11-25-48-01_out.mp4" xr:uid="{C0F92C64-63F7-418C-B038-4408FD745C0B}"/>
    <hyperlink ref="B490" r:id="rId700" display="result/パワプロ2020 - 投球解析 - 2020-08-24 11-25-48-01_ball.txt" xr:uid="{149B48BF-479F-4203-BF6E-49BAA105EA7D}"/>
    <hyperlink ref="A491" r:id="rId701" display="out/パワプロ2020 - 投球解析 - 2020-08-24 11-25-48-02_out.mp4" xr:uid="{A6CB349F-C6FC-46DD-8DC8-3ED5636F92A9}"/>
    <hyperlink ref="B491" r:id="rId702" display="result/パワプロ2020 - 投球解析 - 2020-08-24 11-25-48-02_ball.txt" xr:uid="{31FE5FCC-F92A-4112-ACFC-4BCFD7D27F94}"/>
    <hyperlink ref="A492" r:id="rId703" display="out/パワプロ2020 - 投球解析 - 2020-08-24 11-25-48-03_out.mp4" xr:uid="{9D571AD1-5114-4EC2-BC3C-A0B56C43C4C6}"/>
    <hyperlink ref="B492" r:id="rId704" display="result/パワプロ2020 - 投球解析 - 2020-08-24 11-25-48-03_ball.txt" xr:uid="{03CD8926-A531-40F9-9234-4FCD8CD66494}"/>
    <hyperlink ref="A493" r:id="rId705" display="out/パワプロ2020 - 投球解析 - 2020-08-24 11-25-48-04_out.mp4" xr:uid="{E5DE510D-F15C-4A73-98C2-01A0AA49DC89}"/>
    <hyperlink ref="B493" r:id="rId706" display="result/パワプロ2020 - 投球解析 - 2020-08-24 11-25-48-04_ball.txt" xr:uid="{F3ABAA1C-DE14-4C4F-AAB0-228C44154600}"/>
    <hyperlink ref="A494" r:id="rId707" display="out/パワプロ2020 - 投球解析 - 2020-08-24 11-25-48-05_out.mp4" xr:uid="{A84C1BB3-28F6-44EC-AA91-608BDA550B4B}"/>
    <hyperlink ref="B494" r:id="rId708" display="result/パワプロ2020 - 投球解析 - 2020-08-24 11-25-48-05_ball.txt" xr:uid="{3E3F8D8E-AC66-4272-AA2F-D8242F2B41DB}"/>
    <hyperlink ref="A495" r:id="rId709" display="out/パワプロ2020 - 投球解析 - 2020-08-24 11-25-48-06_out.mp4" xr:uid="{E2757FA8-B806-499B-B126-AAD45F6CA4DF}"/>
    <hyperlink ref="B495" r:id="rId710" display="result/パワプロ2020 - 投球解析 - 2020-08-24 11-25-48-06_ball.txt" xr:uid="{00B6F85D-91FA-4C15-A5D2-B28098CFD2F0}"/>
    <hyperlink ref="A496" r:id="rId711" display="out/パワプロ2020 - 投球解析 - 2020-08-24 11-25-48-07_out.mp4" xr:uid="{A7C2B5D4-BDBA-48CF-B2A2-FEFB2304BE4B}"/>
    <hyperlink ref="B496" r:id="rId712" display="result/パワプロ2020 - 投球解析 - 2020-08-24 11-25-48-07_ball.txt" xr:uid="{4B757868-F5EA-4924-9981-BC901C77FB58}"/>
    <hyperlink ref="A505" r:id="rId713" display="out/パワプロ2020 - 投球解析 - 2020-08-24 12-00-01-06_out.mp4" xr:uid="{E99A1BB0-241E-4663-8ED8-C69623496A36}"/>
    <hyperlink ref="B505" r:id="rId714" display="result/パワプロ2020 - 投球解析 - 2020-08-24 12-00-01-06_ball.txt" xr:uid="{7B573F2F-495E-4A29-9110-F333BFA282AD}"/>
    <hyperlink ref="A506" r:id="rId715" display="out/パワプロ2020 - 投球解析 - 2020-08-24 12-00-01-07_out.mp4" xr:uid="{F346D72E-090B-4C4F-97FA-428C0B70DEC3}"/>
    <hyperlink ref="B506" r:id="rId716" display="result/パワプロ2020 - 投球解析 - 2020-08-24 12-00-01-07_ball.txt" xr:uid="{6114BB13-E555-4918-AAF0-242E8CECCB60}"/>
    <hyperlink ref="A507" r:id="rId717" display="out/パワプロ2020 - 投球解析 - 2020-08-24 12-01-04-00_out.mp4" xr:uid="{EFFCAB3C-BE21-49E5-8790-D84548A6FA77}"/>
    <hyperlink ref="B507" r:id="rId718" display="result/パワプロ2020 - 投球解析 - 2020-08-24 12-01-04-00_ball.txt" xr:uid="{F4526BF2-24A7-4F8C-A247-0466BB15BCD4}"/>
    <hyperlink ref="A508" r:id="rId719" display="out/パワプロ2020 - 投球解析 - 2020-08-24 12-01-04-01_out.mp4" xr:uid="{8E5D03AF-50E1-45FA-9CAD-3D158A210F34}"/>
    <hyperlink ref="B508" r:id="rId720" display="result/パワプロ2020 - 投球解析 - 2020-08-24 12-01-04-01_ball.txt" xr:uid="{EE147499-CEB7-4C6D-ADAB-E179CA71AB63}"/>
    <hyperlink ref="A509" r:id="rId721" display="out/パワプロ2020 - 投球解析 - 2020-08-24 12-01-04-02_out.mp4" xr:uid="{A4C491C7-6977-4BAA-A13D-261B7DB66F8C}"/>
    <hyperlink ref="B509" r:id="rId722" display="result/パワプロ2020 - 投球解析 - 2020-08-24 12-01-04-02_ball.txt" xr:uid="{75272963-5326-498F-AD55-CCFACBA946C2}"/>
    <hyperlink ref="A510" r:id="rId723" display="out/パワプロ2020 - 投球解析 - 2020-08-24 12-01-04-03_out.mp4" xr:uid="{62E05CE7-F0E8-4EA7-B0E2-3F03ED697459}"/>
    <hyperlink ref="B510" r:id="rId724" display="result/パワプロ2020 - 投球解析 - 2020-08-24 12-01-04-03_ball.txt" xr:uid="{53305D72-96B9-41C2-910E-10B8F252FE08}"/>
    <hyperlink ref="A511" r:id="rId725" display="out/パワプロ2020 - 投球解析 - 2020-08-24 12-01-04-04_out.mp4" xr:uid="{3915F03F-2FAE-4E75-B2D6-2775FBC11A01}"/>
    <hyperlink ref="B511" r:id="rId726" display="result/パワプロ2020 - 投球解析 - 2020-08-24 12-01-04-04_ball.txt" xr:uid="{B06BC0DB-1FE8-4FFE-B177-32C8E6299BAC}"/>
    <hyperlink ref="A512" r:id="rId727" display="out/パワプロ2020 - 投球解析 - 2020-08-24 12-01-04-05_out.mp4" xr:uid="{D5A41E44-E920-4FD6-AE97-0C95B564C6F2}"/>
    <hyperlink ref="B512" r:id="rId728" display="result/パワプロ2020 - 投球解析 - 2020-08-24 12-01-04-05_ball.txt" xr:uid="{35C06495-DBD0-443B-A750-BA98FE35A885}"/>
    <hyperlink ref="A513" r:id="rId729" display="out/パワプロ2020 - 投球解析 - 2020-08-24 12-01-04-06_out.mp4" xr:uid="{D796E8CF-BF2F-4304-912D-B3201058060D}"/>
    <hyperlink ref="B513" r:id="rId730" display="result/パワプロ2020 - 投球解析 - 2020-08-24 12-01-04-06_ball.txt" xr:uid="{738C428F-276F-46E6-9DD2-6C2732624FD8}"/>
    <hyperlink ref="A514" r:id="rId731" display="out/パワプロ2020 - 投球解析 - 2020-08-24 12-01-04-07_out.mp4" xr:uid="{E99099E9-7F72-4A4D-BF38-1413B20D8B44}"/>
    <hyperlink ref="B514" r:id="rId732" display="result/パワプロ2020 - 投球解析 - 2020-08-24 12-01-04-07_ball.txt" xr:uid="{182D17C9-633F-479D-BE2D-B333BC7838A0}"/>
    <hyperlink ref="A515" r:id="rId733" display="out/パワプロ2020 - 投球解析 - 2020-08-24 12-01-04-08_out.mp4" xr:uid="{8440FBB7-1FF9-4D1B-88EF-D882F9272BBA}"/>
    <hyperlink ref="B515" r:id="rId734" display="result/パワプロ2020 - 投球解析 - 2020-08-24 12-01-04-08_ball.txt" xr:uid="{97DB6B7A-2902-4042-9E24-5F00F3F69909}"/>
    <hyperlink ref="A516" r:id="rId735" display="out/パワプロ2020 - 投球解析 - 2020-08-24 12-02-12-00_out.mp4" xr:uid="{2F94A4DD-3BC0-4770-AC2B-E37DD087BEC5}"/>
    <hyperlink ref="B516" r:id="rId736" display="result/パワプロ2020 - 投球解析 - 2020-08-24 12-02-12-00_ball.txt" xr:uid="{05CF2D43-C866-4BEC-BAF9-D2DF8032B731}"/>
    <hyperlink ref="A517" r:id="rId737" display="out/パワプロ2020 - 投球解析 - 2020-08-24 12-02-12-01_out.mp4" xr:uid="{8EEC17C6-6736-46A0-8DA4-1860274EF035}"/>
    <hyperlink ref="B517" r:id="rId738" display="result/パワプロ2020 - 投球解析 - 2020-08-24 12-02-12-01_ball.txt" xr:uid="{3D63F8B1-C798-4B02-BAFA-1FF95FCABECE}"/>
    <hyperlink ref="A518" r:id="rId739" display="out/パワプロ2020 - 投球解析 - 2020-08-24 12-02-12-02_out.mp4" xr:uid="{264E4BA3-3E68-4359-B95A-94CB7D2FB445}"/>
    <hyperlink ref="B518" r:id="rId740" display="result/パワプロ2020 - 投球解析 - 2020-08-24 12-02-12-02_ball.txt" xr:uid="{5DA7CA4F-FD27-4D6F-B502-1A2CA8D13E63}"/>
    <hyperlink ref="A519" r:id="rId741" display="out/パワプロ2020 - 投球解析 - 2020-08-24 12-02-12-03_out.mp4" xr:uid="{2503CC7A-3D3A-4315-A807-C09C054337D2}"/>
    <hyperlink ref="B519" r:id="rId742" display="result/パワプロ2020 - 投球解析 - 2020-08-24 12-02-12-03_ball.txt" xr:uid="{D3237607-8BE1-44FB-A424-B923F6BD5F9C}"/>
    <hyperlink ref="A520" r:id="rId743" display="out/パワプロ2020 - 投球解析 - 2020-08-24 12-02-12-04_out.mp4" xr:uid="{2F9862B3-F6EB-40D8-A31D-7BA201E41450}"/>
    <hyperlink ref="B520" r:id="rId744" display="result/パワプロ2020 - 投球解析 - 2020-08-24 12-02-12-04_ball.txt" xr:uid="{C414F0A6-35C3-4DB8-B60E-41698926C8E2}"/>
    <hyperlink ref="A521" r:id="rId745" display="out/パワプロ2020 - 投球解析 - 2020-08-24 12-02-12-05_out.mp4" xr:uid="{D8A8E2FB-921A-4BFD-AD37-2B5A8E3DF3B7}"/>
    <hyperlink ref="B521" r:id="rId746" display="result/パワプロ2020 - 投球解析 - 2020-08-24 12-02-12-05_ball.txt" xr:uid="{C7359807-F5F7-4D86-AA53-46828D2C2C80}"/>
    <hyperlink ref="A522" r:id="rId747" display="out/パワプロ2020 - 投球解析 - 2020-08-24 12-02-12-06_out.mp4" xr:uid="{4570D4CC-4A9B-481D-A219-8759CF2087A0}"/>
    <hyperlink ref="B522" r:id="rId748" display="result/パワプロ2020 - 投球解析 - 2020-08-24 12-02-12-06_ball.txt" xr:uid="{458C0C76-85E4-414C-AE13-98F489B21E2A}"/>
    <hyperlink ref="A523" r:id="rId749" display="out/パワプロ2020 - 投球解析 - 2020-08-24 12-02-12-07_out.mp4" xr:uid="{38AEAA8D-5961-4D03-BF47-EE4793A55D2D}"/>
    <hyperlink ref="B523" r:id="rId750" display="result/パワプロ2020 - 投球解析 - 2020-08-24 12-02-12-07_ball.txt" xr:uid="{FA3256CD-036E-473D-9D63-FE72418639AD}"/>
    <hyperlink ref="A524" r:id="rId751" display="out/パワプロ2020 - 投球解析 - 2020-08-24 12-02-12-08_out.mp4" xr:uid="{8571B6F2-113E-4C6B-952A-481203D97241}"/>
    <hyperlink ref="B524" r:id="rId752" display="result/パワプロ2020 - 投球解析 - 2020-08-24 12-02-12-08_ball.txt" xr:uid="{79D60111-F1DE-490C-909E-A7A1857B00C0}"/>
    <hyperlink ref="A525" r:id="rId753" display="out/パワプロ2020 - 投球解析 - 2020-08-24 12-02-12-09_out.mp4" xr:uid="{D971A379-8A72-4398-9226-3C45D9C877B1}"/>
    <hyperlink ref="B525" r:id="rId754" display="result/パワプロ2020 - 投球解析 - 2020-08-24 12-02-12-09_ball.txt" xr:uid="{C76B6F8C-611A-4426-AAE8-F148F42F2158}"/>
    <hyperlink ref="A526" r:id="rId755" display="out/パワプロ2020 - 投球解析 - 2020-08-24 12-03-33-00_out.mp4" xr:uid="{EE7492EF-12D3-43D9-A409-4D5DFA0DD099}"/>
    <hyperlink ref="B526" r:id="rId756" display="result/パワプロ2020 - 投球解析 - 2020-08-24 12-03-33-00_ball.txt" xr:uid="{C4DCEEBF-B422-4663-8474-0B2EE0EF1B43}"/>
    <hyperlink ref="A527" r:id="rId757" display="out/パワプロ2020 - 投球解析 - 2020-08-24 12-03-33-01_out.mp4" xr:uid="{9EC8937A-CD45-4104-A477-73044252C9CB}"/>
    <hyperlink ref="B527" r:id="rId758" display="result/パワプロ2020 - 投球解析 - 2020-08-24 12-03-33-01_ball.txt" xr:uid="{412F60E2-0E26-413D-92EA-B3AD8B14B5BC}"/>
    <hyperlink ref="A528" r:id="rId759" display="out/パワプロ2020 - 投球解析 - 2020-08-24 12-03-33-02_out.mp4" xr:uid="{25EC1AF6-30FD-4E4E-A3B5-8A9C434FC170}"/>
    <hyperlink ref="B528" r:id="rId760" display="result/パワプロ2020 - 投球解析 - 2020-08-24 12-03-33-02_ball.txt" xr:uid="{18227EF4-47AC-471D-9B11-7485FC447AAD}"/>
    <hyperlink ref="A529" r:id="rId761" display="out/パワプロ2020 - 投球解析 - 2020-08-24 12-03-33-03_out.mp4" xr:uid="{2D8EE5CA-9765-4347-B057-143A754B3069}"/>
    <hyperlink ref="B529" r:id="rId762" display="result/パワプロ2020 - 投球解析 - 2020-08-24 12-03-33-03_ball.txt" xr:uid="{DD3B9FEF-F3B0-4F35-BE4E-875AEA1F5F53}"/>
    <hyperlink ref="A530" r:id="rId763" display="out/パワプロ2020 - 投球解析 - 2020-08-24 12-03-33-04_out.mp4" xr:uid="{8AA7026D-7EC4-4CAB-919A-188DD5252ECA}"/>
    <hyperlink ref="B530" r:id="rId764" display="result/パワプロ2020 - 投球解析 - 2020-08-24 12-03-33-04_ball.txt" xr:uid="{7FA36CBB-7738-4134-95CC-E7EEB627241E}"/>
    <hyperlink ref="A531" r:id="rId765" display="out/パワプロ2020 - 投球解析 - 2020-08-24 12-03-33-05_out.mp4" xr:uid="{17D16A99-0619-445B-A8FE-1CCD40AC8624}"/>
    <hyperlink ref="B531" r:id="rId766" display="result/パワプロ2020 - 投球解析 - 2020-08-24 12-03-33-05_ball.txt" xr:uid="{0BE2F0FA-ACD7-41DF-8750-C8612BC4080D}"/>
    <hyperlink ref="A532" r:id="rId767" display="out/パワプロ2020 - 投球解析 - 2020-08-24 12-03-33-06_out.mp4" xr:uid="{6D841655-0E20-4259-957E-6A55E564B039}"/>
    <hyperlink ref="B532" r:id="rId768" display="result/パワプロ2020 - 投球解析 - 2020-08-24 12-03-33-06_ball.txt" xr:uid="{7AAC6F84-1CCB-4728-B313-0C71E0E0802E}"/>
    <hyperlink ref="A533" r:id="rId769" display="out/パワプロ2020 - 投球解析 - 2020-08-24 12-03-33-07_out.mp4" xr:uid="{C1150179-202D-49B9-AE27-BEC5817463B1}"/>
    <hyperlink ref="B533" r:id="rId770" display="result/パワプロ2020 - 投球解析 - 2020-08-24 12-03-33-07_ball.txt" xr:uid="{7416EB81-F281-4786-8FDE-544390EB22DE}"/>
    <hyperlink ref="A534" r:id="rId771" display="out/パワプロ2020 - 投球解析 - 2020-08-24 12-03-33-08_out.mp4" xr:uid="{3302E0A2-A818-4554-9733-2FEB702B8C8D}"/>
    <hyperlink ref="B534" r:id="rId772" display="result/パワプロ2020 - 投球解析 - 2020-08-24 12-03-33-08_ball.txt" xr:uid="{AC40E8F8-7487-40FB-AF19-580B44F85614}"/>
    <hyperlink ref="A535" r:id="rId773" display="out/パワプロ2020 - 投球解析 - 2020-08-24 12-03-33-09_out.mp4" xr:uid="{E7FC9C08-21CF-4AE7-9184-AE15F0E2A494}"/>
    <hyperlink ref="B535" r:id="rId774" display="result/パワプロ2020 - 投球解析 - 2020-08-24 12-03-33-09_ball.txt" xr:uid="{EE283A92-D854-4C92-9DE9-128ED938102B}"/>
    <hyperlink ref="A536" r:id="rId775" display="out/パワプロ2020 - 投球解析 - 2020-08-24 12-04-51-00_out.mp4" xr:uid="{11FC779A-D9DA-4B65-8D97-A1EA8AE46A9D}"/>
    <hyperlink ref="B536" r:id="rId776" display="result/パワプロ2020 - 投球解析 - 2020-08-24 12-04-51-00_ball.txt" xr:uid="{5FE3C7C6-717A-4DE7-BD58-D8E06BEE8B17}"/>
    <hyperlink ref="A537" r:id="rId777" display="out/パワプロ2020 - 投球解析 - 2020-08-24 12-04-51-01_out.mp4" xr:uid="{66FD4B2B-523D-4609-BD6F-ABF0BFE0895C}"/>
    <hyperlink ref="B537" r:id="rId778" display="result/パワプロ2020 - 投球解析 - 2020-08-24 12-04-51-01_ball.txt" xr:uid="{A7CD5774-11B0-4C13-8A0F-51029D201281}"/>
    <hyperlink ref="A538" r:id="rId779" display="out/パワプロ2020 - 投球解析 - 2020-08-24 12-04-51-02_out.mp4" xr:uid="{B810D9FF-F53F-4112-8E68-56239DDAADF2}"/>
    <hyperlink ref="B538" r:id="rId780" display="result/パワプロ2020 - 投球解析 - 2020-08-24 12-04-51-02_ball.txt" xr:uid="{449BE3AE-64C4-46E2-8EFD-C5EEEDDD129E}"/>
    <hyperlink ref="A539" r:id="rId781" display="out/パワプロ2020 - 投球解析 - 2020-08-24 12-04-51-03_out.mp4" xr:uid="{5E0BC673-3AFA-4E80-9281-FB8726DFEA7E}"/>
    <hyperlink ref="B539" r:id="rId782" display="result/パワプロ2020 - 投球解析 - 2020-08-24 12-04-51-03_ball.txt" xr:uid="{93A2A01A-D6A6-4410-A428-38050A7DF701}"/>
    <hyperlink ref="A540" r:id="rId783" display="out/パワプロ2020 - 投球解析 - 2020-08-24 12-04-51-04_out.mp4" xr:uid="{29C2898E-77FD-41A0-9655-DEC9B7137A92}"/>
    <hyperlink ref="B540" r:id="rId784" display="result/パワプロ2020 - 投球解析 - 2020-08-24 12-04-51-04_ball.txt" xr:uid="{17E8057F-0924-496A-991C-8CD8328E1A56}"/>
    <hyperlink ref="A541" r:id="rId785" display="out/パワプロ2020 - 投球解析 - 2020-08-24 12-04-51-05_out.mp4" xr:uid="{83E50D74-9F21-45AC-9397-23825FB8BC65}"/>
    <hyperlink ref="B541" r:id="rId786" display="result/パワプロ2020 - 投球解析 - 2020-08-24 12-04-51-05_ball.txt" xr:uid="{832492BF-871D-41BF-9FA1-FBF9FA5780C0}"/>
    <hyperlink ref="A542" r:id="rId787" display="out/パワプロ2020 - 投球解析 - 2020-08-24 12-04-51-06_out.mp4" xr:uid="{C1CE4698-2483-4F39-A5DA-5B4ED22135A1}"/>
    <hyperlink ref="B542" r:id="rId788" display="result/パワプロ2020 - 投球解析 - 2020-08-24 12-04-51-06_ball.txt" xr:uid="{3A1DB31E-3F77-4EA4-AD4A-FD6A44896F80}"/>
    <hyperlink ref="A553" r:id="rId789" display="out/パワプロ2020 - 投球解析 - 2020-08-24 12-06-16-07_out.mp4" xr:uid="{D0FB02B9-15DA-4D08-A8FF-CF6DD35E722E}"/>
    <hyperlink ref="B553" r:id="rId790" display="result/パワプロ2020 - 投球解析 - 2020-08-24 12-06-16-07_ball.txt" xr:uid="{BD0C0484-D0F9-4421-82BC-7D72FC459FBB}"/>
    <hyperlink ref="A554" r:id="rId791" display="out/パワプロ2020 - 投球解析 - 2020-08-24 12-06-16-08_out.mp4" xr:uid="{0DB02B96-7EE8-4694-BD1D-4C8595736D2B}"/>
    <hyperlink ref="B554" r:id="rId792" display="result/パワプロ2020 - 投球解析 - 2020-08-24 12-06-16-08_ball.txt" xr:uid="{8963955C-D852-4320-A0BD-D7CA27B3D60C}"/>
    <hyperlink ref="A555" r:id="rId793" display="out/パワプロ2020 - 投球解析 - 2020-08-24 12-06-16-09_out.mp4" xr:uid="{31FC7601-1067-41E2-8A7F-0CC129911D3F}"/>
    <hyperlink ref="B555" r:id="rId794" display="result/パワプロ2020 - 投球解析 - 2020-08-24 12-06-16-09_ball.txt" xr:uid="{D9EA67D2-0403-420A-A910-DF059027B924}"/>
    <hyperlink ref="A556" r:id="rId795" display="out/パワプロ2020 - 投球解析 - 2020-08-24 12-07-26-00_out.mp4" xr:uid="{8B2F6AA6-98EB-41E1-821F-ECC761C71C0E}"/>
    <hyperlink ref="B556" r:id="rId796" display="result/パワプロ2020 - 投球解析 - 2020-08-24 12-07-26-00_ball.txt" xr:uid="{16238F2F-018B-4313-99DB-BE8CC3A54B4D}"/>
    <hyperlink ref="A557" r:id="rId797" display="out/パワプロ2020 - 投球解析 - 2020-08-24 12-07-26-01_out.mp4" xr:uid="{7C02A247-7FE1-4C03-B8F8-34C605622B6A}"/>
    <hyperlink ref="B557" r:id="rId798" display="result/パワプロ2020 - 投球解析 - 2020-08-24 12-07-26-01_ball.txt" xr:uid="{81417CDD-52E3-4D18-8961-5179DA1E4A88}"/>
    <hyperlink ref="A558" r:id="rId799" display="out/パワプロ2020 - 投球解析 - 2020-08-24 12-07-26-02_out.mp4" xr:uid="{5B89A92B-67CD-4C7A-8BC6-C1AEBDFDAE50}"/>
    <hyperlink ref="B558" r:id="rId800" display="result/パワプロ2020 - 投球解析 - 2020-08-24 12-07-26-02_ball.txt" xr:uid="{64E52ACC-1A24-43EA-80BB-DA610A274E0A}"/>
    <hyperlink ref="A559" r:id="rId801" display="out/パワプロ2020 - 投球解析 - 2020-08-24 12-07-26-03_out.mp4" xr:uid="{4D206A7B-49B3-4257-AD24-ED84F5F3C136}"/>
    <hyperlink ref="B559" r:id="rId802" display="result/パワプロ2020 - 投球解析 - 2020-08-24 12-07-26-03_ball.txt" xr:uid="{1E710AE4-4611-4826-AC68-47D3E6EFCA99}"/>
    <hyperlink ref="A560" r:id="rId803" display="out/パワプロ2020 - 投球解析 - 2020-08-24 12-07-26-04_out.mp4" xr:uid="{C0FE5126-DAFB-4A8E-B908-E4BBB070567B}"/>
    <hyperlink ref="B560" r:id="rId804" display="result/パワプロ2020 - 投球解析 - 2020-08-24 12-07-26-04_ball.txt" xr:uid="{793FEC11-4A5D-40AC-92F8-4639F1AC7B80}"/>
    <hyperlink ref="A561" r:id="rId805" display="out/パワプロ2020 - 投球解析 - 2020-08-24 12-07-26-05_out.mp4" xr:uid="{489CCF34-D0F0-4ED5-BF06-FAA7AA722910}"/>
    <hyperlink ref="B561" r:id="rId806" display="result/パワプロ2020 - 投球解析 - 2020-08-24 12-07-26-05_ball.txt" xr:uid="{B4209E69-1B73-4928-AB33-D53FD4480E6C}"/>
    <hyperlink ref="A562" r:id="rId807" display="out/パワプロ2020 - 投球解析 - 2020-08-24 12-07-26-06_out.mp4" xr:uid="{17ACB12A-E08C-41FE-9C7E-B8A6750A12E8}"/>
    <hyperlink ref="B562" r:id="rId808" display="result/パワプロ2020 - 投球解析 - 2020-08-24 12-07-26-06_ball.txt" xr:uid="{3DD4C19C-799E-45A7-B78A-C0F15617AB33}"/>
    <hyperlink ref="A563" r:id="rId809" display="out/パワプロ2020 - 投球解析 - 2020-08-24 12-07-26-07_out.mp4" xr:uid="{1691D0C9-CC34-43D0-8864-447DE44D703E}"/>
    <hyperlink ref="B563" r:id="rId810" display="result/パワプロ2020 - 投球解析 - 2020-08-24 12-07-26-07_ball.txt" xr:uid="{BF7D8493-6035-4E59-9D9F-3D1E0DAEF363}"/>
    <hyperlink ref="A564" r:id="rId811" display="out/パワプロ2020 - 投球解析 - 2020-08-24 12-07-26-08_out.mp4" xr:uid="{83DFC07D-AB2F-4EAC-80AA-1C39FF0A674C}"/>
    <hyperlink ref="B564" r:id="rId812" display="result/パワプロ2020 - 投球解析 - 2020-08-24 12-07-26-08_ball.txt" xr:uid="{04FED56A-9423-4CED-8172-51B9E3DDD1B9}"/>
    <hyperlink ref="A565" r:id="rId813" display="out/パワプロ2020 - 投球解析 - 2020-08-24 12-07-26-09_out.mp4" xr:uid="{8400C25C-ACAA-4576-9984-BB35745B09E0}"/>
    <hyperlink ref="B565" r:id="rId814" display="result/パワプロ2020 - 投球解析 - 2020-08-24 12-07-26-09_ball.txt" xr:uid="{20961271-18D9-4AEE-89F8-A3CE11537FCF}"/>
    <hyperlink ref="A566" r:id="rId815" display="out/パワプロ2020 - 投球解析 - 2020-08-24 12-08-41-00_out.mp4" xr:uid="{F7FAE0A0-0ED5-479F-B046-FE57EC1C6C8E}"/>
    <hyperlink ref="B566" r:id="rId816" display="result/パワプロ2020 - 投球解析 - 2020-08-24 12-08-41-00_ball.txt" xr:uid="{0D67F089-47F2-463A-ADB2-1D1C3904BF37}"/>
    <hyperlink ref="A567" r:id="rId817" display="out/パワプロ2020 - 投球解析 - 2020-08-24 12-08-41-01_out.mp4" xr:uid="{5EC18610-80E4-4E0D-87C5-6CCD7A8CFF7E}"/>
    <hyperlink ref="B567" r:id="rId818" display="result/パワプロ2020 - 投球解析 - 2020-08-24 12-08-41-01_ball.txt" xr:uid="{F789CC3F-3DBC-4877-91F6-8A241D1F87AB}"/>
    <hyperlink ref="A568" r:id="rId819" display="out/パワプロ2020 - 投球解析 - 2020-08-24 12-08-41-02_out.mp4" xr:uid="{9EDE3B28-9A91-417C-8A31-DBB25C11F2DC}"/>
    <hyperlink ref="B568" r:id="rId820" display="result/パワプロ2020 - 投球解析 - 2020-08-24 12-08-41-02_ball.txt" xr:uid="{435EE712-C451-402D-9DCE-585B0D944848}"/>
    <hyperlink ref="A569" r:id="rId821" display="out/パワプロ2020 - 投球解析 - 2020-08-24 12-08-41-03_out.mp4" xr:uid="{DF1118B0-4711-4BB9-B2E8-C3B5737962C8}"/>
    <hyperlink ref="B569" r:id="rId822" display="result/パワプロ2020 - 投球解析 - 2020-08-24 12-08-41-03_ball.txt" xr:uid="{D49EF56C-CAFF-45BA-96A8-3AEB20D857A0}"/>
    <hyperlink ref="A570" r:id="rId823" display="out/パワプロ2020 - 投球解析 - 2020-08-24 12-08-41-04_out.mp4" xr:uid="{88518362-EDB9-417C-9DB1-A37A97318D04}"/>
    <hyperlink ref="B570" r:id="rId824" display="result/パワプロ2020 - 投球解析 - 2020-08-24 12-08-41-04_ball.txt" xr:uid="{BFCBDAEB-0A9E-43A8-9F7A-EBEF8933BB7A}"/>
    <hyperlink ref="A571" r:id="rId825" display="out/パワプロ2020 - 投球解析 - 2020-08-24 12-08-41-05_out.mp4" xr:uid="{F776A5C5-2A2D-4C34-BB91-8AA8CF9EF822}"/>
    <hyperlink ref="B571" r:id="rId826" display="result/パワプロ2020 - 投球解析 - 2020-08-24 12-08-41-05_ball.txt" xr:uid="{2C0B7622-9FCF-4C1F-B620-D50008B12C6B}"/>
    <hyperlink ref="A572" r:id="rId827" display="out/パワプロ2020 - 投球解析 - 2020-08-24 12-08-41-06_out.mp4" xr:uid="{E7F69A00-C76A-49F5-ADB3-0BBB7B580B97}"/>
    <hyperlink ref="B572" r:id="rId828" display="result/パワプロ2020 - 投球解析 - 2020-08-24 12-08-41-06_ball.txt" xr:uid="{036C0987-2AEC-4DB0-9A70-A3230DC7A205}"/>
    <hyperlink ref="A573" r:id="rId829" display="out/パワプロ2020 - 投球解析 - 2020-08-24 12-08-41-07_out.mp4" xr:uid="{5D2EAC77-6340-4173-8F2C-C2D16E19D36F}"/>
    <hyperlink ref="B573" r:id="rId830" display="result/パワプロ2020 - 投球解析 - 2020-08-24 12-08-41-07_ball.txt" xr:uid="{7FA7BFD0-4F11-422F-AEE3-964F0C345841}"/>
    <hyperlink ref="A574" r:id="rId831" display="out/パワプロ2020 - 投球解析 - 2020-08-24 12-08-41-08_out.mp4" xr:uid="{B76900AD-1D9F-4E70-8A4B-A86E6AC8C8BB}"/>
    <hyperlink ref="B574" r:id="rId832" display="result/パワプロ2020 - 投球解析 - 2020-08-24 12-08-41-08_ball.txt" xr:uid="{E390EAF3-BCF9-492E-A146-4A9E0A315C30}"/>
    <hyperlink ref="A575" r:id="rId833" display="out/パワプロ2020 - 投球解析 - 2020-08-24 12-08-41-09_out.mp4" xr:uid="{B8D7D0D3-37F4-444C-A2F3-C37634C9511E}"/>
    <hyperlink ref="B575" r:id="rId834" display="result/パワプロ2020 - 投球解析 - 2020-08-24 12-08-41-09_ball.txt" xr:uid="{A8FE73BE-A7B9-4A3D-BEA4-6032E01D95AD}"/>
    <hyperlink ref="A576" r:id="rId835" display="out/パワプロ2020 - 投球解析 - 2020-08-24 12-08-41-12_out.mp4" xr:uid="{C8B8E86C-5F6E-468D-BCE3-9509B7E4C8DB}"/>
    <hyperlink ref="B576" r:id="rId836" display="result/パワプロ2020 - 投球解析 - 2020-08-24 12-08-41-12_ball.txt" xr:uid="{5C4885DA-2854-4E8C-B98E-00F977D36A88}"/>
    <hyperlink ref="A577" r:id="rId837" display="out/パワプロ2020 - 投球解析 - 2020-08-24 12-08-41-13_out.mp4" xr:uid="{A7765F6B-87E4-4413-97AF-EE886B65ED4B}"/>
    <hyperlink ref="B577" r:id="rId838" display="result/パワプロ2020 - 投球解析 - 2020-08-24 12-08-41-13_ball.txt" xr:uid="{C0A493ED-5514-45FB-8FC3-0C32097829BE}"/>
    <hyperlink ref="A578" r:id="rId839" display="out/パワプロ2020 - 投球解析 - 2020-08-24 12-10-03-00_out.mp4" xr:uid="{DB9AA0E0-4D1E-40A8-AD6C-0321850CAA95}"/>
    <hyperlink ref="B578" r:id="rId840" display="result/パワプロ2020 - 投球解析 - 2020-08-24 12-10-03-00_ball.txt" xr:uid="{DC88934C-CD9C-4857-9948-38BF33B18F15}"/>
    <hyperlink ref="A579" r:id="rId841" display="out/パワプロ2020 - 投球解析 - 2020-08-24 12-10-03-01_out.mp4" xr:uid="{D6E8BB96-236D-451D-9D22-358E20359F6F}"/>
    <hyperlink ref="B579" r:id="rId842" display="result/パワプロ2020 - 投球解析 - 2020-08-24 12-10-03-01_ball.txt" xr:uid="{7143F622-63D8-432F-8524-80638560C326}"/>
    <hyperlink ref="A580" r:id="rId843" display="out/パワプロ2020 - 投球解析 - 2020-08-24 12-10-03-02_out.mp4" xr:uid="{984C4D26-556D-4C06-9B88-841AE9698428}"/>
    <hyperlink ref="B580" r:id="rId844" display="result/パワプロ2020 - 投球解析 - 2020-08-24 12-10-03-02_ball.txt" xr:uid="{64AB9891-D234-4F56-A48E-7AFAE5D88E3D}"/>
    <hyperlink ref="A581" r:id="rId845" display="out/パワプロ2020 - 投球解析 - 2020-08-24 12-10-03-03_out.mp4" xr:uid="{9D534186-EBD8-4CCC-A8D1-10BACA33BFD1}"/>
    <hyperlink ref="B581" r:id="rId846" display="result/パワプロ2020 - 投球解析 - 2020-08-24 12-10-03-03_ball.txt" xr:uid="{F39C7473-85F1-4342-8417-07CA8DB3B809}"/>
    <hyperlink ref="A582" r:id="rId847" display="out/パワプロ2020 - 投球解析 - 2020-08-24 12-10-03-04_out.mp4" xr:uid="{DAB94F82-F231-4ACE-9418-ED6F573F3C18}"/>
    <hyperlink ref="B582" r:id="rId848" display="result/パワプロ2020 - 投球解析 - 2020-08-24 12-10-03-04_ball.txt" xr:uid="{34A2CC7C-49A8-40C3-8C94-552D42ED882A}"/>
    <hyperlink ref="A583" r:id="rId849" display="out/パワプロ2020 - 投球解析 - 2020-08-24 12-10-03-05_out.mp4" xr:uid="{B1471984-6316-4E8F-91FC-A9E9886DE72B}"/>
    <hyperlink ref="B583" r:id="rId850" display="result/パワプロ2020 - 投球解析 - 2020-08-24 12-10-03-05_ball.txt" xr:uid="{F4597482-3DBC-4B1D-B5DE-FB08B69E3AF7}"/>
    <hyperlink ref="A584" r:id="rId851" display="out/パワプロ2020 - 投球解析 - 2020-08-24 12-10-03-06_out.mp4" xr:uid="{90EC69B1-D8C6-44BA-8B33-209F44341E0A}"/>
    <hyperlink ref="B584" r:id="rId852" display="result/パワプロ2020 - 投球解析 - 2020-08-24 12-10-03-06_ball.txt" xr:uid="{52BB0D25-D019-446C-B8F6-22135B43BBDC}"/>
    <hyperlink ref="A585" r:id="rId853" display="out/パワプロ2020 - 投球解析 - 2020-08-24 12-10-03-07_out.mp4" xr:uid="{1BF78974-C7E0-4B55-9089-B81744F55466}"/>
    <hyperlink ref="B585" r:id="rId854" display="result/パワプロ2020 - 投球解析 - 2020-08-24 12-10-03-07_ball.txt" xr:uid="{252B6511-570E-40ED-A876-E20D0D164DDF}"/>
    <hyperlink ref="A586" r:id="rId855" display="out/パワプロ2020 - 投球解析 - 2020-08-24 12-10-03-08_out.mp4" xr:uid="{4A48448E-41EA-4C74-B597-6AFC3486B90B}"/>
    <hyperlink ref="B586" r:id="rId856" display="result/パワプロ2020 - 投球解析 - 2020-08-24 12-10-03-08_ball.txt" xr:uid="{B7E51833-2615-421F-AFFE-63DA2DAC9F70}"/>
    <hyperlink ref="A587" r:id="rId857" display="out/パワプロ2020 - 投球解析 - 2020-08-24 12-10-03-09_out.mp4" xr:uid="{4376D592-B274-4436-BDCD-BE9107F34DD5}"/>
    <hyperlink ref="B587" r:id="rId858" display="result/パワプロ2020 - 投球解析 - 2020-08-24 12-10-03-09_ball.txt" xr:uid="{D15755F2-6DD2-4212-8BCC-E9882F611E94}"/>
    <hyperlink ref="A588" r:id="rId859" display="out/パワプロ2020 - 投球解析 - 2020-08-24 12-11-18-00_out.mp4" xr:uid="{B4771074-BBC4-4049-A7B1-C0242F2BFD06}"/>
    <hyperlink ref="B588" r:id="rId860" display="result/パワプロ2020 - 投球解析 - 2020-08-24 12-11-18-00_ball.txt" xr:uid="{500200DC-EEF3-4B4B-92E1-81AD113E8591}"/>
    <hyperlink ref="A589" r:id="rId861" display="out/パワプロ2020 - 投球解析 - 2020-08-24 12-11-18-01_out.mp4" xr:uid="{924AB058-6798-47A0-A97A-136C88BE9285}"/>
    <hyperlink ref="B589" r:id="rId862" display="result/パワプロ2020 - 投球解析 - 2020-08-24 12-11-18-01_ball.txt" xr:uid="{75F19F63-2BAC-450C-8429-13A9A01A34CE}"/>
    <hyperlink ref="A599" r:id="rId863" display="out/パワプロ2020 - 投球解析 - 2020-08-24 12-11-18-12_out.mp4" xr:uid="{F3D54C65-30DB-46B8-A797-4CFAEB7C0E0A}"/>
    <hyperlink ref="B599" r:id="rId864" display="result/パワプロ2020 - 投球解析 - 2020-08-24 12-11-18-12_ball.txt" xr:uid="{1F90D57D-8252-4610-8294-DD2ED327AC6D}"/>
    <hyperlink ref="A600" r:id="rId865" display="out/パワプロ2020 - 投球解析 - 2020-08-24 12-11-18-13_out.mp4" xr:uid="{CA502A48-8212-46E2-B32D-D5320EB3094D}"/>
    <hyperlink ref="B600" r:id="rId866" display="result/パワプロ2020 - 投球解析 - 2020-08-24 12-11-18-13_ball.txt" xr:uid="{B59F6652-ABA5-476D-9945-0EA038EF00D4}"/>
    <hyperlink ref="A601" r:id="rId867" display="out/パワプロ2020 - 投球解析 - 2020-08-24 12-12-56-00_out.mp4" xr:uid="{A7021226-1322-4AD8-A2F2-577B1D5CFB38}"/>
    <hyperlink ref="B601" r:id="rId868" display="result/パワプロ2020 - 投球解析 - 2020-08-24 12-12-56-00_ball.txt" xr:uid="{520DF4A2-88A8-44EC-9B27-FB6E2BCB0BBC}"/>
    <hyperlink ref="A602" r:id="rId869" display="out/パワプロ2020 - 投球解析 - 2020-08-24 12-12-56-01_out.mp4" xr:uid="{2ED0497F-C3DC-40B9-A59A-5EAA106D6C87}"/>
    <hyperlink ref="B602" r:id="rId870" display="result/パワプロ2020 - 投球解析 - 2020-08-24 12-12-56-01_ball.txt" xr:uid="{EF84E57F-AC37-42F1-B6CC-68ADF6E14D42}"/>
    <hyperlink ref="A603" r:id="rId871" display="out/パワプロ2020 - 投球解析 - 2020-08-24 12-12-56-02_out.mp4" xr:uid="{2F476FD0-55AF-4D91-8F3A-F5E3CB70174D}"/>
    <hyperlink ref="B603" r:id="rId872" display="result/パワプロ2020 - 投球解析 - 2020-08-24 12-12-56-02_ball.txt" xr:uid="{A7586A17-CAE1-4B7D-A1A9-ACF099183CA4}"/>
    <hyperlink ref="A604" r:id="rId873" display="out/パワプロ2020 - 投球解析 - 2020-08-24 12-12-56-03_out.mp4" xr:uid="{2FD4BFF9-5A36-45BE-A854-33312AE7DCDE}"/>
    <hyperlink ref="B604" r:id="rId874" display="result/パワプロ2020 - 投球解析 - 2020-08-24 12-12-56-03_ball.txt" xr:uid="{CC15B7DD-18D5-4484-8326-C005A5C4F163}"/>
    <hyperlink ref="A605" r:id="rId875" display="out/パワプロ2020 - 投球解析 - 2020-08-24 12-12-56-04_out.mp4" xr:uid="{18AD16FA-CCB8-40F8-A9F7-2FEACEB10F05}"/>
    <hyperlink ref="B605" r:id="rId876" display="result/パワプロ2020 - 投球解析 - 2020-08-24 12-12-56-04_ball.txt" xr:uid="{0C862A76-4FF1-4472-928F-7FA185861EF7}"/>
    <hyperlink ref="A606" r:id="rId877" display="out/パワプロ2020 - 投球解析 - 2020-08-24 12-12-56-05_out.mp4" xr:uid="{FC52AA13-B748-42B4-830E-A4E356AB78F8}"/>
    <hyperlink ref="B606" r:id="rId878" display="result/パワプロ2020 - 投球解析 - 2020-08-24 12-12-56-05_ball.txt" xr:uid="{55DCCA6F-504F-4039-8802-A564098BA582}"/>
    <hyperlink ref="A607" r:id="rId879" display="out/パワプロ2020 - 投球解析 - 2020-08-24 12-12-56-06_out.mp4" xr:uid="{179790A5-4828-442D-BFAF-54C40353AF6C}"/>
    <hyperlink ref="B607" r:id="rId880" display="result/パワプロ2020 - 投球解析 - 2020-08-24 12-12-56-06_ball.txt" xr:uid="{DAC4ACA3-5473-4E70-B313-C0648E197681}"/>
    <hyperlink ref="A608" r:id="rId881" display="out/パワプロ2020 - 投球解析 - 2020-08-24 12-12-56-07_out.mp4" xr:uid="{00EEB6A4-3145-49B9-A494-3FCE41FE5698}"/>
    <hyperlink ref="B608" r:id="rId882" display="result/パワプロ2020 - 投球解析 - 2020-08-24 12-12-56-07_ball.txt" xr:uid="{8A28B9B6-EB21-49EA-8C6E-A6629B4D607E}"/>
    <hyperlink ref="A609" r:id="rId883" display="out/パワプロ2020 - 投球解析 - 2020-08-24 12-12-56-08_out.mp4" xr:uid="{2E2F9579-F238-4BBA-A737-CEA93FCB2B4C}"/>
    <hyperlink ref="B609" r:id="rId884" display="result/パワプロ2020 - 投球解析 - 2020-08-24 12-12-56-08_ball.txt" xr:uid="{DBAEAD06-36C7-4A56-B8D5-ECD26AD013A8}"/>
    <hyperlink ref="A610" r:id="rId885" display="out/パワプロ2020 - 投球解析 - 2020-08-24 12-12-56-09_out.mp4" xr:uid="{A30E0573-1E2A-45D8-BD95-C0D0FB2E730D}"/>
    <hyperlink ref="B610" r:id="rId886" display="result/パワプロ2020 - 投球解析 - 2020-08-24 12-12-56-09_ball.txt" xr:uid="{331E4024-E6C4-4793-8FE4-974CA54B3210}"/>
    <hyperlink ref="A611" r:id="rId887" display="out/パワプロ2020 - 投球解析 - 2020-08-24 12-21-33-00_out.mp4" xr:uid="{289FB62C-A64A-4480-BA78-D690383895F6}"/>
    <hyperlink ref="B611" r:id="rId888" display="result/パワプロ2020 - 投球解析 - 2020-08-24 12-21-33-00_ball.txt" xr:uid="{A886FDAD-446F-4CAE-B456-58F62C9DF40F}"/>
    <hyperlink ref="A612" r:id="rId889" display="out/パワプロ2020 - 投球解析 - 2020-08-24 12-21-33-01_out.mp4" xr:uid="{88AE3D3C-2392-4C63-92A0-E1A65E2C406D}"/>
    <hyperlink ref="B612" r:id="rId890" display="result/パワプロ2020 - 投球解析 - 2020-08-24 12-21-33-01_ball.txt" xr:uid="{A215BB25-9919-48E0-A855-957143A087D1}"/>
    <hyperlink ref="A613" r:id="rId891" display="out/パワプロ2020 - 投球解析 - 2020-08-24 12-21-33-02_out.mp4" xr:uid="{2187238B-D2BE-4EFE-A293-63D3CFCC017E}"/>
    <hyperlink ref="B613" r:id="rId892" display="result/パワプロ2020 - 投球解析 - 2020-08-24 12-21-33-02_ball.txt" xr:uid="{CD221E20-5082-416F-B15F-A55910211649}"/>
    <hyperlink ref="A614" r:id="rId893" display="out/パワプロ2020 - 投球解析 - 2020-08-24 12-21-33-03_out.mp4" xr:uid="{1DB231A2-EEB3-40CD-B92C-7522C86D517F}"/>
    <hyperlink ref="B614" r:id="rId894" display="result/パワプロ2020 - 投球解析 - 2020-08-24 12-21-33-03_ball.txt" xr:uid="{95B4A911-F6F2-4154-B700-7FF8B4C1D64C}"/>
    <hyperlink ref="A615" r:id="rId895" display="out/パワプロ2020 - 投球解析 - 2020-08-24 12-21-33-04_out.mp4" xr:uid="{3267B800-FF65-4D1D-AA4A-AF33B3BA0F41}"/>
    <hyperlink ref="B615" r:id="rId896" display="result/パワプロ2020 - 投球解析 - 2020-08-24 12-21-33-04_ball.txt" xr:uid="{33F77ED9-791D-48F6-9878-504F60068911}"/>
    <hyperlink ref="A616" r:id="rId897" display="out/パワプロ2020 - 投球解析 - 2020-08-24 12-21-33-05_out.mp4" xr:uid="{83396144-2960-4AC8-A3AF-46B98EFE7254}"/>
    <hyperlink ref="B616" r:id="rId898" display="result/パワプロ2020 - 投球解析 - 2020-08-24 12-21-33-05_ball.txt" xr:uid="{DAD30002-C84E-45ED-A7B4-97FC42901A9A}"/>
    <hyperlink ref="A617" r:id="rId899" display="out/パワプロ2020 - 投球解析 - 2020-08-24 12-21-33-06_out.mp4" xr:uid="{46BA01E9-DAD9-4A1A-89BA-1DBDC87AA97B}"/>
    <hyperlink ref="B617" r:id="rId900" display="result/パワプロ2020 - 投球解析 - 2020-08-24 12-21-33-06_ball.txt" xr:uid="{CB6C6A2D-95DA-41EE-8EDB-11011522AF57}"/>
    <hyperlink ref="A618" r:id="rId901" display="out/パワプロ2020 - 投球解析 - 2020-08-24 12-21-33-07_out.mp4" xr:uid="{92E86E1D-87C3-4509-AECA-E1F5DAF1D427}"/>
    <hyperlink ref="B618" r:id="rId902" display="result/パワプロ2020 - 投球解析 - 2020-08-24 12-21-33-07_ball.txt" xr:uid="{F3608245-93F3-4BFC-9915-1E0D95ED6D96}"/>
    <hyperlink ref="A619" r:id="rId903" display="out/パワプロ2020 - 投球解析 - 2020-08-24 12-21-33-08_out.mp4" xr:uid="{695D0AA9-DACA-4701-B0E9-B7C406AE2BF4}"/>
    <hyperlink ref="B619" r:id="rId904" display="result/パワプロ2020 - 投球解析 - 2020-08-24 12-21-33-08_ball.txt" xr:uid="{AE4BF970-F396-45C5-B165-C8DD6D4D2902}"/>
    <hyperlink ref="A620" r:id="rId905" display="out/パワプロ2020 - 投球解析 - 2020-08-24 12-21-33-09_out.mp4" xr:uid="{3B8DD6A1-36AF-4CF9-9819-5BFA9F3958CA}"/>
    <hyperlink ref="B620" r:id="rId906" display="result/パワプロ2020 - 投球解析 - 2020-08-24 12-21-33-09_ball.txt" xr:uid="{A0590569-7DCB-4BEC-A7D9-709E1C53BAA1}"/>
    <hyperlink ref="A621" r:id="rId907" display="out/パワプロ2020 - 投球解析 - 2020-08-24 12-22-44-00_out.mp4" xr:uid="{62AEE582-AE01-4668-8200-79FB81068A67}"/>
    <hyperlink ref="B621" r:id="rId908" display="result/パワプロ2020 - 投球解析 - 2020-08-24 12-22-44-00_ball.txt" xr:uid="{2CB511BE-1D7D-44C8-8D09-0F38DFD8F00E}"/>
    <hyperlink ref="A622" r:id="rId909" display="out/パワプロ2020 - 投球解析 - 2020-08-24 12-22-44-01_out.mp4" xr:uid="{87878330-1D88-407D-AE60-EA2B336BD642}"/>
    <hyperlink ref="B622" r:id="rId910" display="result/パワプロ2020 - 投球解析 - 2020-08-24 12-22-44-01_ball.txt" xr:uid="{E0FAA943-C12A-43C8-9F12-7F7AA7D8A5BB}"/>
    <hyperlink ref="A623" r:id="rId911" display="out/パワプロ2020 - 投球解析 - 2020-08-24 12-22-44-02_out.mp4" xr:uid="{5F2AD927-0346-4664-9D37-FAF9008287A7}"/>
    <hyperlink ref="B623" r:id="rId912" display="result/パワプロ2020 - 投球解析 - 2020-08-24 12-22-44-02_ball.txt" xr:uid="{9029D479-B83C-44FC-A372-E074062C415B}"/>
    <hyperlink ref="A624" r:id="rId913" display="out/パワプロ2020 - 投球解析 - 2020-08-24 12-22-44-03_out.mp4" xr:uid="{1B36207F-24CD-4EF2-926D-84C351F12724}"/>
    <hyperlink ref="B624" r:id="rId914" display="result/パワプロ2020 - 投球解析 - 2020-08-24 12-22-44-03_ball.txt" xr:uid="{C484B895-C3AE-417B-9A94-E36EF2E71D24}"/>
    <hyperlink ref="A625" r:id="rId915" display="out/パワプロ2020 - 投球解析 - 2020-08-24 12-22-44-04_out.mp4" xr:uid="{9A056B54-E707-4515-8147-C9CF551FEC56}"/>
    <hyperlink ref="B625" r:id="rId916" display="result/パワプロ2020 - 投球解析 - 2020-08-24 12-22-44-04_ball.txt" xr:uid="{866D9AFC-22AC-499F-8A83-949CC80A9EF5}"/>
    <hyperlink ref="A635" r:id="rId917" display="out/パワプロ2020 - 投球解析 - 2020-08-24 12-24-03-04_out.mp4" xr:uid="{007F3653-1243-4B38-AD07-E999D99353A4}"/>
    <hyperlink ref="B635" r:id="rId918" display="result/パワプロ2020 - 投球解析 - 2020-08-24 12-24-03-04_ball.txt" xr:uid="{627D2A85-0B03-43C8-9FEC-E6EFC9E9EE4A}"/>
    <hyperlink ref="A636" r:id="rId919" display="out/パワプロ2020 - 投球解析 - 2020-08-24 12-24-03-05_out.mp4" xr:uid="{E5780C38-A27E-4F85-BBF3-1590921E46D4}"/>
    <hyperlink ref="B636" r:id="rId920" display="result/パワプロ2020 - 投球解析 - 2020-08-24 12-24-03-05_ball.txt" xr:uid="{53B58C59-B9FC-4769-A256-B17D2396460A}"/>
    <hyperlink ref="A637" r:id="rId921" display="out/パワプロ2020 - 投球解析 - 2020-08-24 12-24-03-06_out.mp4" xr:uid="{0BFC6FC2-AD73-4059-85D0-AC686C85E006}"/>
    <hyperlink ref="B637" r:id="rId922" display="result/パワプロ2020 - 投球解析 - 2020-08-24 12-24-03-06_ball.txt" xr:uid="{83430A0A-5D87-4186-AFB7-9087B26ECE22}"/>
    <hyperlink ref="A638" r:id="rId923" display="out/パワプロ2020 - 投球解析 - 2020-08-24 12-24-03-07_out.mp4" xr:uid="{97BB004C-885F-415E-8441-C932713BEC3F}"/>
    <hyperlink ref="B638" r:id="rId924" display="result/パワプロ2020 - 投球解析 - 2020-08-24 12-24-03-07_ball.txt" xr:uid="{901AF589-2618-45C7-8C22-C880D2879B11}"/>
    <hyperlink ref="A639" r:id="rId925" display="out/パワプロ2020 - 投球解析 - 2020-08-24 12-24-03-08_out.mp4" xr:uid="{D3ABFB45-4B52-47A4-902F-72221771BB40}"/>
    <hyperlink ref="B639" r:id="rId926" display="result/パワプロ2020 - 投球解析 - 2020-08-24 12-24-03-08_ball.txt" xr:uid="{F378ACCD-2B54-4BD5-AB03-E5D8DF8B2114}"/>
    <hyperlink ref="A640" r:id="rId927" display="out/パワプロ2020 - 投球解析 - 2020-08-24 12-24-03-09_out.mp4" xr:uid="{7456AA8C-164F-41A9-8036-FC5EADA56142}"/>
    <hyperlink ref="B640" r:id="rId928" display="result/パワプロ2020 - 投球解析 - 2020-08-24 12-24-03-09_ball.txt" xr:uid="{8851B3E0-3840-443E-BC42-F07458419889}"/>
    <hyperlink ref="A641" r:id="rId929" display="out/パワプロ2020 - 投球解析 - 2020-08-24 12-25-33-00_out.mp4" xr:uid="{8DE65DBE-262B-4F0E-A02D-A01D03A96694}"/>
    <hyperlink ref="B641" r:id="rId930" display="result/パワプロ2020 - 投球解析 - 2020-08-24 12-25-33-00_ball.txt" xr:uid="{22E26433-3B68-42BA-9822-359DED463906}"/>
    <hyperlink ref="A642" r:id="rId931" display="out/パワプロ2020 - 投球解析 - 2020-08-24 12-25-33-01_out.mp4" xr:uid="{FEA18DEE-27BB-4261-B747-729A875D779B}"/>
    <hyperlink ref="B642" r:id="rId932" display="result/パワプロ2020 - 投球解析 - 2020-08-24 12-25-33-01_ball.txt" xr:uid="{83E4E13E-A953-4AA1-96DB-930E2B101D7C}"/>
    <hyperlink ref="A643" r:id="rId933" display="out/パワプロ2020 - 投球解析 - 2020-08-24 12-25-33-02_out.mp4" xr:uid="{2470E732-4B38-48BD-93C7-E3EBFF8B0BE1}"/>
    <hyperlink ref="B643" r:id="rId934" display="result/パワプロ2020 - 投球解析 - 2020-08-24 12-25-33-02_ball.txt" xr:uid="{9994F871-03A2-49CD-9775-BFE324DFE548}"/>
    <hyperlink ref="A644" r:id="rId935" display="out/パワプロ2020 - 投球解析 - 2020-08-24 12-25-33-03_out.mp4" xr:uid="{44C1AFA3-F049-49F7-AE23-3864AD110B90}"/>
    <hyperlink ref="B644" r:id="rId936" display="result/パワプロ2020 - 投球解析 - 2020-08-24 12-25-33-03_ball.txt" xr:uid="{799811A7-21E0-4474-B958-D8EF40E44DCA}"/>
    <hyperlink ref="A645" r:id="rId937" display="out/パワプロ2020 - 投球解析 - 2020-08-24 12-25-33-04_out.mp4" xr:uid="{8377873A-794A-4B9E-9F4F-E769FB0EEE5A}"/>
    <hyperlink ref="B645" r:id="rId938" display="result/パワプロ2020 - 投球解析 - 2020-08-24 12-25-33-04_ball.txt" xr:uid="{F238A73A-D553-46C0-B36D-9BE561EBE7A7}"/>
    <hyperlink ref="A646" r:id="rId939" display="out/パワプロ2020 - 投球解析 - 2020-08-24 12-25-33-05_out.mp4" xr:uid="{578FD889-CC95-4ECD-8027-2FD31CC8D614}"/>
    <hyperlink ref="B646" r:id="rId940" display="result/パワプロ2020 - 投球解析 - 2020-08-24 12-25-33-05_ball.txt" xr:uid="{C0F22A10-946D-4170-8F47-A285DF0E8397}"/>
    <hyperlink ref="A647" r:id="rId941" display="out/パワプロ2020 - 投球解析 - 2020-08-24 12-25-33-06_out.mp4" xr:uid="{138BA662-E737-4480-A802-F03019201E28}"/>
    <hyperlink ref="B647" r:id="rId942" display="result/パワプロ2020 - 投球解析 - 2020-08-24 12-25-33-06_ball.txt" xr:uid="{C3BC0B78-EFDA-48D8-980F-09716CC1ADFA}"/>
    <hyperlink ref="A648" r:id="rId943" display="out/パワプロ2020 - 投球解析 - 2020-08-24 12-25-33-07_out.mp4" xr:uid="{363BA354-4C48-4582-9B34-E5F833FC55B5}"/>
    <hyperlink ref="B648" r:id="rId944" display="result/パワプロ2020 - 投球解析 - 2020-08-24 12-25-33-07_ball.txt" xr:uid="{C0F34C43-A9AF-4BEA-9BC9-C25008254ABA}"/>
    <hyperlink ref="A649" r:id="rId945" display="out/パワプロ2020 - 投球解析 - 2020-08-24 12-25-33-08_out.mp4" xr:uid="{59CA2121-A4E3-414B-BD2C-6A88B12B52FC}"/>
    <hyperlink ref="B649" r:id="rId946" display="result/パワプロ2020 - 投球解析 - 2020-08-24 12-25-33-08_ball.txt" xr:uid="{9BCAA676-3E13-4F95-9F5E-B323311ABD4D}"/>
    <hyperlink ref="A650" r:id="rId947" display="out/パワプロ2020 - 投球解析 - 2020-08-24 12-25-33-09_out.mp4" xr:uid="{8230B1C6-A29B-46F9-8914-713171A2C018}"/>
    <hyperlink ref="B650" r:id="rId948" display="result/パワプロ2020 - 投球解析 - 2020-08-24 12-25-33-09_ball.txt" xr:uid="{07F7BA39-AACA-48BA-A71B-274C03F804B3}"/>
    <hyperlink ref="A651" r:id="rId949" display="out/パワプロ2020 - 投球解析 - 2020-08-24 12-26-53-00_out.mp4" xr:uid="{9523131D-1994-4FEC-B90D-E216BB0B35F5}"/>
    <hyperlink ref="B651" r:id="rId950" display="result/パワプロ2020 - 投球解析 - 2020-08-24 12-26-53-00_ball.txt" xr:uid="{C2101DF6-633A-4F45-9C69-2A4DE49B988D}"/>
    <hyperlink ref="A652" r:id="rId951" display="out/パワプロ2020 - 投球解析 - 2020-08-24 12-26-53-01_out.mp4" xr:uid="{EBB6D75F-9651-467E-855F-D70C0BA8DA41}"/>
    <hyperlink ref="B652" r:id="rId952" display="result/パワプロ2020 - 投球解析 - 2020-08-24 12-26-53-01_ball.txt" xr:uid="{9E75D8C6-23B8-43AF-A577-75208B04440B}"/>
    <hyperlink ref="A653" r:id="rId953" display="out/パワプロ2020 - 投球解析 - 2020-08-24 12-26-53-02_out.mp4" xr:uid="{77BDA741-29DD-4FC9-9A4C-52927C4F359A}"/>
    <hyperlink ref="B653" r:id="rId954" display="result/パワプロ2020 - 投球解析 - 2020-08-24 12-26-53-02_ball.txt" xr:uid="{1C6B327A-9B65-4CAD-858E-52D1DED42CA3}"/>
    <hyperlink ref="A654" r:id="rId955" display="out/パワプロ2020 - 投球解析 - 2020-08-24 12-26-53-03_out.mp4" xr:uid="{753DEB30-BDAF-4CE3-9C6A-8E1E00A3ED0B}"/>
    <hyperlink ref="B654" r:id="rId956" display="result/パワプロ2020 - 投球解析 - 2020-08-24 12-26-53-03_ball.txt" xr:uid="{15B46D8F-D226-4298-924A-C48A4F74839B}"/>
    <hyperlink ref="A655" r:id="rId957" display="out/パワプロ2020 - 投球解析 - 2020-08-24 12-26-53-04_out.mp4" xr:uid="{9AAD7CD8-18B5-4A12-A0B6-4802A83A38A9}"/>
    <hyperlink ref="B655" r:id="rId958" display="result/パワプロ2020 - 投球解析 - 2020-08-24 12-26-53-04_ball.txt" xr:uid="{67F6D81E-68E5-4E7C-A8FE-968D0141AC08}"/>
    <hyperlink ref="A656" r:id="rId959" display="out/パワプロ2020 - 投球解析 - 2020-08-24 12-26-53-05_out.mp4" xr:uid="{0D4D8C83-B05F-4A35-AE00-9A02B30EE86D}"/>
    <hyperlink ref="B656" r:id="rId960" display="result/パワプロ2020 - 投球解析 - 2020-08-24 12-26-53-05_ball.txt" xr:uid="{50D6DC86-770F-4F44-B672-A4513E37BB19}"/>
    <hyperlink ref="A657" r:id="rId961" display="out/パワプロ2020 - 投球解析 - 2020-08-24 12-26-53-06_out.mp4" xr:uid="{28D6BD6E-B03F-496A-A2F1-188E52E15D16}"/>
    <hyperlink ref="B657" r:id="rId962" display="result/パワプロ2020 - 投球解析 - 2020-08-24 12-26-53-06_ball.txt" xr:uid="{444D8D2F-2025-4BED-8438-F6090EFDA4D7}"/>
    <hyperlink ref="A658" r:id="rId963" display="out/パワプロ2020 - 投球解析 - 2020-08-24 12-26-53-07_out.mp4" xr:uid="{F476ECB2-2C35-4837-B510-66D2E78F3D50}"/>
    <hyperlink ref="B658" r:id="rId964" display="result/パワプロ2020 - 投球解析 - 2020-08-24 12-26-53-07_ball.txt" xr:uid="{6C2103EB-026F-42D7-A632-54331DB68A39}"/>
    <hyperlink ref="A659" r:id="rId965" display="out/パワプロ2020 - 投球解析 - 2020-08-24 12-26-53-08_out.mp4" xr:uid="{A9BFB15D-39E9-4888-A2C6-207AA073D9C7}"/>
    <hyperlink ref="B659" r:id="rId966" display="result/パワプロ2020 - 投球解析 - 2020-08-24 12-26-53-08_ball.txt" xr:uid="{FDBB3CD7-5AFB-4A43-83C8-830220F58346}"/>
    <hyperlink ref="A660" r:id="rId967" display="out/パワプロ2020 - 投球解析 - 2020-08-24 12-28-05-00_out.mp4" xr:uid="{208E91BB-0C2A-4920-BCA6-AD1FD853F37C}"/>
    <hyperlink ref="B660" r:id="rId968" display="result/パワプロ2020 - 投球解析 - 2020-08-24 12-28-05-00_ball.txt" xr:uid="{E9CC6AC5-65C0-4ED0-94DF-D798FB0AACCD}"/>
    <hyperlink ref="A671" r:id="rId969" display="out/パワプロ2020 - 投球解析 - 2020-08-24 12-32-08-01_out.mp4" xr:uid="{6A7504C2-B169-416C-8B7E-69DBC6FD742F}"/>
    <hyperlink ref="B671" r:id="rId970" display="result/パワプロ2020 - 投球解析 - 2020-08-24 12-32-08-01_ball.txt" xr:uid="{66E6FE91-577B-45BC-8611-18C1A32172E0}"/>
    <hyperlink ref="A672" r:id="rId971" display="out/パワプロ2020 - 投球解析 - 2020-08-24 12-32-08-02_out.mp4" xr:uid="{063BBDD6-C219-447B-816B-4620D8E7ADCB}"/>
    <hyperlink ref="B672" r:id="rId972" display="result/パワプロ2020 - 投球解析 - 2020-08-24 12-32-08-02_ball.txt" xr:uid="{0E7D2D11-D290-43D6-BE1F-344A13E84292}"/>
    <hyperlink ref="A673" r:id="rId973" display="out/パワプロ2020 - 投球解析 - 2020-08-24 12-32-08-03_out.mp4" xr:uid="{48A6E8BB-809F-4613-8329-41A60844F0EB}"/>
    <hyperlink ref="B673" r:id="rId974" display="result/パワプロ2020 - 投球解析 - 2020-08-24 12-32-08-03_ball.txt" xr:uid="{CE33394C-7134-43C3-8E93-3D9529E68DAC}"/>
    <hyperlink ref="A674" r:id="rId975" display="out/パワプロ2020 - 投球解析 - 2020-08-24 12-32-08-04_out.mp4" xr:uid="{EA4D5A6F-0D87-43A2-BF1C-901D5F0C389B}"/>
    <hyperlink ref="B674" r:id="rId976" display="result/パワプロ2020 - 投球解析 - 2020-08-24 12-32-08-04_ball.txt" xr:uid="{05376273-E392-46CD-A02C-1B800C593C98}"/>
    <hyperlink ref="A675" r:id="rId977" display="out/パワプロ2020 - 投球解析 - 2020-08-24 12-32-08-05_out.mp4" xr:uid="{B2B5F91D-C13B-44A8-8321-2B89EBED1D92}"/>
    <hyperlink ref="B675" r:id="rId978" display="result/パワプロ2020 - 投球解析 - 2020-08-24 12-32-08-05_ball.txt" xr:uid="{A0A1915B-B1F6-4B92-AF8A-A8175D001D07}"/>
    <hyperlink ref="A676" r:id="rId979" display="out/パワプロ2020 - 投球解析 - 2020-08-24 12-32-08-06_out.mp4" xr:uid="{D75ACC4E-A69A-4D9E-B564-E1538CD58B2E}"/>
    <hyperlink ref="B676" r:id="rId980" display="result/パワプロ2020 - 投球解析 - 2020-08-24 12-32-08-06_ball.txt" xr:uid="{C7EF226F-CFBD-463D-B467-27A9C0975177}"/>
    <hyperlink ref="A677" r:id="rId981" display="out/パワプロ2020 - 投球解析 - 2020-08-24 12-32-08-07_out.mp4" xr:uid="{4ABA66BA-7E60-4972-8DB4-5EE74C2F7820}"/>
    <hyperlink ref="B677" r:id="rId982" display="result/パワプロ2020 - 投球解析 - 2020-08-24 12-32-08-07_ball.txt" xr:uid="{C6FA44FF-3DD7-4F63-8B70-B65972190E6B}"/>
    <hyperlink ref="A678" r:id="rId983" display="out/パワプロ2020 - 投球解析 - 2020-08-24 12-32-08-08_out.mp4" xr:uid="{07BF00AC-EA47-4A40-9DBA-D2F95562A971}"/>
    <hyperlink ref="B678" r:id="rId984" display="result/パワプロ2020 - 投球解析 - 2020-08-24 12-32-08-08_ball.txt" xr:uid="{689B1865-C89D-40D5-AE65-BE3B7D31C811}"/>
    <hyperlink ref="A679" r:id="rId985" display="out/パワプロ2020 - 投球解析 - 2020-08-24 12-32-08-09_out.mp4" xr:uid="{25F5F69A-4FE7-4976-9B93-4C32858C5833}"/>
    <hyperlink ref="B679" r:id="rId986" display="result/パワプロ2020 - 投球解析 - 2020-08-24 12-32-08-09_ball.txt" xr:uid="{62BD2868-5663-413B-8F36-741E866C3D63}"/>
    <hyperlink ref="A680" r:id="rId987" display="out/パワプロ2020 - 投球解析 - 2020-08-24 12-33-48-00_out.mp4" xr:uid="{98FFBD09-FFC1-4F24-B139-5DBB02E44F25}"/>
    <hyperlink ref="B680" r:id="rId988" display="result/パワプロ2020 - 投球解析 - 2020-08-24 12-33-48-00_ball.txt" xr:uid="{C3FC037B-10FD-4819-A6A3-92FE046A395C}"/>
    <hyperlink ref="A681" r:id="rId989" display="out/パワプロ2020 - 投球解析 - 2020-08-24 12-33-48-01_out.mp4" xr:uid="{C3FD11D9-955F-43C2-AF52-9BDFAB14E16B}"/>
    <hyperlink ref="B681" r:id="rId990" display="result/パワプロ2020 - 投球解析 - 2020-08-24 12-33-48-01_ball.txt" xr:uid="{D787F5A1-B8BA-4542-8350-9C7463C88158}"/>
    <hyperlink ref="A682" r:id="rId991" display="out/パワプロ2020 - 投球解析 - 2020-08-24 12-33-48-02_out.mp4" xr:uid="{B1C95E81-000C-4519-B6A7-35CAD8FDD19F}"/>
    <hyperlink ref="B682" r:id="rId992" display="result/パワプロ2020 - 投球解析 - 2020-08-24 12-33-48-02_ball.txt" xr:uid="{009E6B9B-6C8E-4FDA-B57A-04A057B0E32E}"/>
    <hyperlink ref="A683" r:id="rId993" display="out/パワプロ2020 - 投球解析 - 2020-08-24 12-33-48-03_out.mp4" xr:uid="{28134A55-34C8-433F-ADB6-3FC101662941}"/>
    <hyperlink ref="B683" r:id="rId994" display="result/パワプロ2020 - 投球解析 - 2020-08-24 12-33-48-03_ball.txt" xr:uid="{67E08CDC-15F3-4DBF-B4C4-223545433F94}"/>
    <hyperlink ref="A684" r:id="rId995" display="out/パワプロ2020 - 投球解析 - 2020-08-24 12-33-48-04_out.mp4" xr:uid="{888AFDEC-C149-4F60-BD9B-B8674FA2F39A}"/>
    <hyperlink ref="B684" r:id="rId996" display="result/パワプロ2020 - 投球解析 - 2020-08-24 12-33-48-04_ball.txt" xr:uid="{00FE1A1E-167C-45DD-B90A-02A612978E0C}"/>
    <hyperlink ref="A685" r:id="rId997" display="out/パワプロ2020 - 投球解析 - 2020-08-24 12-33-48-05_out.mp4" xr:uid="{A11DE066-C5FE-4EFB-BDB0-60D843F930E7}"/>
    <hyperlink ref="B685" r:id="rId998" display="result/パワプロ2020 - 投球解析 - 2020-08-24 12-33-48-05_ball.txt" xr:uid="{2AFCC422-7032-4D2D-9584-99361EDD4D8E}"/>
    <hyperlink ref="A686" r:id="rId999" display="out/パワプロ2020 - 投球解析 - 2020-08-24 12-33-48-06_out.mp4" xr:uid="{28E66828-A3FE-4B35-969A-757F01AD637B}"/>
    <hyperlink ref="B686" r:id="rId1000" display="result/パワプロ2020 - 投球解析 - 2020-08-24 12-33-48-06_ball.txt" xr:uid="{A77E2051-7391-421E-B002-6040CD3C0763}"/>
    <hyperlink ref="A687" r:id="rId1001" display="out/パワプロ2020 - 投球解析 - 2020-08-24 12-33-48-07_out.mp4" xr:uid="{3FF878EB-64B7-4088-A3DB-2DDB1774CE12}"/>
    <hyperlink ref="B687" r:id="rId1002" display="result/パワプロ2020 - 投球解析 - 2020-08-24 12-33-48-07_ball.txt" xr:uid="{AF03C38C-51F1-468A-9B17-7D64E1B21A9C}"/>
    <hyperlink ref="A688" r:id="rId1003" display="out/パワプロ2020 - 投球解析 - 2020-08-24 12-33-48-08_out.mp4" xr:uid="{1D6C05BC-48AF-4392-BC46-8063B6E583DF}"/>
    <hyperlink ref="B688" r:id="rId1004" display="result/パワプロ2020 - 投球解析 - 2020-08-24 12-33-48-08_ball.txt" xr:uid="{33091A76-0D57-41D3-B43C-CEFC9C21B3CC}"/>
    <hyperlink ref="A689" r:id="rId1005" display="out/パワプロ2020 - 投球解析 - 2020-08-24 12-33-48-09_out.mp4" xr:uid="{7EE0F24E-4031-4B75-A071-E9215070582E}"/>
    <hyperlink ref="B689" r:id="rId1006" display="result/パワプロ2020 - 投球解析 - 2020-08-24 12-33-48-09_ball.txt" xr:uid="{54AD72CC-C3E9-4D92-8562-235C7BF18C18}"/>
    <hyperlink ref="A690" r:id="rId1007" display="out/パワプロ2020 - 投球解析 - 2020-08-24 12-35-33-00_out.mp4" xr:uid="{EEB4FD03-8BA9-42D1-9C74-5FB944F7B68B}"/>
    <hyperlink ref="B690" r:id="rId1008" display="result/パワプロ2020 - 投球解析 - 2020-08-24 12-35-33-00_ball.txt" xr:uid="{C95CFBAA-1489-42C4-86F3-10C17623C69F}"/>
    <hyperlink ref="A691" r:id="rId1009" display="out/パワプロ2020 - 投球解析 - 2020-08-24 12-35-33-01_out.mp4" xr:uid="{779631B2-B625-461E-8E89-B0EC96BAFB0B}"/>
    <hyperlink ref="B691" r:id="rId1010" display="result/パワプロ2020 - 投球解析 - 2020-08-24 12-35-33-01_ball.txt" xr:uid="{7F634890-04C8-4B74-AC86-14B52FA55E3A}"/>
    <hyperlink ref="A692" r:id="rId1011" display="out/パワプロ2020 - 投球解析 - 2020-08-24 12-35-33-02_out.mp4" xr:uid="{B87856E7-2CFF-4BF6-8CDE-8173736F2CCB}"/>
    <hyperlink ref="B692" r:id="rId1012" display="result/パワプロ2020 - 投球解析 - 2020-08-24 12-35-33-02_ball.txt" xr:uid="{F7494D2A-77F4-445E-AE5F-346BEE3529D3}"/>
    <hyperlink ref="A693" r:id="rId1013" display="out/パワプロ2020 - 投球解析 - 2020-08-24 12-35-33-03_out.mp4" xr:uid="{8BD64680-7D9D-4957-B389-62E3212E4211}"/>
    <hyperlink ref="B693" r:id="rId1014" display="result/パワプロ2020 - 投球解析 - 2020-08-24 12-35-33-03_ball.txt" xr:uid="{4F2E2B45-7B6E-484A-9CCA-E1D4585C61F9}"/>
    <hyperlink ref="A694" r:id="rId1015" display="out/パワプロ2020 - 投球解析 - 2020-08-24 12-35-33-04_out.mp4" xr:uid="{CBCD7CF5-EA2B-4DFB-A897-B5CA4E4C7595}"/>
    <hyperlink ref="B694" r:id="rId1016" display="result/パワプロ2020 - 投球解析 - 2020-08-24 12-35-33-04_ball.txt" xr:uid="{CC2CFDF3-3B29-4640-9CF5-6F4D9F1E982E}"/>
    <hyperlink ref="A695" r:id="rId1017" display="out/パワプロ2020 - 投球解析 - 2020-08-24 12-35-33-05_out.mp4" xr:uid="{A7A6EA40-4809-4F50-8FEA-F509F5B66478}"/>
    <hyperlink ref="B695" r:id="rId1018" display="result/パワプロ2020 - 投球解析 - 2020-08-24 12-35-33-05_ball.txt" xr:uid="{D83673AE-92DF-4D4F-9205-245ECDD57F2A}"/>
    <hyperlink ref="A696" r:id="rId1019" display="out/パワプロ2020 - 投球解析 - 2020-08-24 12-35-33-06_out.mp4" xr:uid="{22718A99-FC87-4429-A07C-97BA1FDC786F}"/>
    <hyperlink ref="B696" r:id="rId1020" display="result/パワプロ2020 - 投球解析 - 2020-08-24 12-35-33-06_ball.txt" xr:uid="{E7F881AD-ACCB-4E14-8BBE-0B2594AAE550}"/>
    <hyperlink ref="A706" r:id="rId1021" display="out/パワプロ2020 - 投球解析 - 2020-08-24 12-36-56-06_out.mp4" xr:uid="{6B7EF6CB-A114-47BD-83FB-4B262C08B8B6}"/>
    <hyperlink ref="B706" r:id="rId1022" display="result/パワプロ2020 - 投球解析 - 2020-08-24 12-36-56-06_ball.txt" xr:uid="{5BE2B00B-6CBE-4B2E-B1CC-1D2C4F274C5B}"/>
    <hyperlink ref="A707" r:id="rId1023" display="out/パワプロ2020 - 投球解析 - 2020-08-24 12-36-56-07_out.mp4" xr:uid="{F520165D-6FAF-43AE-86BA-EE1EB68B284A}"/>
    <hyperlink ref="B707" r:id="rId1024" display="result/パワプロ2020 - 投球解析 - 2020-08-24 12-36-56-07_ball.txt" xr:uid="{E358CDF3-7F23-4112-87A3-79F5EB5708F7}"/>
    <hyperlink ref="A708" r:id="rId1025" display="out/パワプロ2020 - 投球解析 - 2020-08-24 12-36-56-08_out.mp4" xr:uid="{C433A385-6E75-405E-A310-3A2EB5D9235D}"/>
    <hyperlink ref="B708" r:id="rId1026" display="result/パワプロ2020 - 投球解析 - 2020-08-24 12-36-56-08_ball.txt" xr:uid="{12FF4227-1D34-4794-AB95-4571A8FBB2F2}"/>
    <hyperlink ref="A709" r:id="rId1027" display="out/パワプロ2020 - 投球解析 - 2020-08-24 12-36-56-09_out.mp4" xr:uid="{2122C930-4BE6-4F2C-B526-C7D197F17761}"/>
    <hyperlink ref="B709" r:id="rId1028" display="result/パワプロ2020 - 投球解析 - 2020-08-24 12-36-56-09_ball.txt" xr:uid="{85DE71B0-8504-4023-948C-C43E20698568}"/>
    <hyperlink ref="A710" r:id="rId1029" display="out/パワプロ2020 - 投球解析 - 2020-08-24 12-38-24-00_out.mp4" xr:uid="{42370786-D752-4C11-BC2D-83669CA11FF6}"/>
    <hyperlink ref="B710" r:id="rId1030" display="result/パワプロ2020 - 投球解析 - 2020-08-24 12-38-24-00_ball.txt" xr:uid="{4D2F1A44-D3BF-41BD-A0D9-457284FF966B}"/>
    <hyperlink ref="A711" r:id="rId1031" display="out/パワプロ2020 - 投球解析 - 2020-08-24 12-38-24-01_out.mp4" xr:uid="{887178D0-5045-4CA9-B7FE-735CB075338C}"/>
    <hyperlink ref="B711" r:id="rId1032" display="result/パワプロ2020 - 投球解析 - 2020-08-24 12-38-24-01_ball.txt" xr:uid="{ACB91F45-B9AB-4A73-9B26-2FEED7CEC382}"/>
    <hyperlink ref="A712" r:id="rId1033" display="out/パワプロ2020 - 投球解析 - 2020-08-24 12-38-24-02_out.mp4" xr:uid="{84383C4F-0FEC-4A7D-B3C9-F64E9586DB4C}"/>
    <hyperlink ref="B712" r:id="rId1034" display="result/パワプロ2020 - 投球解析 - 2020-08-24 12-38-24-02_ball.txt" xr:uid="{2550A6E6-68DF-432D-BC31-5CA0E914EF75}"/>
    <hyperlink ref="A713" r:id="rId1035" display="out/パワプロ2020 - 投球解析 - 2020-08-24 12-38-24-03_out.mp4" xr:uid="{75E7D14E-37C1-42D4-8059-DA1BD8999BE9}"/>
    <hyperlink ref="B713" r:id="rId1036" display="result/パワプロ2020 - 投球解析 - 2020-08-24 12-38-24-03_ball.txt" xr:uid="{97D1966E-AEE0-4AB5-9DC8-B4F350A48CFA}"/>
    <hyperlink ref="A714" r:id="rId1037" display="out/パワプロ2020 - 投球解析 - 2020-08-24 12-38-24-04_out.mp4" xr:uid="{31742AAB-A9FA-40AC-83BD-83772ACC2E18}"/>
    <hyperlink ref="B714" r:id="rId1038" display="result/パワプロ2020 - 投球解析 - 2020-08-24 12-38-24-04_ball.txt" xr:uid="{7E4AAD6C-5723-471F-A7C4-A92124404376}"/>
    <hyperlink ref="A715" r:id="rId1039" display="out/パワプロ2020 - 投球解析 - 2020-08-24 12-38-24-05_out.mp4" xr:uid="{D9595744-42B6-45D7-8BBC-2F4D15177652}"/>
    <hyperlink ref="B715" r:id="rId1040" display="result/パワプロ2020 - 投球解析 - 2020-08-24 12-38-24-05_ball.txt" xr:uid="{3921BD84-976B-4428-ABD3-DD74A2BEA380}"/>
    <hyperlink ref="A716" r:id="rId1041" display="out/パワプロ2020 - 投球解析 - 2020-08-24 12-38-24-06_out.mp4" xr:uid="{5ADABEB4-A902-4C9C-A8B0-7A216B89F8E6}"/>
    <hyperlink ref="B716" r:id="rId1042" display="result/パワプロ2020 - 投球解析 - 2020-08-24 12-38-24-06_ball.txt" xr:uid="{F323FF74-2294-4F1A-9741-310A7E65C411}"/>
    <hyperlink ref="A717" r:id="rId1043" display="out/パワプロ2020 - 投球解析 - 2020-08-24 12-38-24-07_out.mp4" xr:uid="{87F28D67-C53F-410D-8A98-B1C60EEA45B1}"/>
    <hyperlink ref="B717" r:id="rId1044" display="result/パワプロ2020 - 投球解析 - 2020-08-24 12-38-24-07_ball.txt" xr:uid="{031BC82A-06B3-41D5-A226-BA9CA2706758}"/>
    <hyperlink ref="A718" r:id="rId1045" display="out/パワプロ2020 - 投球解析 - 2020-08-24 12-38-24-08_out.mp4" xr:uid="{B460F488-1C15-4E61-A8B3-4F57269009BD}"/>
    <hyperlink ref="B718" r:id="rId1046" display="result/パワプロ2020 - 投球解析 - 2020-08-24 12-38-24-08_ball.txt" xr:uid="{19C7C3A9-0DF3-44AC-BF6A-F72CACEB171A}"/>
    <hyperlink ref="A719" r:id="rId1047" display="out/パワプロ2020 - 投球解析 - 2020-08-24 12-38-24-09_out.mp4" xr:uid="{9D479185-C729-49FB-A65A-1B8560F24ED3}"/>
    <hyperlink ref="B719" r:id="rId1048" display="result/パワプロ2020 - 投球解析 - 2020-08-24 12-38-24-09_ball.txt" xr:uid="{B72D8674-2D50-4A54-8EF0-87C15D128F8B}"/>
    <hyperlink ref="A720" r:id="rId1049" display="out/パワプロ2020 - 投球解析 - 2020-08-24 12-39-57-00_out.mp4" xr:uid="{9248A053-9B95-4888-A8B9-9E850E2DBE62}"/>
    <hyperlink ref="B720" r:id="rId1050" display="result/パワプロ2020 - 投球解析 - 2020-08-24 12-39-57-00_ball.txt" xr:uid="{929DF6FB-D925-43A4-A6FD-6F6105149E42}"/>
    <hyperlink ref="A721" r:id="rId1051" display="out/パワプロ2020 - 投球解析 - 2020-08-24 12-39-57-01_out.mp4" xr:uid="{66EF466D-7F85-41AD-AF7F-6A18349E6AE9}"/>
    <hyperlink ref="B721" r:id="rId1052" display="result/パワプロ2020 - 投球解析 - 2020-08-24 12-39-57-01_ball.txt" xr:uid="{0DF8D163-58AB-40BF-842F-DFF282C51ACC}"/>
    <hyperlink ref="A722" r:id="rId1053" display="out/パワプロ2020 - 投球解析 - 2020-08-24 12-39-57-02_out.mp4" xr:uid="{CD0F0ADB-4661-4027-A97E-23A659B52659}"/>
    <hyperlink ref="B722" r:id="rId1054" display="result/パワプロ2020 - 投球解析 - 2020-08-24 12-39-57-02_ball.txt" xr:uid="{5585E554-3D89-4C6E-9B7F-2FACA4AC4343}"/>
    <hyperlink ref="A723" r:id="rId1055" display="out/パワプロ2020 - 投球解析 - 2020-08-24 12-39-57-03_out.mp4" xr:uid="{7045BB24-0C75-47E8-A746-6E2E2889F039}"/>
    <hyperlink ref="B723" r:id="rId1056" display="result/パワプロ2020 - 投球解析 - 2020-08-24 12-39-57-03_ball.txt" xr:uid="{2838C1A1-8111-4CA3-A15D-B37973F5DA4F}"/>
    <hyperlink ref="A724" r:id="rId1057" display="out/パワプロ2020 - 投球解析 - 2020-08-24 12-39-57-04_out.mp4" xr:uid="{3FD2E160-BB44-4B55-91FB-21DABE6428F9}"/>
    <hyperlink ref="B724" r:id="rId1058" display="result/パワプロ2020 - 投球解析 - 2020-08-24 12-39-57-04_ball.txt" xr:uid="{8AFB97F0-E459-4B9F-98BA-2B8B8ECAC33E}"/>
    <hyperlink ref="A725" r:id="rId1059" display="out/パワプロ2020 - 投球解析 - 2020-08-24 12-39-57-05_out.mp4" xr:uid="{282542FE-3C24-45D5-8263-6C6BF38143D5}"/>
    <hyperlink ref="B725" r:id="rId1060" display="result/パワプロ2020 - 投球解析 - 2020-08-24 12-39-57-05_ball.txt" xr:uid="{45CF3CDE-51C1-4447-8E66-3E027906102A}"/>
    <hyperlink ref="A726" r:id="rId1061" display="out/パワプロ2020 - 投球解析 - 2020-08-24 12-39-57-06_out.mp4" xr:uid="{44FA76B9-447D-4744-9399-9BDD150A830E}"/>
    <hyperlink ref="B726" r:id="rId1062" display="result/パワプロ2020 - 投球解析 - 2020-08-24 12-39-57-06_ball.txt" xr:uid="{EE4578EC-E86A-40C0-ADC6-41DD64F01BFD}"/>
    <hyperlink ref="A727" r:id="rId1063" display="out/パワプロ2020 - 投球解析 - 2020-08-24 12-39-57-07_out.mp4" xr:uid="{E62F47C2-97D9-4843-A3FD-708F7098232C}"/>
    <hyperlink ref="B727" r:id="rId1064" display="result/パワプロ2020 - 投球解析 - 2020-08-24 12-39-57-07_ball.txt" xr:uid="{A0246DB0-EFE1-41FB-89C1-294F80FE9955}"/>
    <hyperlink ref="A728" r:id="rId1065" display="out/パワプロ2020 - 投球解析 - 2020-08-24 12-39-57-08_out.mp4" xr:uid="{A201639C-FD6A-48B2-88C3-0D914C77E59E}"/>
    <hyperlink ref="B728" r:id="rId1066" display="result/パワプロ2020 - 投球解析 - 2020-08-24 12-39-57-08_ball.txt" xr:uid="{0FD000EC-1D8A-468B-BDF7-9E5F820B7EC9}"/>
    <hyperlink ref="A729" r:id="rId1067" display="out/パワプロ2020 - 投球解析 - 2020-08-24 12-39-57-09_out.mp4" xr:uid="{A8006536-EBF8-46E4-A062-028409F7BEB1}"/>
    <hyperlink ref="B729" r:id="rId1068" display="result/パワプロ2020 - 投球解析 - 2020-08-24 12-39-57-09_ball.txt" xr:uid="{A067C813-B44A-4CDE-B7CD-DB032857C527}"/>
    <hyperlink ref="A730" r:id="rId1069" display="out/パワプロ2020 - 投球解析 - 2020-08-24 12-41-25-00_out.mp4" xr:uid="{20A10BD9-170A-45F4-AF74-96A479C061A5}"/>
    <hyperlink ref="B730" r:id="rId1070" display="result/パワプロ2020 - 投球解析 - 2020-08-24 12-41-25-00_ball.txt" xr:uid="{10B0F27A-A6AB-4F0E-9589-3F7F27B619F4}"/>
    <hyperlink ref="A731" r:id="rId1071" display="out/パワプロ2020 - 投球解析 - 2020-08-24 12-41-25-01_out.mp4" xr:uid="{0BACB7C0-B87E-4ED0-928B-99710BB4C5F6}"/>
    <hyperlink ref="B731" r:id="rId1072" display="result/パワプロ2020 - 投球解析 - 2020-08-24 12-41-25-01_ball.txt" xr:uid="{9DBDE479-FC65-4FD4-A9C3-830002240DE7}"/>
    <hyperlink ref="A732" r:id="rId1073" display="out/パワプロ2020 - 投球解析 - 2020-08-24 12-41-25-02_out.mp4" xr:uid="{2BC7701F-7432-4760-9DC3-ED78B5A7C217}"/>
    <hyperlink ref="B732" r:id="rId1074" display="result/パワプロ2020 - 投球解析 - 2020-08-24 12-41-25-02_ball.txt" xr:uid="{AD405CD1-87F1-4909-A806-9CE741DC22AA}"/>
    <hyperlink ref="A733" r:id="rId1075" display="out/パワプロ2020 - 投球解析 - 2020-08-24 12-41-25-03_out.mp4" xr:uid="{3C062F38-3381-4D3E-B139-97EF4EAF2DFB}"/>
    <hyperlink ref="B733" r:id="rId1076" display="result/パワプロ2020 - 投球解析 - 2020-08-24 12-41-25-03_ball.txt" xr:uid="{437D01AA-DE14-4D86-AC0F-2991E480329C}"/>
    <hyperlink ref="A734" r:id="rId1077" display="out/パワプロ2020 - 投球解析 - 2020-08-24 12-41-25-04_out.mp4" xr:uid="{3C5EB57E-A469-4BB9-8B66-97EFEFA6AF48}"/>
    <hyperlink ref="B734" r:id="rId1078" display="result/パワプロ2020 - 投球解析 - 2020-08-24 12-41-25-04_ball.txt" xr:uid="{9AF67091-E813-43D0-809F-AD2A9E915A72}"/>
    <hyperlink ref="A735" r:id="rId1079" display="out/パワプロ2020 - 投球解析 - 2020-08-24 12-41-25-05_out.mp4" xr:uid="{0B6F1D87-E607-4FF4-B301-27E3F9551031}"/>
    <hyperlink ref="B735" r:id="rId1080" display="result/パワプロ2020 - 投球解析 - 2020-08-24 12-41-25-05_ball.txt" xr:uid="{C8C42333-3307-45A8-BD28-4C4BBCABA8ED}"/>
    <hyperlink ref="A736" r:id="rId1081" display="out/パワプロ2020 - 投球解析 - 2020-08-24 12-41-25-06_out.mp4" xr:uid="{70B0A0C6-69CA-467F-9C33-60EA6C8FF1F1}"/>
    <hyperlink ref="B736" r:id="rId1082" display="result/パワプロ2020 - 投球解析 - 2020-08-24 12-41-25-06_ball.txt" xr:uid="{02960ABE-1432-4B40-8D83-198DB8D9CE8B}"/>
    <hyperlink ref="A737" r:id="rId1083" display="out/パワプロ2020 - 投球解析 - 2020-08-24 12-41-25-07_out.mp4" xr:uid="{304091C1-A0AA-4F7A-AEC9-74FD4319F898}"/>
    <hyperlink ref="B737" r:id="rId1084" display="result/パワプロ2020 - 投球解析 - 2020-08-24 12-41-25-07_ball.txt" xr:uid="{6457BAA3-A22A-43B7-8024-448674D7D098}"/>
    <hyperlink ref="A738" r:id="rId1085" display="out/パワプロ2020 - 投球解析 - 2020-08-24 12-41-25-08_out.mp4" xr:uid="{933E95AE-A963-48FF-9406-CF4A2CA27CC9}"/>
    <hyperlink ref="B738" r:id="rId1086" display="result/パワプロ2020 - 投球解析 - 2020-08-24 12-41-25-08_ball.txt" xr:uid="{9B4ACFE8-4C91-47DC-B043-31AB381ABC1A}"/>
    <hyperlink ref="A739" r:id="rId1087" display="out/パワプロ2020 - 投球解析 - 2020-08-24 12-41-25-09_out.mp4" xr:uid="{84FF5497-ABDE-4AC6-B3DA-969B05EA50AC}"/>
    <hyperlink ref="B739" r:id="rId1088" display="result/パワプロ2020 - 投球解析 - 2020-08-24 12-41-25-09_ball.txt" xr:uid="{B5F09432-3937-40DA-809F-0639C3A54607}"/>
    <hyperlink ref="A740" r:id="rId1089" display="out/パワプロ2020 - 投球解析 - 2020-08-24 12-42-52-00_out.mp4" xr:uid="{A89A2CA0-58B8-4E2E-B40E-E2AE81AEB49B}"/>
    <hyperlink ref="B740" r:id="rId1090" display="result/パワプロ2020 - 投球解析 - 2020-08-24 12-42-52-00_ball.txt" xr:uid="{C9BF4EA3-FADA-4B46-A3D0-49672395F5E3}"/>
    <hyperlink ref="A741" r:id="rId1091" display="out/パワプロ2020 - 投球解析 - 2020-08-24 12-42-52-01_out.mp4" xr:uid="{20B3C5E0-C33F-4DBC-9BB2-74C78AE7B69B}"/>
    <hyperlink ref="B741" r:id="rId1092" display="result/パワプロ2020 - 投球解析 - 2020-08-24 12-42-52-01_ball.txt" xr:uid="{E70BAED8-E8A1-4F7B-A680-ED3364FF94C4}"/>
    <hyperlink ref="A742" r:id="rId1093" display="out/パワプロ2020 - 投球解析 - 2020-08-24 12-42-52-02_out.mp4" xr:uid="{5CD620E1-A4B4-4936-A6DF-A9EE014FFEEF}"/>
    <hyperlink ref="B742" r:id="rId1094" display="result/パワプロ2020 - 投球解析 - 2020-08-24 12-42-52-02_ball.txt" xr:uid="{763ADBD3-D6C7-451F-A8B3-D48C413F2077}"/>
    <hyperlink ref="A743" r:id="rId1095" display="out/パワプロ2020 - 投球解析 - 2020-08-24 12-42-52-03_out.mp4" xr:uid="{2F4B84F5-1247-4088-A155-D79CCFB01498}"/>
    <hyperlink ref="B743" r:id="rId1096" display="result/パワプロ2020 - 投球解析 - 2020-08-24 12-42-52-03_ball.txt" xr:uid="{61077C31-E8CE-4E52-B86B-A9B33C9C9473}"/>
    <hyperlink ref="A744" r:id="rId1097" display="out/パワプロ2020 - 投球解析 - 2020-08-24 12-42-52-04_out.mp4" xr:uid="{28A5902D-C6D9-43F6-A57E-A481695E05B0}"/>
    <hyperlink ref="B744" r:id="rId1098" display="result/パワプロ2020 - 投球解析 - 2020-08-24 12-42-52-04_ball.txt" xr:uid="{9C766408-5EB9-4FFA-9295-BF06900E089E}"/>
    <hyperlink ref="A755" r:id="rId1099" display="out/パワプロ2020 - 投球解析 - 2020-08-24 12-44-26-05_out.mp4" xr:uid="{ACC8D720-F431-4202-AFE6-0254BF4CA079}"/>
    <hyperlink ref="B755" r:id="rId1100" display="result/パワプロ2020 - 投球解析 - 2020-08-24 12-44-26-05_ball.txt" xr:uid="{546568DA-D282-42B9-877B-6244D638E75C}"/>
    <hyperlink ref="A756" r:id="rId1101" display="out/パワプロ2020 - 投球解析 - 2020-08-24 12-44-26-06_out.mp4" xr:uid="{E07366E9-176D-4E14-BD60-D4960A095297}"/>
    <hyperlink ref="B756" r:id="rId1102" display="result/パワプロ2020 - 投球解析 - 2020-08-24 12-44-26-06_ball.txt" xr:uid="{B943E7B7-192F-443E-B706-318D681FF606}"/>
    <hyperlink ref="A757" r:id="rId1103" display="out/パワプロ2020 - 投球解析 - 2020-08-24 12-44-26-07_out.mp4" xr:uid="{FE75F982-91EC-43B4-A6CA-7F2C8B25A54F}"/>
    <hyperlink ref="B757" r:id="rId1104" display="result/パワプロ2020 - 投球解析 - 2020-08-24 12-44-26-07_ball.txt" xr:uid="{F0B2CCAB-2765-4372-A75E-F6F70B59B760}"/>
    <hyperlink ref="A758" r:id="rId1105" display="out/パワプロ2020 - 投球解析 - 2020-08-24 12-44-26-08_out.mp4" xr:uid="{03BFDC49-1115-43D6-9EE4-4807C1FEA493}"/>
    <hyperlink ref="B758" r:id="rId1106" display="result/パワプロ2020 - 投球解析 - 2020-08-24 12-44-26-08_ball.txt" xr:uid="{5024A322-82AF-4165-A116-7DF92CFC988B}"/>
    <hyperlink ref="A759" r:id="rId1107" display="out/パワプロ2020 - 投球解析 - 2020-08-24 12-44-26-09_out.mp4" xr:uid="{8815A227-126D-4A4E-BAA1-F2ECD699A4FC}"/>
    <hyperlink ref="B759" r:id="rId1108" display="result/パワプロ2020 - 投球解析 - 2020-08-24 12-44-26-09_ball.txt" xr:uid="{F649AFD0-E724-4631-8F68-CE05EC4A5CA3}"/>
    <hyperlink ref="A760" r:id="rId1109" display="out/パワプロ2020 - 投球解析 - 2020-08-24 12-44-26-10_out.mp4" xr:uid="{904292AA-8322-4D43-AA54-FAE307D285B8}"/>
    <hyperlink ref="B760" r:id="rId1110" display="result/パワプロ2020 - 投球解析 - 2020-08-24 12-44-26-10_ball.txt" xr:uid="{7AC5FCCC-E796-4AE0-A275-7695D8A56B2E}"/>
    <hyperlink ref="A761" r:id="rId1111" display="out/パワプロ2020 - 投球解析 - 2020-08-24 12-44-26-11_out.mp4" xr:uid="{BA5FFC48-F1DA-4A32-9DE9-E30EE056E706}"/>
    <hyperlink ref="B761" r:id="rId1112" display="result/パワプロ2020 - 投球解析 - 2020-08-24 12-44-26-11_ball.txt" xr:uid="{5118997A-82CD-4ABF-BAF2-ED18E3DADD67}"/>
    <hyperlink ref="A762" r:id="rId1113" display="out/パワプロ2020 - 投球解析 - 2020-08-24 12-44-26-17_out.mp4" xr:uid="{DE2899EE-BB21-4F20-AF00-F91E751B94A0}"/>
    <hyperlink ref="B762" r:id="rId1114" display="result/パワプロ2020 - 投球解析 - 2020-08-24 12-44-26-17_ball.txt" xr:uid="{9F5F55EB-BE2D-42D6-8F38-BECB63B8FD56}"/>
    <hyperlink ref="A763" r:id="rId1115" display="out/パワプロ2020 - 投球解析 - 2020-08-24 12-46-03-00_out.mp4" xr:uid="{C7FB5292-705D-43C0-867A-08A9AAC41345}"/>
    <hyperlink ref="B763" r:id="rId1116" display="result/パワプロ2020 - 投球解析 - 2020-08-24 12-46-03-00_ball.txt" xr:uid="{FB9F85A5-8647-4846-99E0-557AD74D2F36}"/>
    <hyperlink ref="A764" r:id="rId1117" display="out/パワプロ2020 - 投球解析 - 2020-08-24 12-46-03-01_out.mp4" xr:uid="{78C17715-1387-48B8-BA92-1454C350A7AD}"/>
    <hyperlink ref="B764" r:id="rId1118" display="result/パワプロ2020 - 投球解析 - 2020-08-24 12-46-03-01_ball.txt" xr:uid="{68C19605-B5CE-41BC-9460-03C00B0EC729}"/>
    <hyperlink ref="A765" r:id="rId1119" display="out/パワプロ2020 - 投球解析 - 2020-08-24 12-46-03-02_out.mp4" xr:uid="{D59E94B7-BAEF-4B96-A277-2E0B7C42C043}"/>
    <hyperlink ref="B765" r:id="rId1120" display="result/パワプロ2020 - 投球解析 - 2020-08-24 12-46-03-02_ball.txt" xr:uid="{0E97E13F-BF28-454F-A6F7-BD4141094879}"/>
    <hyperlink ref="A766" r:id="rId1121" display="out/パワプロ2020 - 投球解析 - 2020-08-24 12-46-03-03_out.mp4" xr:uid="{592DD2FE-44D7-4DB2-8CFD-9B8CD77222BD}"/>
    <hyperlink ref="B766" r:id="rId1122" display="result/パワプロ2020 - 投球解析 - 2020-08-24 12-46-03-03_ball.txt" xr:uid="{A0029413-DAB1-4E16-B716-346FC0E8A6DE}"/>
    <hyperlink ref="A767" r:id="rId1123" display="out/パワプロ2020 - 投球解析 - 2020-08-24 12-46-03-04_out.mp4" xr:uid="{BC878B5D-8AC8-40C9-A3B6-A33E84429A21}"/>
    <hyperlink ref="B767" r:id="rId1124" display="result/パワプロ2020 - 投球解析 - 2020-08-24 12-46-03-04_ball.txt" xr:uid="{0865DE3B-7117-4766-B563-06CE8ABC5A64}"/>
    <hyperlink ref="A768" r:id="rId1125" display="out/パワプロ2020 - 投球解析 - 2020-08-24 12-46-03-05_out.mp4" xr:uid="{EBD6D998-9B08-4B64-99E7-5DE5D00DE606}"/>
    <hyperlink ref="B768" r:id="rId1126" display="result/パワプロ2020 - 投球解析 - 2020-08-24 12-46-03-05_ball.txt" xr:uid="{B4D156FD-F56B-4117-AE23-04D7FE0B386A}"/>
    <hyperlink ref="A769" r:id="rId1127" display="out/パワプロ2020 - 投球解析 - 2020-08-24 12-46-03-06_out.mp4" xr:uid="{399FA6D1-CE4F-4ECC-BC43-9087CF1A7593}"/>
    <hyperlink ref="B769" r:id="rId1128" display="result/パワプロ2020 - 投球解析 - 2020-08-24 12-46-03-06_ball.txt" xr:uid="{D2949229-5B91-4555-B462-4A673735245D}"/>
    <hyperlink ref="A770" r:id="rId1129" display="out/パワプロ2020 - 投球解析 - 2020-08-24 12-46-03-07_out.mp4" xr:uid="{CF161A52-2C8E-457E-A80F-62DDA097024F}"/>
    <hyperlink ref="B770" r:id="rId1130" display="result/パワプロ2020 - 投球解析 - 2020-08-24 12-46-03-07_ball.txt" xr:uid="{A2DB0BEB-BC83-457F-ABD3-7CB08E7014C3}"/>
    <hyperlink ref="A771" r:id="rId1131" display="out/パワプロ2020 - 投球解析 - 2020-08-24 12-46-03-08_out.mp4" xr:uid="{A913AACD-1E8B-47C1-9F3C-D59B47248EDA}"/>
    <hyperlink ref="B771" r:id="rId1132" display="result/パワプロ2020 - 投球解析 - 2020-08-24 12-46-03-08_ball.txt" xr:uid="{8237AFD9-DD2C-435A-9192-0C55126EB36E}"/>
    <hyperlink ref="A772" r:id="rId1133" display="out/パワプロ2020 - 投球解析 - 2020-08-24 12-46-03-09_out.mp4" xr:uid="{1B512456-53CF-4C2C-B6D1-2EBF044186EF}"/>
    <hyperlink ref="B772" r:id="rId1134" display="result/パワプロ2020 - 投球解析 - 2020-08-24 12-46-03-09_ball.txt" xr:uid="{AB1D1F16-6D34-4572-B1C0-A5ED4EBE3A6D}"/>
    <hyperlink ref="A773" r:id="rId1135" display="out/パワプロ2020 - 投球解析 - 2020-08-24 12-46-03-10_out.mp4" xr:uid="{FCAAE927-0FC2-4F7C-91A5-5AA813AD843D}"/>
    <hyperlink ref="B773" r:id="rId1136" display="result/パワプロ2020 - 投球解析 - 2020-08-24 12-46-03-10_ball.txt" xr:uid="{966F826C-DF97-431B-8BE1-AD2C5863FA4A}"/>
    <hyperlink ref="A774" r:id="rId1137" display="out/パワプロ2020 - 投球解析 - 2020-08-24 12-46-03-11_out.mp4" xr:uid="{FAFC03C8-E55C-49F4-883B-8F3C095978CF}"/>
    <hyperlink ref="B774" r:id="rId1138" display="result/パワプロ2020 - 投球解析 - 2020-08-24 12-46-03-11_ball.txt" xr:uid="{2B008F89-EB1A-43C9-B133-BC05EF99929C}"/>
    <hyperlink ref="A775" r:id="rId1139" display="out/パワプロ2020 - 投球解析 - 2020-08-24 12-46-03-15_out.mp4" xr:uid="{901D5149-7CBB-4789-BB16-E88C232ABF7F}"/>
    <hyperlink ref="B775" r:id="rId1140" display="result/パワプロ2020 - 投球解析 - 2020-08-24 12-46-03-15_ball.txt" xr:uid="{350A503B-29CA-496F-9C70-6A1EBF481B72}"/>
    <hyperlink ref="A776" r:id="rId1141" display="out/パワプロ2020 - 投球解析 - 2020-08-24 12-46-03-16_out.mp4" xr:uid="{CC8B28A8-76E4-4FED-BFEA-E68CAE5BCABF}"/>
    <hyperlink ref="B776" r:id="rId1142" display="result/パワプロ2020 - 投球解析 - 2020-08-24 12-46-03-16_ball.txt" xr:uid="{66FAAB88-8080-490A-983F-E485F919C821}"/>
    <hyperlink ref="A777" r:id="rId1143" display="out/パワプロ2020 - 投球解析 - 2020-08-24 12-46-03-18_out.mp4" xr:uid="{04692C75-0CFE-4A34-8BBC-228026D43E95}"/>
    <hyperlink ref="B777" r:id="rId1144" display="result/パワプロ2020 - 投球解析 - 2020-08-24 12-46-03-18_ball.txt" xr:uid="{4621F94E-0F41-48E5-95D2-1C5B78E0B4A4}"/>
    <hyperlink ref="A778" r:id="rId1145" display="out/パワプロ2020 - 投球解析 - 2020-08-24 12-47-45-00_out.mp4" xr:uid="{AE20C5AF-760A-4E4C-9AA1-CD33385B6079}"/>
    <hyperlink ref="B778" r:id="rId1146" display="result/パワプロ2020 - 投球解析 - 2020-08-24 12-47-45-00_ball.txt" xr:uid="{E147E8C4-0786-4A2C-8EEF-DC979C1F4EBD}"/>
    <hyperlink ref="A779" r:id="rId1147" display="out/パワプロ2020 - 投球解析 - 2020-08-24 12-47-45-01_out.mp4" xr:uid="{DB6D7214-9942-4214-829C-D242001805F8}"/>
    <hyperlink ref="B779" r:id="rId1148" display="result/パワプロ2020 - 投球解析 - 2020-08-24 12-47-45-01_ball.txt" xr:uid="{88BAC901-4241-46E9-91FB-212AC5969D48}"/>
    <hyperlink ref="A780" r:id="rId1149" display="out/パワプロ2020 - 投球解析 - 2020-08-24 12-47-45-02_out.mp4" xr:uid="{15C55824-8C11-4461-87CD-6AABD1F486C9}"/>
    <hyperlink ref="B780" r:id="rId1150" display="result/パワプロ2020 - 投球解析 - 2020-08-24 12-47-45-02_ball.txt" xr:uid="{CE67DE2A-DFFE-475F-8B13-AB82FE8CE99D}"/>
    <hyperlink ref="A781" r:id="rId1151" display="out/パワプロ2020 - 投球解析 - 2020-08-24 12-47-45-03_out.mp4" xr:uid="{7D73E712-0977-4941-909B-F49E584E0008}"/>
    <hyperlink ref="B781" r:id="rId1152" display="result/パワプロ2020 - 投球解析 - 2020-08-24 12-47-45-03_ball.txt" xr:uid="{7154BB6F-3305-4AC5-8639-A1EA6F11D314}"/>
    <hyperlink ref="A782" r:id="rId1153" display="out/パワプロ2020 - 投球解析 - 2020-08-24 12-47-45-04_out.mp4" xr:uid="{37B0CA1C-DD18-40D0-8664-D11481C3BBE0}"/>
    <hyperlink ref="B782" r:id="rId1154" display="result/パワプロ2020 - 投球解析 - 2020-08-24 12-47-45-04_ball.txt" xr:uid="{FDA93D15-C09E-4D06-AB89-A65DCA62B16B}"/>
    <hyperlink ref="A783" r:id="rId1155" display="out/パワプロ2020 - 投球解析 - 2020-08-24 12-47-45-05_out.mp4" xr:uid="{85E2F820-C018-4EA0-A686-2BBF17709BF5}"/>
    <hyperlink ref="B783" r:id="rId1156" display="result/パワプロ2020 - 投球解析 - 2020-08-24 12-47-45-05_ball.txt" xr:uid="{0CD114E8-526E-48DC-823C-EA37FD8BE5B5}"/>
    <hyperlink ref="A784" r:id="rId1157" display="out/パワプロ2020 - 投球解析 - 2020-08-24 12-47-45-06_out.mp4" xr:uid="{38420715-9E25-4519-B196-331807CA4C10}"/>
    <hyperlink ref="B784" r:id="rId1158" display="result/パワプロ2020 - 投球解析 - 2020-08-24 12-47-45-06_ball.txt" xr:uid="{F8AD8FC0-C31C-4DCD-960F-5881406F2D07}"/>
    <hyperlink ref="A785" r:id="rId1159" display="out/パワプロ2020 - 投球解析 - 2020-08-24 12-47-45-07_out.mp4" xr:uid="{0DCB50DC-C491-4E3F-875D-AF83D32D7E05}"/>
    <hyperlink ref="B785" r:id="rId1160" display="result/パワプロ2020 - 投球解析 - 2020-08-24 12-47-45-07_ball.txt" xr:uid="{77D8668B-2909-4544-BFF0-C70FC4F164F5}"/>
    <hyperlink ref="A786" r:id="rId1161" display="out/パワプロ2020 - 投球解析 - 2020-08-24 12-47-45-08_out.mp4" xr:uid="{439D1A9B-3BCF-4371-BF72-342BFF8A1B4A}"/>
    <hyperlink ref="B786" r:id="rId1162" display="result/パワプロ2020 - 投球解析 - 2020-08-24 12-47-45-08_ball.txt" xr:uid="{AC2699E6-065C-450A-8284-CD1064DB370B}"/>
    <hyperlink ref="A787" r:id="rId1163" display="out/パワプロ2020 - 投球解析 - 2020-08-24 12-47-45-09_out.mp4" xr:uid="{949CB3B0-ABB7-4A34-9659-73475CEC4F0E}"/>
    <hyperlink ref="B787" r:id="rId1164" display="result/パワプロ2020 - 投球解析 - 2020-08-24 12-47-45-09_ball.txt" xr:uid="{6D91584E-8382-43AA-8AD7-796C84847644}"/>
    <hyperlink ref="A788" r:id="rId1165" display="out/パワプロ2020 - 投球解析 - 2020-08-24 12-49-17-00_out.mp4" xr:uid="{F92FC59A-3E0A-4324-9848-1BA2D6505D7B}"/>
    <hyperlink ref="B788" r:id="rId1166" display="result/パワプロ2020 - 投球解析 - 2020-08-24 12-49-17-00_ball.txt" xr:uid="{04C6A790-DFDC-4DB9-A419-8C3AD591D0EE}"/>
    <hyperlink ref="A789" r:id="rId1167" display="out/パワプロ2020 - 投球解析 - 2020-08-24 12-49-17-01_out.mp4" xr:uid="{B46E3CC5-520D-43A9-9594-FD4AD9C800CE}"/>
    <hyperlink ref="B789" r:id="rId1168" display="result/パワプロ2020 - 投球解析 - 2020-08-24 12-49-17-01_ball.txt" xr:uid="{1C9B7A65-6D0D-44F7-82C4-8BE6D8A12070}"/>
    <hyperlink ref="A790" r:id="rId1169" display="out/パワプロ2020 - 投球解析 - 2020-08-24 12-49-17-02_out.mp4" xr:uid="{1052E210-C3F5-4A9D-81D1-0B6194A170EF}"/>
    <hyperlink ref="B790" r:id="rId1170" display="result/パワプロ2020 - 投球解析 - 2020-08-24 12-49-17-02_ball.txt" xr:uid="{EC21A379-CA03-481D-B47E-18E75682C8B2}"/>
    <hyperlink ref="A791" r:id="rId1171" display="out/パワプロ2020 - 投球解析 - 2020-08-24 12-49-17-03_out.mp4" xr:uid="{0A361BD4-A9AB-4CE1-BE9D-64770B7A0EE6}"/>
    <hyperlink ref="B791" r:id="rId1172" display="result/パワプロ2020 - 投球解析 - 2020-08-24 12-49-17-03_ball.txt" xr:uid="{9ABCDB32-3A05-4C49-9614-646162876F11}"/>
    <hyperlink ref="A802" r:id="rId1173" display="out/パワプロ2020 - 投球解析 - 2020-08-24 12-50-30-07_out.mp4" xr:uid="{7D6BE71B-DE9B-40B4-A7A4-62C744334174}"/>
    <hyperlink ref="B802" r:id="rId1174" display="result/パワプロ2020 - 投球解析 - 2020-08-24 12-50-30-07_ball.txt" xr:uid="{EFA91EA3-B271-4C8B-AB38-0477593EFC1B}"/>
    <hyperlink ref="A803" r:id="rId1175" display="out/パワプロ2020 - 投球解析 - 2020-08-24 12-50-30-08_out.mp4" xr:uid="{1DF3680B-A562-4A8B-B219-9F7AFDE81616}"/>
    <hyperlink ref="B803" r:id="rId1176" display="result/パワプロ2020 - 投球解析 - 2020-08-24 12-50-30-08_ball.txt" xr:uid="{A97DD661-EE84-465E-82A2-E54F8FD261AC}"/>
    <hyperlink ref="A804" r:id="rId1177" display="out/パワプロ2020 - 投球解析 - 2020-08-24 12-50-30-09_out.mp4" xr:uid="{4D8C153D-202D-4617-8365-53B03BC4B630}"/>
    <hyperlink ref="B804" r:id="rId1178" display="result/パワプロ2020 - 投球解析 - 2020-08-24 12-50-30-09_ball.txt" xr:uid="{CAAC5244-384F-4EF1-9AFD-27BC85BD974C}"/>
    <hyperlink ref="A805" r:id="rId1179" display="out/パワプロ2020 - 投球解析 - 2020-08-24 12-52-05-00_out.mp4" xr:uid="{526CA53C-2FF3-4EA2-8191-BDC068132B65}"/>
    <hyperlink ref="B805" r:id="rId1180" display="result/パワプロ2020 - 投球解析 - 2020-08-24 12-52-05-00_ball.txt" xr:uid="{D941C5C8-F51D-4FBB-A74B-F46DF4420636}"/>
    <hyperlink ref="A806" r:id="rId1181" display="out/パワプロ2020 - 投球解析 - 2020-08-24 12-52-05-01_out.mp4" xr:uid="{6BA06AF3-8374-4596-B4C2-466717DFE244}"/>
    <hyperlink ref="B806" r:id="rId1182" display="result/パワプロ2020 - 投球解析 - 2020-08-24 12-52-05-01_ball.txt" xr:uid="{6C09195E-2882-4086-860A-E25FC3896F6C}"/>
    <hyperlink ref="A807" r:id="rId1183" display="out/パワプロ2020 - 投球解析 - 2020-08-24 12-52-05-02_out.mp4" xr:uid="{C53349E4-DC35-42C0-8821-6FCA2F8A4DEC}"/>
    <hyperlink ref="B807" r:id="rId1184" display="result/パワプロ2020 - 投球解析 - 2020-08-24 12-52-05-02_ball.txt" xr:uid="{304D9DA2-079E-4554-BEC0-F8931B7CF653}"/>
    <hyperlink ref="A808" r:id="rId1185" display="out/パワプロ2020 - 投球解析 - 2020-08-24 12-52-05-03_out.mp4" xr:uid="{414ACCC1-E2FD-4BDE-9C63-841B192CF1D1}"/>
    <hyperlink ref="B808" r:id="rId1186" display="result/パワプロ2020 - 投球解析 - 2020-08-24 12-52-05-03_ball.txt" xr:uid="{E2EE54AD-C745-43A2-97DF-909B30C40F1E}"/>
    <hyperlink ref="A809" r:id="rId1187" display="out/パワプロ2020 - 投球解析 - 2020-08-24 12-52-05-04_out.mp4" xr:uid="{3BB0BCC1-72C7-4674-9943-CED8F7DE629E}"/>
    <hyperlink ref="B809" r:id="rId1188" display="result/パワプロ2020 - 投球解析 - 2020-08-24 12-52-05-04_ball.txt" xr:uid="{36A45D77-C16A-44E7-A33E-ED5C2BA0DA3D}"/>
    <hyperlink ref="A810" r:id="rId1189" display="out/パワプロ2020 - 投球解析 - 2020-08-24 12-52-05-05_out.mp4" xr:uid="{C77771EC-F09A-4F73-B230-F55C626357C4}"/>
    <hyperlink ref="B810" r:id="rId1190" display="result/パワプロ2020 - 投球解析 - 2020-08-24 12-52-05-05_ball.txt" xr:uid="{A437765E-0FF3-4A3F-A277-1F6172D93447}"/>
    <hyperlink ref="A811" r:id="rId1191" display="out/パワプロ2020 - 投球解析 - 2020-08-24 12-52-05-06_out.mp4" xr:uid="{D93DCE08-21CB-4DB0-9C59-9C31D579E663}"/>
    <hyperlink ref="B811" r:id="rId1192" display="result/パワプロ2020 - 投球解析 - 2020-08-24 12-52-05-06_ball.txt" xr:uid="{53CF1F3C-62A0-4527-89E9-99D5F41652E1}"/>
    <hyperlink ref="A812" r:id="rId1193" display="out/パワプロ2020 - 投球解析 - 2020-08-24 12-52-05-07_out.mp4" xr:uid="{5DFFA62A-A167-4A3C-B717-8F1D97271E1C}"/>
    <hyperlink ref="B812" r:id="rId1194" display="result/パワプロ2020 - 投球解析 - 2020-08-24 12-52-05-07_ball.txt" xr:uid="{47C56BAE-FE90-40DC-BD57-76A36DCCF969}"/>
    <hyperlink ref="A813" r:id="rId1195" display="out/パワプロ2020 - 投球解析 - 2020-08-24 12-52-05-08_out.mp4" xr:uid="{C23F7D2A-6E77-4933-928E-7193FCD5A1F6}"/>
    <hyperlink ref="B813" r:id="rId1196" display="result/パワプロ2020 - 投球解析 - 2020-08-24 12-52-05-08_ball.txt" xr:uid="{CE305D2D-77E2-4892-ACA2-FE2C82FAD1FA}"/>
    <hyperlink ref="A814" r:id="rId1197" display="out/パワプロ2020 - 投球解析 - 2020-08-24 12-52-05-09_out.mp4" xr:uid="{EC4B5ED0-C205-4A8F-9269-9778A444E58E}"/>
    <hyperlink ref="B814" r:id="rId1198" display="result/パワプロ2020 - 投球解析 - 2020-08-24 12-52-05-09_ball.txt" xr:uid="{E9973C8C-7D60-46D3-AD75-02F958B19884}"/>
    <hyperlink ref="A815" r:id="rId1199" display="out/パワプロ2020 - 投球解析 - 2020-08-24 12-53-43-00_out.mp4" xr:uid="{98C6C58F-91EC-49CF-9604-D85658847CEE}"/>
    <hyperlink ref="B815" r:id="rId1200" display="result/パワプロ2020 - 投球解析 - 2020-08-24 12-53-43-00_ball.txt" xr:uid="{F86734BA-ED84-454C-BB4D-0366F9771CF3}"/>
    <hyperlink ref="A816" r:id="rId1201" display="out/パワプロ2020 - 投球解析 - 2020-08-24 12-53-43-01_out.mp4" xr:uid="{DB1424CE-D19F-48A1-83E3-252CD7495D1E}"/>
    <hyperlink ref="B816" r:id="rId1202" display="result/パワプロ2020 - 投球解析 - 2020-08-24 12-53-43-01_ball.txt" xr:uid="{18469CA7-8D20-4678-A32F-0E918DDBA1AE}"/>
    <hyperlink ref="A817" r:id="rId1203" display="out/パワプロ2020 - 投球解析 - 2020-08-24 12-53-43-02_out.mp4" xr:uid="{177668D2-52D9-4CBE-8BF3-B5EA5A254AEF}"/>
    <hyperlink ref="B817" r:id="rId1204" display="result/パワプロ2020 - 投球解析 - 2020-08-24 12-53-43-02_ball.txt" xr:uid="{F22F0EE7-D370-4312-86E5-331ABD47CA84}"/>
    <hyperlink ref="A818" r:id="rId1205" display="out/パワプロ2020 - 投球解析 - 2020-08-24 12-53-43-03_out.mp4" xr:uid="{C144CBFE-AA61-4E39-8AA1-A07FA1071577}"/>
    <hyperlink ref="B818" r:id="rId1206" display="result/パワプロ2020 - 投球解析 - 2020-08-24 12-53-43-03_ball.txt" xr:uid="{692C3478-E1F5-44FE-9CF9-088D068C026C}"/>
    <hyperlink ref="A819" r:id="rId1207" display="out/パワプロ2020 - 投球解析 - 2020-08-24 12-53-43-04_out.mp4" xr:uid="{3EF18A35-C8D7-41AB-BDA2-8AC3CC3269AC}"/>
    <hyperlink ref="B819" r:id="rId1208" display="result/パワプロ2020 - 投球解析 - 2020-08-24 12-53-43-04_ball.txt" xr:uid="{53E9C3E6-C5EE-4447-B1BE-9946CF69BD18}"/>
    <hyperlink ref="A820" r:id="rId1209" display="out/パワプロ2020 - 投球解析 - 2020-08-24 12-53-43-05_out.mp4" xr:uid="{5690203C-5A23-4EB4-9309-C6C2D3A788A7}"/>
    <hyperlink ref="B820" r:id="rId1210" display="result/パワプロ2020 - 投球解析 - 2020-08-24 12-53-43-05_ball.txt" xr:uid="{38291312-CCD9-42B8-939C-4C55638C3DC1}"/>
    <hyperlink ref="A821" r:id="rId1211" display="out/パワプロ2020 - 投球解析 - 2020-08-24 12-53-43-06_out.mp4" xr:uid="{4F06216A-4A1F-4024-B134-29D678ED334A}"/>
    <hyperlink ref="B821" r:id="rId1212" display="result/パワプロ2020 - 投球解析 - 2020-08-24 12-53-43-06_ball.txt" xr:uid="{1D31CC7A-B2A1-4B29-A1F9-FCE9AAADB6C3}"/>
    <hyperlink ref="A822" r:id="rId1213" display="out/パワプロ2020 - 投球解析 - 2020-08-24 12-53-43-07_out.mp4" xr:uid="{9809ED75-E04E-4BCC-B313-BFE5EABDA487}"/>
    <hyperlink ref="B822" r:id="rId1214" display="result/パワプロ2020 - 投球解析 - 2020-08-24 12-53-43-07_ball.txt" xr:uid="{F6A587ED-13F9-4398-B3D9-DBFE494B2EBA}"/>
    <hyperlink ref="A823" r:id="rId1215" display="out/パワプロ2020 - 投球解析 - 2020-08-24 12-53-43-08_out.mp4" xr:uid="{3E83B709-8AC7-41AF-A8E8-172F40DE9AEE}"/>
    <hyperlink ref="B823" r:id="rId1216" display="result/パワプロ2020 - 投球解析 - 2020-08-24 12-53-43-08_ball.txt" xr:uid="{AA2B1A74-7599-4C5E-A6D4-39F0A6FD323A}"/>
    <hyperlink ref="A824" r:id="rId1217" display="out/パワプロ2020 - 投球解析 - 2020-08-24 12-53-43-09_out.mp4" xr:uid="{ED63EB3F-8AA4-4FAF-93E0-9EE72D774541}"/>
    <hyperlink ref="B824" r:id="rId1218" display="result/パワプロ2020 - 投球解析 - 2020-08-24 12-53-43-09_ball.txt" xr:uid="{203E43E2-9098-49D5-BF99-1731C274F8C4}"/>
    <hyperlink ref="A825" r:id="rId1219" display="out/パワプロ2020 - 投球解析 - 2020-08-24 12-55-39-00_out.mp4" xr:uid="{EA258618-F104-45C7-B85F-946F47EBBFD7}"/>
    <hyperlink ref="B825" r:id="rId1220" display="result/パワプロ2020 - 投球解析 - 2020-08-24 12-55-39-00_ball.txt" xr:uid="{E1E07BC4-08F5-4A7E-8F5F-F37AE4FBAC7B}"/>
    <hyperlink ref="A826" r:id="rId1221" display="out/パワプロ2020 - 投球解析 - 2020-08-24 12-55-39-01_out.mp4" xr:uid="{894D4703-A51B-4C13-AC9B-8BD45D6A8A8C}"/>
    <hyperlink ref="B826" r:id="rId1222" display="result/パワプロ2020 - 投球解析 - 2020-08-24 12-55-39-01_ball.txt" xr:uid="{D1EE523F-5483-4CB3-A3B9-E6AA4969758B}"/>
    <hyperlink ref="A827" r:id="rId1223" display="out/パワプロ2020 - 投球解析 - 2020-08-24 12-55-39-02_out.mp4" xr:uid="{EA4DE0A7-1F52-4FFD-A179-6196736A5E8B}"/>
    <hyperlink ref="B827" r:id="rId1224" display="result/パワプロ2020 - 投球解析 - 2020-08-24 12-55-39-02_ball.txt" xr:uid="{A62282E9-FA0F-4F05-B43A-3F66CC15CCE4}"/>
    <hyperlink ref="A828" r:id="rId1225" display="out/パワプロ2020 - 投球解析 - 2020-08-24 12-55-39-03_out.mp4" xr:uid="{9D07BB2F-C523-4DE4-AF00-48FC41D8F24D}"/>
    <hyperlink ref="B828" r:id="rId1226" display="result/パワプロ2020 - 投球解析 - 2020-08-24 12-55-39-03_ball.txt" xr:uid="{8E4995A4-2390-42A2-A4F3-2A27775A536A}"/>
    <hyperlink ref="A829" r:id="rId1227" display="out/パワプロ2020 - 投球解析 - 2020-08-24 12-55-39-04_out.mp4" xr:uid="{01CC31B2-6F30-4CBD-A19D-A465FE555852}"/>
    <hyperlink ref="B829" r:id="rId1228" display="result/パワプロ2020 - 投球解析 - 2020-08-24 12-55-39-04_ball.txt" xr:uid="{68578DAD-C758-4723-822B-8C8B1D0AC2C1}"/>
    <hyperlink ref="A830" r:id="rId1229" display="out/パワプロ2020 - 投球解析 - 2020-08-24 12-55-39-05_out.mp4" xr:uid="{F82D636A-E9AA-49C0-B7B7-EB5D43F32C3A}"/>
    <hyperlink ref="B830" r:id="rId1230" display="result/パワプロ2020 - 投球解析 - 2020-08-24 12-55-39-05_ball.txt" xr:uid="{F156C897-027F-4C5A-9643-4490B00E106A}"/>
    <hyperlink ref="A841" r:id="rId1231" display="out/パワプロ2020 - 投球解析 - 2020-08-24 12-58-52-06_out.mp4" xr:uid="{DE0939A8-862A-4AA8-B6FE-E2D518CCA2C3}"/>
    <hyperlink ref="B841" r:id="rId1232" display="result/パワプロ2020 - 投球解析 - 2020-08-24 12-58-52-06_ball.txt" xr:uid="{B4E6D6B8-64A2-408E-A238-ADC2432B1730}"/>
    <hyperlink ref="A842" r:id="rId1233" display="out/パワプロ2020 - 投球解析 - 2020-08-24 12-58-52-07_out.mp4" xr:uid="{1A774284-B215-47DE-A856-4F872127A2AB}"/>
    <hyperlink ref="B842" r:id="rId1234" display="result/パワプロ2020 - 投球解析 - 2020-08-24 12-58-52-07_ball.txt" xr:uid="{276A4666-6501-4D53-BF6C-4C88ED5DBD5D}"/>
    <hyperlink ref="A843" r:id="rId1235" display="out/パワプロ2020 - 投球解析 - 2020-08-24 12-58-52-08_out.mp4" xr:uid="{04A34C5E-035D-4B78-B34A-D6D6401D13FE}"/>
    <hyperlink ref="B843" r:id="rId1236" display="result/パワプロ2020 - 投球解析 - 2020-08-24 12-58-52-08_ball.txt" xr:uid="{814DF4D6-B2E1-4460-8223-8A043BFFBD86}"/>
    <hyperlink ref="A844" r:id="rId1237" display="out/パワプロ2020 - 投球解析 - 2020-08-24 12-58-52-09_out.mp4" xr:uid="{6987EC00-05A7-45AA-A1B7-3F432E0ED4C7}"/>
    <hyperlink ref="B844" r:id="rId1238" display="result/パワプロ2020 - 投球解析 - 2020-08-24 12-58-52-09_ball.txt" xr:uid="{51B587C2-713D-43A1-B220-54EE58CCF1C2}"/>
    <hyperlink ref="A845" r:id="rId1239" display="out/パワプロ2020 - 投球解析 - 2020-08-24 13-00-20-00_out.mp4" xr:uid="{44F033E5-0A4D-4255-90CB-9722EED9FD4E}"/>
    <hyperlink ref="B845" r:id="rId1240" display="result/パワプロ2020 - 投球解析 - 2020-08-24 13-00-20-00_ball.txt" xr:uid="{231FD6C4-73FD-4CA9-9048-70CE3980DA12}"/>
    <hyperlink ref="A846" r:id="rId1241" display="out/パワプロ2020 - 投球解析 - 2020-08-24 13-00-20-01_out.mp4" xr:uid="{647BEC2F-CC3E-463F-9C44-9C96749846DA}"/>
    <hyperlink ref="B846" r:id="rId1242" display="result/パワプロ2020 - 投球解析 - 2020-08-24 13-00-20-01_ball.txt" xr:uid="{EB1845F3-118C-4C35-AC71-036596811BE1}"/>
    <hyperlink ref="A847" r:id="rId1243" display="out/パワプロ2020 - 投球解析 - 2020-08-24 13-00-20-02_out.mp4" xr:uid="{29F1BB41-F0F6-4D20-A0C5-31638C6477D6}"/>
    <hyperlink ref="B847" r:id="rId1244" display="result/パワプロ2020 - 投球解析 - 2020-08-24 13-00-20-02_ball.txt" xr:uid="{86CA927C-7880-4AF8-8240-F1B216E45531}"/>
    <hyperlink ref="A848" r:id="rId1245" display="out/パワプロ2020 - 投球解析 - 2020-08-24 13-00-20-03_out.mp4" xr:uid="{8ED34515-ACDF-45B6-A43D-CB5113EC5D67}"/>
    <hyperlink ref="B848" r:id="rId1246" display="result/パワプロ2020 - 投球解析 - 2020-08-24 13-00-20-03_ball.txt" xr:uid="{EBB54A29-790F-4BC3-A703-3B92F556BA85}"/>
    <hyperlink ref="A849" r:id="rId1247" display="out/パワプロ2020 - 投球解析 - 2020-08-24 13-00-20-04_out.mp4" xr:uid="{E025A81D-2415-46F4-B8B9-6B9980AFD0AC}"/>
    <hyperlink ref="B849" r:id="rId1248" display="result/パワプロ2020 - 投球解析 - 2020-08-24 13-00-20-04_ball.txt" xr:uid="{1F93D784-B7CB-43A6-B85A-6D95CC3064D3}"/>
    <hyperlink ref="A850" r:id="rId1249" display="out/パワプロ2020 - 投球解析 - 2020-08-24 13-00-20-05_out.mp4" xr:uid="{96E51E91-7681-48D9-B43D-9F2318FD818C}"/>
    <hyperlink ref="B850" r:id="rId1250" display="result/パワプロ2020 - 投球解析 - 2020-08-24 13-00-20-05_ball.txt" xr:uid="{4B5557F2-1538-4AD4-95CB-D5F7B7054847}"/>
    <hyperlink ref="A851" r:id="rId1251" display="out/パワプロ2020 - 投球解析 - 2020-08-24 13-00-20-06_out.mp4" xr:uid="{A0A2F911-E03A-4D89-83F4-9F83424313C4}"/>
    <hyperlink ref="B851" r:id="rId1252" display="result/パワプロ2020 - 投球解析 - 2020-08-24 13-00-20-06_ball.txt" xr:uid="{E609B286-2079-48FE-9986-6216CCA76B56}"/>
    <hyperlink ref="A852" r:id="rId1253" display="out/パワプロ2020 - 投球解析 - 2020-08-24 13-00-20-07_out.mp4" xr:uid="{3B1D6C16-1D8F-47F0-B009-1ACBEBEDC812}"/>
    <hyperlink ref="B852" r:id="rId1254" display="result/パワプロ2020 - 投球解析 - 2020-08-24 13-00-20-07_ball.txt" xr:uid="{CB03A321-FC19-4001-8462-BF93D3AB7AF3}"/>
    <hyperlink ref="A853" r:id="rId1255" display="out/パワプロ2020 - 投球解析 - 2020-08-24 13-00-20-08_out.mp4" xr:uid="{88FB4F7F-C161-48F0-8A49-53C0D625BF40}"/>
    <hyperlink ref="B853" r:id="rId1256" display="result/パワプロ2020 - 投球解析 - 2020-08-24 13-00-20-08_ball.txt" xr:uid="{C2856A70-5618-44FC-9E9A-AF5D99A4FCAB}"/>
    <hyperlink ref="A854" r:id="rId1257" display="out/パワプロ2020 - 投球解析 - 2020-08-24 13-02-04-00_out.mp4" xr:uid="{13B6E6B1-1671-49FC-96AE-8E34F92121F1}"/>
    <hyperlink ref="B854" r:id="rId1258" display="result/パワプロ2020 - 投球解析 - 2020-08-24 13-02-04-00_ball.txt" xr:uid="{7A908111-894D-43FC-AB92-3EBD7EEC82C4}"/>
    <hyperlink ref="A855" r:id="rId1259" display="out/パワプロ2020 - 投球解析 - 2020-08-24 13-02-04-01_out.mp4" xr:uid="{0D8F4BEF-32D1-4526-AC52-182A1045CE15}"/>
    <hyperlink ref="B855" r:id="rId1260" display="result/パワプロ2020 - 投球解析 - 2020-08-24 13-02-04-01_ball.txt" xr:uid="{13988A09-03FB-4487-9857-791AD75D08BB}"/>
    <hyperlink ref="A856" r:id="rId1261" display="out/パワプロ2020 - 投球解析 - 2020-08-24 13-02-04-02_out.mp4" xr:uid="{70D48998-B73C-4C6B-95E3-9E1566FD0CF9}"/>
    <hyperlink ref="B856" r:id="rId1262" display="result/パワプロ2020 - 投球解析 - 2020-08-24 13-02-04-02_ball.txt" xr:uid="{C313EE27-19E0-4A1F-992E-81699B3FD19B}"/>
    <hyperlink ref="A857" r:id="rId1263" display="out/パワプロ2020 - 投球解析 - 2020-08-24 13-02-04-03_out.mp4" xr:uid="{8DFA47F1-E1AF-413C-8B9F-BCD6F470CACF}"/>
    <hyperlink ref="B857" r:id="rId1264" display="result/パワプロ2020 - 投球解析 - 2020-08-24 13-02-04-03_ball.txt" xr:uid="{CAEC86E7-B460-4446-847D-11EB0D30AFD4}"/>
    <hyperlink ref="A858" r:id="rId1265" display="out/パワプロ2020 - 投球解析 - 2020-08-24 13-02-04-04_out.mp4" xr:uid="{4F22C7FC-6AEC-4A7B-BB4E-83E1EA0336C5}"/>
    <hyperlink ref="B858" r:id="rId1266" display="result/パワプロ2020 - 投球解析 - 2020-08-24 13-02-04-04_ball.txt" xr:uid="{09018F0C-1560-4DC5-B715-B875394B6D67}"/>
    <hyperlink ref="A859" r:id="rId1267" display="out/パワプロ2020 - 投球解析 - 2020-08-24 13-02-04-05_out.mp4" xr:uid="{A8D277C5-617E-4747-A10C-59ADF5510521}"/>
    <hyperlink ref="B859" r:id="rId1268" display="result/パワプロ2020 - 投球解析 - 2020-08-24 13-02-04-05_ball.txt" xr:uid="{EF5EFEDF-348E-4E13-B4E4-532E73899E5A}"/>
    <hyperlink ref="A860" r:id="rId1269" display="out/パワプロ2020 - 投球解析 - 2020-08-24 13-02-04-06_out.mp4" xr:uid="{8AC52F22-420B-4EA7-AD62-F1F9EA673CB7}"/>
    <hyperlink ref="B860" r:id="rId1270" display="result/パワプロ2020 - 投球解析 - 2020-08-24 13-02-04-06_ball.txt" xr:uid="{CE18500A-4590-4080-98AE-A008758BA591}"/>
    <hyperlink ref="A861" r:id="rId1271" display="out/パワプロ2020 - 投球解析 - 2020-08-24 13-02-04-07_out.mp4" xr:uid="{AAF6392D-A00F-4BED-B3E3-5D21D086A1AC}"/>
    <hyperlink ref="B861" r:id="rId1272" display="result/パワプロ2020 - 投球解析 - 2020-08-24 13-02-04-07_ball.txt" xr:uid="{4813E5E2-08C7-484A-B8B6-DA5DDCDC7201}"/>
    <hyperlink ref="A862" r:id="rId1273" display="out/パワプロ2020 - 投球解析 - 2020-08-24 13-02-04-08_out.mp4" xr:uid="{BC9CC28E-E073-4D0F-88B0-70C7A083CDA2}"/>
    <hyperlink ref="B862" r:id="rId1274" display="result/パワプロ2020 - 投球解析 - 2020-08-24 13-02-04-08_ball.txt" xr:uid="{DCBDBD8D-081A-4023-81F1-0D68C7FD285E}"/>
    <hyperlink ref="A863" r:id="rId1275" display="out/パワプロ2020 - 投球解析 - 2020-08-24 13-02-04-09_out.mp4" xr:uid="{8F249E4C-DE2F-4813-AF3B-C925F186372E}"/>
    <hyperlink ref="B863" r:id="rId1276" display="result/パワプロ2020 - 投球解析 - 2020-08-24 13-02-04-09_ball.txt" xr:uid="{11FF42F9-B782-440C-9C9E-DEE471816644}"/>
    <hyperlink ref="A864" r:id="rId1277" display="out/パワプロ2020 - 投球解析 - 2020-08-24 13-03-51-00_out.mp4" xr:uid="{5B3D4DB9-8B15-48CC-B79F-EBC22E2C68C8}"/>
    <hyperlink ref="B864" r:id="rId1278" display="result/パワプロ2020 - 投球解析 - 2020-08-24 13-03-51-00_ball.txt" xr:uid="{1B619702-A505-481A-BEF1-BD76089F4A55}"/>
    <hyperlink ref="A865" r:id="rId1279" display="out/パワプロ2020 - 投球解析 - 2020-08-24 13-03-51-01_out.mp4" xr:uid="{F300AA5C-6E57-488A-93F3-7DE850D5B5EA}"/>
    <hyperlink ref="B865" r:id="rId1280" display="result/パワプロ2020 - 投球解析 - 2020-08-24 13-03-51-01_ball.txt" xr:uid="{2A5DE2A9-684A-41D5-8D83-19D18042F5D1}"/>
    <hyperlink ref="A866" r:id="rId1281" display="out/パワプロ2020 - 投球解析 - 2020-08-24 13-03-51-02_out.mp4" xr:uid="{0C0AE348-43D4-49CA-BD07-94BDB9E7966A}"/>
    <hyperlink ref="B866" r:id="rId1282" display="result/パワプロ2020 - 投球解析 - 2020-08-24 13-03-51-02_ball.txt" xr:uid="{82390A30-F49A-4110-B4DD-82B083A21F05}"/>
    <hyperlink ref="A867" r:id="rId1283" display="out/パワプロ2020 - 投球解析 - 2020-08-24 13-03-51-03_out.mp4" xr:uid="{5735ADE3-BCCA-4BD3-A8CF-1848EC9890A5}"/>
    <hyperlink ref="B867" r:id="rId1284" display="result/パワプロ2020 - 投球解析 - 2020-08-24 13-03-51-03_ball.txt" xr:uid="{A93D81D0-9131-4B9D-B164-FC13E5C06861}"/>
    <hyperlink ref="A868" r:id="rId1285" display="out/パワプロ2020 - 投球解析 - 2020-08-24 13-03-51-04_out.mp4" xr:uid="{DE152AFE-9EC9-4EC8-8A90-5D3746876620}"/>
    <hyperlink ref="B868" r:id="rId1286" display="result/パワプロ2020 - 投球解析 - 2020-08-24 13-03-51-04_ball.txt" xr:uid="{737AB501-E4F9-4DBE-99F3-AEC411EF765F}"/>
    <hyperlink ref="A869" r:id="rId1287" display="out/パワプロ2020 - 投球解析 - 2020-08-24 13-03-51-05_out.mp4" xr:uid="{D4BE7384-317D-497D-93F7-256B2D968E5B}"/>
    <hyperlink ref="B869" r:id="rId1288" display="result/パワプロ2020 - 投球解析 - 2020-08-24 13-03-51-05_ball.txt" xr:uid="{CCFF04D0-2155-40AC-885A-37028DFF8D41}"/>
    <hyperlink ref="A870" r:id="rId1289" display="out/パワプロ2020 - 投球解析 - 2020-08-24 13-03-51-06_out.mp4" xr:uid="{C4E06867-4D2D-4AF0-84EE-C289F9C076EE}"/>
    <hyperlink ref="B870" r:id="rId1290" display="result/パワプロ2020 - 投球解析 - 2020-08-24 13-03-51-06_ball.txt" xr:uid="{44332250-35E4-4061-BA85-E77A372A2364}"/>
    <hyperlink ref="A881" r:id="rId1291" display="out/パワプロ2020 - 投球解析 - 2020-08-24 13-05-36-07_out.mp4" xr:uid="{374339AF-4A71-4657-AE19-176768C39F3A}"/>
    <hyperlink ref="B881" r:id="rId1292" display="result/パワプロ2020 - 投球解析 - 2020-08-24 13-05-36-07_ball.txt" xr:uid="{371C1C57-FA8F-425C-8D92-907BCBEEE98B}"/>
    <hyperlink ref="A882" r:id="rId1293" display="out/パワプロ2020 - 投球解析 - 2020-08-24 13-05-36-08_out.mp4" xr:uid="{F29A57C2-29E8-4EC0-A574-5551B172DFF9}"/>
    <hyperlink ref="B882" r:id="rId1294" display="result/パワプロ2020 - 投球解析 - 2020-08-24 13-05-36-08_ball.txt" xr:uid="{298F6FF6-8D52-4261-B87E-6F926FEFD9FC}"/>
    <hyperlink ref="A883" r:id="rId1295" display="out/パワプロ2020 - 投球解析 - 2020-08-24 13-05-36-09_out.mp4" xr:uid="{7C934ECD-9D9C-4238-98C0-0DF2828B1F7E}"/>
    <hyperlink ref="B883" r:id="rId1296" display="result/パワプロ2020 - 投球解析 - 2020-08-24 13-05-36-09_ball.txt" xr:uid="{43214B2C-DCF1-4B2D-986C-53C42086CACA}"/>
    <hyperlink ref="A884" r:id="rId1297" display="out/パワプロ2020 - 投球解析 - 2020-08-24 13-05-36-10_out.mp4" xr:uid="{B783453F-BFC6-43A5-84ED-E790685B3A8A}"/>
    <hyperlink ref="B884" r:id="rId1298" display="result/パワプロ2020 - 投球解析 - 2020-08-24 13-05-36-10_ball.txt" xr:uid="{32BB187C-207F-42FE-99CF-3357B10FB829}"/>
    <hyperlink ref="A885" r:id="rId1299" display="out/パワプロ2020 - 投球解析 - 2020-08-24 13-07-27-00_out.mp4" xr:uid="{D87EB8B0-9254-489A-95DE-A4E24A0AE0A9}"/>
    <hyperlink ref="B885" r:id="rId1300" display="result/パワプロ2020 - 投球解析 - 2020-08-24 13-07-27-00_ball.txt" xr:uid="{0ACC803A-EFA3-404B-A980-E19FD1D0A7E1}"/>
    <hyperlink ref="A886" r:id="rId1301" display="out/パワプロ2020 - 投球解析 - 2020-08-24 13-07-27-01_out.mp4" xr:uid="{EEE95B03-14B6-49CA-8AAD-F4E3004000D3}"/>
    <hyperlink ref="B886" r:id="rId1302" display="result/パワプロ2020 - 投球解析 - 2020-08-24 13-07-27-01_ball.txt" xr:uid="{47203FB9-F8EA-4AA8-8A84-4F6C3F9CA7D5}"/>
    <hyperlink ref="A887" r:id="rId1303" display="out/パワプロ2020 - 投球解析 - 2020-08-24 13-07-27-02_out.mp4" xr:uid="{F80DF8EB-96DC-4437-8D41-B7081D714399}"/>
    <hyperlink ref="B887" r:id="rId1304" display="result/パワプロ2020 - 投球解析 - 2020-08-24 13-07-27-02_ball.txt" xr:uid="{2646849F-9B91-4DF2-8432-8BF32356F57E}"/>
    <hyperlink ref="A888" r:id="rId1305" display="out/パワプロ2020 - 投球解析 - 2020-08-24 13-07-27-03_out.mp4" xr:uid="{AA08C65A-F7B2-4ED9-9D92-D8A594047903}"/>
    <hyperlink ref="B888" r:id="rId1306" display="result/パワプロ2020 - 投球解析 - 2020-08-24 13-07-27-03_ball.txt" xr:uid="{03283429-8770-4249-B927-FF797933D4BB}"/>
    <hyperlink ref="A889" r:id="rId1307" display="out/パワプロ2020 - 投球解析 - 2020-08-24 13-07-27-04_out.mp4" xr:uid="{2F24EB53-3CD2-4D7C-BAD2-B7256C5A167E}"/>
    <hyperlink ref="B889" r:id="rId1308" display="result/パワプロ2020 - 投球解析 - 2020-08-24 13-07-27-04_ball.txt" xr:uid="{89CF96F5-44B8-4AF5-98D2-631256D87280}"/>
    <hyperlink ref="A890" r:id="rId1309" display="out/パワプロ2020 - 投球解析 - 2020-08-24 13-07-27-05_out.mp4" xr:uid="{63F2E422-6D01-4121-9F99-5449143366B3}"/>
    <hyperlink ref="B890" r:id="rId1310" display="result/パワプロ2020 - 投球解析 - 2020-08-24 13-07-27-05_ball.txt" xr:uid="{C6888642-94AB-4B99-AC8F-D2189EBFE3BA}"/>
    <hyperlink ref="A891" r:id="rId1311" display="out/パワプロ2020 - 投球解析 - 2020-08-24 13-07-27-06_out.mp4" xr:uid="{AD41CAA8-CAB9-497D-AB96-1EE6CD9A8D3A}"/>
    <hyperlink ref="B891" r:id="rId1312" display="result/パワプロ2020 - 投球解析 - 2020-08-24 13-07-27-06_ball.txt" xr:uid="{CBA778AE-8592-4717-AA09-0D66EA2D10AB}"/>
    <hyperlink ref="A892" r:id="rId1313" display="out/パワプロ2020 - 投球解析 - 2020-08-24 13-07-27-07_out.mp4" xr:uid="{51B56729-90EB-4D4D-9444-38E633F9DA18}"/>
    <hyperlink ref="B892" r:id="rId1314" display="result/パワプロ2020 - 投球解析 - 2020-08-24 13-07-27-07_ball.txt" xr:uid="{A53E3DE5-65AC-4A6B-A609-0F13985886E5}"/>
    <hyperlink ref="A893" r:id="rId1315" display="out/パワプロ2020 - 投球解析 - 2020-08-24 13-07-27-08_out.mp4" xr:uid="{CDB357E5-AF28-46AB-9125-90081F1B6D76}"/>
    <hyperlink ref="B893" r:id="rId1316" display="result/パワプロ2020 - 投球解析 - 2020-08-24 13-07-27-08_ball.txt" xr:uid="{817DBA29-233A-42B4-B64A-A2A66CF28B55}"/>
    <hyperlink ref="A894" r:id="rId1317" display="out/パワプロ2020 - 投球解析 - 2020-08-24 13-09-18-00_out.mp4" xr:uid="{82245EDE-394E-4EF7-BD10-1C589DA92E2F}"/>
    <hyperlink ref="B894" r:id="rId1318" display="result/パワプロ2020 - 投球解析 - 2020-08-24 13-09-18-00_ball.txt" xr:uid="{F9ADCF6F-AEC2-4A6B-8CAA-B6147C14B94B}"/>
    <hyperlink ref="A895" r:id="rId1319" display="out/パワプロ2020 - 投球解析 - 2020-08-24 13-09-18-01_out.mp4" xr:uid="{FB85FC23-E7A2-459A-8810-0972B1765656}"/>
    <hyperlink ref="B895" r:id="rId1320" display="result/パワプロ2020 - 投球解析 - 2020-08-24 13-09-18-01_ball.txt" xr:uid="{5EFE7A4B-0B5C-453A-8632-83A095C8D24D}"/>
    <hyperlink ref="A896" r:id="rId1321" display="out/パワプロ2020 - 投球解析 - 2020-08-24 13-09-18-02_out.mp4" xr:uid="{D77CAF31-D3B9-41B5-AB40-0EBC07CBA50F}"/>
    <hyperlink ref="B896" r:id="rId1322" display="result/パワプロ2020 - 投球解析 - 2020-08-24 13-09-18-02_ball.txt" xr:uid="{2450483E-2CAD-4FED-97D8-EE2D13AD62EB}"/>
    <hyperlink ref="A897" r:id="rId1323" display="out/パワプロ2020 - 投球解析 - 2020-08-24 13-09-18-03_out.mp4" xr:uid="{A140C898-45FD-4974-AD04-37177C262D21}"/>
    <hyperlink ref="B897" r:id="rId1324" display="result/パワプロ2020 - 投球解析 - 2020-08-24 13-09-18-03_ball.txt" xr:uid="{62C59D96-1204-44B0-B226-4C268E0AFF2B}"/>
    <hyperlink ref="A898" r:id="rId1325" display="out/パワプロ2020 - 投球解析 - 2020-08-24 13-09-18-04_out.mp4" xr:uid="{60EA28E6-EA1C-465C-97A0-FC892AF73A0D}"/>
    <hyperlink ref="B898" r:id="rId1326" display="result/パワプロ2020 - 投球解析 - 2020-08-24 13-09-18-04_ball.txt" xr:uid="{2BB80C51-4793-4335-A860-510E9F008CF0}"/>
    <hyperlink ref="A899" r:id="rId1327" display="out/パワプロ2020 - 投球解析 - 2020-08-24 13-09-18-05_out.mp4" xr:uid="{199C0167-C7AF-49C9-876E-EC5EC1C5A11D}"/>
    <hyperlink ref="B899" r:id="rId1328" display="result/パワプロ2020 - 投球解析 - 2020-08-24 13-09-18-05_ball.txt" xr:uid="{5AF47F4D-F2E5-43B9-92B0-F5FE5FB2F4E1}"/>
    <hyperlink ref="A900" r:id="rId1329" display="out/パワプロ2020 - 投球解析 - 2020-08-24 13-09-18-06_out.mp4" xr:uid="{50DF291F-8273-402D-8491-EB4EC8941A54}"/>
    <hyperlink ref="B900" r:id="rId1330" display="result/パワプロ2020 - 投球解析 - 2020-08-24 13-09-18-06_ball.txt" xr:uid="{02D5FB80-5E33-4BF5-A0BA-F5CED12ACA37}"/>
    <hyperlink ref="A901" r:id="rId1331" display="out/パワプロ2020 - 投球解析 - 2020-08-24 13-09-18-07_out.mp4" xr:uid="{0868ED7F-BEA1-4BE7-8128-E68617DA851E}"/>
    <hyperlink ref="B901" r:id="rId1332" display="result/パワプロ2020 - 投球解析 - 2020-08-24 13-09-18-07_ball.txt" xr:uid="{9C93C10E-7D95-4287-B1B1-A4F6CF61AA99}"/>
    <hyperlink ref="A902" r:id="rId1333" display="out/パワプロ2020 - 投球解析 - 2020-08-24 13-09-18-08_out.mp4" xr:uid="{8AD0C930-0046-4DAB-A1C6-5E26378531D5}"/>
    <hyperlink ref="B902" r:id="rId1334" display="result/パワプロ2020 - 投球解析 - 2020-08-24 13-09-18-08_ball.txt" xr:uid="{90D40C1D-6086-48F7-B1C0-1B52993E1450}"/>
    <hyperlink ref="A903" r:id="rId1335" display="out/パワプロ2020 - 投球解析 - 2020-08-24 13-09-18-09_out.mp4" xr:uid="{77DC09A7-D05A-470B-B721-24E68903B3BE}"/>
    <hyperlink ref="B903" r:id="rId1336" display="result/パワプロ2020 - 投球解析 - 2020-08-24 13-09-18-09_ball.txt" xr:uid="{C65E39BB-DF91-489C-9146-02CE9B1FF008}"/>
    <hyperlink ref="A904" r:id="rId1337" display="out/パワプロ2020 - 投球解析 - 2020-08-24 13-09-18-10_out.mp4" xr:uid="{3C37C1F0-6416-4302-BDF3-90E10B79392A}"/>
    <hyperlink ref="B904" r:id="rId1338" display="result/パワプロ2020 - 投球解析 - 2020-08-24 13-09-18-10_ball.txt" xr:uid="{62291348-EAFA-4738-94B3-49D277C5A528}"/>
    <hyperlink ref="A905" r:id="rId1339" display="out/パワプロ2020 - 投球解析 - 2020-08-24 13-09-18-11_out.mp4" xr:uid="{EA5F6EFF-DB61-4F96-9714-F8D4D2452C5C}"/>
    <hyperlink ref="B905" r:id="rId1340" display="result/パワプロ2020 - 投球解析 - 2020-08-24 13-09-18-11_ball.txt" xr:uid="{E740CAB2-67E0-4E7F-AA1D-50E37DEEBB38}"/>
    <hyperlink ref="A906" r:id="rId1341" display="out/パワプロ2020 - 投球解析 - 2020-08-24 13-09-18-12_out.mp4" xr:uid="{D6D2CBD6-BC73-4F86-B819-B209792F56D8}"/>
    <hyperlink ref="B906" r:id="rId1342" display="result/パワプロ2020 - 投球解析 - 2020-08-24 13-09-18-12_ball.txt" xr:uid="{08212345-D938-44AC-9F26-DC32907275B4}"/>
    <hyperlink ref="A907" r:id="rId1343" display="out/パワプロ2020 - 投球解析 - 2020-08-24 13-14-19-00_out.mp4" xr:uid="{41369507-5545-4157-B8EF-6DBC8E578AAF}"/>
    <hyperlink ref="B907" r:id="rId1344" display="result/パワプロ2020 - 投球解析 - 2020-08-24 13-14-19-00_ball.txt" xr:uid="{A74A1777-90BC-4C71-9707-D0A087B1E2F5}"/>
    <hyperlink ref="A908" r:id="rId1345" display="out/パワプロ2020 - 投球解析 - 2020-08-24 13-14-19-01_out.mp4" xr:uid="{1D603F3A-989F-427D-9BF5-E77667F46D8A}"/>
    <hyperlink ref="B908" r:id="rId1346" display="result/パワプロ2020 - 投球解析 - 2020-08-24 13-14-19-01_ball.txt" xr:uid="{C17651B0-9202-4B6F-BEFE-4C7A91C87284}"/>
    <hyperlink ref="A909" r:id="rId1347" display="out/パワプロ2020 - 投球解析 - 2020-08-24 13-14-19-02_out.mp4" xr:uid="{C40D9DA2-45F9-4E38-865E-4143117730C4}"/>
    <hyperlink ref="B909" r:id="rId1348" display="result/パワプロ2020 - 投球解析 - 2020-08-24 13-14-19-02_ball.txt" xr:uid="{ACC27FA2-1FC4-4BCB-A44B-71A2BD4F1A43}"/>
    <hyperlink ref="A2" r:id="rId1349" display="out/パワプロ2020 - 投球解析 - 2020-08-23 11-08-57-00_out.mp4" xr:uid="{FD8D47CB-780E-4849-883F-E2F9A062A047}"/>
    <hyperlink ref="B2" r:id="rId1350" display="result/パワプロ2020 - 投球解析 - 2020-08-23 11-08-57-00_ball.txt" xr:uid="{C7E12DD1-BBC0-4FC0-9038-027EDF19CB81}"/>
    <hyperlink ref="A3" r:id="rId1351" display="out/パワプロ2020 - 投球解析 - 2020-08-23 11-08-57-01_out.mp4" xr:uid="{582AEF62-5D2A-453D-9FB1-AAD2A340F536}"/>
    <hyperlink ref="B3" r:id="rId1352" display="result/パワプロ2020 - 投球解析 - 2020-08-23 11-08-57-01_ball.txt" xr:uid="{1652F44A-1208-4A35-A236-BAA9DADECE45}"/>
    <hyperlink ref="A4" r:id="rId1353" display="out/パワプロ2020 - 投球解析 - 2020-08-23 11-08-57-02_out.mp4" xr:uid="{04A92E0F-1FBD-4982-9140-895D9C682411}"/>
    <hyperlink ref="B4" r:id="rId1354" display="result/パワプロ2020 - 投球解析 - 2020-08-23 11-08-57-02_ball.txt" xr:uid="{EAE94ADB-43FA-4310-BCE2-E4511E2143EC}"/>
    <hyperlink ref="A5" r:id="rId1355" display="out/パワプロ2020 - 投球解析 - 2020-08-23 11-08-57-03_out.mp4" xr:uid="{E84DC5C0-B6FA-4622-B23F-6A237C67FB32}"/>
    <hyperlink ref="B5" r:id="rId1356" display="result/パワプロ2020 - 投球解析 - 2020-08-23 11-08-57-03_ball.txt" xr:uid="{ADF46AF4-4D82-45C8-B9AE-A2B53D4A6FA4}"/>
    <hyperlink ref="A6" r:id="rId1357" display="out/パワプロ2020 - 投球解析 - 2020-08-23 11-08-57-04_out.mp4" xr:uid="{C32F72D0-328F-4C1E-ADDC-3C7A9D4BEC77}"/>
    <hyperlink ref="B6" r:id="rId1358" display="result/パワプロ2020 - 投球解析 - 2020-08-23 11-08-57-04_ball.txt" xr:uid="{772BA2A9-E41A-4B87-8E4E-06B6ABF780B5}"/>
    <hyperlink ref="A7" r:id="rId1359" display="out/パワプロ2020 - 投球解析 - 2020-08-23 11-08-57-05_out.mp4" xr:uid="{851A8E6B-07CF-4109-A791-F81082BD8D2E}"/>
    <hyperlink ref="B7" r:id="rId1360" display="result/パワプロ2020 - 投球解析 - 2020-08-23 11-08-57-05_ball.txt" xr:uid="{E6654A0F-7CA2-4FBA-A94D-19546314A5D1}"/>
    <hyperlink ref="A8" r:id="rId1361" display="out/パワプロ2020 - 投球解析 - 2020-08-23 11-08-57-06_out.mp4" xr:uid="{4DF58097-7D8E-4F27-BFFF-0B755CE928F0}"/>
    <hyperlink ref="B8" r:id="rId1362" display="result/パワプロ2020 - 投球解析 - 2020-08-23 11-08-57-06_ball.txt" xr:uid="{B1E4EA12-7495-4210-9C72-CAB9CB166071}"/>
    <hyperlink ref="A9" r:id="rId1363" display="out/パワプロ2020 - 投球解析 - 2020-08-23 11-08-57-07_out.mp4" xr:uid="{76F693CA-8580-404E-ABB0-30E7683D48FC}"/>
    <hyperlink ref="B9" r:id="rId1364" display="result/パワプロ2020 - 投球解析 - 2020-08-23 11-08-57-07_ball.txt" xr:uid="{F7FC9B20-0A16-49AC-9B99-7B387A5F3194}"/>
    <hyperlink ref="A10" r:id="rId1365" display="out/パワプロ2020 - 投球解析 - 2020-08-23 11-08-57-08_out.mp4" xr:uid="{8C1C54F9-1A5F-4F51-851B-4393FB507154}"/>
    <hyperlink ref="B10" r:id="rId1366" display="result/パワプロ2020 - 投球解析 - 2020-08-23 11-08-57-08_ball.txt" xr:uid="{25A11674-99CA-40D6-8349-0C0391C075CB}"/>
    <hyperlink ref="A11" r:id="rId1367" display="out/パワプロ2020 - 投球解析 - 2020-08-23 11-08-57-09_out.mp4" xr:uid="{FB88503D-A87F-4D38-B9CD-B7DD9B22C587}"/>
    <hyperlink ref="B11" r:id="rId1368" display="result/パワプロ2020 - 投球解析 - 2020-08-23 11-08-57-09_ball.txt" xr:uid="{F0FBBF9C-296A-4313-B4F2-518019306C8D}"/>
    <hyperlink ref="A72" r:id="rId1369" display="out/パワプロ2020 - 投球解析 - 2020-08-23 14-03-42-00_out.mp4" xr:uid="{8C33905C-8A3A-4C72-A5AE-880CC7678D48}"/>
    <hyperlink ref="B72" r:id="rId1370" display="result/パワプロ2020 - 投球解析 - 2020-08-23 14-03-42-00_ball.txt" xr:uid="{3562C398-CF04-4902-84A4-AA5660292242}"/>
    <hyperlink ref="A73" r:id="rId1371" display="out/パワプロ2020 - 投球解析 - 2020-08-23 14-03-42-01_out.mp4" xr:uid="{6405146D-A57B-4F28-A7C1-8CD4CEDDAC39}"/>
    <hyperlink ref="B73" r:id="rId1372" display="result/パワプロ2020 - 投球解析 - 2020-08-23 14-03-42-01_ball.txt" xr:uid="{E04885E0-2884-4196-823F-083C1F6B76F6}"/>
    <hyperlink ref="A74" r:id="rId1373" display="out/パワプロ2020 - 投球解析 - 2020-08-23 14-03-42-02_out.mp4" xr:uid="{D7F98B4C-F51D-49CB-8880-55BD585957B5}"/>
    <hyperlink ref="B74" r:id="rId1374" display="result/パワプロ2020 - 投球解析 - 2020-08-23 14-03-42-02_ball.txt" xr:uid="{CF738FEE-FF4A-469F-B474-AD8DFFEA6C75}"/>
    <hyperlink ref="A75" r:id="rId1375" display="out/パワプロ2020 - 投球解析 - 2020-08-23 14-03-42-03_out.mp4" xr:uid="{9B7688AB-E8C8-4EEF-B555-B55CD58B897D}"/>
    <hyperlink ref="B75" r:id="rId1376" display="result/パワプロ2020 - 投球解析 - 2020-08-23 14-03-42-03_ball.txt" xr:uid="{00F1D8B9-D7FE-4739-962D-3160BC40CD4E}"/>
    <hyperlink ref="A76" r:id="rId1377" display="out/パワプロ2020 - 投球解析 - 2020-08-23 14-03-42-04_out.mp4" xr:uid="{52554E8A-E186-4D2F-AF12-7F5FBEA77E58}"/>
    <hyperlink ref="B76" r:id="rId1378" display="result/パワプロ2020 - 投球解析 - 2020-08-23 14-03-42-04_ball.txt" xr:uid="{DAE7E846-5776-4900-8728-B339E1706A94}"/>
    <hyperlink ref="A77" r:id="rId1379" display="out/パワプロ2020 - 投球解析 - 2020-08-23 14-03-42-05_out.mp4" xr:uid="{0185404A-F49E-4EB6-8285-0D002A44DE9B}"/>
    <hyperlink ref="B77" r:id="rId1380" display="result/パワプロ2020 - 投球解析 - 2020-08-23 14-03-42-05_ball.txt" xr:uid="{B362F090-4A43-4ABC-8C2C-CB17C7B60783}"/>
    <hyperlink ref="A78" r:id="rId1381" display="out/パワプロ2020 - 投球解析 - 2020-08-23 14-03-42-06_out.mp4" xr:uid="{EACB886D-7363-4BBE-A311-7DE20230D130}"/>
    <hyperlink ref="B78" r:id="rId1382" display="result/パワプロ2020 - 投球解析 - 2020-08-23 14-03-42-06_ball.txt" xr:uid="{1AC76140-0B99-495E-B4CA-C06695CBAB3B}"/>
    <hyperlink ref="A79" r:id="rId1383" display="out/パワプロ2020 - 投球解析 - 2020-08-23 14-03-42-07_out.mp4" xr:uid="{85AB931B-08FE-41F9-996B-57846428F2F2}"/>
    <hyperlink ref="B79" r:id="rId1384" display="result/パワプロ2020 - 投球解析 - 2020-08-23 14-03-42-07_ball.txt" xr:uid="{4B722867-4860-489A-B273-190FE5F71741}"/>
    <hyperlink ref="A80" r:id="rId1385" display="out/パワプロ2020 - 投球解析 - 2020-08-23 14-03-42-08_out.mp4" xr:uid="{3E2C5ADD-37D6-46A4-9086-8E5595D86A92}"/>
    <hyperlink ref="B80" r:id="rId1386" display="result/パワプロ2020 - 投球解析 - 2020-08-23 14-03-42-08_ball.txt" xr:uid="{373D0328-69EA-474A-AA4C-3FAC2EAD7ADE}"/>
    <hyperlink ref="A81" r:id="rId1387" display="out/パワプロ2020 - 投球解析 - 2020-08-23 14-03-42-09_out.mp4" xr:uid="{F9D9133E-CDE0-4ACA-9C03-CB6AA5A5C757}"/>
    <hyperlink ref="B81" r:id="rId1388" display="result/パワプロ2020 - 投球解析 - 2020-08-23 14-03-42-09_ball.txt" xr:uid="{470D88B9-EA43-40BE-AD09-7BC43E60A148}"/>
    <hyperlink ref="A122" r:id="rId1389" display="out/パワプロ2020 - 投球解析 - 2020-08-23 14-18-29-00_out.mp4" xr:uid="{3B7F1EEB-0F41-4D2A-82DE-83A3C8FE8209}"/>
    <hyperlink ref="B122" r:id="rId1390" display="result/パワプロ2020 - 投球解析 - 2020-08-23 14-18-29-00_ball.txt" xr:uid="{ECA58969-2706-4F9A-A98E-6E03D09D3877}"/>
    <hyperlink ref="A123" r:id="rId1391" display="out/パワプロ2020 - 投球解析 - 2020-08-23 14-18-29-01_out.mp4" xr:uid="{99F39C91-2D34-4717-86CE-F6D1809AD3F4}"/>
    <hyperlink ref="B123" r:id="rId1392" display="result/パワプロ2020 - 投球解析 - 2020-08-23 14-18-29-01_ball.txt" xr:uid="{EDE27E13-BE1E-48B4-B616-4CC563F39357}"/>
    <hyperlink ref="A124" r:id="rId1393" display="out/パワプロ2020 - 投球解析 - 2020-08-23 14-18-29-02_out.mp4" xr:uid="{C01B9729-77BC-47F6-87C3-29B811D09A39}"/>
    <hyperlink ref="B124" r:id="rId1394" display="result/パワプロ2020 - 投球解析 - 2020-08-23 14-18-29-02_ball.txt" xr:uid="{1572DD81-D541-4DEA-89C2-1A0A800A3F3F}"/>
    <hyperlink ref="A125" r:id="rId1395" display="out/パワプロ2020 - 投球解析 - 2020-08-23 14-18-29-03_out.mp4" xr:uid="{824D4633-2B80-4B88-A901-F4BF4F15D097}"/>
    <hyperlink ref="B125" r:id="rId1396" display="result/パワプロ2020 - 投球解析 - 2020-08-23 14-18-29-03_ball.txt" xr:uid="{60DB14D3-E366-4589-A119-AF65F9188633}"/>
    <hyperlink ref="A126" r:id="rId1397" display="out/パワプロ2020 - 投球解析 - 2020-08-23 14-18-29-04_out.mp4" xr:uid="{B185E326-32A9-4342-9EF6-C45ADB20E8D9}"/>
    <hyperlink ref="B126" r:id="rId1398" display="result/パワプロ2020 - 投球解析 - 2020-08-23 14-18-29-04_ball.txt" xr:uid="{F6917144-C4D0-4411-8A64-69D033DAAD02}"/>
    <hyperlink ref="A127" r:id="rId1399" display="out/パワプロ2020 - 投球解析 - 2020-08-23 14-18-29-05_out.mp4" xr:uid="{F3FC9CA2-47C1-485C-BD38-0BA0894DFC0C}"/>
    <hyperlink ref="B127" r:id="rId1400" display="result/パワプロ2020 - 投球解析 - 2020-08-23 14-18-29-05_ball.txt" xr:uid="{83EBA328-1692-4015-81C2-1D3E8559A511}"/>
    <hyperlink ref="A128" r:id="rId1401" display="out/パワプロ2020 - 投球解析 - 2020-08-23 14-18-29-06_out.mp4" xr:uid="{648335EB-850C-42C1-A1DF-6D827E98F75B}"/>
    <hyperlink ref="B128" r:id="rId1402" display="result/パワプロ2020 - 投球解析 - 2020-08-23 14-18-29-06_ball.txt" xr:uid="{359EDA15-1889-4970-9576-148909DF0329}"/>
    <hyperlink ref="A129" r:id="rId1403" display="out/パワプロ2020 - 投球解析 - 2020-08-23 14-18-29-07_out.mp4" xr:uid="{10CC1074-0F10-43D7-9851-2C8CCD5F97B2}"/>
    <hyperlink ref="B129" r:id="rId1404" display="result/パワプロ2020 - 投球解析 - 2020-08-23 14-18-29-07_ball.txt" xr:uid="{CAF19CBD-A141-4DF9-AB18-632E85B27245}"/>
    <hyperlink ref="A130" r:id="rId1405" display="out/パワプロ2020 - 投球解析 - 2020-08-23 14-18-29-08_out.mp4" xr:uid="{1DAFABC0-E1F0-42B7-AEDF-74A712E68E4B}"/>
    <hyperlink ref="B130" r:id="rId1406" display="result/パワプロ2020 - 投球解析 - 2020-08-23 14-18-29-08_ball.txt" xr:uid="{9D5C227A-9EEC-4287-8D7D-6F7E6A931B47}"/>
    <hyperlink ref="A131" r:id="rId1407" display="out/パワプロ2020 - 投球解析 - 2020-08-23 14-18-29-09_out.mp4" xr:uid="{F04AFF92-357D-4640-AB7A-2098A2EA1489}"/>
    <hyperlink ref="B131" r:id="rId1408" display="result/パワプロ2020 - 投球解析 - 2020-08-23 14-18-29-09_ball.txt" xr:uid="{D6F7B550-8E70-4359-95D6-CABCFE2454ED}"/>
    <hyperlink ref="A152" r:id="rId1409" display="out/パワプロ2020 - 投球解析 - 2020-08-23 14-22-38-00_out.mp4" xr:uid="{D6F00551-6DAE-4C25-80BB-711C9960A3DA}"/>
    <hyperlink ref="B152" r:id="rId1410" display="result/パワプロ2020 - 投球解析 - 2020-08-23 14-22-38-00_ball.txt" xr:uid="{70F0D95E-258B-4804-A57E-3FFDDDCCDD99}"/>
    <hyperlink ref="A153" r:id="rId1411" display="out/パワプロ2020 - 投球解析 - 2020-08-23 14-22-38-01_out.mp4" xr:uid="{EEDB75AB-CC96-4E12-81A4-E6776FC35027}"/>
    <hyperlink ref="B153" r:id="rId1412" display="result/パワプロ2020 - 投球解析 - 2020-08-23 14-22-38-01_ball.txt" xr:uid="{A4BA486E-C329-4B51-A2A6-A122974F704A}"/>
    <hyperlink ref="A154" r:id="rId1413" display="out/パワプロ2020 - 投球解析 - 2020-08-23 14-22-38-02_out.mp4" xr:uid="{97309D1A-E528-4B8C-9746-29F612354325}"/>
    <hyperlink ref="B154" r:id="rId1414" display="result/パワプロ2020 - 投球解析 - 2020-08-23 14-22-38-02_ball.txt" xr:uid="{3873E50D-30AE-4E73-9935-578336AC427D}"/>
    <hyperlink ref="A155" r:id="rId1415" display="out/パワプロ2020 - 投球解析 - 2020-08-23 14-22-38-03_out.mp4" xr:uid="{9DCD8D30-632E-476C-8F44-9E617A2EC6D5}"/>
    <hyperlink ref="B155" r:id="rId1416" display="result/パワプロ2020 - 投球解析 - 2020-08-23 14-22-38-03_ball.txt" xr:uid="{E539B3BF-71EB-4E3E-AA0E-DA393D405B3A}"/>
    <hyperlink ref="A156" r:id="rId1417" display="out/パワプロ2020 - 投球解析 - 2020-08-23 14-22-38-04_out.mp4" xr:uid="{44CEDB4B-FE6E-446B-B47A-5A9846181105}"/>
    <hyperlink ref="B156" r:id="rId1418" display="result/パワプロ2020 - 投球解析 - 2020-08-23 14-22-38-04_ball.txt" xr:uid="{1240F9BD-A677-4B9F-96B7-990C65D49161}"/>
    <hyperlink ref="A157" r:id="rId1419" display="out/パワプロ2020 - 投球解析 - 2020-08-23 14-22-38-05_out.mp4" xr:uid="{8BED9F7C-5DB7-4E80-B6FC-9F982BD5179E}"/>
    <hyperlink ref="B157" r:id="rId1420" display="result/パワプロ2020 - 投球解析 - 2020-08-23 14-22-38-05_ball.txt" xr:uid="{7F3BDCDC-8A67-4A91-936A-EED0897A8B0B}"/>
    <hyperlink ref="A158" r:id="rId1421" display="out/パワプロ2020 - 投球解析 - 2020-08-23 14-22-38-06_out.mp4" xr:uid="{1017EFBD-7F1B-406C-BCBC-70AD4D03DE01}"/>
    <hyperlink ref="B158" r:id="rId1422" display="result/パワプロ2020 - 投球解析 - 2020-08-23 14-22-38-06_ball.txt" xr:uid="{8A7897A4-C2A7-411D-B85A-89ED94F6F840}"/>
    <hyperlink ref="A159" r:id="rId1423" display="out/パワプロ2020 - 投球解析 - 2020-08-23 14-22-38-07_out.mp4" xr:uid="{9C813DA7-7FCB-42F1-9508-D6560BF456B8}"/>
    <hyperlink ref="B159" r:id="rId1424" display="result/パワプロ2020 - 投球解析 - 2020-08-23 14-22-38-07_ball.txt" xr:uid="{CA576505-BF07-42F2-A023-1787A8702859}"/>
    <hyperlink ref="A160" r:id="rId1425" display="out/パワプロ2020 - 投球解析 - 2020-08-23 14-22-38-08_out.mp4" xr:uid="{83A7350F-ABBE-4553-B329-C446E3287562}"/>
    <hyperlink ref="B160" r:id="rId1426" display="result/パワプロ2020 - 投球解析 - 2020-08-23 14-22-38-08_ball.txt" xr:uid="{5662C437-5ADA-4BC5-8DFF-5C909F24C76B}"/>
    <hyperlink ref="A201" r:id="rId1427" display="out/パワプロ2020 - 投球解析 - 2020-08-23 15-47-01-00_out.mp4" xr:uid="{C83A1783-D210-4B18-93C3-543C5C56410C}"/>
    <hyperlink ref="B201" r:id="rId1428" display="result/パワプロ2020 - 投球解析 - 2020-08-23 15-47-01-00_ball.txt" xr:uid="{74CA9F0F-E834-4F94-AA2A-5FC70FCCE4CF}"/>
    <hyperlink ref="A202" r:id="rId1429" display="out/パワプロ2020 - 投球解析 - 2020-08-23 15-47-01-01_out.mp4" xr:uid="{1C874205-4041-4E27-AD8D-32D0ABAF4F65}"/>
    <hyperlink ref="B202" r:id="rId1430" display="result/パワプロ2020 - 投球解析 - 2020-08-23 15-47-01-01_ball.txt" xr:uid="{229AB3A4-1B5A-4CBB-BE9C-F0B5831743BE}"/>
    <hyperlink ref="A203" r:id="rId1431" display="out/パワプロ2020 - 投球解析 - 2020-08-23 15-47-01-02_out.mp4" xr:uid="{7770D197-6B35-4E7A-8852-C11A526C856C}"/>
    <hyperlink ref="B203" r:id="rId1432" display="result/パワプロ2020 - 投球解析 - 2020-08-23 15-47-01-02_ball.txt" xr:uid="{58F6EB8A-0D57-42F4-B360-9C9FF2717624}"/>
    <hyperlink ref="A204" r:id="rId1433" display="out/パワプロ2020 - 投球解析 - 2020-08-23 15-47-01-03_out.mp4" xr:uid="{901B44A6-A490-4824-BA99-17BDCBD91A3B}"/>
    <hyperlink ref="B204" r:id="rId1434" display="result/パワプロ2020 - 投球解析 - 2020-08-23 15-47-01-03_ball.txt" xr:uid="{CB29C194-FCF7-431F-9B7A-3562B1CA203C}"/>
    <hyperlink ref="A205" r:id="rId1435" display="out/パワプロ2020 - 投球解析 - 2020-08-23 15-47-01-04_out.mp4" xr:uid="{CB61B0D4-42D3-4C0E-AD35-9EE312CFC5C6}"/>
    <hyperlink ref="B205" r:id="rId1436" display="result/パワプロ2020 - 投球解析 - 2020-08-23 15-47-01-04_ball.txt" xr:uid="{544276C2-A95C-458F-8ADA-1C11BF38C461}"/>
    <hyperlink ref="A206" r:id="rId1437" display="out/パワプロ2020 - 投球解析 - 2020-08-23 15-47-01-05_out.mp4" xr:uid="{9E1209D8-AD1F-4A43-A87D-CBE2B80120D6}"/>
    <hyperlink ref="B206" r:id="rId1438" display="result/パワプロ2020 - 投球解析 - 2020-08-23 15-47-01-05_ball.txt" xr:uid="{565E9483-8985-4345-94DC-9F6E39B4DE2F}"/>
    <hyperlink ref="A207" r:id="rId1439" display="out/パワプロ2020 - 投球解析 - 2020-08-23 15-47-01-06_out.mp4" xr:uid="{07993955-41FA-41EF-9018-3F625F07F292}"/>
    <hyperlink ref="B207" r:id="rId1440" display="result/パワプロ2020 - 投球解析 - 2020-08-23 15-47-01-06_ball.txt" xr:uid="{93A55CDD-D15F-4601-807B-6AC79D51F340}"/>
    <hyperlink ref="A208" r:id="rId1441" display="out/パワプロ2020 - 投球解析 - 2020-08-23 15-47-01-07_out.mp4" xr:uid="{08966CFF-17FB-4578-9DD3-A815B4A73F67}"/>
    <hyperlink ref="B208" r:id="rId1442" display="result/パワプロ2020 - 投球解析 - 2020-08-23 15-47-01-07_ball.txt" xr:uid="{2F7AED02-479E-4B10-83B1-A6A9FA0622C2}"/>
    <hyperlink ref="A209" r:id="rId1443" display="out/パワプロ2020 - 投球解析 - 2020-08-23 15-47-01-08_out.mp4" xr:uid="{1758DC65-008C-47DB-B832-B20068027F40}"/>
    <hyperlink ref="B209" r:id="rId1444" display="result/パワプロ2020 - 投球解析 - 2020-08-23 15-47-01-08_ball.txt" xr:uid="{D7347D7A-4BEF-4918-B39F-6076C1B59E71}"/>
    <hyperlink ref="A210" r:id="rId1445" display="out/パワプロ2020 - 投球解析 - 2020-08-23 15-47-01-09_out.mp4" xr:uid="{CF204478-04B7-4A1B-8C06-3582A0BA3BC2}"/>
    <hyperlink ref="B210" r:id="rId1446" display="result/パワプロ2020 - 投球解析 - 2020-08-23 15-47-01-09_ball.txt" xr:uid="{956964ED-FB8E-4D4D-B628-C1FB0E738BC1}"/>
    <hyperlink ref="A231" r:id="rId1447" display="out/パワプロ2020 - 投球解析 - 2020-08-23 15-51-08-00_out.mp4" xr:uid="{1DBB2557-F6AA-4718-96DF-65C6ABB94434}"/>
    <hyperlink ref="B231" r:id="rId1448" display="result/パワプロ2020 - 投球解析 - 2020-08-23 15-51-08-00_ball.txt" xr:uid="{830310B4-4D0F-4DA6-BADA-30C43530CDBD}"/>
    <hyperlink ref="A232" r:id="rId1449" display="out/パワプロ2020 - 投球解析 - 2020-08-23 15-51-08-01_out.mp4" xr:uid="{18E5EC48-E397-4C05-BB4D-22BB942BA3C3}"/>
    <hyperlink ref="B232" r:id="rId1450" display="result/パワプロ2020 - 投球解析 - 2020-08-23 15-51-08-01_ball.txt" xr:uid="{22A8EFB6-FF6C-41C4-BDA9-8EF1016A65C7}"/>
    <hyperlink ref="A233" r:id="rId1451" display="out/パワプロ2020 - 投球解析 - 2020-08-23 15-51-08-02_out.mp4" xr:uid="{855704A5-5E56-4ECE-8937-5F6EC5A0F610}"/>
    <hyperlink ref="B233" r:id="rId1452" display="result/パワプロ2020 - 投球解析 - 2020-08-23 15-51-08-02_ball.txt" xr:uid="{437E424D-479C-4222-942D-6D6C9144557D}"/>
    <hyperlink ref="A234" r:id="rId1453" display="out/パワプロ2020 - 投球解析 - 2020-08-23 15-51-08-03_out.mp4" xr:uid="{A1A9FA32-8428-48D5-8F54-E068A4EE6173}"/>
    <hyperlink ref="B234" r:id="rId1454" display="result/パワプロ2020 - 投球解析 - 2020-08-23 15-51-08-03_ball.txt" xr:uid="{41941B43-343F-4660-8012-2B31FA36C89F}"/>
    <hyperlink ref="A235" r:id="rId1455" display="out/パワプロ2020 - 投球解析 - 2020-08-23 15-51-08-04_out.mp4" xr:uid="{04224BBE-7798-428A-AE64-1EA80357A12A}"/>
    <hyperlink ref="B235" r:id="rId1456" display="result/パワプロ2020 - 投球解析 - 2020-08-23 15-51-08-04_ball.txt" xr:uid="{EF7661C7-0939-452C-9EF0-1956A21A6BD8}"/>
    <hyperlink ref="A236" r:id="rId1457" display="out/パワプロ2020 - 投球解析 - 2020-08-23 15-51-08-05_out.mp4" xr:uid="{4AD40829-44A0-40EB-9652-246BF3D2BE5E}"/>
    <hyperlink ref="B236" r:id="rId1458" display="result/パワプロ2020 - 投球解析 - 2020-08-23 15-51-08-05_ball.txt" xr:uid="{79F52522-3B8F-4AA9-B3DA-78FC4FA31F99}"/>
    <hyperlink ref="A237" r:id="rId1459" display="out/パワプロ2020 - 投球解析 - 2020-08-23 15-51-08-06_out.mp4" xr:uid="{AFE6FBA7-3C58-42E8-AF51-4F5BFC0CECC2}"/>
    <hyperlink ref="B237" r:id="rId1460" display="result/パワプロ2020 - 投球解析 - 2020-08-23 15-51-08-06_ball.txt" xr:uid="{51020AAE-E78E-4AF4-A99B-03C358C5311D}"/>
    <hyperlink ref="A238" r:id="rId1461" display="out/パワプロ2020 - 投球解析 - 2020-08-23 15-51-08-07_out.mp4" xr:uid="{CCD0D43F-9988-4A8B-B29A-B394659FC7C4}"/>
    <hyperlink ref="B238" r:id="rId1462" display="result/パワプロ2020 - 投球解析 - 2020-08-23 15-51-08-07_ball.txt" xr:uid="{49062FC1-DBD2-43F0-B37B-D856A2C3ED23}"/>
    <hyperlink ref="A239" r:id="rId1463" display="out/パワプロ2020 - 投球解析 - 2020-08-23 15-51-08-08_out.mp4" xr:uid="{DD7F664C-E13C-4557-A7F2-3DF0E3971F89}"/>
    <hyperlink ref="B239" r:id="rId1464" display="result/パワプロ2020 - 投球解析 - 2020-08-23 15-51-08-08_ball.txt" xr:uid="{137FF01F-20B3-4BCD-918D-9BE4E427BD65}"/>
    <hyperlink ref="A240" r:id="rId1465" display="out/パワプロ2020 - 投球解析 - 2020-08-23 15-51-08-09_out.mp4" xr:uid="{CF43D35D-1AF8-4909-8A60-EB42A6020680}"/>
    <hyperlink ref="B240" r:id="rId1466" display="result/パワプロ2020 - 投球解析 - 2020-08-23 15-51-08-09_ball.txt" xr:uid="{D6FA7E20-7061-44E0-8EB7-51476F4B8021}"/>
    <hyperlink ref="A251" r:id="rId1467" display="out/パワプロ2020 - 投球解析 - 2020-08-23 15-53-39-00_out.mp4" xr:uid="{04E8620B-34D0-4688-B415-9EF512C18E21}"/>
    <hyperlink ref="B251" r:id="rId1468" display="result/パワプロ2020 - 投球解析 - 2020-08-23 15-53-39-00_ball.txt" xr:uid="{89781B58-B09A-46FF-BEDB-3B31578D9072}"/>
    <hyperlink ref="A252" r:id="rId1469" display="out/パワプロ2020 - 投球解析 - 2020-08-23 15-53-39-01_out.mp4" xr:uid="{4AC0BB08-D224-4210-88BA-57010D5AF17D}"/>
    <hyperlink ref="B252" r:id="rId1470" display="result/パワプロ2020 - 投球解析 - 2020-08-23 15-53-39-01_ball.txt" xr:uid="{327D4CA3-423F-49A9-9081-0FD0ACBC596C}"/>
    <hyperlink ref="A253" r:id="rId1471" display="out/パワプロ2020 - 投球解析 - 2020-08-23 15-53-39-02_out.mp4" xr:uid="{21E21553-8AFD-4248-9ADA-B7202DF23B71}"/>
    <hyperlink ref="B253" r:id="rId1472" display="result/パワプロ2020 - 投球解析 - 2020-08-23 15-53-39-02_ball.txt" xr:uid="{B1EC93C7-2271-45DC-A902-160D9A2FA01C}"/>
    <hyperlink ref="A254" r:id="rId1473" display="out/パワプロ2020 - 投球解析 - 2020-08-23 15-53-39-03_out.mp4" xr:uid="{1D8A4863-E71D-484E-8474-14C124A16C7D}"/>
    <hyperlink ref="B254" r:id="rId1474" display="result/パワプロ2020 - 投球解析 - 2020-08-23 15-53-39-03_ball.txt" xr:uid="{9B3C9780-4AB5-4DC1-84C5-759BEE267194}"/>
    <hyperlink ref="A255" r:id="rId1475" display="out/パワプロ2020 - 投球解析 - 2020-08-23 15-53-39-04_out.mp4" xr:uid="{252A971C-9E60-4728-B7FB-3BA5F9AE9BFD}"/>
    <hyperlink ref="B255" r:id="rId1476" display="result/パワプロ2020 - 投球解析 - 2020-08-23 15-53-39-04_ball.txt" xr:uid="{0F3F48EF-8320-4950-855C-85335D149BDB}"/>
    <hyperlink ref="A256" r:id="rId1477" display="out/パワプロ2020 - 投球解析 - 2020-08-23 15-53-39-05_out.mp4" xr:uid="{B4158034-5BF6-4FEB-846E-85DADF1C1B2F}"/>
    <hyperlink ref="B256" r:id="rId1478" display="result/パワプロ2020 - 投球解析 - 2020-08-23 15-53-39-05_ball.txt" xr:uid="{14348D12-3E4D-4789-91B0-60C279BEECA3}"/>
    <hyperlink ref="A257" r:id="rId1479" display="out/パワプロ2020 - 投球解析 - 2020-08-23 15-53-39-06_out.mp4" xr:uid="{9FB9F309-DAF3-4CDF-92AE-23BF52DC4BAF}"/>
    <hyperlink ref="B257" r:id="rId1480" display="result/パワプロ2020 - 投球解析 - 2020-08-23 15-53-39-06_ball.txt" xr:uid="{0B60BF37-0EF4-46F9-BEEB-37D2CFEF0C89}"/>
    <hyperlink ref="A258" r:id="rId1481" display="out/パワプロ2020 - 投球解析 - 2020-08-23 15-53-39-07_out.mp4" xr:uid="{7F803A9F-3813-4CD9-96B0-E16DEFEA1399}"/>
    <hyperlink ref="B258" r:id="rId1482" display="result/パワプロ2020 - 投球解析 - 2020-08-23 15-53-39-07_ball.txt" xr:uid="{7BD0DC17-D801-48A4-A22E-16DDCF9B6989}"/>
    <hyperlink ref="A259" r:id="rId1483" display="out/パワプロ2020 - 投球解析 - 2020-08-23 15-53-39-08_out.mp4" xr:uid="{71AEAF97-E71A-43A9-BCB4-566AD739C323}"/>
    <hyperlink ref="B259" r:id="rId1484" display="result/パワプロ2020 - 投球解析 - 2020-08-23 15-53-39-08_ball.txt" xr:uid="{3803D46C-42A0-4557-9486-64D2805717DF}"/>
    <hyperlink ref="A260" r:id="rId1485" display="out/パワプロ2020 - 投球解析 - 2020-08-23 15-53-39-09_out.mp4" xr:uid="{604D7AEC-9BC4-42D6-8429-CE4B6B612939}"/>
    <hyperlink ref="B260" r:id="rId1486" display="result/パワプロ2020 - 投球解析 - 2020-08-23 15-53-39-09_ball.txt" xr:uid="{ECA25FD7-2E68-45C5-9C18-5E52116ADA1C}"/>
    <hyperlink ref="A270" r:id="rId1487" display="out/パワプロ2020 - 投球解析 - 2020-08-23 15-56-09-00_out.mp4" xr:uid="{8C9A952A-760E-4013-AB31-A83B967C658E}"/>
    <hyperlink ref="B270" r:id="rId1488" display="result/パワプロ2020 - 投球解析 - 2020-08-23 15-56-09-00_ball.txt" xr:uid="{C79A1E27-804B-4718-AF44-784F3BC044F3}"/>
    <hyperlink ref="A271" r:id="rId1489" display="out/パワプロ2020 - 投球解析 - 2020-08-23 15-56-09-01_out.mp4" xr:uid="{F302658F-0D05-4E30-9634-91E2D1A6BD49}"/>
    <hyperlink ref="B271" r:id="rId1490" display="result/パワプロ2020 - 投球解析 - 2020-08-23 15-56-09-01_ball.txt" xr:uid="{0744BC45-28CE-4494-9CF2-EF77F593E06A}"/>
    <hyperlink ref="A272" r:id="rId1491" display="out/パワプロ2020 - 投球解析 - 2020-08-23 15-56-09-02_out.mp4" xr:uid="{5F99D42A-2829-4650-836C-8B2CA52C10BD}"/>
    <hyperlink ref="B272" r:id="rId1492" display="result/パワプロ2020 - 投球解析 - 2020-08-23 15-56-09-02_ball.txt" xr:uid="{D9C09470-BB9E-4EFB-9827-A1B50BC46811}"/>
    <hyperlink ref="A273" r:id="rId1493" display="out/パワプロ2020 - 投球解析 - 2020-08-23 15-56-09-03_out.mp4" xr:uid="{3F0AB1B9-6151-46A9-AF75-61BC321407B5}"/>
    <hyperlink ref="B273" r:id="rId1494" display="result/パワプロ2020 - 投球解析 - 2020-08-23 15-56-09-03_ball.txt" xr:uid="{02F4AFB5-DC4B-4017-AE8C-F0A32C273E79}"/>
    <hyperlink ref="A274" r:id="rId1495" display="out/パワプロ2020 - 投球解析 - 2020-08-23 15-56-09-04_out.mp4" xr:uid="{6618FE56-D5E6-4A6A-B221-E865D9CDEE57}"/>
    <hyperlink ref="B274" r:id="rId1496" display="result/パワプロ2020 - 投球解析 - 2020-08-23 15-56-09-04_ball.txt" xr:uid="{4FC95AAB-948E-4FB2-9A22-76B76FDB01F6}"/>
    <hyperlink ref="A275" r:id="rId1497" display="out/パワプロ2020 - 投球解析 - 2020-08-23 15-56-09-05_out.mp4" xr:uid="{7E29FFCA-5947-4954-9117-1840AB88DA28}"/>
    <hyperlink ref="B275" r:id="rId1498" display="result/パワプロ2020 - 投球解析 - 2020-08-23 15-56-09-05_ball.txt" xr:uid="{290C1629-72B1-419E-AE02-22076E182B3C}"/>
    <hyperlink ref="A276" r:id="rId1499" display="out/パワプロ2020 - 投球解析 - 2020-08-23 15-56-09-06_out.mp4" xr:uid="{179E52F9-4A78-4B20-8136-88E1135F3EA2}"/>
    <hyperlink ref="B276" r:id="rId1500" display="result/パワプロ2020 - 投球解析 - 2020-08-23 15-56-09-06_ball.txt" xr:uid="{B951FC0E-4396-42D7-BC69-181A0991539C}"/>
    <hyperlink ref="A277" r:id="rId1501" display="out/パワプロ2020 - 投球解析 - 2020-08-23 15-56-09-07_out.mp4" xr:uid="{ED027F9F-C483-44F7-AE84-2E887EBE1BE7}"/>
    <hyperlink ref="B277" r:id="rId1502" display="result/パワプロ2020 - 投球解析 - 2020-08-23 15-56-09-07_ball.txt" xr:uid="{1D7AF33D-6180-4861-B719-063339B1F5B2}"/>
    <hyperlink ref="A278" r:id="rId1503" display="out/パワプロ2020 - 投球解析 - 2020-08-23 15-56-09-08_out.mp4" xr:uid="{BEF55570-1D13-40DB-A122-CE7B7B8EF9C5}"/>
    <hyperlink ref="B278" r:id="rId1504" display="result/パワプロ2020 - 投球解析 - 2020-08-23 15-56-09-08_ball.txt" xr:uid="{11A89F6B-A04A-4A54-B156-4E9587248A38}"/>
    <hyperlink ref="A279" r:id="rId1505" display="out/パワプロ2020 - 投球解析 - 2020-08-23 15-56-09-09_out.mp4" xr:uid="{3C0D6F58-C01B-4BDA-AC94-0291D8F1E126}"/>
    <hyperlink ref="B279" r:id="rId1506" display="result/パワプロ2020 - 投球解析 - 2020-08-23 15-56-09-09_ball.txt" xr:uid="{291A24C3-28BF-45CB-8F83-64E7B7A4E3B5}"/>
    <hyperlink ref="A290" r:id="rId1507" display="out/パワプロ2020 - 投球解析 - 2020-08-23 16-04-57-00_out.mp4" xr:uid="{AA862871-DF8D-4898-BD26-31420C956830}"/>
    <hyperlink ref="B290" r:id="rId1508" display="result/パワプロ2020 - 投球解析 - 2020-08-23 16-04-57-00_ball.txt" xr:uid="{DB07BA9F-B13C-4E9A-AEE0-FED49687959D}"/>
    <hyperlink ref="A291" r:id="rId1509" display="out/パワプロ2020 - 投球解析 - 2020-08-23 16-04-57-01_out.mp4" xr:uid="{CE5ACCB2-3C0D-4B35-8252-014AD29E80D0}"/>
    <hyperlink ref="B291" r:id="rId1510" display="result/パワプロ2020 - 投球解析 - 2020-08-23 16-04-57-01_ball.txt" xr:uid="{AA295AA2-0C5E-4AEA-8251-5143A5612805}"/>
    <hyperlink ref="A292" r:id="rId1511" display="out/パワプロ2020 - 投球解析 - 2020-08-23 16-04-57-02_out.mp4" xr:uid="{135B0B98-EF7C-4814-A42D-C00E6C8A00E5}"/>
    <hyperlink ref="B292" r:id="rId1512" display="result/パワプロ2020 - 投球解析 - 2020-08-23 16-04-57-02_ball.txt" xr:uid="{7159BFD9-C7F0-4B9F-BF4D-4E8670E00750}"/>
    <hyperlink ref="A293" r:id="rId1513" display="out/パワプロ2020 - 投球解析 - 2020-08-23 16-04-57-03_out.mp4" xr:uid="{A9877C23-91EF-4B22-953F-01E9E9E28CF9}"/>
    <hyperlink ref="B293" r:id="rId1514" display="result/パワプロ2020 - 投球解析 - 2020-08-23 16-04-57-03_ball.txt" xr:uid="{60AD51E3-85A2-4CDC-8A9F-88849DB7002E}"/>
    <hyperlink ref="A294" r:id="rId1515" display="out/パワプロ2020 - 投球解析 - 2020-08-23 16-04-57-04_out.mp4" xr:uid="{8D6ED88A-A82F-42C5-8C55-178416AE1527}"/>
    <hyperlink ref="B294" r:id="rId1516" display="result/パワプロ2020 - 投球解析 - 2020-08-23 16-04-57-04_ball.txt" xr:uid="{F74721C7-7BDC-468C-82D8-B7FD7AE7685F}"/>
    <hyperlink ref="A295" r:id="rId1517" display="out/パワプロ2020 - 投球解析 - 2020-08-23 16-04-57-05_out.mp4" xr:uid="{37376B99-055A-424E-8EBF-14FBE81846BD}"/>
    <hyperlink ref="B295" r:id="rId1518" display="result/パワプロ2020 - 投球解析 - 2020-08-23 16-04-57-05_ball.txt" xr:uid="{C22A09D0-D525-4855-887F-BA566BD9E591}"/>
    <hyperlink ref="A296" r:id="rId1519" display="out/パワプロ2020 - 投球解析 - 2020-08-23 16-04-57-06_out.mp4" xr:uid="{2350BED1-E8DB-4B69-822F-FD4FB3EDAB03}"/>
    <hyperlink ref="B296" r:id="rId1520" display="result/パワプロ2020 - 投球解析 - 2020-08-23 16-04-57-06_ball.txt" xr:uid="{E5009DFB-AF47-4266-ADCD-D6F3BB99A2AC}"/>
    <hyperlink ref="A297" r:id="rId1521" display="out/パワプロ2020 - 投球解析 - 2020-08-23 16-04-57-07_out.mp4" xr:uid="{8524ACBA-2FAB-445F-8361-D10154294D04}"/>
    <hyperlink ref="B297" r:id="rId1522" display="result/パワプロ2020 - 投球解析 - 2020-08-23 16-04-57-07_ball.txt" xr:uid="{3E869BA1-E3E9-452E-B8A6-47F9EE7B2F30}"/>
    <hyperlink ref="A298" r:id="rId1523" display="out/パワプロ2020 - 投球解析 - 2020-08-23 16-04-57-08_out.mp4" xr:uid="{9D51239C-F9F0-46B3-867B-2A08B81427AF}"/>
    <hyperlink ref="B298" r:id="rId1524" display="result/パワプロ2020 - 投球解析 - 2020-08-23 16-04-57-08_ball.txt" xr:uid="{4F4F44A9-D316-46F9-9DAC-8B951AFDA5AF}"/>
    <hyperlink ref="A299" r:id="rId1525" display="out/パワプロ2020 - 投球解析 - 2020-08-23 16-04-57-09_out.mp4" xr:uid="{CD7ABD2D-43E5-46F4-8F5D-1E1AF07F29BA}"/>
    <hyperlink ref="B299" r:id="rId1526" display="result/パワプロ2020 - 投球解析 - 2020-08-23 16-04-57-09_ball.txt" xr:uid="{B5F20F0F-44F5-4ABD-BEAE-5A83C4CDD0E1}"/>
    <hyperlink ref="A310" r:id="rId1527" display="out/パワプロ2020 - 投球解析 - 2020-08-23 16-07-35-00_out.mp4" xr:uid="{7970625A-CF5E-4CDF-A3DC-C0FB497DE725}"/>
    <hyperlink ref="B310" r:id="rId1528" display="result/パワプロ2020 - 投球解析 - 2020-08-23 16-07-35-00_ball.txt" xr:uid="{CB5BAA6C-FA1A-4CD8-A21D-28FC85A0665A}"/>
    <hyperlink ref="A311" r:id="rId1529" display="out/パワプロ2020 - 投球解析 - 2020-08-23 16-07-35-01_out.mp4" xr:uid="{CA6AC077-7F56-45A0-B6E4-4787155B1194}"/>
    <hyperlink ref="B311" r:id="rId1530" display="result/パワプロ2020 - 投球解析 - 2020-08-23 16-07-35-01_ball.txt" xr:uid="{39603C7C-4B27-4332-BFD7-66E66CF16D54}"/>
    <hyperlink ref="A312" r:id="rId1531" display="out/パワプロ2020 - 投球解析 - 2020-08-23 16-07-35-02_out.mp4" xr:uid="{C9CF6DE5-FE0A-4F48-9731-7A7DE0487F1F}"/>
    <hyperlink ref="B312" r:id="rId1532" display="result/パワプロ2020 - 投球解析 - 2020-08-23 16-07-35-02_ball.txt" xr:uid="{F16AF4DC-AFFD-45E4-B64C-23C5A4A4034A}"/>
    <hyperlink ref="A313" r:id="rId1533" display="out/パワプロ2020 - 投球解析 - 2020-08-23 16-07-35-03_out.mp4" xr:uid="{B17B0589-CD17-4D4D-BEE7-B9D1D84E4767}"/>
    <hyperlink ref="B313" r:id="rId1534" display="result/パワプロ2020 - 投球解析 - 2020-08-23 16-07-35-03_ball.txt" xr:uid="{F26BA531-DC6F-46F0-9DCE-4F1DFF0060D0}"/>
    <hyperlink ref="A314" r:id="rId1535" display="out/パワプロ2020 - 投球解析 - 2020-08-23 16-07-35-04_out.mp4" xr:uid="{DFC810FB-E0AC-4224-B9C1-07ED261AFBA0}"/>
    <hyperlink ref="B314" r:id="rId1536" display="result/パワプロ2020 - 投球解析 - 2020-08-23 16-07-35-04_ball.txt" xr:uid="{B7FB4C4E-6DB0-44C3-84F4-292E7F2F3CF4}"/>
    <hyperlink ref="A315" r:id="rId1537" display="out/パワプロ2020 - 投球解析 - 2020-08-23 16-07-35-05_out.mp4" xr:uid="{6F801BC9-A1E2-430C-AEAD-27E2F780E2CD}"/>
    <hyperlink ref="B315" r:id="rId1538" display="result/パワプロ2020 - 投球解析 - 2020-08-23 16-07-35-05_ball.txt" xr:uid="{0735027E-E268-4BFA-9260-B2DD1CD6ED9C}"/>
    <hyperlink ref="A316" r:id="rId1539" display="out/パワプロ2020 - 投球解析 - 2020-08-23 16-07-35-06_out.mp4" xr:uid="{ECC1DD7F-EC86-4E47-9BB3-AD6B29C9CE1E}"/>
    <hyperlink ref="B316" r:id="rId1540" display="result/パワプロ2020 - 投球解析 - 2020-08-23 16-07-35-06_ball.txt" xr:uid="{99E062B4-1E6D-41C7-B1E9-93DB90119028}"/>
    <hyperlink ref="A317" r:id="rId1541" display="out/パワプロ2020 - 投球解析 - 2020-08-23 16-07-35-07_out.mp4" xr:uid="{E495962B-31C3-4068-A77D-3B8D405CE422}"/>
    <hyperlink ref="B317" r:id="rId1542" display="result/パワプロ2020 - 投球解析 - 2020-08-23 16-07-35-07_ball.txt" xr:uid="{E6C3DF6F-51C8-4BF6-8208-77D058910D0D}"/>
    <hyperlink ref="A318" r:id="rId1543" display="out/パワプロ2020 - 投球解析 - 2020-08-23 16-07-35-08_out.mp4" xr:uid="{F925565F-C69B-44B0-A099-D039321AC7EF}"/>
    <hyperlink ref="B318" r:id="rId1544" display="result/パワプロ2020 - 投球解析 - 2020-08-23 16-07-35-08_ball.txt" xr:uid="{11A02287-85E6-4BA7-8539-C5262596584F}"/>
    <hyperlink ref="A319" r:id="rId1545" display="out/パワプロ2020 - 投球解析 - 2020-08-23 16-07-35-09_out.mp4" xr:uid="{682352EB-8ABB-4476-AFD4-1E52950F40EC}"/>
    <hyperlink ref="B319" r:id="rId1546" display="result/パワプロ2020 - 投球解析 - 2020-08-23 16-07-35-09_ball.txt" xr:uid="{7DDC6D69-3162-43D8-8520-FDC7B524CA58}"/>
    <hyperlink ref="A340" r:id="rId1547" display="out/パワプロ2020 - 投球解析 - 2020-08-23 16-11-33-00_out.mp4" xr:uid="{BAE08F94-D908-431D-8C3D-190689B26CBC}"/>
    <hyperlink ref="B340" r:id="rId1548" display="result/パワプロ2020 - 投球解析 - 2020-08-23 16-11-33-00_ball.txt" xr:uid="{B416AFCF-31E5-4D85-8F88-128D8E00B416}"/>
    <hyperlink ref="A341" r:id="rId1549" display="out/パワプロ2020 - 投球解析 - 2020-08-23 16-11-33-01_out.mp4" xr:uid="{053E42B0-0DB9-4366-9507-B12F17765925}"/>
    <hyperlink ref="B341" r:id="rId1550" display="result/パワプロ2020 - 投球解析 - 2020-08-23 16-11-33-01_ball.txt" xr:uid="{AB97BFEE-33EB-4BAD-BB72-5C5876E58CC0}"/>
    <hyperlink ref="A342" r:id="rId1551" display="out/パワプロ2020 - 投球解析 - 2020-08-23 16-11-33-02_out.mp4" xr:uid="{372941BA-706C-478C-8E21-F9E71C6F663C}"/>
    <hyperlink ref="B342" r:id="rId1552" display="result/パワプロ2020 - 投球解析 - 2020-08-23 16-11-33-02_ball.txt" xr:uid="{B66CD39D-1F86-4D81-B03F-D8C506C8C66A}"/>
    <hyperlink ref="A343" r:id="rId1553" display="out/パワプロ2020 - 投球解析 - 2020-08-23 16-11-33-03_out.mp4" xr:uid="{50822916-2EB6-4268-9CE4-076B53D79113}"/>
    <hyperlink ref="B343" r:id="rId1554" display="result/パワプロ2020 - 投球解析 - 2020-08-23 16-11-33-03_ball.txt" xr:uid="{325B0997-240E-496B-9FE6-C06EB55FCB17}"/>
    <hyperlink ref="A344" r:id="rId1555" display="out/パワプロ2020 - 投球解析 - 2020-08-23 16-11-33-04_out.mp4" xr:uid="{90F0FC75-02F9-483D-85D9-F25781D0EE08}"/>
    <hyperlink ref="B344" r:id="rId1556" display="result/パワプロ2020 - 投球解析 - 2020-08-23 16-11-33-04_ball.txt" xr:uid="{7B3ED888-7A37-44B4-A43F-B3C3673817E3}"/>
    <hyperlink ref="A345" r:id="rId1557" display="out/パワプロ2020 - 投球解析 - 2020-08-23 16-11-33-05_out.mp4" xr:uid="{CECF382D-9426-43CF-A0FD-47CD111B235F}"/>
    <hyperlink ref="B345" r:id="rId1558" display="result/パワプロ2020 - 投球解析 - 2020-08-23 16-11-33-05_ball.txt" xr:uid="{90D97487-8D37-426F-AC66-D5250ACBEB36}"/>
    <hyperlink ref="A346" r:id="rId1559" display="out/パワプロ2020 - 投球解析 - 2020-08-23 16-11-33-06_out.mp4" xr:uid="{AC9F4471-EAFB-4A2D-84AE-D87B94065DD4}"/>
    <hyperlink ref="B346" r:id="rId1560" display="result/パワプロ2020 - 投球解析 - 2020-08-23 16-11-33-06_ball.txt" xr:uid="{8D7FD083-AF70-45AA-9801-83927BBFDD4C}"/>
    <hyperlink ref="A347" r:id="rId1561" display="out/パワプロ2020 - 投球解析 - 2020-08-23 16-11-33-07_out.mp4" xr:uid="{442B4AFE-5129-4323-B7BE-6238AB30545A}"/>
    <hyperlink ref="B347" r:id="rId1562" display="result/パワプロ2020 - 投球解析 - 2020-08-23 16-11-33-07_ball.txt" xr:uid="{28D8377C-4404-489B-85C0-3DBE41CFA8D8}"/>
    <hyperlink ref="A348" r:id="rId1563" display="out/パワプロ2020 - 投球解析 - 2020-08-23 16-11-33-08_out.mp4" xr:uid="{38EA1A48-D5C4-4721-A2EF-0EBE5B973930}"/>
    <hyperlink ref="B348" r:id="rId1564" display="result/パワプロ2020 - 投球解析 - 2020-08-23 16-11-33-08_ball.txt" xr:uid="{CD9FAF82-0B84-43AC-867E-5DBA4A24059C}"/>
    <hyperlink ref="A349" r:id="rId1565" display="out/パワプロ2020 - 投球解析 - 2020-08-23 16-11-33-09_out.mp4" xr:uid="{7D3A1AB4-B909-4A84-8F31-AB6DC5B1864C}"/>
    <hyperlink ref="B349" r:id="rId1566" display="result/パワプロ2020 - 投球解析 - 2020-08-23 16-11-33-09_ball.txt" xr:uid="{E44A2B3D-E8BF-4242-B7DF-D0E1193819BF}"/>
    <hyperlink ref="A380" r:id="rId1567" display="out/パワプロ2020 - 投球解析 - 2020-08-23 16-24-41-00_out.mp4" xr:uid="{1ED5B91E-FDEF-400B-BAA6-07E604265C86}"/>
    <hyperlink ref="B380" r:id="rId1568" display="result/パワプロ2020 - 投球解析 - 2020-08-23 16-24-41-00_ball.txt" xr:uid="{674FBBDB-B47F-4253-A537-8056F3D94640}"/>
    <hyperlink ref="A381" r:id="rId1569" display="out/パワプロ2020 - 投球解析 - 2020-08-23 16-24-41-01_out.mp4" xr:uid="{45A275E7-3064-47D6-85F7-9D6FCE97969C}"/>
    <hyperlink ref="B381" r:id="rId1570" display="result/パワプロ2020 - 投球解析 - 2020-08-23 16-24-41-01_ball.txt" xr:uid="{A08B1CD3-D31F-4703-9AF7-F70F27574C64}"/>
    <hyperlink ref="A382" r:id="rId1571" display="out/パワプロ2020 - 投球解析 - 2020-08-23 16-24-41-02_out.mp4" xr:uid="{C274839A-83EA-4F6E-90DC-08786B485134}"/>
    <hyperlink ref="B382" r:id="rId1572" display="result/パワプロ2020 - 投球解析 - 2020-08-23 16-24-41-02_ball.txt" xr:uid="{D648DBC1-BF7B-47FD-A23D-D2F90C4E65F7}"/>
    <hyperlink ref="A383" r:id="rId1573" display="out/パワプロ2020 - 投球解析 - 2020-08-23 16-24-41-03_out.mp4" xr:uid="{A7600604-78D3-4314-AA32-A2813F94707D}"/>
    <hyperlink ref="B383" r:id="rId1574" display="result/パワプロ2020 - 投球解析 - 2020-08-23 16-24-41-03_ball.txt" xr:uid="{E8D40B03-607F-4530-ADEF-37F43F6A2BC3}"/>
    <hyperlink ref="A384" r:id="rId1575" display="out/パワプロ2020 - 投球解析 - 2020-08-23 16-24-41-04_out.mp4" xr:uid="{B9DD5BBE-EF1D-42A1-97C6-DB944579274F}"/>
    <hyperlink ref="B384" r:id="rId1576" display="result/パワプロ2020 - 投球解析 - 2020-08-23 16-24-41-04_ball.txt" xr:uid="{45612E2A-F889-4F27-AF0C-BC9191FBEA96}"/>
    <hyperlink ref="A385" r:id="rId1577" display="out/パワプロ2020 - 投球解析 - 2020-08-23 16-24-41-05_out.mp4" xr:uid="{29C95906-4271-43D8-B011-26410A44082F}"/>
    <hyperlink ref="B385" r:id="rId1578" display="result/パワプロ2020 - 投球解析 - 2020-08-23 16-24-41-05_ball.txt" xr:uid="{F79116C9-755A-4B9C-A701-CB819662D41B}"/>
    <hyperlink ref="A386" r:id="rId1579" display="out/パワプロ2020 - 投球解析 - 2020-08-23 16-24-41-06_out.mp4" xr:uid="{D15AF8B5-51EB-444A-BE01-03CB31E25A18}"/>
    <hyperlink ref="B386" r:id="rId1580" display="result/パワプロ2020 - 投球解析 - 2020-08-23 16-24-41-06_ball.txt" xr:uid="{C36141B8-AC55-44C4-8EA7-2F8B0884EEE3}"/>
    <hyperlink ref="A387" r:id="rId1581" display="out/パワプロ2020 - 投球解析 - 2020-08-23 16-24-41-07_out.mp4" xr:uid="{7B2F3179-0B0B-44C7-8FBD-E6ECBFE29E06}"/>
    <hyperlink ref="B387" r:id="rId1582" display="result/パワプロ2020 - 投球解析 - 2020-08-23 16-24-41-07_ball.txt" xr:uid="{2B9A87D6-78FD-48F0-AEA6-9C7D1AA65F15}"/>
    <hyperlink ref="A388" r:id="rId1583" display="out/パワプロ2020 - 投球解析 - 2020-08-23 16-24-41-08_out.mp4" xr:uid="{026025DF-8974-44BA-856F-218EE740F404}"/>
    <hyperlink ref="B388" r:id="rId1584" display="result/パワプロ2020 - 投球解析 - 2020-08-23 16-24-41-08_ball.txt" xr:uid="{CACCA92D-AE5E-48FE-81CA-A90AE5D37BC1}"/>
    <hyperlink ref="A389" r:id="rId1585" display="out/パワプロ2020 - 投球解析 - 2020-08-23 16-24-41-09_out.mp4" xr:uid="{3FAF80C0-2B99-4F3A-A473-6CD3B1C5D7C5}"/>
    <hyperlink ref="B389" r:id="rId1586" display="result/パワプロ2020 - 投球解析 - 2020-08-23 16-24-41-09_ball.txt" xr:uid="{4F4E8E60-266B-4108-A308-56047508279E}"/>
    <hyperlink ref="A419" r:id="rId1587" display="out/パワプロ2020 - 投球解析 - 2020-08-23 16-28-07-09_out.mp4" xr:uid="{924FAA94-36F3-41AB-97B2-098472F73F1C}"/>
    <hyperlink ref="B419" r:id="rId1588" display="result/パワプロ2020 - 投球解析 - 2020-08-23 16-28-07-09_ball.txt" xr:uid="{15D678E1-7F0A-4F57-B6FA-A1EC08EA7D0D}"/>
    <hyperlink ref="A420" r:id="rId1589" display="out/パワプロ2020 - 投球解析 - 2020-08-23 16-29-37-00_out.mp4" xr:uid="{C569076B-9115-4453-A810-32F7FBBEF0BC}"/>
    <hyperlink ref="B420" r:id="rId1590" display="result/パワプロ2020 - 投球解析 - 2020-08-23 16-29-37-00_ball.txt" xr:uid="{CFAAB68B-69A9-4C6B-9F33-309DD5CA6D1C}"/>
    <hyperlink ref="A421" r:id="rId1591" display="out/パワプロ2020 - 投球解析 - 2020-08-23 16-29-37-01_out.mp4" xr:uid="{C045ACCC-3706-4516-B979-7C7DFCE4F04C}"/>
    <hyperlink ref="B421" r:id="rId1592" display="result/パワプロ2020 - 投球解析 - 2020-08-23 16-29-37-01_ball.txt" xr:uid="{2FE5B708-A153-4BC6-8C55-12D65D22935D}"/>
    <hyperlink ref="A422" r:id="rId1593" display="out/パワプロ2020 - 投球解析 - 2020-08-23 16-29-37-02_out.mp4" xr:uid="{A6095AA2-33B9-4488-BC9E-E7E1EE277F4A}"/>
    <hyperlink ref="B422" r:id="rId1594" display="result/パワプロ2020 - 投球解析 - 2020-08-23 16-29-37-02_ball.txt" xr:uid="{2C0ACBAB-8E36-41E2-945A-8E99DD4342FC}"/>
    <hyperlink ref="A423" r:id="rId1595" display="out/パワプロ2020 - 投球解析 - 2020-08-23 16-29-37-03_out.mp4" xr:uid="{1EF7E4C4-34CD-4B2A-90B8-F7FA093D9060}"/>
    <hyperlink ref="B423" r:id="rId1596" display="result/パワプロ2020 - 投球解析 - 2020-08-23 16-29-37-03_ball.txt" xr:uid="{EB1BB0EE-F672-47C1-B540-896C6BAADDB7}"/>
    <hyperlink ref="A424" r:id="rId1597" display="out/パワプロ2020 - 投球解析 - 2020-08-23 16-29-37-04_out.mp4" xr:uid="{AC076FB9-094E-422D-A8C2-7B64A8A9C5D6}"/>
    <hyperlink ref="B424" r:id="rId1598" display="result/パワプロ2020 - 投球解析 - 2020-08-23 16-29-37-04_ball.txt" xr:uid="{22695C4B-85F3-4356-8517-6BFB569DF9FF}"/>
    <hyperlink ref="A425" r:id="rId1599" display="out/パワプロ2020 - 投球解析 - 2020-08-23 16-29-37-05_out.mp4" xr:uid="{01DBF952-1C22-40AD-BF9B-D94B123C1A1C}"/>
    <hyperlink ref="B425" r:id="rId1600" display="result/パワプロ2020 - 投球解析 - 2020-08-23 16-29-37-05_ball.txt" xr:uid="{9B10B7CC-06D1-4DF5-BC68-8386DD78844A}"/>
    <hyperlink ref="A426" r:id="rId1601" display="out/パワプロ2020 - 投球解析 - 2020-08-23 16-29-37-06_out.mp4" xr:uid="{F67B6DAF-06C7-4D77-95E4-C2D4A81B23D8}"/>
    <hyperlink ref="B426" r:id="rId1602" display="result/パワプロ2020 - 投球解析 - 2020-08-23 16-29-37-06_ball.txt" xr:uid="{ACCAD68A-558D-427F-A602-F69D178104C1}"/>
    <hyperlink ref="A427" r:id="rId1603" display="out/パワプロ2020 - 投球解析 - 2020-08-23 16-29-37-07_out.mp4" xr:uid="{E3035B61-ED1D-4BDD-A4C0-1431D98016B4}"/>
    <hyperlink ref="B427" r:id="rId1604" display="result/パワプロ2020 - 投球解析 - 2020-08-23 16-29-37-07_ball.txt" xr:uid="{19E82F26-CAA6-4C65-8A6F-55AD332760C1}"/>
    <hyperlink ref="A428" r:id="rId1605" display="out/パワプロ2020 - 投球解析 - 2020-08-23 16-29-37-08_out.mp4" xr:uid="{F284FBA2-45D3-4B49-A2E0-19FAC6C91BBF}"/>
    <hyperlink ref="B428" r:id="rId1606" display="result/パワプロ2020 - 投球解析 - 2020-08-23 16-29-37-08_ball.txt" xr:uid="{2FFB6CD8-E39B-4CFA-B7AF-D0B64DB6E0DE}"/>
    <hyperlink ref="A457" r:id="rId1607" display="out/パワプロ2020 - 投球解析 - 2020-08-23 16-33-27-07_out.mp4" xr:uid="{B5A664E7-D397-4BAE-B4F3-E1EEC2D839B5}"/>
    <hyperlink ref="B457" r:id="rId1608" display="result/パワプロ2020 - 投球解析 - 2020-08-23 16-33-27-07_ball.txt" xr:uid="{E8B4F945-2542-475B-B83C-A9EFFA35F1E3}"/>
    <hyperlink ref="A458" r:id="rId1609" display="out/パワプロ2020 - 投球解析 - 2020-08-23 16-33-27-08_out.mp4" xr:uid="{489154C3-DA81-42BB-901F-693BEA4D851B}"/>
    <hyperlink ref="B458" r:id="rId1610" display="result/パワプロ2020 - 投球解析 - 2020-08-23 16-33-27-08_ball.txt" xr:uid="{FEBFB7FF-47D5-4966-B9AD-C49E4F765ABA}"/>
    <hyperlink ref="A459" r:id="rId1611" display="out/パワプロ2020 - 投球解析 - 2020-08-24 11-22-14-00_out.mp4" xr:uid="{93000E81-180F-4C93-9CE9-BB736E70546A}"/>
    <hyperlink ref="B459" r:id="rId1612" display="result/パワプロ2020 - 投球解析 - 2020-08-24 11-22-14-00_ball.txt" xr:uid="{5D211D5D-75F6-4C8D-A2D3-8530406CDBE7}"/>
    <hyperlink ref="A460" r:id="rId1613" display="out/パワプロ2020 - 投球解析 - 2020-08-24 11-22-14-01_out.mp4" xr:uid="{320B0B4B-F7CD-4DE5-985A-ADBB37698F45}"/>
    <hyperlink ref="B460" r:id="rId1614" display="result/パワプロ2020 - 投球解析 - 2020-08-24 11-22-14-01_ball.txt" xr:uid="{51C3B8B5-2BF9-44F4-85DE-7F73E8ED7F2A}"/>
    <hyperlink ref="A461" r:id="rId1615" display="out/パワプロ2020 - 投球解析 - 2020-08-24 11-22-14-02_out.mp4" xr:uid="{1E2A5C36-EF85-43F8-AC61-D465BED792D6}"/>
    <hyperlink ref="B461" r:id="rId1616" display="result/パワプロ2020 - 投球解析 - 2020-08-24 11-22-14-02_ball.txt" xr:uid="{7A0461C4-5E1F-4167-B6EC-FC2CD3F9FD91}"/>
    <hyperlink ref="A462" r:id="rId1617" display="out/パワプロ2020 - 投球解析 - 2020-08-24 11-22-14-03_out.mp4" xr:uid="{F893F327-58FB-4184-91DA-344C3A285BCA}"/>
    <hyperlink ref="B462" r:id="rId1618" display="result/パワプロ2020 - 投球解析 - 2020-08-24 11-22-14-03_ball.txt" xr:uid="{6F9A87D7-A039-4021-AF27-6575152B294E}"/>
    <hyperlink ref="A463" r:id="rId1619" display="out/パワプロ2020 - 投球解析 - 2020-08-24 11-22-14-04_out.mp4" xr:uid="{6967800F-3D9F-4E79-9177-892F8FD627EF}"/>
    <hyperlink ref="B463" r:id="rId1620" display="result/パワプロ2020 - 投球解析 - 2020-08-24 11-22-14-04_ball.txt" xr:uid="{FEFF98CD-22AA-492A-BF4F-49020181B640}"/>
    <hyperlink ref="A464" r:id="rId1621" display="out/パワプロ2020 - 投球解析 - 2020-08-24 11-22-14-05_out.mp4" xr:uid="{FA80EE5B-46AB-4210-BE4F-9B120122A19D}"/>
    <hyperlink ref="B464" r:id="rId1622" display="result/パワプロ2020 - 投球解析 - 2020-08-24 11-22-14-05_ball.txt" xr:uid="{BAF29863-E169-4DB6-A760-BB17F3C581D1}"/>
    <hyperlink ref="A465" r:id="rId1623" display="out/パワプロ2020 - 投球解析 - 2020-08-24 11-22-14-06_out.mp4" xr:uid="{54638FEC-0C5E-4146-A374-E9A780FB8ACB}"/>
    <hyperlink ref="B465" r:id="rId1624" display="result/パワプロ2020 - 投球解析 - 2020-08-24 11-22-14-06_ball.txt" xr:uid="{C0C82FAD-9327-4D06-BC2C-21DE4EB88599}"/>
    <hyperlink ref="A466" r:id="rId1625" display="out/パワプロ2020 - 投球解析 - 2020-08-24 11-22-14-07_out.mp4" xr:uid="{C7A2E2DF-E161-44E6-AC1B-DE3B17A784B8}"/>
    <hyperlink ref="B466" r:id="rId1626" display="result/パワプロ2020 - 投球解析 - 2020-08-24 11-22-14-07_ball.txt" xr:uid="{ED0EFDDB-F781-4555-9D30-A0A691E11A95}"/>
    <hyperlink ref="A497" r:id="rId1627" display="out/パワプロ2020 - 投球解析 - 2020-08-24 11-25-48-08_out.mp4" xr:uid="{74ABD746-B8AD-4616-B097-78CF34C6BD7A}"/>
    <hyperlink ref="B497" r:id="rId1628" display="result/パワプロ2020 - 投球解析 - 2020-08-24 11-25-48-08_ball.txt" xr:uid="{4AA570FA-43FE-47C1-BA82-397E97DD8BC9}"/>
    <hyperlink ref="A498" r:id="rId1629" display="out/パワプロ2020 - 投球解析 - 2020-08-24 11-25-48-09_out.mp4" xr:uid="{772B55E1-0A3C-4E52-B8FE-3441B43E5A74}"/>
    <hyperlink ref="B498" r:id="rId1630" display="result/パワプロ2020 - 投球解析 - 2020-08-24 11-25-48-09_ball.txt" xr:uid="{65075BE0-05C3-44CF-BAA1-DF1A95F5BAA7}"/>
    <hyperlink ref="A499" r:id="rId1631" display="out/パワプロ2020 - 投球解析 - 2020-08-24 12-00-01-00_out.mp4" xr:uid="{B3F661FE-0A46-4900-A27B-7BE3C28A7C66}"/>
    <hyperlink ref="B499" r:id="rId1632" display="result/パワプロ2020 - 投球解析 - 2020-08-24 12-00-01-00_ball.txt" xr:uid="{423DD5C3-0914-4A38-992C-D299A7BC217F}"/>
    <hyperlink ref="A500" r:id="rId1633" display="out/パワプロ2020 - 投球解析 - 2020-08-24 12-00-01-01_out.mp4" xr:uid="{1DEC82BD-1118-455E-AB95-3A92C4BA60BC}"/>
    <hyperlink ref="B500" r:id="rId1634" display="result/パワプロ2020 - 投球解析 - 2020-08-24 12-00-01-01_ball.txt" xr:uid="{C34FC31A-7315-4DDA-9DB9-FA5AFADA7E9C}"/>
    <hyperlink ref="A501" r:id="rId1635" display="out/パワプロ2020 - 投球解析 - 2020-08-24 12-00-01-02_out.mp4" xr:uid="{C3DF442A-B5B6-43AE-B6BB-243D4063E8FC}"/>
    <hyperlink ref="B501" r:id="rId1636" display="result/パワプロ2020 - 投球解析 - 2020-08-24 12-00-01-02_ball.txt" xr:uid="{63C642FE-A1B7-4431-8D55-A56A94F1BF40}"/>
    <hyperlink ref="A502" r:id="rId1637" display="out/パワプロ2020 - 投球解析 - 2020-08-24 12-00-01-03_out.mp4" xr:uid="{31628DBE-EE39-4DBE-8911-BE1FEC4334A9}"/>
    <hyperlink ref="B502" r:id="rId1638" display="result/パワプロ2020 - 投球解析 - 2020-08-24 12-00-01-03_ball.txt" xr:uid="{EF7CC59C-3BD4-411A-BB76-5E1691ECC909}"/>
    <hyperlink ref="A503" r:id="rId1639" display="out/パワプロ2020 - 投球解析 - 2020-08-24 12-00-01-04_out.mp4" xr:uid="{64FAE56F-FFC4-4B53-BFE0-07FC997D77D9}"/>
    <hyperlink ref="B503" r:id="rId1640" display="result/パワプロ2020 - 投球解析 - 2020-08-24 12-00-01-04_ball.txt" xr:uid="{99AABA83-4B5B-461B-B5D1-3B8EF657BD75}"/>
    <hyperlink ref="A504" r:id="rId1641" display="out/パワプロ2020 - 投球解析 - 2020-08-24 12-00-01-05_out.mp4" xr:uid="{8806C7CE-7ECF-435A-BE96-AB3B600F44E0}"/>
    <hyperlink ref="B504" r:id="rId1642" display="result/パワプロ2020 - 投球解析 - 2020-08-24 12-00-01-05_ball.txt" xr:uid="{71E7EE8D-9190-4EED-B636-B22860C65078}"/>
    <hyperlink ref="A543" r:id="rId1643" display="out/パワプロ2020 - 投球解析 - 2020-08-24 12-04-51-07_out.mp4" xr:uid="{0B906963-D7F2-4104-B429-33BDAA21340A}"/>
    <hyperlink ref="B543" r:id="rId1644" display="result/パワプロ2020 - 投球解析 - 2020-08-24 12-04-51-07_ball.txt" xr:uid="{395D7696-50EB-4790-BC9F-5BA9C670C768}"/>
    <hyperlink ref="A544" r:id="rId1645" display="out/パワプロ2020 - 投球解析 - 2020-08-24 12-04-51-08_out.mp4" xr:uid="{9FE3D368-CF6C-42A7-9FF3-1AF80DFF5E0F}"/>
    <hyperlink ref="B544" r:id="rId1646" display="result/パワプロ2020 - 投球解析 - 2020-08-24 12-04-51-08_ball.txt" xr:uid="{EF49E21F-BBE2-43D7-A500-3CE328E41477}"/>
    <hyperlink ref="A545" r:id="rId1647" display="out/パワプロ2020 - 投球解析 - 2020-08-24 12-04-51-09_out.mp4" xr:uid="{E2FA69D1-A5AB-4503-BA79-CF41EED94CB1}"/>
    <hyperlink ref="B545" r:id="rId1648" display="result/パワプロ2020 - 投球解析 - 2020-08-24 12-04-51-09_ball.txt" xr:uid="{34613184-F8B1-4EF7-B6B7-4D0BFB362039}"/>
    <hyperlink ref="A546" r:id="rId1649" display="out/パワプロ2020 - 投球解析 - 2020-08-24 12-06-16-00_out.mp4" xr:uid="{00C0973B-06F1-4207-8883-875F43015DF8}"/>
    <hyperlink ref="B546" r:id="rId1650" display="result/パワプロ2020 - 投球解析 - 2020-08-24 12-06-16-00_ball.txt" xr:uid="{4F0C8A0A-4850-4997-9842-A6CE703751CF}"/>
    <hyperlink ref="A547" r:id="rId1651" display="out/パワプロ2020 - 投球解析 - 2020-08-24 12-06-16-01_out.mp4" xr:uid="{2ABFDC89-17BD-4EB8-9160-15D7B53623AE}"/>
    <hyperlink ref="B547" r:id="rId1652" display="result/パワプロ2020 - 投球解析 - 2020-08-24 12-06-16-01_ball.txt" xr:uid="{442763CD-ACF6-47B6-BF6D-A384B1D25F85}"/>
    <hyperlink ref="A548" r:id="rId1653" display="out/パワプロ2020 - 投球解析 - 2020-08-24 12-06-16-02_out.mp4" xr:uid="{4E972320-1B6F-4095-AC05-2E24FC3B1E60}"/>
    <hyperlink ref="B548" r:id="rId1654" display="result/パワプロ2020 - 投球解析 - 2020-08-24 12-06-16-02_ball.txt" xr:uid="{2F75C89A-F010-4AA7-8B88-D340AAA8610D}"/>
    <hyperlink ref="A549" r:id="rId1655" display="out/パワプロ2020 - 投球解析 - 2020-08-24 12-06-16-03_out.mp4" xr:uid="{F3D3353D-EDD5-4574-B8AF-748A1939CB2A}"/>
    <hyperlink ref="B549" r:id="rId1656" display="result/パワプロ2020 - 投球解析 - 2020-08-24 12-06-16-03_ball.txt" xr:uid="{577BC2DF-64A5-48F9-8C7D-7E5D670E4FB4}"/>
    <hyperlink ref="A550" r:id="rId1657" display="out/パワプロ2020 - 投球解析 - 2020-08-24 12-06-16-04_out.mp4" xr:uid="{D6587EA3-3216-4EB7-B8EF-C464E301A16B}"/>
    <hyperlink ref="B550" r:id="rId1658" display="result/パワプロ2020 - 投球解析 - 2020-08-24 12-06-16-04_ball.txt" xr:uid="{1DC3783E-183B-41EF-B327-F1E1CBF16400}"/>
    <hyperlink ref="A551" r:id="rId1659" display="out/パワプロ2020 - 投球解析 - 2020-08-24 12-06-16-05_out.mp4" xr:uid="{22A370CD-A973-48E3-973D-67289453BBAA}"/>
    <hyperlink ref="B551" r:id="rId1660" display="result/パワプロ2020 - 投球解析 - 2020-08-24 12-06-16-05_ball.txt" xr:uid="{C0D86626-A92D-47BD-93B5-6C6DD6395EC7}"/>
    <hyperlink ref="A552" r:id="rId1661" display="out/パワプロ2020 - 投球解析 - 2020-08-24 12-06-16-06_out.mp4" xr:uid="{5F5B077A-0652-47B0-BA72-01E7FC91158C}"/>
    <hyperlink ref="B552" r:id="rId1662" display="result/パワプロ2020 - 投球解析 - 2020-08-24 12-06-16-06_ball.txt" xr:uid="{76FD9C53-DBDA-4FBA-BF3E-1396CAE4EE9A}"/>
    <hyperlink ref="A590" r:id="rId1663" display="out/パワプロ2020 - 投球解析 - 2020-08-24 12-11-18-02_out.mp4" xr:uid="{C1D24873-ED7F-46DF-8ECD-61C469638B38}"/>
    <hyperlink ref="B590" r:id="rId1664" display="result/パワプロ2020 - 投球解析 - 2020-08-24 12-11-18-02_ball.txt" xr:uid="{309B62CF-C849-4E49-9E7B-A62FF9D9A3F1}"/>
    <hyperlink ref="A591" r:id="rId1665" display="out/パワプロ2020 - 投球解析 - 2020-08-24 12-11-18-03_out.mp4" xr:uid="{9BF053D0-DF90-4B85-A0F9-8B4D7049BBF9}"/>
    <hyperlink ref="B591" r:id="rId1666" display="result/パワプロ2020 - 投球解析 - 2020-08-24 12-11-18-03_ball.txt" xr:uid="{E6F3933E-9745-4FAC-852D-C838AE5E99EA}"/>
    <hyperlink ref="A592" r:id="rId1667" display="out/パワプロ2020 - 投球解析 - 2020-08-24 12-11-18-04_out.mp4" xr:uid="{0870B2D0-E258-43F5-A208-876BB21DFBCE}"/>
    <hyperlink ref="B592" r:id="rId1668" display="result/パワプロ2020 - 投球解析 - 2020-08-24 12-11-18-04_ball.txt" xr:uid="{9ECC7F65-B6AA-4D97-9D04-483F1303BD3D}"/>
    <hyperlink ref="A593" r:id="rId1669" display="out/パワプロ2020 - 投球解析 - 2020-08-24 12-11-18-05_out.mp4" xr:uid="{921CC675-4F5F-43B1-AB3F-4B9B5DD4964A}"/>
    <hyperlink ref="B593" r:id="rId1670" display="result/パワプロ2020 - 投球解析 - 2020-08-24 12-11-18-05_ball.txt" xr:uid="{30BC1B53-9FFA-46B6-829D-BB1D9FEF7E8F}"/>
    <hyperlink ref="A594" r:id="rId1671" display="out/パワプロ2020 - 投球解析 - 2020-08-24 12-11-18-06_out.mp4" xr:uid="{93607BEA-B541-4F3C-B9CE-C354748970FB}"/>
    <hyperlink ref="B594" r:id="rId1672" display="result/パワプロ2020 - 投球解析 - 2020-08-24 12-11-18-06_ball.txt" xr:uid="{22D4E826-01D5-4D05-9A03-ABF172FB53C2}"/>
    <hyperlink ref="A595" r:id="rId1673" display="out/パワプロ2020 - 投球解析 - 2020-08-24 12-11-18-07_out.mp4" xr:uid="{90B9DBE9-FBC2-4A93-B794-02AF99197511}"/>
    <hyperlink ref="B595" r:id="rId1674" display="result/パワプロ2020 - 投球解析 - 2020-08-24 12-11-18-07_ball.txt" xr:uid="{80B43281-9943-4612-9883-AA235120B1E3}"/>
    <hyperlink ref="A596" r:id="rId1675" display="out/パワプロ2020 - 投球解析 - 2020-08-24 12-11-18-08_out.mp4" xr:uid="{880CC4DF-C268-42F8-ACCF-6DF0A61E04A9}"/>
    <hyperlink ref="B596" r:id="rId1676" display="result/パワプロ2020 - 投球解析 - 2020-08-24 12-11-18-08_ball.txt" xr:uid="{0059D183-9C90-4140-9E59-1CEB75340561}"/>
    <hyperlink ref="A597" r:id="rId1677" display="out/パワプロ2020 - 投球解析 - 2020-08-24 12-11-18-09_out.mp4" xr:uid="{1DBA3692-6D27-44B5-9CBD-29D6762079C0}"/>
    <hyperlink ref="B597" r:id="rId1678" display="result/パワプロ2020 - 投球解析 - 2020-08-24 12-11-18-09_ball.txt" xr:uid="{79DEF236-0934-49C4-9B4A-805E180EA017}"/>
    <hyperlink ref="A598" r:id="rId1679" display="out/パワプロ2020 - 投球解析 - 2020-08-24 12-11-18-11_out.mp4" xr:uid="{2EC68839-0E11-4210-9DE2-9E05C6DF1C42}"/>
    <hyperlink ref="B598" r:id="rId1680" display="result/パワプロ2020 - 投球解析 - 2020-08-24 12-11-18-11_ball.txt" xr:uid="{B532653C-325D-4C85-BB36-09F02DA97350}"/>
    <hyperlink ref="A626" r:id="rId1681" display="out/パワプロ2020 - 投球解析 - 2020-08-24 12-22-44-05_out.mp4" xr:uid="{7E1084E4-EFFD-4930-BB85-3286D33FE7B0}"/>
    <hyperlink ref="B626" r:id="rId1682" display="result/パワプロ2020 - 投球解析 - 2020-08-24 12-22-44-05_ball.txt" xr:uid="{3E945AD9-1874-4BC4-9FDC-FCD66BC18D8C}"/>
    <hyperlink ref="A627" r:id="rId1683" display="out/パワプロ2020 - 投球解析 - 2020-08-24 12-22-44-06_out.mp4" xr:uid="{8974696E-EB2E-4BC9-8888-CA2443D5F627}"/>
    <hyperlink ref="B627" r:id="rId1684" display="result/パワプロ2020 - 投球解析 - 2020-08-24 12-22-44-06_ball.txt" xr:uid="{7AF7E7B5-DCD1-428F-9DCA-6F3877C6D285}"/>
    <hyperlink ref="A628" r:id="rId1685" display="out/パワプロ2020 - 投球解析 - 2020-08-24 12-22-44-07_out.mp4" xr:uid="{D0CF3D96-ECAE-4D9F-B7F1-7945B5A7D34D}"/>
    <hyperlink ref="B628" r:id="rId1686" display="result/パワプロ2020 - 投球解析 - 2020-08-24 12-22-44-07_ball.txt" xr:uid="{986CAD34-22E8-4FFD-8879-589C68ABC6DC}"/>
    <hyperlink ref="A629" r:id="rId1687" display="out/パワプロ2020 - 投球解析 - 2020-08-24 12-22-44-08_out.mp4" xr:uid="{8D4B9936-8CCA-4B08-AA00-F45214EDD867}"/>
    <hyperlink ref="B629" r:id="rId1688" display="result/パワプロ2020 - 投球解析 - 2020-08-24 12-22-44-08_ball.txt" xr:uid="{34D151A4-8112-424C-8997-F23F99ADE62D}"/>
    <hyperlink ref="A630" r:id="rId1689" display="out/パワプロ2020 - 投球解析 - 2020-08-24 12-22-44-09_out.mp4" xr:uid="{685B8F82-BCFA-401E-A4EC-97888FF7AE53}"/>
    <hyperlink ref="B630" r:id="rId1690" display="result/パワプロ2020 - 投球解析 - 2020-08-24 12-22-44-09_ball.txt" xr:uid="{3E47170C-1B01-42E1-8EF1-85C539E87929}"/>
    <hyperlink ref="A631" r:id="rId1691" display="out/パワプロ2020 - 投球解析 - 2020-08-24 12-24-03-00_out.mp4" xr:uid="{52F07634-7620-46D8-BE14-E99C49443322}"/>
    <hyperlink ref="B631" r:id="rId1692" display="result/パワプロ2020 - 投球解析 - 2020-08-24 12-24-03-00_ball.txt" xr:uid="{953C9D1E-F823-4B97-9EA6-79B4E5A5F74B}"/>
    <hyperlink ref="A632" r:id="rId1693" display="out/パワプロ2020 - 投球解析 - 2020-08-24 12-24-03-01_out.mp4" xr:uid="{BFDEDFF3-BBB5-4C17-AF22-6BB051719B74}"/>
    <hyperlink ref="B632" r:id="rId1694" display="result/パワプロ2020 - 投球解析 - 2020-08-24 12-24-03-01_ball.txt" xr:uid="{7855AF37-883C-46B3-8235-F2210BAC6FCE}"/>
    <hyperlink ref="A633" r:id="rId1695" display="out/パワプロ2020 - 投球解析 - 2020-08-24 12-24-03-02_out.mp4" xr:uid="{78AC3D47-E553-46FA-998A-0504607A048A}"/>
    <hyperlink ref="B633" r:id="rId1696" display="result/パワプロ2020 - 投球解析 - 2020-08-24 12-24-03-02_ball.txt" xr:uid="{C6FF832E-21A5-41DC-AA18-8165A7FE87AD}"/>
    <hyperlink ref="A634" r:id="rId1697" display="out/パワプロ2020 - 投球解析 - 2020-08-24 12-24-03-03_out.mp4" xr:uid="{AFA6DFF5-7A63-4175-9940-D410E182C017}"/>
    <hyperlink ref="B634" r:id="rId1698" display="result/パワプロ2020 - 投球解析 - 2020-08-24 12-24-03-03_ball.txt" xr:uid="{76E0F556-F715-4A90-B060-F613E9B854D8}"/>
    <hyperlink ref="A661" r:id="rId1699" display="out/パワプロ2020 - 投球解析 - 2020-08-24 12-28-05-01_out.mp4" xr:uid="{D3D6F9A8-E665-4BF5-BE7B-74C1E7C3440A}"/>
    <hyperlink ref="B661" r:id="rId1700" display="result/パワプロ2020 - 投球解析 - 2020-08-24 12-28-05-01_ball.txt" xr:uid="{D12DB265-FC25-4AD9-8E17-A3A261210E13}"/>
    <hyperlink ref="A662" r:id="rId1701" display="out/パワプロ2020 - 投球解析 - 2020-08-24 12-28-05-02_out.mp4" xr:uid="{2CF296AD-237C-4462-B4AF-08DC14D72149}"/>
    <hyperlink ref="B662" r:id="rId1702" display="result/パワプロ2020 - 投球解析 - 2020-08-24 12-28-05-02_ball.txt" xr:uid="{790DE361-569C-4E1A-8EDC-A7A3F89CD343}"/>
    <hyperlink ref="A663" r:id="rId1703" display="out/パワプロ2020 - 投球解析 - 2020-08-24 12-28-05-03_out.mp4" xr:uid="{A48E41FE-EB4F-42B6-836D-F74EE0E84D50}"/>
    <hyperlink ref="B663" r:id="rId1704" display="result/パワプロ2020 - 投球解析 - 2020-08-24 12-28-05-03_ball.txt" xr:uid="{2AD8AF72-B0A7-45A2-8F59-371A284F743C}"/>
    <hyperlink ref="A664" r:id="rId1705" display="out/パワプロ2020 - 投球解析 - 2020-08-24 12-28-05-04_out.mp4" xr:uid="{F0F30C32-B6CD-482F-9780-DBA7915F159E}"/>
    <hyperlink ref="B664" r:id="rId1706" display="result/パワプロ2020 - 投球解析 - 2020-08-24 12-28-05-04_ball.txt" xr:uid="{048F2E4C-20CA-4C90-9208-42CCB68C5F3F}"/>
    <hyperlink ref="A665" r:id="rId1707" display="out/パワプロ2020 - 投球解析 - 2020-08-24 12-28-05-05_out.mp4" xr:uid="{C56C27BB-4117-4608-A68E-26B9F49571DD}"/>
    <hyperlink ref="B665" r:id="rId1708" display="result/パワプロ2020 - 投球解析 - 2020-08-24 12-28-05-05_ball.txt" xr:uid="{5CC70133-6251-4850-9E14-24130A4BB9A2}"/>
    <hyperlink ref="A666" r:id="rId1709" display="out/パワプロ2020 - 投球解析 - 2020-08-24 12-28-05-06_out.mp4" xr:uid="{45BEBEB2-FCD7-45C9-8604-418F762E53FF}"/>
    <hyperlink ref="B666" r:id="rId1710" display="result/パワプロ2020 - 投球解析 - 2020-08-24 12-28-05-06_ball.txt" xr:uid="{1EFC624C-DA47-4ED2-8D89-05ED4491DAE2}"/>
    <hyperlink ref="A667" r:id="rId1711" display="out/パワプロ2020 - 投球解析 - 2020-08-24 12-28-05-07_out.mp4" xr:uid="{EA1547A3-04CE-40E5-A9FC-E1A48213372B}"/>
    <hyperlink ref="B667" r:id="rId1712" display="result/パワプロ2020 - 投球解析 - 2020-08-24 12-28-05-07_ball.txt" xr:uid="{C71A5B9D-15AF-400C-8D67-B992307A620B}"/>
    <hyperlink ref="A668" r:id="rId1713" display="out/パワプロ2020 - 投球解析 - 2020-08-24 12-28-05-08_out.mp4" xr:uid="{165B04F2-4195-4654-A311-081B12EDA0E4}"/>
    <hyperlink ref="B668" r:id="rId1714" display="result/パワプロ2020 - 投球解析 - 2020-08-24 12-28-05-08_ball.txt" xr:uid="{EE6B2D20-D36B-4297-BE28-1F3BC98BD5E5}"/>
    <hyperlink ref="A669" r:id="rId1715" display="out/パワプロ2020 - 投球解析 - 2020-08-24 12-28-05-09_out.mp4" xr:uid="{36476A32-1948-4E64-BCA6-5D3CA1A2A7AA}"/>
    <hyperlink ref="B669" r:id="rId1716" display="result/パワプロ2020 - 投球解析 - 2020-08-24 12-28-05-09_ball.txt" xr:uid="{3E6055C8-E05F-4905-A52A-FCF91586ADB7}"/>
    <hyperlink ref="A670" r:id="rId1717" display="out/パワプロ2020 - 投球解析 - 2020-08-24 12-32-08-00_out.mp4" xr:uid="{1EE388E1-360C-4E0D-A296-9602CEEC74A1}"/>
    <hyperlink ref="B670" r:id="rId1718" display="result/パワプロ2020 - 投球解析 - 2020-08-24 12-32-08-00_ball.txt" xr:uid="{C7424D10-DF06-4734-B269-154470A0513E}"/>
    <hyperlink ref="A697" r:id="rId1719" display="out/パワプロ2020 - 投球解析 - 2020-08-24 12-35-33-07_out.mp4" xr:uid="{CF2AB67A-267F-41B1-AFDD-37B57B1E43A4}"/>
    <hyperlink ref="B697" r:id="rId1720" display="result/パワプロ2020 - 投球解析 - 2020-08-24 12-35-33-07_ball.txt" xr:uid="{18E9031E-B932-4659-9723-7E4FA7BEDDC0}"/>
    <hyperlink ref="A698" r:id="rId1721" display="out/パワプロ2020 - 投球解析 - 2020-08-24 12-35-33-08_out.mp4" xr:uid="{2BB9D9F7-D821-4623-8EE7-E5500D99D504}"/>
    <hyperlink ref="B698" r:id="rId1722" display="result/パワプロ2020 - 投球解析 - 2020-08-24 12-35-33-08_ball.txt" xr:uid="{3479DE00-1976-4DAF-8AF9-47959CEDAF57}"/>
    <hyperlink ref="A699" r:id="rId1723" display="out/パワプロ2020 - 投球解析 - 2020-08-24 12-35-33-09_out.mp4" xr:uid="{C074CCD1-910F-4163-A5AB-786C4DE4AF75}"/>
    <hyperlink ref="B699" r:id="rId1724" display="result/パワプロ2020 - 投球解析 - 2020-08-24 12-35-33-09_ball.txt" xr:uid="{C87256E1-5621-4CE8-B20D-21454EFE8B51}"/>
    <hyperlink ref="A700" r:id="rId1725" display="out/パワプロ2020 - 投球解析 - 2020-08-24 12-36-56-00_out.mp4" xr:uid="{3D5A05FA-4AFA-4A2A-86A7-F94C70771D6A}"/>
    <hyperlink ref="B700" r:id="rId1726" display="result/パワプロ2020 - 投球解析 - 2020-08-24 12-36-56-00_ball.txt" xr:uid="{FC7AB96A-06A3-4863-84D5-A9A73E1F7E3E}"/>
    <hyperlink ref="A701" r:id="rId1727" display="out/パワプロ2020 - 投球解析 - 2020-08-24 12-36-56-01_out.mp4" xr:uid="{5034948B-5416-4882-930A-C24C03A2B58E}"/>
    <hyperlink ref="B701" r:id="rId1728" display="result/パワプロ2020 - 投球解析 - 2020-08-24 12-36-56-01_ball.txt" xr:uid="{066F4BED-9AE2-4733-B0AE-3020BE737EC8}"/>
    <hyperlink ref="A702" r:id="rId1729" display="out/パワプロ2020 - 投球解析 - 2020-08-24 12-36-56-02_out.mp4" xr:uid="{1A967C78-B767-48AA-8F70-9E7E23638BAE}"/>
    <hyperlink ref="B702" r:id="rId1730" display="result/パワプロ2020 - 投球解析 - 2020-08-24 12-36-56-02_ball.txt" xr:uid="{9E2E3606-044E-4FE1-825E-EB129E7BCD4C}"/>
    <hyperlink ref="A703" r:id="rId1731" display="out/パワプロ2020 - 投球解析 - 2020-08-24 12-36-56-03_out.mp4" xr:uid="{4A791125-D5AF-4E3C-9D5B-03F862B21014}"/>
    <hyperlink ref="B703" r:id="rId1732" display="result/パワプロ2020 - 投球解析 - 2020-08-24 12-36-56-03_ball.txt" xr:uid="{3F8FA288-22BD-487A-9EA4-038881944E65}"/>
    <hyperlink ref="A704" r:id="rId1733" display="out/パワプロ2020 - 投球解析 - 2020-08-24 12-36-56-04_out.mp4" xr:uid="{4BCFA291-5F1E-4163-A96C-664D885A36FB}"/>
    <hyperlink ref="B704" r:id="rId1734" display="result/パワプロ2020 - 投球解析 - 2020-08-24 12-36-56-04_ball.txt" xr:uid="{A5C07D7A-B6B7-4CF2-B9B1-31ACFB737051}"/>
    <hyperlink ref="A705" r:id="rId1735" display="out/パワプロ2020 - 投球解析 - 2020-08-24 12-36-56-05_out.mp4" xr:uid="{1F4D4C7B-5881-4FDA-98BE-889BC9C52997}"/>
    <hyperlink ref="B705" r:id="rId1736" display="result/パワプロ2020 - 投球解析 - 2020-08-24 12-36-56-05_ball.txt" xr:uid="{C7D7DD20-ACF8-4470-8C34-E3814C2F5D31}"/>
    <hyperlink ref="A745" r:id="rId1737" display="out/パワプロ2020 - 投球解析 - 2020-08-24 12-42-52-05_out.mp4" xr:uid="{6A84C431-E15D-4275-849F-5BEC7646B705}"/>
    <hyperlink ref="B745" r:id="rId1738" display="result/パワプロ2020 - 投球解析 - 2020-08-24 12-42-52-05_ball.txt" xr:uid="{A7B185B9-AC86-4C51-BD4B-E31F13D5C8FE}"/>
    <hyperlink ref="A746" r:id="rId1739" display="out/パワプロ2020 - 投球解析 - 2020-08-24 12-42-52-06_out.mp4" xr:uid="{176AD494-5EBC-48A6-A337-DCC4A5C69DBF}"/>
    <hyperlink ref="B746" r:id="rId1740" display="result/パワプロ2020 - 投球解析 - 2020-08-24 12-42-52-06_ball.txt" xr:uid="{26A6BD0E-E18D-46AD-BEDD-FE4A209D2B3A}"/>
    <hyperlink ref="A747" r:id="rId1741" display="out/パワプロ2020 - 投球解析 - 2020-08-24 12-42-52-07_out.mp4" xr:uid="{D0736CBA-08C6-4DBE-B21D-28C678FC7C74}"/>
    <hyperlink ref="B747" r:id="rId1742" display="result/パワプロ2020 - 投球解析 - 2020-08-24 12-42-52-07_ball.txt" xr:uid="{1200F0D9-CC31-4867-9932-912CE9AA14D9}"/>
    <hyperlink ref="A748" r:id="rId1743" display="out/パワプロ2020 - 投球解析 - 2020-08-24 12-42-52-08_out.mp4" xr:uid="{960A1BC7-5895-45F6-8C5C-A6CC7C299105}"/>
    <hyperlink ref="B748" r:id="rId1744" display="result/パワプロ2020 - 投球解析 - 2020-08-24 12-42-52-08_ball.txt" xr:uid="{F56B7AE2-98D6-4F11-A9EA-EBF5FE37106D}"/>
    <hyperlink ref="A749" r:id="rId1745" display="out/パワプロ2020 - 投球解析 - 2020-08-24 12-42-52-09_out.mp4" xr:uid="{A56311A8-8C73-45E9-9115-5851A294CCAC}"/>
    <hyperlink ref="B749" r:id="rId1746" display="result/パワプロ2020 - 投球解析 - 2020-08-24 12-42-52-09_ball.txt" xr:uid="{D9280B44-5D54-4359-9331-C724577400AC}"/>
    <hyperlink ref="A750" r:id="rId1747" display="out/パワプロ2020 - 投球解析 - 2020-08-24 12-44-26-00_out.mp4" xr:uid="{8B6ED49C-4A13-49BE-BADD-43818F29F62A}"/>
    <hyperlink ref="B750" r:id="rId1748" display="result/パワプロ2020 - 投球解析 - 2020-08-24 12-44-26-00_ball.txt" xr:uid="{E6207C59-819C-40F4-9DC1-C9F08602F730}"/>
    <hyperlink ref="A751" r:id="rId1749" display="out/パワプロ2020 - 投球解析 - 2020-08-24 12-44-26-01_out.mp4" xr:uid="{EDF838FA-C56F-4289-8497-121569B53948}"/>
    <hyperlink ref="B751" r:id="rId1750" display="result/パワプロ2020 - 投球解析 - 2020-08-24 12-44-26-01_ball.txt" xr:uid="{472E08A4-C695-4F53-AA72-89E48FDBAAFB}"/>
    <hyperlink ref="A752" r:id="rId1751" display="out/パワプロ2020 - 投球解析 - 2020-08-24 12-44-26-02_out.mp4" xr:uid="{F7015121-1AED-41A6-AF09-6D1A32479434}"/>
    <hyperlink ref="B752" r:id="rId1752" display="result/パワプロ2020 - 投球解析 - 2020-08-24 12-44-26-02_ball.txt" xr:uid="{44E07D72-F8D2-40AB-AC90-3F6DF55DABEA}"/>
    <hyperlink ref="A753" r:id="rId1753" display="out/パワプロ2020 - 投球解析 - 2020-08-24 12-44-26-03_out.mp4" xr:uid="{371084AC-D08F-47D9-868C-71FDD2A19FFE}"/>
    <hyperlink ref="B753" r:id="rId1754" display="result/パワプロ2020 - 投球解析 - 2020-08-24 12-44-26-03_ball.txt" xr:uid="{22E49EC1-663D-4376-88F3-46EF10CE5E38}"/>
    <hyperlink ref="A754" r:id="rId1755" display="out/パワプロ2020 - 投球解析 - 2020-08-24 12-44-26-04_out.mp4" xr:uid="{417F39C0-5EA8-4969-AFE1-B25F4D9E5C2A}"/>
    <hyperlink ref="B754" r:id="rId1756" display="result/パワプロ2020 - 投球解析 - 2020-08-24 12-44-26-04_ball.txt" xr:uid="{4749B129-9F8B-4588-AEBA-1EE80C4810F8}"/>
    <hyperlink ref="A792" r:id="rId1757" display="out/パワプロ2020 - 投球解析 - 2020-08-24 12-49-17-04_out.mp4" xr:uid="{855AFB7E-E2F2-4DFC-A013-E77DA52F3580}"/>
    <hyperlink ref="B792" r:id="rId1758" display="result/パワプロ2020 - 投球解析 - 2020-08-24 12-49-17-04_ball.txt" xr:uid="{9545CF56-AC1E-4A5C-B03F-DD549F273FB0}"/>
    <hyperlink ref="A793" r:id="rId1759" display="out/パワプロ2020 - 投球解析 - 2020-08-24 12-49-17-05_out.mp4" xr:uid="{38F14633-E496-455F-85D5-6819CBDFEE48}"/>
    <hyperlink ref="B793" r:id="rId1760" display="result/パワプロ2020 - 投球解析 - 2020-08-24 12-49-17-05_ball.txt" xr:uid="{A87FB1A3-3369-4D4D-8475-A557A674340E}"/>
    <hyperlink ref="A794" r:id="rId1761" display="out/パワプロ2020 - 投球解析 - 2020-08-24 12-49-17-06_out.mp4" xr:uid="{81FB8E59-37BC-4AB0-91E9-38E7872FBB5E}"/>
    <hyperlink ref="B794" r:id="rId1762" display="result/パワプロ2020 - 投球解析 - 2020-08-24 12-49-17-06_ball.txt" xr:uid="{B142A381-F9F1-4DA2-A681-23A3F017738A}"/>
    <hyperlink ref="A795" r:id="rId1763" display="out/パワプロ2020 - 投球解析 - 2020-08-24 12-50-30-00_out.mp4" xr:uid="{CD5A9016-F4EC-4E62-A215-25B181502BC2}"/>
    <hyperlink ref="B795" r:id="rId1764" display="result/パワプロ2020 - 投球解析 - 2020-08-24 12-50-30-00_ball.txt" xr:uid="{3B4DD835-28C4-4712-9A9E-0E0D4D3A4A1D}"/>
    <hyperlink ref="A796" r:id="rId1765" display="out/パワプロ2020 - 投球解析 - 2020-08-24 12-50-30-01_out.mp4" xr:uid="{4E303993-9019-4803-8DA9-DBF0C07E9957}"/>
    <hyperlink ref="B796" r:id="rId1766" display="result/パワプロ2020 - 投球解析 - 2020-08-24 12-50-30-01_ball.txt" xr:uid="{6CD31317-86B5-482A-A739-CB80D502C6C4}"/>
    <hyperlink ref="A797" r:id="rId1767" display="out/パワプロ2020 - 投球解析 - 2020-08-24 12-50-30-02_out.mp4" xr:uid="{AE95C8CF-36B2-41A5-8657-04D3D0FEF060}"/>
    <hyperlink ref="B797" r:id="rId1768" display="result/パワプロ2020 - 投球解析 - 2020-08-24 12-50-30-02_ball.txt" xr:uid="{304F6517-3664-4DC3-9945-C134324E6526}"/>
    <hyperlink ref="A798" r:id="rId1769" display="out/パワプロ2020 - 投球解析 - 2020-08-24 12-50-30-03_out.mp4" xr:uid="{033ED682-53D9-4229-B1C1-0F5FA80A56CE}"/>
    <hyperlink ref="B798" r:id="rId1770" display="result/パワプロ2020 - 投球解析 - 2020-08-24 12-50-30-03_ball.txt" xr:uid="{B05BF42E-430E-449F-961D-54BD168C4263}"/>
    <hyperlink ref="A799" r:id="rId1771" display="out/パワプロ2020 - 投球解析 - 2020-08-24 12-50-30-04_out.mp4" xr:uid="{309005E1-4CFB-4A10-9090-551014AA540B}"/>
    <hyperlink ref="B799" r:id="rId1772" display="result/パワプロ2020 - 投球解析 - 2020-08-24 12-50-30-04_ball.txt" xr:uid="{8F9E0A03-EED0-4EF2-B679-AFCB4FC719F7}"/>
    <hyperlink ref="A800" r:id="rId1773" display="out/パワプロ2020 - 投球解析 - 2020-08-24 12-50-30-05_out.mp4" xr:uid="{21064F27-D457-449D-8323-3269F2B4B0EF}"/>
    <hyperlink ref="B800" r:id="rId1774" display="result/パワプロ2020 - 投球解析 - 2020-08-24 12-50-30-05_ball.txt" xr:uid="{8D1750BE-FBDC-481E-9AE8-B36D249B3DE6}"/>
    <hyperlink ref="A801" r:id="rId1775" display="out/パワプロ2020 - 投球解析 - 2020-08-24 12-50-30-06_out.mp4" xr:uid="{E4D79017-581B-421E-9498-0B1A1A643059}"/>
    <hyperlink ref="B801" r:id="rId1776" display="result/パワプロ2020 - 投球解析 - 2020-08-24 12-50-30-06_ball.txt" xr:uid="{A1681235-B5EF-4B5F-B43C-5506882B49C8}"/>
    <hyperlink ref="A831" r:id="rId1777" display="out/パワプロ2020 - 投球解析 - 2020-08-24 12-55-39-06_out.mp4" xr:uid="{CB04A17A-6178-4598-944B-0F4DA1BF60F2}"/>
    <hyperlink ref="B831" r:id="rId1778" display="result/パワプロ2020 - 投球解析 - 2020-08-24 12-55-39-06_ball.txt" xr:uid="{F72F7E5A-9EBD-410D-B8C5-963AF44AF30C}"/>
    <hyperlink ref="A832" r:id="rId1779" display="out/パワプロ2020 - 投球解析 - 2020-08-24 12-55-39-07_out.mp4" xr:uid="{552C6889-E496-4FB1-817A-B52689E73A46}"/>
    <hyperlink ref="B832" r:id="rId1780" display="result/パワプロ2020 - 投球解析 - 2020-08-24 12-55-39-07_ball.txt" xr:uid="{FC4195D4-EC7F-45ED-A5C7-200032CCD477}"/>
    <hyperlink ref="A833" r:id="rId1781" display="out/パワプロ2020 - 投球解析 - 2020-08-24 12-55-39-08_out.mp4" xr:uid="{FD0CFE9A-1FE0-4373-B941-C801DA0BF15E}"/>
    <hyperlink ref="B833" r:id="rId1782" display="result/パワプロ2020 - 投球解析 - 2020-08-24 12-55-39-08_ball.txt" xr:uid="{2AD554D1-08AB-4C8D-B38B-367A42BACB0A}"/>
    <hyperlink ref="A834" r:id="rId1783" display="out/パワプロ2020 - 投球解析 - 2020-08-24 12-55-39-09_out.mp4" xr:uid="{EDBB1A80-D93D-4774-A5B3-45F9EBE7AC25}"/>
    <hyperlink ref="B834" r:id="rId1784" display="result/パワプロ2020 - 投球解析 - 2020-08-24 12-55-39-09_ball.txt" xr:uid="{5C9D16EB-F2B4-4099-B572-527A2D1B1A5C}"/>
    <hyperlink ref="A835" r:id="rId1785" display="out/パワプロ2020 - 投球解析 - 2020-08-24 12-58-52-00_out.mp4" xr:uid="{9591B367-52B4-45C7-8EF6-0964D3B993FC}"/>
    <hyperlink ref="B835" r:id="rId1786" display="result/パワプロ2020 - 投球解析 - 2020-08-24 12-58-52-00_ball.txt" xr:uid="{773F46E8-B649-4DA6-AE64-84509FFC1645}"/>
    <hyperlink ref="A836" r:id="rId1787" display="out/パワプロ2020 - 投球解析 - 2020-08-24 12-58-52-01_out.mp4" xr:uid="{4D6AFAD6-6D64-4388-8920-B0D5C743085E}"/>
    <hyperlink ref="B836" r:id="rId1788" display="result/パワプロ2020 - 投球解析 - 2020-08-24 12-58-52-01_ball.txt" xr:uid="{2CCE904C-2600-4910-A08C-2646181137D4}"/>
    <hyperlink ref="A837" r:id="rId1789" display="out/パワプロ2020 - 投球解析 - 2020-08-24 12-58-52-02_out.mp4" xr:uid="{BC200A15-162E-494D-A349-DB9B31635840}"/>
    <hyperlink ref="B837" r:id="rId1790" display="result/パワプロ2020 - 投球解析 - 2020-08-24 12-58-52-02_ball.txt" xr:uid="{1BB93A1A-D42B-4835-B532-93940D1AB8D1}"/>
    <hyperlink ref="A838" r:id="rId1791" display="out/パワプロ2020 - 投球解析 - 2020-08-24 12-58-52-03_out.mp4" xr:uid="{059547DE-51D7-4799-987E-999BC1CE0FE0}"/>
    <hyperlink ref="B838" r:id="rId1792" display="result/パワプロ2020 - 投球解析 - 2020-08-24 12-58-52-03_ball.txt" xr:uid="{1A710C3B-A045-4B11-9292-830D812133FA}"/>
    <hyperlink ref="A839" r:id="rId1793" display="out/パワプロ2020 - 投球解析 - 2020-08-24 12-58-52-04_out.mp4" xr:uid="{9D7E5F31-F72E-4DD3-A709-60BF80C40074}"/>
    <hyperlink ref="B839" r:id="rId1794" display="result/パワプロ2020 - 投球解析 - 2020-08-24 12-58-52-04_ball.txt" xr:uid="{6A91B293-BEFC-405A-8234-5D174F9AEDCF}"/>
    <hyperlink ref="A840" r:id="rId1795" display="out/パワプロ2020 - 投球解析 - 2020-08-24 12-58-52-05_out.mp4" xr:uid="{3DE2DDB2-A9DE-440D-B8C4-6B5514353C6B}"/>
    <hyperlink ref="B840" r:id="rId1796" display="result/パワプロ2020 - 投球解析 - 2020-08-24 12-58-52-05_ball.txt" xr:uid="{9B83E58A-BC86-4493-AEDF-34F74A8CEA7B}"/>
    <hyperlink ref="A871" r:id="rId1797" display="out/パワプロ2020 - 投球解析 - 2020-08-24 13-03-51-07_out.mp4" xr:uid="{C868F395-6F86-4B80-A677-EE521C96C81F}"/>
    <hyperlink ref="B871" r:id="rId1798" display="result/パワプロ2020 - 投球解析 - 2020-08-24 13-03-51-07_ball.txt" xr:uid="{67190E5E-2390-4599-A1A5-9FA4BAB474A9}"/>
    <hyperlink ref="A872" r:id="rId1799" display="out/パワプロ2020 - 投球解析 - 2020-08-24 13-03-51-08_out.mp4" xr:uid="{512A9417-3A36-498E-B5AF-52A343D27753}"/>
    <hyperlink ref="B872" r:id="rId1800" display="result/パワプロ2020 - 投球解析 - 2020-08-24 13-03-51-08_ball.txt" xr:uid="{B8F13FB6-AB21-4717-94E4-07C272223920}"/>
    <hyperlink ref="A873" r:id="rId1801" display="out/パワプロ2020 - 投球解析 - 2020-08-24 13-03-51-09_out.mp4" xr:uid="{7FA174F5-E6A5-42AF-9B92-3885A9E93571}"/>
    <hyperlink ref="B873" r:id="rId1802" display="result/パワプロ2020 - 投球解析 - 2020-08-24 13-03-51-09_ball.txt" xr:uid="{C3621EAE-428C-4326-AD37-389E320557C8}"/>
    <hyperlink ref="A874" r:id="rId1803" display="out/パワプロ2020 - 投球解析 - 2020-08-24 13-05-36-00_out.mp4" xr:uid="{ED30B102-5D6F-457F-BCBD-B4B2BD8478FC}"/>
    <hyperlink ref="B874" r:id="rId1804" display="result/パワプロ2020 - 投球解析 - 2020-08-24 13-05-36-00_ball.txt" xr:uid="{26D8D8F4-C108-49E2-9B49-8430F46C39D9}"/>
    <hyperlink ref="A875" r:id="rId1805" display="out/パワプロ2020 - 投球解析 - 2020-08-24 13-05-36-01_out.mp4" xr:uid="{B2F9CD7A-E1A3-483A-831C-C4C44DA1F4C6}"/>
    <hyperlink ref="B875" r:id="rId1806" display="result/パワプロ2020 - 投球解析 - 2020-08-24 13-05-36-01_ball.txt" xr:uid="{F06E67DB-BB5B-4756-960C-C640EBEDE615}"/>
    <hyperlink ref="A876" r:id="rId1807" display="out/パワプロ2020 - 投球解析 - 2020-08-24 13-05-36-02_out.mp4" xr:uid="{869519A0-0F7E-4940-8060-485E6286BAE6}"/>
    <hyperlink ref="B876" r:id="rId1808" display="result/パワプロ2020 - 投球解析 - 2020-08-24 13-05-36-02_ball.txt" xr:uid="{5D68FE8C-6B2B-485A-8FE0-85A559CC23FF}"/>
    <hyperlink ref="A877" r:id="rId1809" display="out/パワプロ2020 - 投球解析 - 2020-08-24 13-05-36-03_out.mp4" xr:uid="{33366962-901B-4369-8D82-CA83C95B048A}"/>
    <hyperlink ref="B877" r:id="rId1810" display="result/パワプロ2020 - 投球解析 - 2020-08-24 13-05-36-03_ball.txt" xr:uid="{C3B0DEA4-FF34-41B7-A8CE-2AE910D9A0C0}"/>
    <hyperlink ref="A878" r:id="rId1811" display="out/パワプロ2020 - 投球解析 - 2020-08-24 13-05-36-04_out.mp4" xr:uid="{26EAE236-47DA-4F5E-9922-D96B7FDEF12C}"/>
    <hyperlink ref="B878" r:id="rId1812" display="result/パワプロ2020 - 投球解析 - 2020-08-24 13-05-36-04_ball.txt" xr:uid="{DBD82B68-AFC6-4D50-A99B-AF73014F94B0}"/>
    <hyperlink ref="A879" r:id="rId1813" display="out/パワプロ2020 - 投球解析 - 2020-08-24 13-05-36-05_out.mp4" xr:uid="{30013B97-C74E-4EEB-8E8D-A5C27F2A1F56}"/>
    <hyperlink ref="B879" r:id="rId1814" display="result/パワプロ2020 - 投球解析 - 2020-08-24 13-05-36-05_ball.txt" xr:uid="{E393D2A4-9DAD-4725-B9DC-E2B3F5322BF9}"/>
    <hyperlink ref="A880" r:id="rId1815" display="out/パワプロ2020 - 投球解析 - 2020-08-24 13-05-36-06_out.mp4" xr:uid="{D75DBCB7-7B7F-4D4F-8785-6C3B88F4EC52}"/>
    <hyperlink ref="B880" r:id="rId1816" display="result/パワプロ2020 - 投球解析 - 2020-08-24 13-05-36-06_ball.txt" xr:uid="{3EFA0C8E-07F1-4A48-B591-6A56F2B0A1BF}"/>
    <hyperlink ref="A910" r:id="rId1817" display="out/パワプロ2020 - 投球解析 - 2020-08-24 13-14-19-03_out.mp4" xr:uid="{9355CE87-608A-43AB-90EC-042D268487CB}"/>
    <hyperlink ref="B910" r:id="rId1818" display="result/パワプロ2020 - 投球解析 - 2020-08-24 13-14-19-03_ball.txt" xr:uid="{C76DCA2B-89E3-42C5-9007-26C6B4D8C422}"/>
    <hyperlink ref="A911" r:id="rId1819" display="out/パワプロ2020 - 投球解析 - 2020-08-24 13-14-19-04_out.mp4" xr:uid="{30CE14CD-FB39-48BA-A29A-0FA3A329101A}"/>
    <hyperlink ref="B911" r:id="rId1820" display="result/パワプロ2020 - 投球解析 - 2020-08-24 13-14-19-04_ball.txt" xr:uid="{3A161D6D-8852-43AB-8B02-C49CD6F34917}"/>
    <hyperlink ref="A912" r:id="rId1821" display="out/パワプロ2020 - 投球解析 - 2020-08-24 13-14-19-05_out.mp4" xr:uid="{708E9288-8AF7-4CC6-9D53-19A2B8EC5F83}"/>
    <hyperlink ref="B912" r:id="rId1822" display="result/パワプロ2020 - 投球解析 - 2020-08-24 13-14-19-05_ball.txt" xr:uid="{939D7CE8-E131-4129-A7FE-591448AC1929}"/>
    <hyperlink ref="A913" r:id="rId1823" display="out/パワプロ2020 - 投球解析 - 2020-08-24 13-14-19-06_out.mp4" xr:uid="{13776B0C-60AB-4176-B2A5-4F33F8FCE5CF}"/>
    <hyperlink ref="B913" r:id="rId1824" display="result/パワプロ2020 - 投球解析 - 2020-08-24 13-14-19-06_ball.txt" xr:uid="{E7E330DD-56DF-406E-A555-AD91F88FCC30}"/>
    <hyperlink ref="A914" r:id="rId1825" display="out/パワプロ2020 - 投球解析 - 2020-08-24 13-14-19-07_out.mp4" xr:uid="{E55FF9B2-EDE9-413C-8CAB-22EEB8390F5A}"/>
    <hyperlink ref="B914" r:id="rId1826" display="result/パワプロ2020 - 投球解析 - 2020-08-24 13-14-19-07_ball.txt" xr:uid="{358D895C-27B4-483B-8FDF-783FE4ABCC91}"/>
    <hyperlink ref="A915" r:id="rId1827" display="out/パワプロ2020 - 投球解析 - 2020-08-24 13-14-19-08_out.mp4" xr:uid="{27A3AAEF-922E-480F-81DC-5265124F1A34}"/>
    <hyperlink ref="B915" r:id="rId1828" display="result/パワプロ2020 - 投球解析 - 2020-08-24 13-14-19-08_ball.txt" xr:uid="{71723A83-B7A1-4CF5-8DC7-230F08F6E865}"/>
    <hyperlink ref="A916" r:id="rId1829" display="out/パワプロ2020 - 投球解析 - 2020-08-24 13-14-19-09_out.mp4" xr:uid="{53A6CF0F-17CF-4C64-920F-BC25BC13E6E4}"/>
    <hyperlink ref="B916" r:id="rId1830" display="result/パワプロ2020 - 投球解析 - 2020-08-24 13-14-19-09_ball.txt" xr:uid="{D33D5F33-E157-4138-ABF9-9CFB5877B855}"/>
    <hyperlink ref="A917" r:id="rId1831" display="out/パワプロ2020 - 投球解析 - 2020-08-24 13-16-19-00_out.mp4" xr:uid="{ED9D73C1-16D7-4A3F-A712-B0B9CB07AEE2}"/>
    <hyperlink ref="B917" r:id="rId1832" display="result/パワプロ2020 - 投球解析 - 2020-08-24 13-16-19-00_ball.txt" xr:uid="{12EB7883-70CA-4F70-921C-10B3F8051393}"/>
    <hyperlink ref="A918" r:id="rId1833" display="out/パワプロ2020 - 投球解析 - 2020-08-24 13-16-19-01_out.mp4" xr:uid="{8122B1FD-C8ED-474D-9329-5F0C1A843C51}"/>
    <hyperlink ref="B918" r:id="rId1834" display="result/パワプロ2020 - 投球解析 - 2020-08-24 13-16-19-01_ball.txt" xr:uid="{9B6B1B3D-0956-4875-8690-B8125D443922}"/>
    <hyperlink ref="A919" r:id="rId1835" display="out/パワプロ2020 - 投球解析 - 2020-08-24 13-16-19-02_out.mp4" xr:uid="{D5025D77-EBCD-481F-983C-4B5CB2FD3907}"/>
    <hyperlink ref="B919" r:id="rId1836" display="result/パワプロ2020 - 投球解析 - 2020-08-24 13-16-19-02_ball.txt" xr:uid="{5DA738EB-5943-407B-B619-4FD4453CDA4D}"/>
    <hyperlink ref="A920" r:id="rId1837" display="out/パワプロ2020 - 投球解析 - 2020-08-24 13-16-19-03_out.mp4" xr:uid="{1CA9A2F6-5620-4CEB-8304-24F1A94B1F0B}"/>
    <hyperlink ref="B920" r:id="rId1838" display="result/パワプロ2020 - 投球解析 - 2020-08-24 13-16-19-03_ball.txt" xr:uid="{82CFCFB6-F94F-427D-9646-B937BF40B583}"/>
    <hyperlink ref="A921" r:id="rId1839" display="out/パワプロ2020 - 投球解析 - 2020-08-24 13-16-19-04_out.mp4" xr:uid="{8E9A835D-772C-4C8A-BEA5-6DFFA584F712}"/>
    <hyperlink ref="B921" r:id="rId1840" display="result/パワプロ2020 - 投球解析 - 2020-08-24 13-16-19-04_ball.txt" xr:uid="{8625B8C1-11A1-4BB0-93AD-7FA971E51F3B}"/>
    <hyperlink ref="A922" r:id="rId1841" display="out/パワプロ2020 - 投球解析 - 2020-08-24 13-16-19-05_out.mp4" xr:uid="{97E3811A-334A-4B0E-8E7F-FDC0F0D4C385}"/>
    <hyperlink ref="B922" r:id="rId1842" display="result/パワプロ2020 - 投球解析 - 2020-08-24 13-16-19-05_ball.txt" xr:uid="{D5857707-5B69-4B38-BE69-E490F0B89EF7}"/>
    <hyperlink ref="A923" r:id="rId1843" display="out/パワプロ2020 - 投球解析 - 2020-08-24 13-16-19-06_out.mp4" xr:uid="{14B8117E-57E0-4EAE-BCB1-942042234B29}"/>
    <hyperlink ref="B923" r:id="rId1844" display="result/パワプロ2020 - 投球解析 - 2020-08-24 13-16-19-06_ball.txt" xr:uid="{12BAF7B8-D118-4134-AACF-19E63FC9826B}"/>
    <hyperlink ref="A924" r:id="rId1845" display="out/パワプロ2020 - 投球解析 - 2020-08-24 13-16-19-07_out.mp4" xr:uid="{355F521E-5C2D-415E-9320-846AA3F2269C}"/>
    <hyperlink ref="B924" r:id="rId1846" display="result/パワプロ2020 - 投球解析 - 2020-08-24 13-16-19-07_ball.txt" xr:uid="{4DD4E48C-2AC6-4386-90C7-A7F5A6E62122}"/>
    <hyperlink ref="A925" r:id="rId1847" display="out/パワプロ2020 - 投球解析 - 2020-08-24 13-16-19-08_out.mp4" xr:uid="{6108FA21-8E21-406E-AB4F-1CF1B231D4FA}"/>
    <hyperlink ref="B925" r:id="rId1848" display="result/パワプロ2020 - 投球解析 - 2020-08-24 13-16-19-08_ball.txt" xr:uid="{F7CBA009-A1CE-4BA4-94BA-9C7F6E8A7C4F}"/>
    <hyperlink ref="A926" r:id="rId1849" display="out/パワプロ2020 - 投球解析 - 2020-08-24 13-17-56-00_out.mp4" xr:uid="{DC3820E5-DDE6-428F-9528-610734B934F5}"/>
    <hyperlink ref="B926" r:id="rId1850" display="result/パワプロ2020 - 投球解析 - 2020-08-24 13-17-56-00_ball.txt" xr:uid="{A0CAD813-0EA2-49DF-998F-2B4DC5B26CD7}"/>
    <hyperlink ref="A927" r:id="rId1851" display="out/パワプロ2020 - 投球解析 - 2020-08-24 13-17-56-01_out.mp4" xr:uid="{C77C9416-DE6B-463B-AC8C-379BC49930EF}"/>
    <hyperlink ref="B927" r:id="rId1852" display="result/パワプロ2020 - 投球解析 - 2020-08-24 13-17-56-01_ball.txt" xr:uid="{637C265D-CC60-4F58-8140-716A2D28A188}"/>
    <hyperlink ref="A928" r:id="rId1853" display="out/パワプロ2020 - 投球解析 - 2020-08-24 13-17-56-02_out.mp4" xr:uid="{1C52B87A-C0E2-4EBE-8BA0-FBD2A9EBBB30}"/>
    <hyperlink ref="B928" r:id="rId1854" display="result/パワプロ2020 - 投球解析 - 2020-08-24 13-17-56-02_ball.txt" xr:uid="{875B8AA5-CD5E-4C89-A603-EEEF52EEA292}"/>
    <hyperlink ref="A929" r:id="rId1855" display="out/パワプロ2020 - 投球解析 - 2020-08-24 13-17-56-03_out.mp4" xr:uid="{CB20703F-5C07-4360-8F7A-9EE969CC12CF}"/>
    <hyperlink ref="B929" r:id="rId1856" display="result/パワプロ2020 - 投球解析 - 2020-08-24 13-17-56-03_ball.txt" xr:uid="{300FE5EE-45A5-4C21-9780-599B4ADCB35C}"/>
    <hyperlink ref="A930" r:id="rId1857" display="out/パワプロ2020 - 投球解析 - 2020-08-24 13-17-56-04_out.mp4" xr:uid="{BDC7F50A-072C-4E04-8A95-798BC8ABC480}"/>
    <hyperlink ref="B930" r:id="rId1858" display="result/パワプロ2020 - 投球解析 - 2020-08-24 13-17-56-04_ball.txt" xr:uid="{AD0CB6C2-D7A3-4096-88C3-7B4727958657}"/>
    <hyperlink ref="A931" r:id="rId1859" display="out/パワプロ2020 - 投球解析 - 2020-08-24 13-17-56-05_out.mp4" xr:uid="{3CBBDB11-A870-4DFF-A9F3-A3AA44351BF6}"/>
    <hyperlink ref="B931" r:id="rId1860" display="result/パワプロ2020 - 投球解析 - 2020-08-24 13-17-56-05_ball.txt" xr:uid="{A4E2C482-40DC-4AB5-A0BC-363449F4A3C0}"/>
    <hyperlink ref="A932" r:id="rId1861" display="out/パワプロ2020 - 投球解析 - 2020-08-24 13-17-56-06_out.mp4" xr:uid="{B8AAB466-DF86-4521-9EBC-FE280D0D0698}"/>
    <hyperlink ref="B932" r:id="rId1862" display="result/パワプロ2020 - 投球解析 - 2020-08-24 13-17-56-06_ball.txt" xr:uid="{EC1AD4E0-CCD6-4ECF-A7B0-DF123E861BDE}"/>
    <hyperlink ref="A933" r:id="rId1863" display="out/パワプロ2020 - 投球解析 - 2020-08-24 13-17-56-07_out.mp4" xr:uid="{2A0F184F-2BDB-4694-AF59-4148CEA4355B}"/>
    <hyperlink ref="B933" r:id="rId1864" display="result/パワプロ2020 - 投球解析 - 2020-08-24 13-17-56-07_ball.txt" xr:uid="{372B294E-A4E1-407E-B3C2-DA5778F8620F}"/>
    <hyperlink ref="A934" r:id="rId1865" display="out/パワプロ2020 - 投球解析 - 2020-08-24 13-17-56-08_out.mp4" xr:uid="{A2AEF802-D9DC-408B-AE61-1686DEBB7C65}"/>
    <hyperlink ref="B934" r:id="rId1866" display="result/パワプロ2020 - 投球解析 - 2020-08-24 13-17-56-08_ball.txt" xr:uid="{C87EB0F1-344C-4EB9-AB7B-FE19E6BE30BE}"/>
    <hyperlink ref="A935" r:id="rId1867" display="out/パワプロ2020 - 投球解析 - 2020-08-24 13-17-56-09_out.mp4" xr:uid="{D58D7F22-3E01-4FB3-AA77-C6CBD43FB380}"/>
    <hyperlink ref="B935" r:id="rId1868" display="result/パワプロ2020 - 投球解析 - 2020-08-24 13-17-56-09_ball.txt" xr:uid="{A2D1A278-27EF-4EE3-B46B-010E36846272}"/>
    <hyperlink ref="A936" r:id="rId1869" display="out/パワプロ2020 - 投球解析 - 2020-08-24 13-20-06-00_out.mp4" xr:uid="{CEEA0BD7-D00B-4282-A7EE-2A5034EC63C8}"/>
    <hyperlink ref="B936" r:id="rId1870" display="result/パワプロ2020 - 投球解析 - 2020-08-24 13-20-06-00_ball.txt" xr:uid="{32B30CC0-199A-491A-865B-164DB922B87B}"/>
    <hyperlink ref="A937" r:id="rId1871" display="out/パワプロ2020 - 投球解析 - 2020-08-24 13-20-06-01_out.mp4" xr:uid="{71C895F2-9457-459C-8705-FAA43ACD276F}"/>
    <hyperlink ref="B937" r:id="rId1872" display="result/パワプロ2020 - 投球解析 - 2020-08-24 13-20-06-01_ball.txt" xr:uid="{51CD26B9-AC7A-4A87-AAA2-E48D0D5E67D8}"/>
    <hyperlink ref="A938" r:id="rId1873" display="out/パワプロ2020 - 投球解析 - 2020-08-24 13-20-06-02_out.mp4" xr:uid="{6D4783BF-D96C-4368-A0C2-23A553746DB7}"/>
    <hyperlink ref="B938" r:id="rId1874" display="result/パワプロ2020 - 投球解析 - 2020-08-24 13-20-06-02_ball.txt" xr:uid="{217C48F6-5772-4488-A7EB-8FA6C9BABA4D}"/>
    <hyperlink ref="A939" r:id="rId1875" display="out/パワプロ2020 - 投球解析 - 2020-08-24 13-20-06-03_out.mp4" xr:uid="{2E0519EC-81DC-4211-A29D-B5109B02B32E}"/>
    <hyperlink ref="B939" r:id="rId1876" display="result/パワプロ2020 - 投球解析 - 2020-08-24 13-20-06-03_ball.txt" xr:uid="{403FF4C4-20B6-40CB-8D78-FFEBAB59EF47}"/>
    <hyperlink ref="A940" r:id="rId1877" display="out/パワプロ2020 - 投球解析 - 2020-08-24 13-20-06-04_out.mp4" xr:uid="{117D8F99-C7AC-42D5-8E25-6608F100CF75}"/>
    <hyperlink ref="B940" r:id="rId1878" display="result/パワプロ2020 - 投球解析 - 2020-08-24 13-20-06-04_ball.txt" xr:uid="{D5B220E8-77FA-4371-8870-F467CC4A96E7}"/>
    <hyperlink ref="A941" r:id="rId1879" display="out/パワプロ2020 - 投球解析 - 2020-08-24 13-20-06-05_out.mp4" xr:uid="{5D5B5186-B340-45CF-A91A-88DD7BFA54CA}"/>
    <hyperlink ref="B941" r:id="rId1880" display="result/パワプロ2020 - 投球解析 - 2020-08-24 13-20-06-05_ball.txt" xr:uid="{0F2F944E-D752-40F1-8EFB-806E27749439}"/>
    <hyperlink ref="A942" r:id="rId1881" display="out/パワプロ2020 - 投球解析 - 2020-08-24 13-20-06-06_out.mp4" xr:uid="{BA8A0E2D-B73A-40E4-8F14-9C9D0112D178}"/>
    <hyperlink ref="B942" r:id="rId1882" display="result/パワプロ2020 - 投球解析 - 2020-08-24 13-20-06-06_ball.txt" xr:uid="{3088B1FD-3FF3-4839-9DC2-C2E5026494E5}"/>
    <hyperlink ref="A943" r:id="rId1883" display="out/パワプロ2020 - 投球解析 - 2020-08-24 13-20-06-07_out.mp4" xr:uid="{002CF59D-92C7-44DF-93E0-86361477C365}"/>
    <hyperlink ref="B943" r:id="rId1884" display="result/パワプロ2020 - 投球解析 - 2020-08-24 13-20-06-07_ball.txt" xr:uid="{272CA527-2DF5-4F80-8047-06D33FCF7340}"/>
    <hyperlink ref="A944" r:id="rId1885" display="out/パワプロ2020 - 投球解析 - 2020-08-24 13-20-06-08_out.mp4" xr:uid="{F7D8CFBC-F6B8-4F21-88BA-AE1928E1FE1B}"/>
    <hyperlink ref="B944" r:id="rId1886" display="result/パワプロ2020 - 投球解析 - 2020-08-24 13-20-06-08_ball.txt" xr:uid="{241DF801-67A4-4277-83CB-69AA105CEDA8}"/>
    <hyperlink ref="A945" r:id="rId1887" display="out/パワプロ2020 - 投球解析 - 2020-08-24 13-20-06-09_out.mp4" xr:uid="{288309D0-8976-4856-AB98-17E7E3705398}"/>
    <hyperlink ref="B945" r:id="rId1888" display="result/パワプロ2020 - 投球解析 - 2020-08-24 13-20-06-09_ball.txt" xr:uid="{0A47B3BA-22C3-401A-844B-139A292A393A}"/>
    <hyperlink ref="A946" r:id="rId1889" display="out/パワプロ2020 - 投球解析 - 2020-08-26 21-15-29-00_out.mp4" xr:uid="{54CDC94B-A841-41EF-A60C-98CF75519C33}"/>
    <hyperlink ref="B946" r:id="rId1890" display="result/パワプロ2020 - 投球解析 - 2020-08-26 21-15-29-00_ball.txt" xr:uid="{AD385F20-1AD7-4323-B5C6-8D09ED1688FD}"/>
    <hyperlink ref="A947" r:id="rId1891" display="out/パワプロ2020 - 投球解析 - 2020-08-26 21-15-29-01_out.mp4" xr:uid="{02606D8B-FAB3-48D4-AFAC-1417E083E412}"/>
    <hyperlink ref="B947" r:id="rId1892" display="result/パワプロ2020 - 投球解析 - 2020-08-26 21-15-29-01_ball.txt" xr:uid="{298A6E44-DB4A-4A8D-A234-71FB83079A95}"/>
    <hyperlink ref="A948" r:id="rId1893" display="out/パワプロ2020 - 投球解析 - 2020-08-26 21-15-29-02_out.mp4" xr:uid="{59DD9212-583D-4697-978F-A80D36616D9A}"/>
    <hyperlink ref="B948" r:id="rId1894" display="result/パワプロ2020 - 投球解析 - 2020-08-26 21-15-29-02_ball.txt" xr:uid="{A61BA507-4CC4-40AB-ACA4-D5D1D5DD79B9}"/>
    <hyperlink ref="A949" r:id="rId1895" display="out/パワプロ2020 - 投球解析 - 2020-08-26 21-15-29-03_out.mp4" xr:uid="{C1AF848B-6105-4BBA-95D3-D02CB7C8BD76}"/>
    <hyperlink ref="B949" r:id="rId1896" display="result/パワプロ2020 - 投球解析 - 2020-08-26 21-15-29-03_ball.txt" xr:uid="{686876D2-76CD-419D-9A07-F64A6628B6F6}"/>
    <hyperlink ref="A950" r:id="rId1897" display="out/パワプロ2020 - 投球解析 - 2020-08-26 21-15-29-04_out.mp4" xr:uid="{63C7AD8D-918D-4515-AD7A-BE80DC2DCB3A}"/>
    <hyperlink ref="B950" r:id="rId1898" display="result/パワプロ2020 - 投球解析 - 2020-08-26 21-15-29-04_ball.txt" xr:uid="{62FEAB8E-68A3-42E0-A185-187CFD9FFF00}"/>
    <hyperlink ref="A951" r:id="rId1899" display="out/パワプロ2020 - 投球解析 - 2020-08-26 21-15-29-05_out.mp4" xr:uid="{90F94787-D69C-405E-B7DB-9660DAABA40E}"/>
    <hyperlink ref="B951" r:id="rId1900" display="result/パワプロ2020 - 投球解析 - 2020-08-26 21-15-29-05_ball.txt" xr:uid="{CD7748CE-C0AE-4C2C-9345-9E3D2EFEAD00}"/>
    <hyperlink ref="A952" r:id="rId1901" display="out/パワプロ2020 - 投球解析 - 2020-08-26 21-15-29-06_out.mp4" xr:uid="{64988B94-99E6-43B9-B754-67BF26710423}"/>
    <hyperlink ref="B952" r:id="rId1902" display="result/パワプロ2020 - 投球解析 - 2020-08-26 21-15-29-06_ball.txt" xr:uid="{F54B95D8-08F4-4711-860B-9BF54FF29D5D}"/>
    <hyperlink ref="A953" r:id="rId1903" display="out/パワプロ2020 - 投球解析 - 2020-08-26 21-15-29-07_out.mp4" xr:uid="{C72FC8A2-4276-45B3-B3E3-351BF63D1275}"/>
    <hyperlink ref="B953" r:id="rId1904" display="result/パワプロ2020 - 投球解析 - 2020-08-26 21-15-29-07_ball.txt" xr:uid="{00DFAAB0-B2AE-4D37-B0DF-B77508C6B1E8}"/>
    <hyperlink ref="A954" r:id="rId1905" display="out/パワプロ2020 - 投球解析 - 2020-08-26 21-15-29-08_out.mp4" xr:uid="{3F535FE5-02C4-4819-B99E-38CB6C68CDBC}"/>
    <hyperlink ref="B954" r:id="rId1906" display="result/パワプロ2020 - 投球解析 - 2020-08-26 21-15-29-08_ball.txt" xr:uid="{94F0FB63-2ACC-4D6E-ADA4-508438BB0528}"/>
    <hyperlink ref="A955" r:id="rId1907" display="out/パワプロ2020 - 投球解析 - 2020-08-26 21-15-29-09_out.mp4" xr:uid="{2BA8CCC1-F4CA-4FFA-9D95-AFD53E086E0B}"/>
    <hyperlink ref="B955" r:id="rId1908" display="result/パワプロ2020 - 投球解析 - 2020-08-26 21-15-29-09_ball.txt" xr:uid="{62FBE617-EF5B-4833-86F9-9510189E12DF}"/>
    <hyperlink ref="A956" r:id="rId1909" display="out/パワプロ2020 - 投球解析 - 2020-08-26 21-17-48-00_out.mp4" xr:uid="{BCC38FA7-DCE9-44AE-A4C2-A846BD5DA6C6}"/>
    <hyperlink ref="B956" r:id="rId1910" display="result/パワプロ2020 - 投球解析 - 2020-08-26 21-17-48-00_ball.txt" xr:uid="{337AD886-0CC7-48CF-854A-D913C996C8C0}"/>
    <hyperlink ref="A957" r:id="rId1911" display="out/パワプロ2020 - 投球解析 - 2020-08-26 21-17-48-01_out.mp4" xr:uid="{4B584629-5A18-4303-8093-5165EE5CE0DB}"/>
    <hyperlink ref="B957" r:id="rId1912" display="result/パワプロ2020 - 投球解析 - 2020-08-26 21-17-48-01_ball.txt" xr:uid="{10E3B40F-729C-4E66-B245-0C2412F9A7BB}"/>
    <hyperlink ref="A958" r:id="rId1913" display="out/パワプロ2020 - 投球解析 - 2020-08-26 21-17-48-02_out.mp4" xr:uid="{391DFD0E-5EE6-4997-BB7C-C19AA99F4AF0}"/>
    <hyperlink ref="B958" r:id="rId1914" display="result/パワプロ2020 - 投球解析 - 2020-08-26 21-17-48-02_ball.txt" xr:uid="{845C9DA2-FC85-4222-9101-B9AF79CB4531}"/>
    <hyperlink ref="A959" r:id="rId1915" display="out/パワプロ2020 - 投球解析 - 2020-08-26 21-17-48-03_out.mp4" xr:uid="{34E7934D-8AA5-4A7A-8D00-5706F5437785}"/>
    <hyperlink ref="B959" r:id="rId1916" display="result/パワプロ2020 - 投球解析 - 2020-08-26 21-17-48-03_ball.txt" xr:uid="{1EEA14EA-12BC-4895-9B87-5B89B1B7EDB1}"/>
    <hyperlink ref="A960" r:id="rId1917" display="out/パワプロ2020 - 投球解析 - 2020-08-26 21-17-48-04_out.mp4" xr:uid="{A9F5E16B-CFA1-4367-B557-EB0E42E00BA2}"/>
    <hyperlink ref="B960" r:id="rId1918" display="result/パワプロ2020 - 投球解析 - 2020-08-26 21-17-48-04_ball.txt" xr:uid="{81A226EB-55E2-4051-8CAA-D9DB7FD2D035}"/>
    <hyperlink ref="A961" r:id="rId1919" display="out/パワプロ2020 - 投球解析 - 2020-08-26 21-17-48-05_out.mp4" xr:uid="{2194D378-F998-493D-9210-F31A2023F774}"/>
    <hyperlink ref="B961" r:id="rId1920" display="result/パワプロ2020 - 投球解析 - 2020-08-26 21-17-48-05_ball.txt" xr:uid="{E219AC76-E1BD-43B8-A070-5C02FED8A96A}"/>
    <hyperlink ref="A962" r:id="rId1921" display="out/パワプロ2020 - 投球解析 - 2020-08-26 21-17-48-06_out.mp4" xr:uid="{E204341F-F308-47DA-8842-EC9AE279AE2E}"/>
    <hyperlink ref="B962" r:id="rId1922" display="result/パワプロ2020 - 投球解析 - 2020-08-26 21-17-48-06_ball.txt" xr:uid="{FFC2B6C4-97A0-42FA-A165-D6EC0B96A953}"/>
    <hyperlink ref="A963" r:id="rId1923" display="out/パワプロ2020 - 投球解析 - 2020-08-26 21-19-02-00_out.mp4" xr:uid="{70FC495A-2E07-4A98-AAA2-77999002A13A}"/>
    <hyperlink ref="B963" r:id="rId1924" display="result/パワプロ2020 - 投球解析 - 2020-08-26 21-19-02-00_ball.txt" xr:uid="{4C81D202-D5BF-4AAE-9E3A-57DE5FFF849D}"/>
    <hyperlink ref="A964" r:id="rId1925" display="out/パワプロ2020 - 投球解析 - 2020-08-26 21-19-02-01_out.mp4" xr:uid="{B1F5FA86-B8C4-4CE8-BD34-78D2129BF689}"/>
    <hyperlink ref="B964" r:id="rId1926" display="result/パワプロ2020 - 投球解析 - 2020-08-26 21-19-02-01_ball.txt" xr:uid="{CA7B7EFA-AAE9-47F9-A3B3-4FA501285D02}"/>
    <hyperlink ref="A965" r:id="rId1927" display="out/パワプロ2020 - 投球解析 - 2020-08-26 21-19-02-02_out.mp4" xr:uid="{9C8DB389-980A-4EAD-922F-1C40EBF6B9FB}"/>
    <hyperlink ref="B965" r:id="rId1928" display="result/パワプロ2020 - 投球解析 - 2020-08-26 21-19-02-02_ball.txt" xr:uid="{C1CBDECC-E43D-48CC-AE36-E34488F64B77}"/>
    <hyperlink ref="A966" r:id="rId1929" display="out/パワプロ2020 - 投球解析 - 2020-08-26 21-19-02-03_out.mp4" xr:uid="{D33CC32D-8362-4048-AC15-1BEC0E4DF12C}"/>
    <hyperlink ref="B966" r:id="rId1930" display="result/パワプロ2020 - 投球解析 - 2020-08-26 21-19-02-03_ball.txt" xr:uid="{7664FBCF-3CE9-4D51-BD29-2502F01E7752}"/>
    <hyperlink ref="A967" r:id="rId1931" display="out/パワプロ2020 - 投球解析 - 2020-08-26 21-19-02-04_out.mp4" xr:uid="{BCAEB561-F3E9-4863-AD41-C1324B378487}"/>
    <hyperlink ref="B967" r:id="rId1932" display="result/パワプロ2020 - 投球解析 - 2020-08-26 21-19-02-04_ball.txt" xr:uid="{69CB24D8-9403-4375-93EB-B9B71ABEB62B}"/>
    <hyperlink ref="A968" r:id="rId1933" display="out/パワプロ2020 - 投球解析 - 2020-08-26 21-19-02-05_out.mp4" xr:uid="{B612AA31-01C2-44D5-9F45-1A38AFA7DE64}"/>
    <hyperlink ref="B968" r:id="rId1934" display="result/パワプロ2020 - 投球解析 - 2020-08-26 21-19-02-05_ball.txt" xr:uid="{8CE08738-27EA-4D5A-AF52-E8349C4CB8FF}"/>
    <hyperlink ref="A969" r:id="rId1935" display="out/パワプロ2020 - 投球解析 - 2020-08-26 21-19-02-06_out.mp4" xr:uid="{FD4DCF8F-4B07-40C5-96D5-1457BC706DBD}"/>
    <hyperlink ref="B969" r:id="rId1936" display="result/パワプロ2020 - 投球解析 - 2020-08-26 21-19-02-06_ball.txt" xr:uid="{A509F946-F13F-444A-9A52-FF39717B04A1}"/>
    <hyperlink ref="A970" r:id="rId1937" display="out/パワプロ2020 - 投球解析 - 2020-08-26 21-19-02-07_out.mp4" xr:uid="{98AC249D-BFE2-4CB0-B198-3133B8AD7780}"/>
    <hyperlink ref="B970" r:id="rId1938" display="result/パワプロ2020 - 投球解析 - 2020-08-26 21-19-02-07_ball.txt" xr:uid="{CADE2DC8-B0CA-4114-9832-D321F8E3E26E}"/>
    <hyperlink ref="A971" r:id="rId1939" display="out/パワプロ2020 - 投球解析 - 2020-08-26 21-19-02-08_out.mp4" xr:uid="{CB0FD36B-2A9B-4EBA-B2A5-3EE66BA25AFC}"/>
    <hyperlink ref="B971" r:id="rId1940" display="result/パワプロ2020 - 投球解析 - 2020-08-26 21-19-02-08_ball.txt" xr:uid="{3D3360EA-D046-450A-88AA-8B06718B0FE1}"/>
    <hyperlink ref="A972" r:id="rId1941" display="out/パワプロ2020 - 投球解析 - 2020-08-26 21-19-02-09_out.mp4" xr:uid="{00666E60-61DB-40F4-9703-591428F981F2}"/>
    <hyperlink ref="B972" r:id="rId1942" display="result/パワプロ2020 - 投球解析 - 2020-08-26 21-19-02-09_ball.txt" xr:uid="{543BD49D-ECAA-420F-A536-0ECCB93EAD56}"/>
    <hyperlink ref="A973" r:id="rId1943" display="out/パワプロ2020 - 投球解析 - 2020-08-26 21-20-35-00_out.mp4" xr:uid="{B35A4C0A-16EE-4E12-AED9-3FC93F1A4B11}"/>
    <hyperlink ref="B973" r:id="rId1944" display="result/パワプロ2020 - 投球解析 - 2020-08-26 21-20-35-00_ball.txt" xr:uid="{061495C5-36FD-49E3-A422-25094AC459C5}"/>
    <hyperlink ref="A974" r:id="rId1945" display="out/パワプロ2020 - 投球解析 - 2020-08-26 21-20-35-01_out.mp4" xr:uid="{01D2500A-44C4-43AC-B1BF-F5A802CCCB76}"/>
    <hyperlink ref="B974" r:id="rId1946" display="result/パワプロ2020 - 投球解析 - 2020-08-26 21-20-35-01_ball.txt" xr:uid="{2ED18187-E1B5-43E8-9863-2BA4E5BDB56B}"/>
    <hyperlink ref="A975" r:id="rId1947" display="out/パワプロ2020 - 投球解析 - 2020-08-26 21-20-35-02_out.mp4" xr:uid="{21EE3535-30EB-46DA-9396-52E222CEC2FA}"/>
    <hyperlink ref="B975" r:id="rId1948" display="result/パワプロ2020 - 投球解析 - 2020-08-26 21-20-35-02_ball.txt" xr:uid="{40E2C77E-2D13-42E6-B2E3-82560D5C2554}"/>
    <hyperlink ref="A976" r:id="rId1949" display="out/パワプロ2020 - 投球解析 - 2020-08-26 21-20-35-03_out.mp4" xr:uid="{F77EFC51-DB11-45AC-81D9-BA05423B9BC4}"/>
    <hyperlink ref="B976" r:id="rId1950" display="result/パワプロ2020 - 投球解析 - 2020-08-26 21-20-35-03_ball.txt" xr:uid="{80118D0E-2F33-4057-866F-C57EF060270B}"/>
    <hyperlink ref="A977" r:id="rId1951" display="out/パワプロ2020 - 投球解析 - 2020-08-26 21-20-35-04_out.mp4" xr:uid="{594121B8-3DA6-4632-83F8-557B98B09D47}"/>
    <hyperlink ref="B977" r:id="rId1952" display="result/パワプロ2020 - 投球解析 - 2020-08-26 21-20-35-04_ball.txt" xr:uid="{8D2C64F0-5508-414E-A796-D6F4D073B83B}"/>
    <hyperlink ref="A978" r:id="rId1953" display="out/パワプロ2020 - 投球解析 - 2020-08-26 21-20-35-05_out.mp4" xr:uid="{61901B4A-BC5A-4417-80D2-0F22607FE211}"/>
    <hyperlink ref="B978" r:id="rId1954" display="result/パワプロ2020 - 投球解析 - 2020-08-26 21-20-35-05_ball.txt" xr:uid="{D79B24D3-B20E-4674-9741-FC72441498E9}"/>
    <hyperlink ref="A979" r:id="rId1955" display="out/パワプロ2020 - 投球解析 - 2020-08-26 21-20-35-06_out.mp4" xr:uid="{4610C428-160F-4E76-83F2-737D7B956668}"/>
    <hyperlink ref="B979" r:id="rId1956" display="result/パワプロ2020 - 投球解析 - 2020-08-26 21-20-35-06_ball.txt" xr:uid="{F46206A2-807D-46F0-84A6-8634B088F78E}"/>
    <hyperlink ref="A980" r:id="rId1957" display="out/パワプロ2020 - 投球解析 - 2020-08-26 21-20-35-07_out.mp4" xr:uid="{33CA04D9-D518-4ABF-BA7B-C07C43596496}"/>
    <hyperlink ref="B980" r:id="rId1958" display="result/パワプロ2020 - 投球解析 - 2020-08-26 21-20-35-07_ball.txt" xr:uid="{2491462B-5644-4947-9AC6-9D9354F62854}"/>
    <hyperlink ref="A981" r:id="rId1959" display="out/パワプロ2020 - 投球解析 - 2020-08-26 21-20-35-08_out.mp4" xr:uid="{13BD7A21-E970-488E-A565-E73D9E1B12DC}"/>
    <hyperlink ref="B981" r:id="rId1960" display="result/パワプロ2020 - 投球解析 - 2020-08-26 21-20-35-08_ball.txt" xr:uid="{40B26283-A660-447C-98C7-9F1C8DA30171}"/>
    <hyperlink ref="A982" r:id="rId1961" display="out/パワプロ2020 - 投球解析 - 2020-08-26 21-20-35-09_out.mp4" xr:uid="{C1E6C3A1-1C6B-40F2-90B1-E0F43D5977FD}"/>
    <hyperlink ref="B982" r:id="rId1962" display="result/パワプロ2020 - 投球解析 - 2020-08-26 21-20-35-09_ball.txt" xr:uid="{FC65EC8B-90A5-4668-A5E3-2A9EEB36ADB3}"/>
    <hyperlink ref="A983" r:id="rId1963" display="out/パワプロ2020 - 投球解析 - 2020-08-26 21-30-58-00_out.mp4" xr:uid="{4C44EE91-7019-46EB-A601-F39B4B0D289C}"/>
    <hyperlink ref="B983" r:id="rId1964" display="result/パワプロ2020 - 投球解析 - 2020-08-26 21-30-58-00_ball.txt" xr:uid="{7CD72179-61E0-4046-898B-C1013388066B}"/>
    <hyperlink ref="A984" r:id="rId1965" display="out/パワプロ2020 - 投球解析 - 2020-08-26 21-30-58-01_out.mp4" xr:uid="{EBBC830C-9A03-4088-B99D-587F1D0E88AF}"/>
    <hyperlink ref="B984" r:id="rId1966" display="result/パワプロ2020 - 投球解析 - 2020-08-26 21-30-58-01_ball.txt" xr:uid="{0ED66BE4-F2FD-4BD1-AA6B-DA02D25D7598}"/>
    <hyperlink ref="A985" r:id="rId1967" display="out/パワプロ2020 - 投球解析 - 2020-08-26 21-30-58-02_out.mp4" xr:uid="{743039C9-CAF4-4798-9D3D-8A3FF39A601B}"/>
    <hyperlink ref="B985" r:id="rId1968" display="result/パワプロ2020 - 投球解析 - 2020-08-26 21-30-58-02_ball.txt" xr:uid="{E0651CFD-296F-4019-80F5-B5F7E68A99DF}"/>
    <hyperlink ref="A986" r:id="rId1969" display="out/パワプロ2020 - 投球解析 - 2020-08-26 21-30-58-03_out.mp4" xr:uid="{98413065-CFA5-416C-A39F-908437EE0EA9}"/>
    <hyperlink ref="B986" r:id="rId1970" display="result/パワプロ2020 - 投球解析 - 2020-08-26 21-30-58-03_ball.txt" xr:uid="{0A7195D9-A646-4A48-8C68-076BC3171E26}"/>
    <hyperlink ref="A987" r:id="rId1971" display="out/パワプロ2020 - 投球解析 - 2020-08-26 21-30-58-04_out.mp4" xr:uid="{32830B5D-74F5-4150-9754-B8E5AD2BE60D}"/>
    <hyperlink ref="B987" r:id="rId1972" display="result/パワプロ2020 - 投球解析 - 2020-08-26 21-30-58-04_ball.txt" xr:uid="{19426E9B-D5C1-4771-BF06-1281CDA8C99E}"/>
    <hyperlink ref="A988" r:id="rId1973" display="out/パワプロ2020 - 投球解析 - 2020-08-26 21-30-58-05_out.mp4" xr:uid="{A16E0205-9499-47C3-A88A-3441C3634EB8}"/>
    <hyperlink ref="B988" r:id="rId1974" display="result/パワプロ2020 - 投球解析 - 2020-08-26 21-30-58-05_ball.txt" xr:uid="{6C624EF6-E79A-4E8F-9291-6AA6E1BA250E}"/>
    <hyperlink ref="A989" r:id="rId1975" display="out/パワプロ2020 - 投球解析 - 2020-08-26 21-30-58-06_out.mp4" xr:uid="{E17A787C-CEC3-4796-B296-C657CD9F5479}"/>
    <hyperlink ref="B989" r:id="rId1976" display="result/パワプロ2020 - 投球解析 - 2020-08-26 21-30-58-06_ball.txt" xr:uid="{5D17BADD-61EE-487E-AD12-FC4CBCFBAE77}"/>
    <hyperlink ref="A990" r:id="rId1977" display="out/パワプロ2020 - 投球解析 - 2020-08-26 21-30-58-07_out.mp4" xr:uid="{24976BC8-3F8A-4A79-A99A-B0E9B37F09EE}"/>
    <hyperlink ref="B990" r:id="rId1978" display="result/パワプロ2020 - 投球解析 - 2020-08-26 21-30-58-07_ball.txt" xr:uid="{1584E536-DF2E-4280-AA14-70E2011CD51B}"/>
    <hyperlink ref="A991" r:id="rId1979" display="out/パワプロ2020 - 投球解析 - 2020-08-26 21-30-58-08_out.mp4" xr:uid="{BD80873E-2E96-456F-9670-A004F00DC030}"/>
    <hyperlink ref="B991" r:id="rId1980" display="result/パワプロ2020 - 投球解析 - 2020-08-26 21-30-58-08_ball.txt" xr:uid="{00CDDC90-E031-4FDC-8F7E-AC40297312B9}"/>
    <hyperlink ref="A992" r:id="rId1981" display="out/パワプロ2020 - 投球解析 - 2020-08-26 21-30-58-09_out.mp4" xr:uid="{149C5C9D-60F6-4D9E-8F08-6253B115CBB0}"/>
    <hyperlink ref="B992" r:id="rId1982" display="result/パワプロ2020 - 投球解析 - 2020-08-26 21-30-58-09_ball.txt" xr:uid="{F3A6DE15-2111-4AD4-8288-F9217FC7CD96}"/>
    <hyperlink ref="A993" r:id="rId1983" display="out/パワプロ2020 - 投球解析 - 2020-08-26 21-35-18-00_out.mp4" xr:uid="{2E0AFE37-ED1A-4FCB-8ADB-19C33598CC9C}"/>
    <hyperlink ref="B993" r:id="rId1984" display="result/パワプロ2020 - 投球解析 - 2020-08-26 21-35-18-00_ball.txt" xr:uid="{BF8D4039-25C5-48BA-A33C-3BEE494A6976}"/>
    <hyperlink ref="A994" r:id="rId1985" display="out/パワプロ2020 - 投球解析 - 2020-08-26 21-35-18-01_out.mp4" xr:uid="{A0BE473C-9E00-4AC5-BEBC-742AADC0D608}"/>
    <hyperlink ref="B994" r:id="rId1986" display="result/パワプロ2020 - 投球解析 - 2020-08-26 21-35-18-01_ball.txt" xr:uid="{0595A1B1-CC15-42F6-924D-A7FF01A401C2}"/>
    <hyperlink ref="A995" r:id="rId1987" display="out/パワプロ2020 - 投球解析 - 2020-08-26 21-35-18-02_out.mp4" xr:uid="{D68367AB-3A11-4BDF-836D-51830B9E889E}"/>
    <hyperlink ref="B995" r:id="rId1988" display="result/パワプロ2020 - 投球解析 - 2020-08-26 21-35-18-02_ball.txt" xr:uid="{43A1C4A1-BF56-4FB3-9A7D-67FFD6C401E8}"/>
    <hyperlink ref="A996" r:id="rId1989" display="out/パワプロ2020 - 投球解析 - 2020-08-26 21-35-18-03_out.mp4" xr:uid="{2FFB945E-DEE4-480F-9250-48EA089035FA}"/>
    <hyperlink ref="B996" r:id="rId1990" display="result/パワプロ2020 - 投球解析 - 2020-08-26 21-35-18-03_ball.txt" xr:uid="{1EC4B7D4-98A8-4E73-83BB-F9E231325D72}"/>
    <hyperlink ref="A997" r:id="rId1991" display="out/パワプロ2020 - 投球解析 - 2020-08-26 21-35-18-04_out.mp4" xr:uid="{DB28F1D1-A8CD-449E-9509-75BC89DFAF97}"/>
    <hyperlink ref="B997" r:id="rId1992" display="result/パワプロ2020 - 投球解析 - 2020-08-26 21-35-18-04_ball.txt" xr:uid="{000FC565-D41F-42B9-8ADB-F30B8B7A90AB}"/>
    <hyperlink ref="A998" r:id="rId1993" display="out/パワプロ2020 - 投球解析 - 2020-08-26 21-35-18-05_out.mp4" xr:uid="{72AE20C8-8659-4C38-A0DC-81243B7D4F80}"/>
    <hyperlink ref="B998" r:id="rId1994" display="result/パワプロ2020 - 投球解析 - 2020-08-26 21-35-18-05_ball.txt" xr:uid="{4A37727B-B23B-46C7-BE9D-741C8207EDEC}"/>
    <hyperlink ref="A999" r:id="rId1995" display="out/パワプロ2020 - 投球解析 - 2020-08-26 21-35-18-06_out.mp4" xr:uid="{EE2C22BC-E706-4824-9B8A-D1B44399938A}"/>
    <hyperlink ref="B999" r:id="rId1996" display="result/パワプロ2020 - 投球解析 - 2020-08-26 21-35-18-06_ball.txt" xr:uid="{6C9A5B3B-AF4B-4DDD-9A0D-C534F438D146}"/>
    <hyperlink ref="A1000" r:id="rId1997" display="out/パワプロ2020 - 投球解析 - 2020-08-26 21-35-18-07_out.mp4" xr:uid="{D9870BE2-A665-47BF-BCB1-E4A1C1ED531C}"/>
    <hyperlink ref="B1000" r:id="rId1998" display="result/パワプロ2020 - 投球解析 - 2020-08-26 21-35-18-07_ball.txt" xr:uid="{3FD88A18-D09E-4F40-8D5D-8D08A751BAB8}"/>
    <hyperlink ref="A1001" r:id="rId1999" display="out/パワプロ2020 - 投球解析 - 2020-08-26 21-35-18-08_out.mp4" xr:uid="{0EDFF7E7-9EA2-441D-9F7E-5A4FD95B3055}"/>
    <hyperlink ref="B1001" r:id="rId2000" display="result/パワプロ2020 - 投球解析 - 2020-08-26 21-35-18-08_ball.txt" xr:uid="{3025CD49-3338-4446-9310-D5B2EC7D4F55}"/>
    <hyperlink ref="A1002" r:id="rId2001" display="out/パワプロ2020 - 投球解析 - 2020-08-26 21-35-18-09_out.mp4" xr:uid="{6312F564-F3A9-47A0-A1A2-E2B6FC6C8ABA}"/>
    <hyperlink ref="B1002" r:id="rId2002" display="result/パワプロ2020 - 投球解析 - 2020-08-26 21-35-18-09_ball.txt" xr:uid="{614E5FA2-DDE2-4CF3-81C6-D2A95047E86A}"/>
    <hyperlink ref="A1003" r:id="rId2003" display="out/パワプロ2020 - 投球解析 - 2020-08-27 18-14-40-00_out.mp4" xr:uid="{15363469-512B-448F-B286-356AAB48E18E}"/>
    <hyperlink ref="B1003" r:id="rId2004" display="result/パワプロ2020 - 投球解析 - 2020-08-27 18-14-40-00_ball.txt" xr:uid="{D5D061E9-DD7D-463B-B070-8EC588A82628}"/>
    <hyperlink ref="A1004" r:id="rId2005" display="out/パワプロ2020 - 投球解析 - 2020-08-27 18-14-40-01_out.mp4" xr:uid="{DF7792D5-122B-46B1-9EDE-B465778DA491}"/>
    <hyperlink ref="B1004" r:id="rId2006" display="result/パワプロ2020 - 投球解析 - 2020-08-27 18-14-40-01_ball.txt" xr:uid="{14BCFB9D-D5D8-4AD4-9D8F-AB89885EC60A}"/>
    <hyperlink ref="A1005" r:id="rId2007" display="out/パワプロ2020 - 投球解析 - 2020-08-27 18-14-40-02_out.mp4" xr:uid="{969FBC67-8BD6-4314-A8B0-EDCE0BE0693B}"/>
    <hyperlink ref="B1005" r:id="rId2008" display="result/パワプロ2020 - 投球解析 - 2020-08-27 18-14-40-02_ball.txt" xr:uid="{7F429C34-9A99-4C5E-B81E-36E0B25C3CCF}"/>
    <hyperlink ref="A1006" r:id="rId2009" display="out/パワプロ2020 - 投球解析 - 2020-08-27 18-14-40-03_out.mp4" xr:uid="{0CE80699-9468-4A08-967B-DFE6D94C59A8}"/>
    <hyperlink ref="B1006" r:id="rId2010" display="result/パワプロ2020 - 投球解析 - 2020-08-27 18-14-40-03_ball.txt" xr:uid="{2C7E7B26-A4DF-44D7-A56A-5359BC7E9570}"/>
    <hyperlink ref="A1007" r:id="rId2011" display="out/パワプロ2020 - 投球解析 - 2020-08-27 18-14-40-04_out.mp4" xr:uid="{CA11A802-2ED5-462A-B349-B9A534D78FCC}"/>
    <hyperlink ref="B1007" r:id="rId2012" display="result/パワプロ2020 - 投球解析 - 2020-08-27 18-14-40-04_ball.txt" xr:uid="{31F8B386-08D2-4D38-AC8F-725D3FB0F690}"/>
    <hyperlink ref="A1008" r:id="rId2013" display="out/パワプロ2020 - 投球解析 - 2020-08-27 18-14-40-05_out.mp4" xr:uid="{BC515EDA-031E-4420-BBFE-DB115FCDC2F6}"/>
    <hyperlink ref="B1008" r:id="rId2014" display="result/パワプロ2020 - 投球解析 - 2020-08-27 18-14-40-05_ball.txt" xr:uid="{61A1AEEF-0E40-429B-9E46-EB7225119A94}"/>
    <hyperlink ref="A1009" r:id="rId2015" display="out/パワプロ2020 - 投球解析 - 2020-08-27 18-14-40-06_out.mp4" xr:uid="{8B9D4CCE-AC77-4414-9C76-D833D02EAF5C}"/>
    <hyperlink ref="B1009" r:id="rId2016" display="result/パワプロ2020 - 投球解析 - 2020-08-27 18-14-40-06_ball.txt" xr:uid="{D3499D4B-660D-4DB6-A63E-B845E5D2B358}"/>
    <hyperlink ref="A1010" r:id="rId2017" display="out/パワプロ2020 - 投球解析 - 2020-08-27 18-14-40-07_out.mp4" xr:uid="{4E329CA5-CC96-4F18-895B-C797E31454AE}"/>
    <hyperlink ref="B1010" r:id="rId2018" display="result/パワプロ2020 - 投球解析 - 2020-08-27 18-14-40-07_ball.txt" xr:uid="{4C697495-33D6-4F3A-A112-0FE1FA36C4FB}"/>
    <hyperlink ref="A1011" r:id="rId2019" display="out/パワプロ2020 - 投球解析 - 2020-08-27 18-14-40-08_out.mp4" xr:uid="{324BFE9F-9809-4DC2-8C0D-68F67CA1F633}"/>
    <hyperlink ref="B1011" r:id="rId2020" display="result/パワプロ2020 - 投球解析 - 2020-08-27 18-14-40-08_ball.txt" xr:uid="{5408D520-8CDE-43D1-AE32-CED0F4CDE5E5}"/>
    <hyperlink ref="A1012" r:id="rId2021" display="out/パワプロ2020 - 投球解析 - 2020-08-27 18-14-40-09_out.mp4" xr:uid="{095494AB-35B2-43C6-B59A-0884A40EBFD3}"/>
    <hyperlink ref="B1012" r:id="rId2022" display="result/パワプロ2020 - 投球解析 - 2020-08-27 18-14-40-09_ball.txt" xr:uid="{87899625-9B9A-4584-991A-E4F20D0C6D68}"/>
    <hyperlink ref="A1013" r:id="rId2023" display="out/パワプロ2020 - 投球解析 - 2020-08-27 18-16-14-00_out.mp4" xr:uid="{2A8B60B9-E363-4C07-93B7-D4CD7305FE26}"/>
    <hyperlink ref="B1013" r:id="rId2024" display="result/パワプロ2020 - 投球解析 - 2020-08-27 18-16-14-00_ball.txt" xr:uid="{80B95153-22AA-47DE-A49D-70A2920E2E8C}"/>
    <hyperlink ref="A1014" r:id="rId2025" display="out/パワプロ2020 - 投球解析 - 2020-08-27 18-16-14-01_out.mp4" xr:uid="{823F681B-4B7D-4588-A0E6-6EB3250EA41B}"/>
    <hyperlink ref="B1014" r:id="rId2026" display="result/パワプロ2020 - 投球解析 - 2020-08-27 18-16-14-01_ball.txt" xr:uid="{B696E3C8-FE4F-42AF-9768-E6FBB58909E0}"/>
    <hyperlink ref="A1015" r:id="rId2027" display="out/パワプロ2020 - 投球解析 - 2020-08-27 18-16-14-02_out.mp4" xr:uid="{82C271EE-ACE7-4A1F-914F-9CF7740EF874}"/>
    <hyperlink ref="B1015" r:id="rId2028" display="result/パワプロ2020 - 投球解析 - 2020-08-27 18-16-14-02_ball.txt" xr:uid="{7249A603-7C12-4DC9-8BF9-EAC65F50232D}"/>
    <hyperlink ref="A1016" r:id="rId2029" display="out/パワプロ2020 - 投球解析 - 2020-08-27 18-16-14-03_out.mp4" xr:uid="{27EA8814-6854-4940-99EF-ED244B9E6702}"/>
    <hyperlink ref="B1016" r:id="rId2030" display="result/パワプロ2020 - 投球解析 - 2020-08-27 18-16-14-03_ball.txt" xr:uid="{4259CA05-F860-4E93-B6CE-79BA5AEC4D5E}"/>
    <hyperlink ref="A1017" r:id="rId2031" display="out/パワプロ2020 - 投球解析 - 2020-08-27 18-16-14-04_out.mp4" xr:uid="{86398BD1-47D7-4710-89A5-FDF20E537163}"/>
    <hyperlink ref="B1017" r:id="rId2032" display="result/パワプロ2020 - 投球解析 - 2020-08-27 18-16-14-04_ball.txt" xr:uid="{70C5E46A-43D0-492B-8AEF-EFA22B62EAB9}"/>
    <hyperlink ref="A1018" r:id="rId2033" display="out/パワプロ2020 - 投球解析 - 2020-08-27 18-16-14-05_out.mp4" xr:uid="{B5C10DFB-1D17-47AA-90C4-D3922D52243F}"/>
    <hyperlink ref="B1018" r:id="rId2034" display="result/パワプロ2020 - 投球解析 - 2020-08-27 18-16-14-05_ball.txt" xr:uid="{BB93516E-364A-4D80-9CD2-32A3C70AB940}"/>
    <hyperlink ref="A1019" r:id="rId2035" display="out/パワプロ2020 - 投球解析 - 2020-08-27 18-16-14-06_out.mp4" xr:uid="{54B8D59A-340D-49EB-B3A8-B46C5E70BC92}"/>
    <hyperlink ref="B1019" r:id="rId2036" display="result/パワプロ2020 - 投球解析 - 2020-08-27 18-16-14-06_ball.txt" xr:uid="{6A26B0EA-E010-42E4-8F8F-379CE80AFA92}"/>
    <hyperlink ref="A1020" r:id="rId2037" display="out/パワプロ2020 - 投球解析 - 2020-08-27 18-16-14-07_out.mp4" xr:uid="{C8F6D044-8363-4C05-8EDB-92BFE9E36C0E}"/>
    <hyperlink ref="B1020" r:id="rId2038" display="result/パワプロ2020 - 投球解析 - 2020-08-27 18-16-14-07_ball.txt" xr:uid="{FDD64A4D-0F82-4920-8250-0BA407DB7CC4}"/>
    <hyperlink ref="A1021" r:id="rId2039" display="out/パワプロ2020 - 投球解析 - 2020-08-27 18-16-14-08_out.mp4" xr:uid="{5891A7ED-7B56-4A0A-ACDE-E649F3658401}"/>
    <hyperlink ref="B1021" r:id="rId2040" display="result/パワプロ2020 - 投球解析 - 2020-08-27 18-16-14-08_ball.txt" xr:uid="{88619492-3960-4C73-874B-40C6C5DBDAD3}"/>
    <hyperlink ref="A1022" r:id="rId2041" display="out/パワプロ2020 - 投球解析 - 2020-08-27 18-16-14-09_out.mp4" xr:uid="{4AB0AE06-DA4E-4DC7-8E44-525C37F9A765}"/>
    <hyperlink ref="B1022" r:id="rId2042" display="result/パワプロ2020 - 投球解析 - 2020-08-27 18-16-14-09_ball.txt" xr:uid="{06386D9C-07CD-43B4-917C-A2254A4BA23D}"/>
    <hyperlink ref="A1023" r:id="rId2043" display="out/パワプロ2020 - 投球解析 - 2020-08-27 18-17-46-00_out.mp4" xr:uid="{FA9BE99C-0F86-42C5-80E7-3A2A66139C65}"/>
    <hyperlink ref="B1023" r:id="rId2044" display="result/パワプロ2020 - 投球解析 - 2020-08-27 18-17-46-00_ball.txt" xr:uid="{ADAAFB69-9C6A-4936-BA6F-31AD9E75A254}"/>
    <hyperlink ref="A1024" r:id="rId2045" display="out/パワプロ2020 - 投球解析 - 2020-08-27 18-17-46-01_out.mp4" xr:uid="{771729F8-3371-41A4-B886-0B0920234F09}"/>
    <hyperlink ref="B1024" r:id="rId2046" display="result/パワプロ2020 - 投球解析 - 2020-08-27 18-17-46-01_ball.txt" xr:uid="{BBFF5998-44E9-4509-AB53-E92D6FD34495}"/>
    <hyperlink ref="A1025" r:id="rId2047" display="out/パワプロ2020 - 投球解析 - 2020-08-27 18-17-46-02_out.mp4" xr:uid="{2396E9CD-6C55-4027-AD56-4D0968D75D80}"/>
    <hyperlink ref="B1025" r:id="rId2048" display="result/パワプロ2020 - 投球解析 - 2020-08-27 18-17-46-02_ball.txt" xr:uid="{9E031347-D98F-4860-B61A-1419629E3586}"/>
    <hyperlink ref="A1026" r:id="rId2049" display="out/パワプロ2020 - 投球解析 - 2020-08-27 18-17-46-03_out.mp4" xr:uid="{4ECD16FA-3E4E-4ACE-BEF0-C5BCED75E318}"/>
    <hyperlink ref="B1026" r:id="rId2050" display="result/パワプロ2020 - 投球解析 - 2020-08-27 18-17-46-03_ball.txt" xr:uid="{14A0CF7F-48C1-4AA1-9465-D4338E44092A}"/>
    <hyperlink ref="A1027" r:id="rId2051" display="out/パワプロ2020 - 投球解析 - 2020-08-27 18-17-46-04_out.mp4" xr:uid="{7050A1CE-6692-435A-B4D5-9D0D3A7B1DE0}"/>
    <hyperlink ref="B1027" r:id="rId2052" display="result/パワプロ2020 - 投球解析 - 2020-08-27 18-17-46-04_ball.txt" xr:uid="{8F766586-C08C-46C6-8E43-B0A006FFE505}"/>
    <hyperlink ref="A1028" r:id="rId2053" display="out/パワプロ2020 - 投球解析 - 2020-08-27 18-17-46-05_out.mp4" xr:uid="{562B8484-2B13-4061-B221-9B3B90138D17}"/>
    <hyperlink ref="B1028" r:id="rId2054" display="result/パワプロ2020 - 投球解析 - 2020-08-27 18-17-46-05_ball.txt" xr:uid="{E3DED909-E562-472F-8FFF-3D8DFD1805E3}"/>
    <hyperlink ref="A1029" r:id="rId2055" display="out/パワプロ2020 - 投球解析 - 2020-08-27 18-17-46-06_out.mp4" xr:uid="{18847C4A-1EF8-4F52-8319-E5A9585EBFFA}"/>
    <hyperlink ref="B1029" r:id="rId2056" display="result/パワプロ2020 - 投球解析 - 2020-08-27 18-17-46-06_ball.txt" xr:uid="{53CC52D3-5DC2-4D52-A9A7-4D3CF9A1A363}"/>
    <hyperlink ref="A1030" r:id="rId2057" display="out/パワプロ2020 - 投球解析 - 2020-08-27 18-17-46-07_out.mp4" xr:uid="{FE3C113C-6CD6-412E-B1B1-03FE34116319}"/>
    <hyperlink ref="B1030" r:id="rId2058" display="result/パワプロ2020 - 投球解析 - 2020-08-27 18-17-46-07_ball.txt" xr:uid="{AB40FF91-2A4A-40C3-8E44-777236549E31}"/>
    <hyperlink ref="A1031" r:id="rId2059" display="out/パワプロ2020 - 投球解析 - 2020-08-27 18-17-46-08_out.mp4" xr:uid="{960B746A-2445-4396-A54F-9D2FD510119C}"/>
    <hyperlink ref="B1031" r:id="rId2060" display="result/パワプロ2020 - 投球解析 - 2020-08-27 18-17-46-08_ball.txt" xr:uid="{87DB3B3D-C391-47B7-B557-8A4FA33AFFB0}"/>
    <hyperlink ref="A1032" r:id="rId2061" display="out/パワプロ2020 - 投球解析 - 2020-08-27 18-17-46-09_out.mp4" xr:uid="{4C66D9F8-B6F2-4989-BD4E-7B4B90FD80C8}"/>
    <hyperlink ref="B1032" r:id="rId2062" display="result/パワプロ2020 - 投球解析 - 2020-08-27 18-17-46-09_ball.txt" xr:uid="{376A1D7E-F872-4E37-AC5F-6C85B00453BE}"/>
    <hyperlink ref="A1033" r:id="rId2063" display="out/パワプロ2020 - 投球解析 - 2020-08-27 18-19-19-00_out.mp4" xr:uid="{E390EF0C-0CA2-462A-B760-21F12F0BA95D}"/>
    <hyperlink ref="B1033" r:id="rId2064" display="result/パワプロ2020 - 投球解析 - 2020-08-27 18-19-19-00_ball.txt" xr:uid="{F2C8FA16-B03B-470B-86D8-50371230CDBB}"/>
    <hyperlink ref="A1034" r:id="rId2065" display="out/パワプロ2020 - 投球解析 - 2020-08-27 18-19-19-01_out.mp4" xr:uid="{3841C224-67B8-4123-8EF8-2F948B4F62B6}"/>
    <hyperlink ref="B1034" r:id="rId2066" display="result/パワプロ2020 - 投球解析 - 2020-08-27 18-19-19-01_ball.txt" xr:uid="{6FCDE7F9-2804-4103-834F-7013DF14F26A}"/>
    <hyperlink ref="A1035" r:id="rId2067" display="out/パワプロ2020 - 投球解析 - 2020-08-27 18-19-19-02_out.mp4" xr:uid="{D9385018-5F1D-4B84-B19C-6D37B898C0E1}"/>
    <hyperlink ref="B1035" r:id="rId2068" display="result/パワプロ2020 - 投球解析 - 2020-08-27 18-19-19-02_ball.txt" xr:uid="{3D34BC11-2809-44B8-8CAD-DD263DC1F2B4}"/>
    <hyperlink ref="A1036" r:id="rId2069" display="out/パワプロ2020 - 投球解析 - 2020-08-27 18-19-19-03_out.mp4" xr:uid="{BA8DB155-7E5D-4B69-8DD3-DAB65CD6371B}"/>
    <hyperlink ref="B1036" r:id="rId2070" display="result/パワプロ2020 - 投球解析 - 2020-08-27 18-19-19-03_ball.txt" xr:uid="{CBD4EBB7-D7A9-4EDA-BB48-A043323147D2}"/>
    <hyperlink ref="A1037" r:id="rId2071" display="out/パワプロ2020 - 投球解析 - 2020-08-27 18-19-19-04_out.mp4" xr:uid="{DC77D1A0-475F-411C-AC8B-DB94C8262750}"/>
    <hyperlink ref="B1037" r:id="rId2072" display="result/パワプロ2020 - 投球解析 - 2020-08-27 18-19-19-04_ball.txt" xr:uid="{BF0EB74A-8E42-490B-90AA-F661BE64F0C7}"/>
    <hyperlink ref="A1038" r:id="rId2073" display="out/パワプロ2020 - 投球解析 - 2020-08-27 18-19-19-05_out.mp4" xr:uid="{8EC00AA3-9A6D-40F7-9D89-A01B65326D1E}"/>
    <hyperlink ref="B1038" r:id="rId2074" display="result/パワプロ2020 - 投球解析 - 2020-08-27 18-19-19-05_ball.txt" xr:uid="{9941F133-074E-41E7-B83E-2675066AC296}"/>
    <hyperlink ref="A1039" r:id="rId2075" display="out/パワプロ2020 - 投球解析 - 2020-08-27 18-19-19-06_out.mp4" xr:uid="{735843D8-3B5C-4039-AD8A-4E8898225B51}"/>
    <hyperlink ref="B1039" r:id="rId2076" display="result/パワプロ2020 - 投球解析 - 2020-08-27 18-19-19-06_ball.txt" xr:uid="{E75B2AC6-BCA9-4A4C-9158-B6C13E940EFE}"/>
    <hyperlink ref="A1040" r:id="rId2077" display="out/パワプロ2020 - 投球解析 - 2020-08-27 18-19-19-07_out.mp4" xr:uid="{AA085E9F-8375-415B-B086-8A3AD2247D30}"/>
    <hyperlink ref="B1040" r:id="rId2078" display="result/パワプロ2020 - 投球解析 - 2020-08-27 18-19-19-07_ball.txt" xr:uid="{1FD95AAC-4BBC-4675-B6F1-76DAFAE176BC}"/>
    <hyperlink ref="A1041" r:id="rId2079" display="out/パワプロ2020 - 投球解析 - 2020-08-27 18-19-19-08_out.mp4" xr:uid="{29DDFE48-0CFB-4501-B8D0-CFB4D7745F5B}"/>
    <hyperlink ref="B1041" r:id="rId2080" display="result/パワプロ2020 - 投球解析 - 2020-08-27 18-19-19-08_ball.txt" xr:uid="{DED28347-C33D-43E2-9C5E-9062CD662486}"/>
    <hyperlink ref="A1042" r:id="rId2081" display="out/パワプロ2020 - 投球解析 - 2020-08-27 18-19-19-09_out.mp4" xr:uid="{DAA55BF8-0EB1-4698-BA9E-E405566C4FB0}"/>
    <hyperlink ref="B1042" r:id="rId2082" display="result/パワプロ2020 - 投球解析 - 2020-08-27 18-19-19-09_ball.txt" xr:uid="{942BB1F5-D656-4B7B-BBE7-0C2C7CDA0932}"/>
    <hyperlink ref="A1043" r:id="rId2083" display="out/パワプロ2020 - 投球解析 - 2020-08-27 18-21-04-00_out.mp4" xr:uid="{3A37C02D-B863-4D69-8103-52287F4B62B4}"/>
    <hyperlink ref="B1043" r:id="rId2084" display="result/パワプロ2020 - 投球解析 - 2020-08-27 18-21-04-00_ball.txt" xr:uid="{405BD306-6B50-4C1F-AF8E-8FB6A3D7083C}"/>
    <hyperlink ref="A1044" r:id="rId2085" display="out/パワプロ2020 - 投球解析 - 2020-08-27 18-21-04-01_out.mp4" xr:uid="{B30FF31D-849D-44D1-A331-05EC26D679D5}"/>
    <hyperlink ref="B1044" r:id="rId2086" display="result/パワプロ2020 - 投球解析 - 2020-08-27 18-21-04-01_ball.txt" xr:uid="{65070E3B-59B4-40CC-B58E-0847012C2C63}"/>
    <hyperlink ref="A1045" r:id="rId2087" display="out/パワプロ2020 - 投球解析 - 2020-08-27 18-21-04-02_out.mp4" xr:uid="{EE3278E8-0FFB-49E0-88A1-93747BDB92FB}"/>
    <hyperlink ref="B1045" r:id="rId2088" display="result/パワプロ2020 - 投球解析 - 2020-08-27 18-21-04-02_ball.txt" xr:uid="{BC6B058B-E922-4D4D-A5C8-A3355CCFF0E6}"/>
    <hyperlink ref="A1046" r:id="rId2089" display="out/パワプロ2020 - 投球解析 - 2020-08-27 18-21-04-03_out.mp4" xr:uid="{72294330-FF00-4E90-9ADC-D5C259FAFE23}"/>
    <hyperlink ref="B1046" r:id="rId2090" display="result/パワプロ2020 - 投球解析 - 2020-08-27 18-21-04-03_ball.txt" xr:uid="{0D730750-348C-4291-9E2E-F0CC4DCBC9E9}"/>
    <hyperlink ref="A1047" r:id="rId2091" display="out/パワプロ2020 - 投球解析 - 2020-08-27 18-21-04-04_out.mp4" xr:uid="{64B786B8-CFD8-48F0-889D-9D8281C54B0F}"/>
    <hyperlink ref="B1047" r:id="rId2092" display="result/パワプロ2020 - 投球解析 - 2020-08-27 18-21-04-04_ball.txt" xr:uid="{43A4F0E3-B054-44DC-89DF-73221F06F246}"/>
    <hyperlink ref="A1048" r:id="rId2093" display="out/パワプロ2020 - 投球解析 - 2020-08-27 18-21-04-05_out.mp4" xr:uid="{567A672D-0B97-4747-B2B8-22F9837676DA}"/>
    <hyperlink ref="B1048" r:id="rId2094" display="result/パワプロ2020 - 投球解析 - 2020-08-27 18-21-04-05_ball.txt" xr:uid="{858BF98A-DE9F-4A01-A61C-BEF3AEECC8C6}"/>
    <hyperlink ref="A1049" r:id="rId2095" display="out/パワプロ2020 - 投球解析 - 2020-08-27 18-21-04-06_out.mp4" xr:uid="{0BF24880-362F-4230-A966-27609E2810D4}"/>
    <hyperlink ref="B1049" r:id="rId2096" display="result/パワプロ2020 - 投球解析 - 2020-08-27 18-21-04-06_ball.txt" xr:uid="{8E66FC54-EBA7-4AC4-9323-8B3E6B063961}"/>
    <hyperlink ref="A1050" r:id="rId2097" display="out/パワプロ2020 - 投球解析 - 2020-08-27 18-21-04-07_out.mp4" xr:uid="{4C4E1A37-5C19-47E8-A265-790A5DA979BF}"/>
    <hyperlink ref="B1050" r:id="rId2098" display="result/パワプロ2020 - 投球解析 - 2020-08-27 18-21-04-07_ball.txt" xr:uid="{0864D141-15DD-44BC-AC01-3FC56FEF5F0F}"/>
    <hyperlink ref="A1051" r:id="rId2099" display="out/パワプロ2020 - 投球解析 - 2020-08-27 18-21-04-08_out.mp4" xr:uid="{35C25B62-4562-468C-BD16-BEA47343432C}"/>
    <hyperlink ref="B1051" r:id="rId2100" display="result/パワプロ2020 - 投球解析 - 2020-08-27 18-21-04-08_ball.txt" xr:uid="{5F3F1AC2-AF5C-48CD-A02D-8EA564C22A74}"/>
    <hyperlink ref="A1052" r:id="rId2101" display="out/パワプロ2020 - 投球解析 - 2020-08-27 18-21-04-09_out.mp4" xr:uid="{45FB9477-8FDF-401D-8CF8-30BF6009E9E1}"/>
    <hyperlink ref="B1052" r:id="rId2102" display="result/パワプロ2020 - 投球解析 - 2020-08-27 18-21-04-09_ball.txt" xr:uid="{B57E07EE-5C01-4B1D-A6DF-5E8EE3E8D160}"/>
    <hyperlink ref="A1053" r:id="rId2103" display="out/パワプロ2020 - 投球解析 - 2020-08-27 18-22-42-00_out.mp4" xr:uid="{0F6A2B27-693B-4CA3-902C-343CEBA3C174}"/>
    <hyperlink ref="B1053" r:id="rId2104" display="result/パワプロ2020 - 投球解析 - 2020-08-27 18-22-42-00_ball.txt" xr:uid="{125C6A12-8B4F-4828-B289-76430F1C6CD4}"/>
    <hyperlink ref="A1054" r:id="rId2105" display="out/パワプロ2020 - 投球解析 - 2020-08-27 18-22-42-01_out.mp4" xr:uid="{77C84E3D-D2B6-4B11-9D71-C3105B582525}"/>
    <hyperlink ref="B1054" r:id="rId2106" display="result/パワプロ2020 - 投球解析 - 2020-08-27 18-22-42-01_ball.txt" xr:uid="{37BD3911-AE98-4E4C-9894-E15550A6F9E6}"/>
    <hyperlink ref="A1055" r:id="rId2107" display="out/パワプロ2020 - 投球解析 - 2020-08-27 18-22-42-02_out.mp4" xr:uid="{560B7B5A-3778-4289-B3E7-A97AC492E751}"/>
    <hyperlink ref="B1055" r:id="rId2108" display="result/パワプロ2020 - 投球解析 - 2020-08-27 18-22-42-02_ball.txt" xr:uid="{8E3E5DF2-B9F0-4D6B-A43E-4E73BB1D330F}"/>
    <hyperlink ref="A1056" r:id="rId2109" display="out/パワプロ2020 - 投球解析 - 2020-08-27 18-22-42-03_out.mp4" xr:uid="{1BA64886-699C-43FE-9D73-26D04EBB045D}"/>
    <hyperlink ref="B1056" r:id="rId2110" display="result/パワプロ2020 - 投球解析 - 2020-08-27 18-22-42-03_ball.txt" xr:uid="{B1522890-94DC-484D-BF37-ABA839B7EF37}"/>
    <hyperlink ref="A1057" r:id="rId2111" display="out/パワプロ2020 - 投球解析 - 2020-08-27 18-22-42-04_out.mp4" xr:uid="{72EA5E31-DBC7-460D-B94C-9ADA02AA4045}"/>
    <hyperlink ref="B1057" r:id="rId2112" display="result/パワプロ2020 - 投球解析 - 2020-08-27 18-22-42-04_ball.txt" xr:uid="{A9B1D7C0-9F6C-4E38-807C-3A114B736D57}"/>
    <hyperlink ref="A1058" r:id="rId2113" display="out/パワプロ2020 - 投球解析 - 2020-08-27 18-22-42-05_out.mp4" xr:uid="{80E45384-8ABE-45A0-A655-8AE4988C33B4}"/>
    <hyperlink ref="B1058" r:id="rId2114" display="result/パワプロ2020 - 投球解析 - 2020-08-27 18-22-42-05_ball.txt" xr:uid="{8201EE3E-A8D0-452C-964A-5DEFFB688BAA}"/>
    <hyperlink ref="A1059" r:id="rId2115" display="out/パワプロ2020 - 投球解析 - 2020-08-27 18-22-42-06_out.mp4" xr:uid="{9F09FA46-B66F-4D6A-A76E-DB43D2D5F079}"/>
    <hyperlink ref="B1059" r:id="rId2116" display="result/パワプロ2020 - 投球解析 - 2020-08-27 18-22-42-06_ball.txt" xr:uid="{3B7F94A7-04E7-4FD3-A29B-97C9F8E6F39A}"/>
    <hyperlink ref="A1060" r:id="rId2117" display="out/パワプロ2020 - 投球解析 - 2020-08-27 18-22-42-07_out.mp4" xr:uid="{9F517B45-046C-44F3-B17E-42F3AE7A2E83}"/>
    <hyperlink ref="B1060" r:id="rId2118" display="result/パワプロ2020 - 投球解析 - 2020-08-27 18-22-42-07_ball.txt" xr:uid="{27B3BE58-5860-4AE9-8941-0F11131889B7}"/>
    <hyperlink ref="A1061" r:id="rId2119" display="out/パワプロ2020 - 投球解析 - 2020-08-27 18-22-42-08_out.mp4" xr:uid="{885B09A9-69A8-4195-BED1-F85C7533DD03}"/>
    <hyperlink ref="B1061" r:id="rId2120" display="result/パワプロ2020 - 投球解析 - 2020-08-27 18-22-42-08_ball.txt" xr:uid="{5D1F7927-0B86-4241-BCE6-8218FFB2A5C1}"/>
    <hyperlink ref="A1062" r:id="rId2121" display="out/パワプロ2020 - 投球解析 - 2020-08-27 18-22-42-09_out.mp4" xr:uid="{9C8805B3-9E28-402F-8C2D-1D812098C2D9}"/>
    <hyperlink ref="B1062" r:id="rId2122" display="result/パワプロ2020 - 投球解析 - 2020-08-27 18-22-42-09_ball.txt" xr:uid="{FC78EB68-50E3-4E4C-BE4B-B5CC55CC9D0B}"/>
    <hyperlink ref="A1063" r:id="rId2123" display="out/パワプロ2020 - 投球解析 - 2020-08-27 18-24-30-00_out.mp4" xr:uid="{F1943A45-49CC-499A-9024-8CB7D696F347}"/>
    <hyperlink ref="B1063" r:id="rId2124" display="result/パワプロ2020 - 投球解析 - 2020-08-27 18-24-30-00_ball.txt" xr:uid="{5729858B-1C5A-48CC-90E5-0A576E17481F}"/>
    <hyperlink ref="A1064" r:id="rId2125" display="out/パワプロ2020 - 投球解析 - 2020-08-27 18-24-30-01_out.mp4" xr:uid="{8AE0D9E5-FCF6-4215-A436-1132C3ADABF9}"/>
    <hyperlink ref="B1064" r:id="rId2126" display="result/パワプロ2020 - 投球解析 - 2020-08-27 18-24-30-01_ball.txt" xr:uid="{ACA06434-4C21-45AB-8D09-F8ABAD3FE0F9}"/>
    <hyperlink ref="A1065" r:id="rId2127" display="out/パワプロ2020 - 投球解析 - 2020-08-27 18-24-30-02_out.mp4" xr:uid="{1245B572-BFE1-44B9-9957-2881659D0F55}"/>
    <hyperlink ref="B1065" r:id="rId2128" display="result/パワプロ2020 - 投球解析 - 2020-08-27 18-24-30-02_ball.txt" xr:uid="{C68FF345-EE1C-490F-B9A2-71D99C4CB8E3}"/>
    <hyperlink ref="A1066" r:id="rId2129" display="out/パワプロ2020 - 投球解析 - 2020-08-27 18-24-30-03_out.mp4" xr:uid="{93CB14FC-E1B1-443A-BD15-96046B8F5E11}"/>
    <hyperlink ref="B1066" r:id="rId2130" display="result/パワプロ2020 - 投球解析 - 2020-08-27 18-24-30-03_ball.txt" xr:uid="{248A1495-DC1C-4F22-BD3D-6A4F2DDF531B}"/>
    <hyperlink ref="A1067" r:id="rId2131" display="out/パワプロ2020 - 投球解析 - 2020-08-27 18-24-30-04_out.mp4" xr:uid="{E6525862-E1B2-4C37-8D33-B0D237FAAF86}"/>
    <hyperlink ref="B1067" r:id="rId2132" display="result/パワプロ2020 - 投球解析 - 2020-08-27 18-24-30-04_ball.txt" xr:uid="{33F2D4FC-BED9-4E4D-846E-C4D058BDE133}"/>
    <hyperlink ref="A1068" r:id="rId2133" display="out/パワプロ2020 - 投球解析 - 2020-08-27 18-24-30-05_out.mp4" xr:uid="{185F8518-739F-4808-991C-319793909AB2}"/>
    <hyperlink ref="B1068" r:id="rId2134" display="result/パワプロ2020 - 投球解析 - 2020-08-27 18-24-30-05_ball.txt" xr:uid="{D779459C-EC37-46C9-A0F9-31DB729ABD30}"/>
    <hyperlink ref="A1069" r:id="rId2135" display="out/パワプロ2020 - 投球解析 - 2020-08-27 18-24-30-06_out.mp4" xr:uid="{CE5539E7-1001-4A4C-8DAD-8FB6772B5E3B}"/>
    <hyperlink ref="B1069" r:id="rId2136" display="result/パワプロ2020 - 投球解析 - 2020-08-27 18-24-30-06_ball.txt" xr:uid="{0EA5459D-B1AD-4E82-8EED-19453E5461DD}"/>
    <hyperlink ref="A1070" r:id="rId2137" display="out/パワプロ2020 - 投球解析 - 2020-08-27 18-24-30-07_out.mp4" xr:uid="{02AA2412-4EC8-4832-874D-8D34F7AB078D}"/>
    <hyperlink ref="B1070" r:id="rId2138" display="result/パワプロ2020 - 投球解析 - 2020-08-27 18-24-30-07_ball.txt" xr:uid="{77F15E80-25F0-4ABE-A01D-21D3317FF664}"/>
    <hyperlink ref="A1071" r:id="rId2139" display="out/パワプロ2020 - 投球解析 - 2020-08-27 18-24-30-08_out.mp4" xr:uid="{4E41E128-B4BB-407F-84E2-0B1080DE52BD}"/>
    <hyperlink ref="B1071" r:id="rId2140" display="result/パワプロ2020 - 投球解析 - 2020-08-27 18-24-30-08_ball.txt" xr:uid="{6F71F8C3-8F26-45F0-A679-DFC44C036FE9}"/>
    <hyperlink ref="A1072" r:id="rId2141" display="out/パワプロ2020 - 投球解析 - 2020-08-27 18-24-30-09_out.mp4" xr:uid="{82ECCA90-8329-4D14-BD28-5412A6CAB97E}"/>
    <hyperlink ref="B1072" r:id="rId2142" display="result/パワプロ2020 - 投球解析 - 2020-08-27 18-24-30-09_ball.txt" xr:uid="{6C6FED5D-868D-4970-A8F2-32064AD884EE}"/>
    <hyperlink ref="A1073" r:id="rId2143" display="out/パワプロ2020 - 投球解析 - 2020-08-27 18-26-47-00_out.mp4" xr:uid="{C520B479-A5AB-4668-8F35-3D379F8A422D}"/>
    <hyperlink ref="B1073" r:id="rId2144" display="result/パワプロ2020 - 投球解析 - 2020-08-27 18-26-47-00_ball.txt" xr:uid="{55D9430A-2140-4125-B2E9-17B55DC05C79}"/>
    <hyperlink ref="A1074" r:id="rId2145" display="out/パワプロ2020 - 投球解析 - 2020-08-27 18-26-47-01_out.mp4" xr:uid="{B0057BE6-FBD9-436E-8EEF-F48578AB7BB6}"/>
    <hyperlink ref="B1074" r:id="rId2146" display="result/パワプロ2020 - 投球解析 - 2020-08-27 18-26-47-01_ball.txt" xr:uid="{68180B4F-C647-4513-9759-CB59BDB5D4E2}"/>
    <hyperlink ref="A1075" r:id="rId2147" display="out/パワプロ2020 - 投球解析 - 2020-08-27 18-26-47-02_out.mp4" xr:uid="{0441771F-1F06-481F-805D-03CABB4CEAD9}"/>
    <hyperlink ref="B1075" r:id="rId2148" display="result/パワプロ2020 - 投球解析 - 2020-08-27 18-26-47-02_ball.txt" xr:uid="{1616A12E-E7AE-417A-A9DA-7FDD4B81A426}"/>
    <hyperlink ref="A1076" r:id="rId2149" display="out/パワプロ2020 - 投球解析 - 2020-08-27 18-26-47-03_out.mp4" xr:uid="{D7FC4137-3A67-4611-B102-65CF56459C0C}"/>
    <hyperlink ref="B1076" r:id="rId2150" display="result/パワプロ2020 - 投球解析 - 2020-08-27 18-26-47-03_ball.txt" xr:uid="{34A5AE6B-3578-44FC-928C-D41477388018}"/>
    <hyperlink ref="A1077" r:id="rId2151" display="out/パワプロ2020 - 投球解析 - 2020-08-27 18-26-47-04_out.mp4" xr:uid="{77AE2DCF-7627-4E84-8DEF-832F17103C36}"/>
    <hyperlink ref="B1077" r:id="rId2152" display="result/パワプロ2020 - 投球解析 - 2020-08-27 18-26-47-04_ball.txt" xr:uid="{0D52AFD5-1171-486F-B262-59E69B82205B}"/>
    <hyperlink ref="A1078" r:id="rId2153" display="out/パワプロ2020 - 投球解析 - 2020-08-27 18-26-47-05_out.mp4" xr:uid="{FEDFCD7E-C895-4A39-AC83-7CCBACD0178B}"/>
    <hyperlink ref="B1078" r:id="rId2154" display="result/パワプロ2020 - 投球解析 - 2020-08-27 18-26-47-05_ball.txt" xr:uid="{9857D707-0F86-4B92-B32D-6E6A5A62623B}"/>
    <hyperlink ref="A1079" r:id="rId2155" display="out/パワプロ2020 - 投球解析 - 2020-08-27 18-26-47-06_out.mp4" xr:uid="{2C15DE35-7223-4CB0-8B3A-14FBDCF2E579}"/>
    <hyperlink ref="B1079" r:id="rId2156" display="result/パワプロ2020 - 投球解析 - 2020-08-27 18-26-47-06_ball.txt" xr:uid="{C2A4B727-49BE-4485-8479-71E43DB94018}"/>
    <hyperlink ref="A1080" r:id="rId2157" display="out/パワプロ2020 - 投球解析 - 2020-08-27 18-26-47-07_out.mp4" xr:uid="{BC0F2800-EF8A-4460-9ADB-5E87EF33CE3B}"/>
    <hyperlink ref="B1080" r:id="rId2158" display="result/パワプロ2020 - 投球解析 - 2020-08-27 18-26-47-07_ball.txt" xr:uid="{80269B3C-CD1D-45F3-865A-A34262D6F907}"/>
    <hyperlink ref="A1081" r:id="rId2159" display="out/パワプロ2020 - 投球解析 - 2020-08-27 18-26-47-08_out.mp4" xr:uid="{284FB2E0-5326-4070-8257-151374FD1479}"/>
    <hyperlink ref="B1081" r:id="rId2160" display="result/パワプロ2020 - 投球解析 - 2020-08-27 18-26-47-08_ball.txt" xr:uid="{04C3DE35-A110-4F2D-834D-6EE1A3869124}"/>
    <hyperlink ref="A1082" r:id="rId2161" display="out/パワプロ2020 - 投球解析 - 2020-08-27 18-26-47-09_out.mp4" xr:uid="{79616F93-1095-408C-A7F0-BA0368030352}"/>
    <hyperlink ref="B1082" r:id="rId2162" display="result/パワプロ2020 - 投球解析 - 2020-08-27 18-26-47-09_ball.txt" xr:uid="{1CDAEAA7-0C21-45E9-8269-E4037FC04524}"/>
    <hyperlink ref="A1083" r:id="rId2163" display="out/パワプロ2020 - 投球解析 - 2020-08-28 22-31-31-00_out.mp4" xr:uid="{B913BCA4-1B85-43D1-AED8-F8644695871D}"/>
    <hyperlink ref="B1083" r:id="rId2164" display="result/パワプロ2020 - 投球解析 - 2020-08-28 22-31-31-00_ball.txt" xr:uid="{77013697-3274-407B-8891-4FCAAA81049A}"/>
    <hyperlink ref="A1084" r:id="rId2165" display="out/パワプロ2020 - 投球解析 - 2020-08-28 22-31-31-01_out.mp4" xr:uid="{245CE3CB-930C-4157-99E4-D2B0E675D912}"/>
    <hyperlink ref="B1084" r:id="rId2166" display="result/パワプロ2020 - 投球解析 - 2020-08-28 22-31-31-01_ball.txt" xr:uid="{8B632660-941E-4688-B534-253BF4AEB28F}"/>
    <hyperlink ref="A1085" r:id="rId2167" display="out/パワプロ2020 - 投球解析 - 2020-08-28 22-31-31-02_out.mp4" xr:uid="{7FAB4E79-1D38-4138-A81B-463DDE8A6CBE}"/>
    <hyperlink ref="B1085" r:id="rId2168" display="result/パワプロ2020 - 投球解析 - 2020-08-28 22-31-31-02_ball.txt" xr:uid="{9E772590-1859-45AD-8898-06150ED2F9BC}"/>
    <hyperlink ref="A1086" r:id="rId2169" display="out/パワプロ2020 - 投球解析 - 2020-08-28 22-31-31-03_out.mp4" xr:uid="{CC260B27-BD3A-488F-93F1-6E652EB4178B}"/>
    <hyperlink ref="B1086" r:id="rId2170" display="result/パワプロ2020 - 投球解析 - 2020-08-28 22-31-31-03_ball.txt" xr:uid="{18A2089F-9488-4576-8F4D-9B7C15DBEE22}"/>
    <hyperlink ref="A1087" r:id="rId2171" display="out/パワプロ2020 - 投球解析 - 2020-08-28 22-31-31-04_out.mp4" xr:uid="{508E703D-8192-4CB7-83F8-D307FBB9E756}"/>
    <hyperlink ref="B1087" r:id="rId2172" display="result/パワプロ2020 - 投球解析 - 2020-08-28 22-31-31-04_ball.txt" xr:uid="{E9A69BC9-713F-40C9-A428-0E8619BD1696}"/>
    <hyperlink ref="A1088" r:id="rId2173" display="out/パワプロ2020 - 投球解析 - 2020-08-28 22-31-31-05_out.mp4" xr:uid="{5CB91183-0E3B-44E4-89E2-32F5F07F7F81}"/>
    <hyperlink ref="B1088" r:id="rId2174" display="result/パワプロ2020 - 投球解析 - 2020-08-28 22-31-31-05_ball.txt" xr:uid="{152D194A-907F-421D-985D-6ADDBCB9D2D8}"/>
    <hyperlink ref="A1089" r:id="rId2175" display="out/パワプロ2020 - 投球解析 - 2020-08-28 22-31-31-06_out.mp4" xr:uid="{F9396467-E688-4FBD-894E-0FC88B96BA0D}"/>
    <hyperlink ref="B1089" r:id="rId2176" display="result/パワプロ2020 - 投球解析 - 2020-08-28 22-31-31-06_ball.txt" xr:uid="{1F1C9FE4-1505-4BBF-90B3-EA262D675C52}"/>
    <hyperlink ref="A1090" r:id="rId2177" display="out/パワプロ2020 - 投球解析 - 2020-08-28 22-31-31-07_out.mp4" xr:uid="{D9F8372C-6B5B-476C-9BFB-B7D4846BE965}"/>
    <hyperlink ref="B1090" r:id="rId2178" display="result/パワプロ2020 - 投球解析 - 2020-08-28 22-31-31-07_ball.txt" xr:uid="{6F1A5888-782F-4331-B46B-3F4A3A57E0CA}"/>
    <hyperlink ref="A1091" r:id="rId2179" display="out/パワプロ2020 - 投球解析 - 2020-08-28 22-31-31-08_out.mp4" xr:uid="{9A264895-2CA3-4A90-A604-951A07EC94B6}"/>
    <hyperlink ref="B1091" r:id="rId2180" display="result/パワプロ2020 - 投球解析 - 2020-08-28 22-31-31-08_ball.txt" xr:uid="{273131D2-C126-46FA-A4B4-9222ECB1EFCE}"/>
    <hyperlink ref="A1092" r:id="rId2181" display="out/パワプロ2020 - 投球解析 - 2020-08-28 22-31-31-09_out.mp4" xr:uid="{F0E2F3AD-674E-44E0-8093-0CFF4213E482}"/>
    <hyperlink ref="B1092" r:id="rId2182" display="result/パワプロ2020 - 投球解析 - 2020-08-28 22-31-31-09_ball.txt" xr:uid="{723BBD7D-D561-4A93-8B1D-7691E024CDCE}"/>
    <hyperlink ref="A1093" r:id="rId2183" display="out/パワプロ2020 - 投球解析 - 2020-08-28 22-33-04-00_out.mp4" xr:uid="{CA5129D7-2E54-4F68-A138-D06E9BA3A7C0}"/>
    <hyperlink ref="B1093" r:id="rId2184" display="result/パワプロ2020 - 投球解析 - 2020-08-28 22-33-04-00_ball.txt" xr:uid="{EBBE0BB3-1E29-4EA0-9283-8F064B283C50}"/>
    <hyperlink ref="A1094" r:id="rId2185" display="out/パワプロ2020 - 投球解析 - 2020-08-28 22-33-04-01_out.mp4" xr:uid="{8C69B6F7-8D0E-4F4A-9BD1-28C82BA1294F}"/>
    <hyperlink ref="B1094" r:id="rId2186" display="result/パワプロ2020 - 投球解析 - 2020-08-28 22-33-04-01_ball.txt" xr:uid="{1D46BAE3-2B06-469B-89EA-A0F7BFFD3A8D}"/>
    <hyperlink ref="A1095" r:id="rId2187" display="out/パワプロ2020 - 投球解析 - 2020-08-28 22-33-04-02_out.mp4" xr:uid="{8CA9AA12-D31B-49B5-97B3-2134E81E72CE}"/>
    <hyperlink ref="B1095" r:id="rId2188" display="result/パワプロ2020 - 投球解析 - 2020-08-28 22-33-04-02_ball.txt" xr:uid="{9B2218D8-B701-457D-B88B-8CD9E152702E}"/>
    <hyperlink ref="A1096" r:id="rId2189" display="out/パワプロ2020 - 投球解析 - 2020-08-28 22-33-04-03_out.mp4" xr:uid="{0EF29FAB-10C9-4A9A-803C-42C6A8D8A7C3}"/>
    <hyperlink ref="B1096" r:id="rId2190" display="result/パワプロ2020 - 投球解析 - 2020-08-28 22-33-04-03_ball.txt" xr:uid="{0B11DCF8-DED8-4F69-BAA5-4DE0B32190CA}"/>
    <hyperlink ref="A1097" r:id="rId2191" display="out/パワプロ2020 - 投球解析 - 2020-08-28 22-33-04-04_out.mp4" xr:uid="{1FE86A73-8AD1-4471-A909-C44606A327E1}"/>
    <hyperlink ref="B1097" r:id="rId2192" display="result/パワプロ2020 - 投球解析 - 2020-08-28 22-33-04-04_ball.txt" xr:uid="{87D9578A-7EAE-4673-8453-1C30D8CA6DDC}"/>
    <hyperlink ref="A1098" r:id="rId2193" display="out/パワプロ2020 - 投球解析 - 2020-08-28 22-33-04-05_out.mp4" xr:uid="{1403A6C3-1E1F-4B6A-9917-14165BCB398C}"/>
    <hyperlink ref="B1098" r:id="rId2194" display="result/パワプロ2020 - 投球解析 - 2020-08-28 22-33-04-05_ball.txt" xr:uid="{D43B4EFB-8006-499C-9AE3-CBB6343D8BFD}"/>
    <hyperlink ref="A1099" r:id="rId2195" display="out/パワプロ2020 - 投球解析 - 2020-08-28 22-33-04-06_out.mp4" xr:uid="{0394E2F7-BC73-40B0-A729-EAF43EB0E27D}"/>
    <hyperlink ref="B1099" r:id="rId2196" display="result/パワプロ2020 - 投球解析 - 2020-08-28 22-33-04-06_ball.txt" xr:uid="{59E0CDE1-D946-40B2-A143-8F53DEC07991}"/>
    <hyperlink ref="A1100" r:id="rId2197" display="out/パワプロ2020 - 投球解析 - 2020-08-28 22-33-04-07_out.mp4" xr:uid="{325C40EE-DD89-491E-B6B7-F30E62AF313B}"/>
    <hyperlink ref="B1100" r:id="rId2198" display="result/パワプロ2020 - 投球解析 - 2020-08-28 22-33-04-07_ball.txt" xr:uid="{39DFCCFF-8C2F-489F-B02E-37AFDC714FAC}"/>
    <hyperlink ref="A1101" r:id="rId2199" display="out/パワプロ2020 - 投球解析 - 2020-08-28 22-33-04-08_out.mp4" xr:uid="{D175FF76-4A30-40F5-A8B1-1F0EE5E0D538}"/>
    <hyperlink ref="B1101" r:id="rId2200" display="result/パワプロ2020 - 投球解析 - 2020-08-28 22-33-04-08_ball.txt" xr:uid="{365EA5BB-C06F-43E4-9226-9462AAE19214}"/>
    <hyperlink ref="A1102" r:id="rId2201" display="out/パワプロ2020 - 投球解析 - 2020-08-28 22-33-04-09_out.mp4" xr:uid="{A1C47328-8327-4392-BD19-3A86628CC362}"/>
    <hyperlink ref="B1102" r:id="rId2202" display="result/パワプロ2020 - 投球解析 - 2020-08-28 22-33-04-09_ball.txt" xr:uid="{DADBEB6D-42F7-49F5-A2FE-76483F5BE320}"/>
    <hyperlink ref="A1103" r:id="rId2203" display="out/パワプロ2020 - 投球解析 - 2020-08-28 22-34-32-00_out.mp4" xr:uid="{9CA487EB-382E-4C78-85FE-41E12E711088}"/>
    <hyperlink ref="B1103" r:id="rId2204" display="result/パワプロ2020 - 投球解析 - 2020-08-28 22-34-32-00_ball.txt" xr:uid="{F5776995-4A28-4829-8638-E4F7DE8A05F4}"/>
    <hyperlink ref="A1104" r:id="rId2205" display="out/パワプロ2020 - 投球解析 - 2020-08-28 22-34-32-01_out.mp4" xr:uid="{CC322EA5-6C95-447F-BD38-6DDF13570251}"/>
    <hyperlink ref="B1104" r:id="rId2206" display="result/パワプロ2020 - 投球解析 - 2020-08-28 22-34-32-01_ball.txt" xr:uid="{CEA3F6F5-B21A-4D6F-A6E9-D997B12DD622}"/>
    <hyperlink ref="A1105" r:id="rId2207" display="out/パワプロ2020 - 投球解析 - 2020-08-28 22-34-32-02_out.mp4" xr:uid="{70FDBBD8-48D8-4449-AC42-F2AFA52FC437}"/>
    <hyperlink ref="B1105" r:id="rId2208" display="result/パワプロ2020 - 投球解析 - 2020-08-28 22-34-32-02_ball.txt" xr:uid="{2BA619D3-0DC0-4897-8BC8-FEA31F593482}"/>
    <hyperlink ref="A1106" r:id="rId2209" display="out/パワプロ2020 - 投球解析 - 2020-08-28 22-34-32-03_out.mp4" xr:uid="{137BD0B7-A020-4059-831C-09F93C6A558B}"/>
    <hyperlink ref="B1106" r:id="rId2210" display="result/パワプロ2020 - 投球解析 - 2020-08-28 22-34-32-03_ball.txt" xr:uid="{A8A12E43-0BCE-4EA1-84C2-ADDA29065226}"/>
    <hyperlink ref="A1107" r:id="rId2211" display="out/パワプロ2020 - 投球解析 - 2020-08-28 22-34-32-04_out.mp4" xr:uid="{0DA0D347-F708-48C8-AEFC-D55646E25309}"/>
    <hyperlink ref="B1107" r:id="rId2212" display="result/パワプロ2020 - 投球解析 - 2020-08-28 22-34-32-04_ball.txt" xr:uid="{F5DF4F2A-F54A-4B14-ACD1-D124FE6DCDE1}"/>
    <hyperlink ref="A1108" r:id="rId2213" display="out/パワプロ2020 - 投球解析 - 2020-08-28 22-34-32-05_out.mp4" xr:uid="{6C9565A8-8822-4052-ADFA-CA3043CEFDF0}"/>
    <hyperlink ref="B1108" r:id="rId2214" display="result/パワプロ2020 - 投球解析 - 2020-08-28 22-34-32-05_ball.txt" xr:uid="{98D5DD6A-A78B-4B2A-A90D-1548D8731D9B}"/>
    <hyperlink ref="A1109" r:id="rId2215" display="out/パワプロ2020 - 投球解析 - 2020-08-28 22-34-32-06_out.mp4" xr:uid="{A61070A2-E09D-43AE-9ACF-CFEED234371C}"/>
    <hyperlink ref="B1109" r:id="rId2216" display="result/パワプロ2020 - 投球解析 - 2020-08-28 22-34-32-06_ball.txt" xr:uid="{D7CFD3FE-C67C-4D50-8EC3-1888A5C8F4FA}"/>
    <hyperlink ref="A1110" r:id="rId2217" display="out/パワプロ2020 - 投球解析 - 2020-08-28 22-34-32-07_out.mp4" xr:uid="{24D7AC50-69E2-443D-A2B4-148241C11985}"/>
    <hyperlink ref="B1110" r:id="rId2218" display="result/パワプロ2020 - 投球解析 - 2020-08-28 22-34-32-07_ball.txt" xr:uid="{982819AC-CBD0-40B6-B6AE-184DCE517C83}"/>
    <hyperlink ref="A1111" r:id="rId2219" display="out/パワプロ2020 - 投球解析 - 2020-08-28 22-34-32-08_out.mp4" xr:uid="{7AACC2C0-1717-4345-873D-DE43DE6366FA}"/>
    <hyperlink ref="B1111" r:id="rId2220" display="result/パワプロ2020 - 投球解析 - 2020-08-28 22-34-32-08_ball.txt" xr:uid="{665A0C14-10EC-45F8-B559-58E7D8A14668}"/>
    <hyperlink ref="A1112" r:id="rId2221" display="out/パワプロ2020 - 投球解析 - 2020-08-28 22-34-32-09_out.mp4" xr:uid="{FBCF4C04-D574-4C43-A498-5D112F7800D5}"/>
    <hyperlink ref="B1112" r:id="rId2222" display="result/パワプロ2020 - 投球解析 - 2020-08-28 22-34-32-09_ball.txt" xr:uid="{C1B3173D-0623-411A-8F86-4A327355FADD}"/>
    <hyperlink ref="A1113" r:id="rId2223" display="out/パワプロ2020 - 投球解析 - 2020-08-28 22-36-12-00_out.mp4" xr:uid="{5BD82AF1-B8F9-42AC-A687-91FD86E260F6}"/>
    <hyperlink ref="B1113" r:id="rId2224" display="result/パワプロ2020 - 投球解析 - 2020-08-28 22-36-12-00_ball.txt" xr:uid="{72CC88BF-7F2E-4DC6-98A7-9A08785411DF}"/>
    <hyperlink ref="A1114" r:id="rId2225" display="out/パワプロ2020 - 投球解析 - 2020-08-28 22-36-12-01_out.mp4" xr:uid="{BC625F94-D895-4F87-8925-5E25B2C491EF}"/>
    <hyperlink ref="B1114" r:id="rId2226" display="result/パワプロ2020 - 投球解析 - 2020-08-28 22-36-12-01_ball.txt" xr:uid="{58D7833B-C839-4DE4-AF0C-4C5EA1115998}"/>
    <hyperlink ref="A1115" r:id="rId2227" display="out/パワプロ2020 - 投球解析 - 2020-08-28 22-36-12-02_out.mp4" xr:uid="{89593D3B-960C-4137-8B81-C8431F3EB194}"/>
    <hyperlink ref="B1115" r:id="rId2228" display="result/パワプロ2020 - 投球解析 - 2020-08-28 22-36-12-02_ball.txt" xr:uid="{A2304925-7315-453A-AA1D-4559672D81C0}"/>
    <hyperlink ref="A1116" r:id="rId2229" display="out/パワプロ2020 - 投球解析 - 2020-08-28 22-36-12-03_out.mp4" xr:uid="{7F8E3A5C-1FC5-4105-BB28-E0D730331EA1}"/>
    <hyperlink ref="B1116" r:id="rId2230" display="result/パワプロ2020 - 投球解析 - 2020-08-28 22-36-12-03_ball.txt" xr:uid="{022144F1-963F-4E21-BD27-5B0A581FAD4D}"/>
    <hyperlink ref="A1117" r:id="rId2231" display="out/パワプロ2020 - 投球解析 - 2020-08-28 22-36-12-04_out.mp4" xr:uid="{4C058602-35E0-4A01-B346-A609328BCBA3}"/>
    <hyperlink ref="B1117" r:id="rId2232" display="result/パワプロ2020 - 投球解析 - 2020-08-28 22-36-12-04_ball.txt" xr:uid="{56EBA1F2-8C91-4A0A-8048-6BF67A90DE5E}"/>
    <hyperlink ref="A1118" r:id="rId2233" display="out/パワプロ2020 - 投球解析 - 2020-08-28 22-36-12-05_out.mp4" xr:uid="{836D13A7-34A0-4984-8584-E9805CEAEF6E}"/>
    <hyperlink ref="B1118" r:id="rId2234" display="result/パワプロ2020 - 投球解析 - 2020-08-28 22-36-12-05_ball.txt" xr:uid="{E137AA2A-F640-4B93-8CE5-09E9029D6154}"/>
    <hyperlink ref="A1119" r:id="rId2235" display="out/パワプロ2020 - 投球解析 - 2020-08-28 22-36-12-06_out.mp4" xr:uid="{A539F5BC-E1A2-4DC7-8E17-CB0CD8C29EAF}"/>
    <hyperlink ref="B1119" r:id="rId2236" display="result/パワプロ2020 - 投球解析 - 2020-08-28 22-36-12-06_ball.txt" xr:uid="{0B183591-2584-4D20-9F11-A47EA76235F5}"/>
    <hyperlink ref="A1120" r:id="rId2237" display="out/パワプロ2020 - 投球解析 - 2020-08-28 22-36-12-07_out.mp4" xr:uid="{974E8BB8-B0E2-4D3B-98AA-D9FD635D6DC0}"/>
    <hyperlink ref="B1120" r:id="rId2238" display="result/パワプロ2020 - 投球解析 - 2020-08-28 22-36-12-07_ball.txt" xr:uid="{F9ACCE13-7C9C-4257-A608-3BEE22C1A29C}"/>
    <hyperlink ref="A1121" r:id="rId2239" display="out/パワプロ2020 - 投球解析 - 2020-08-28 22-36-12-08_out.mp4" xr:uid="{42130617-8469-4EEA-A4FE-7F7923837DDB}"/>
    <hyperlink ref="B1121" r:id="rId2240" display="result/パワプロ2020 - 投球解析 - 2020-08-28 22-36-12-08_ball.txt" xr:uid="{C562679A-02BD-4DE0-B71F-F7AA8C845072}"/>
    <hyperlink ref="A1122" r:id="rId2241" display="out/パワプロ2020 - 投球解析 - 2020-08-28 22-36-12-09_out.mp4" xr:uid="{BC95DA48-26B7-4B15-8593-3F3238199395}"/>
    <hyperlink ref="B1122" r:id="rId2242" display="result/パワプロ2020 - 投球解析 - 2020-08-28 22-36-12-09_ball.txt" xr:uid="{4137F21E-FAC1-4A90-BC6B-326303CBC812}"/>
    <hyperlink ref="A1123" r:id="rId2243" display="out/パワプロ2020 - 投球解析 - 2020-08-28 22-37-55-00_out.mp4" xr:uid="{25B43862-9BF9-427C-A6B9-7F801EDD77CF}"/>
    <hyperlink ref="B1123" r:id="rId2244" display="result/パワプロ2020 - 投球解析 - 2020-08-28 22-37-55-00_ball.txt" xr:uid="{D5D17BAD-975C-4AED-BE8A-EF5C6EFC503A}"/>
    <hyperlink ref="A1124" r:id="rId2245" display="out/パワプロ2020 - 投球解析 - 2020-08-28 22-37-55-01_out.mp4" xr:uid="{669BB9CC-8046-472A-9BCD-3C5AC5C607AC}"/>
    <hyperlink ref="B1124" r:id="rId2246" display="result/パワプロ2020 - 投球解析 - 2020-08-28 22-37-55-01_ball.txt" xr:uid="{1180D5D6-8890-44CA-9265-F88B9688A4ED}"/>
    <hyperlink ref="A1125" r:id="rId2247" display="out/パワプロ2020 - 投球解析 - 2020-08-28 22-37-55-02_out.mp4" xr:uid="{82301CE9-5991-4CFC-BB46-F9DA3589B3FF}"/>
    <hyperlink ref="B1125" r:id="rId2248" display="result/パワプロ2020 - 投球解析 - 2020-08-28 22-37-55-02_ball.txt" xr:uid="{5C543690-013B-4F48-893B-43F9BAF682F1}"/>
    <hyperlink ref="A1126" r:id="rId2249" display="out/パワプロ2020 - 投球解析 - 2020-08-28 22-37-55-03_out.mp4" xr:uid="{B29F31E5-CBD9-40BC-BB6C-FB566A123BB2}"/>
    <hyperlink ref="B1126" r:id="rId2250" display="result/パワプロ2020 - 投球解析 - 2020-08-28 22-37-55-03_ball.txt" xr:uid="{4863B306-124B-4DB5-9DFB-9AE75A49839F}"/>
    <hyperlink ref="A1127" r:id="rId2251" display="out/パワプロ2020 - 投球解析 - 2020-08-28 22-37-55-04_out.mp4" xr:uid="{30ED4C55-8CBF-4FD7-9457-7785404FFF92}"/>
    <hyperlink ref="B1127" r:id="rId2252" display="result/パワプロ2020 - 投球解析 - 2020-08-28 22-37-55-04_ball.txt" xr:uid="{0186DCE7-9FED-446C-AF0C-BF1E8322AF43}"/>
    <hyperlink ref="A1128" r:id="rId2253" display="out/パワプロ2020 - 投球解析 - 2020-08-28 22-37-55-05_out.mp4" xr:uid="{B101CAE6-CE1B-4903-991B-BC335D2C9AD9}"/>
    <hyperlink ref="B1128" r:id="rId2254" display="result/パワプロ2020 - 投球解析 - 2020-08-28 22-37-55-05_ball.txt" xr:uid="{42CC3D31-6CB3-4833-9D6D-792931E8A99B}"/>
    <hyperlink ref="A1129" r:id="rId2255" display="out/パワプロ2020 - 投球解析 - 2020-08-28 22-37-55-06_out.mp4" xr:uid="{E93FEECD-014A-4623-82FA-6D4AF8937336}"/>
    <hyperlink ref="B1129" r:id="rId2256" display="result/パワプロ2020 - 投球解析 - 2020-08-28 22-37-55-06_ball.txt" xr:uid="{6E7DF897-F28A-458D-AEB6-21C1AB1E978F}"/>
    <hyperlink ref="A1130" r:id="rId2257" display="out/パワプロ2020 - 投球解析 - 2020-08-28 22-37-55-07_out.mp4" xr:uid="{D8CB11EC-A414-475B-81AD-33DD7182C1C8}"/>
    <hyperlink ref="B1130" r:id="rId2258" display="result/パワプロ2020 - 投球解析 - 2020-08-28 22-37-55-07_ball.txt" xr:uid="{9F06F4D6-22E0-4CE7-B7F5-A10D1F28AA24}"/>
    <hyperlink ref="A1131" r:id="rId2259" display="out/パワプロ2020 - 投球解析 - 2020-08-28 22-37-55-08_out.mp4" xr:uid="{BE7AB5EA-7966-45D3-9F8D-13008F107F0D}"/>
    <hyperlink ref="B1131" r:id="rId2260" display="result/パワプロ2020 - 投球解析 - 2020-08-28 22-37-55-08_ball.txt" xr:uid="{124B3CA7-A144-4A52-BC88-6BBD5D20234A}"/>
    <hyperlink ref="A1132" r:id="rId2261" display="out/パワプロ2020 - 投球解析 - 2020-08-28 22-37-55-09_out.mp4" xr:uid="{88839FDD-3DB2-4EF0-93E5-B2460058DC08}"/>
    <hyperlink ref="B1132" r:id="rId2262" display="result/パワプロ2020 - 投球解析 - 2020-08-28 22-37-55-09_ball.txt" xr:uid="{9293FE2A-AA16-4BF4-8581-0D58A531959C}"/>
    <hyperlink ref="A1133" r:id="rId2263" display="out/パワプロ2020 - 投球解析 - 2020-08-29 09-37-40-00_out.mp4" xr:uid="{95F1F038-1314-4FBC-A748-6E4C940C4E7F}"/>
    <hyperlink ref="B1133" r:id="rId2264" display="result/パワプロ2020 - 投球解析 - 2020-08-29 09-37-40-00_ball.txt" xr:uid="{A1E7E0B6-B7B4-4E7D-8A88-0A44615E5835}"/>
    <hyperlink ref="A1134" r:id="rId2265" display="out/パワプロ2020 - 投球解析 - 2020-08-29 09-37-40-01_out.mp4" xr:uid="{F60A25BC-C95F-4F71-8E42-6A79383A44C8}"/>
    <hyperlink ref="B1134" r:id="rId2266" display="result/パワプロ2020 - 投球解析 - 2020-08-29 09-37-40-01_ball.txt" xr:uid="{C9E8C67C-4423-44EC-954D-963DE35C042C}"/>
    <hyperlink ref="A1135" r:id="rId2267" display="out/パワプロ2020 - 投球解析 - 2020-08-29 09-37-40-02_out.mp4" xr:uid="{4FD4E924-82EC-4E8F-9805-C575F28FBADE}"/>
    <hyperlink ref="B1135" r:id="rId2268" display="result/パワプロ2020 - 投球解析 - 2020-08-29 09-37-40-02_ball.txt" xr:uid="{EEE8424F-0BBA-4B83-8D00-AE85D7F5F31F}"/>
    <hyperlink ref="A1136" r:id="rId2269" display="out/パワプロ2020 - 投球解析 - 2020-08-29 09-37-40-03_out.mp4" xr:uid="{65A4593A-A591-4220-8099-EBA4B93E8C66}"/>
    <hyperlink ref="B1136" r:id="rId2270" display="result/パワプロ2020 - 投球解析 - 2020-08-29 09-37-40-03_ball.txt" xr:uid="{07B0657B-4DCA-4DD4-A32E-823E3FEE5D5E}"/>
    <hyperlink ref="A1137" r:id="rId2271" display="out/パワプロ2020 - 投球解析 - 2020-08-29 09-37-40-04_out.mp4" xr:uid="{00596A96-10E9-4FE9-83DC-E20FF61FDF23}"/>
    <hyperlink ref="B1137" r:id="rId2272" display="result/パワプロ2020 - 投球解析 - 2020-08-29 09-37-40-04_ball.txt" xr:uid="{A4AF03EE-86DC-4E07-A106-AFECFD9C9AE2}"/>
    <hyperlink ref="A1138" r:id="rId2273" display="out/パワプロ2020 - 投球解析 - 2020-08-29 09-37-40-05_out.mp4" xr:uid="{99A32A4B-F2B2-4CDC-9759-1A6ABF6BE872}"/>
    <hyperlink ref="B1138" r:id="rId2274" display="result/パワプロ2020 - 投球解析 - 2020-08-29 09-37-40-05_ball.txt" xr:uid="{FF1BD929-736F-4E4C-A9D9-25E7DDF08C30}"/>
    <hyperlink ref="A1139" r:id="rId2275" display="out/パワプロ2020 - 投球解析 - 2020-08-29 09-37-40-06_out.mp4" xr:uid="{79F08012-B12D-4917-80E2-C29E1CB8EA9D}"/>
    <hyperlink ref="B1139" r:id="rId2276" display="result/パワプロ2020 - 投球解析 - 2020-08-29 09-37-40-06_ball.txt" xr:uid="{775782DF-5000-4AD2-A6F7-F5691CCBA7E7}"/>
    <hyperlink ref="A1140" r:id="rId2277" display="out/パワプロ2020 - 投球解析 - 2020-08-29 09-37-40-07_out.mp4" xr:uid="{B005C57D-A176-4D01-8488-2F0FC23DD09C}"/>
    <hyperlink ref="B1140" r:id="rId2278" display="result/パワプロ2020 - 投球解析 - 2020-08-29 09-37-40-07_ball.txt" xr:uid="{DC559FED-B046-4031-B3A4-2D59A3348673}"/>
    <hyperlink ref="A1141" r:id="rId2279" display="out/パワプロ2020 - 投球解析 - 2020-08-29 09-37-40-08_out.mp4" xr:uid="{0F2D6C38-02F9-49A9-A6F4-24D61AC11FAC}"/>
    <hyperlink ref="B1141" r:id="rId2280" display="result/パワプロ2020 - 投球解析 - 2020-08-29 09-37-40-08_ball.txt" xr:uid="{525A6834-A664-4772-BE28-F0C529E5290A}"/>
    <hyperlink ref="A1142" r:id="rId2281" display="out/パワプロ2020 - 投球解析 - 2020-08-29 09-37-40-09_out.mp4" xr:uid="{8521A05B-D017-4CF7-850C-20E3D874CF49}"/>
    <hyperlink ref="B1142" r:id="rId2282" display="result/パワプロ2020 - 投球解析 - 2020-08-29 09-37-40-09_ball.txt" xr:uid="{78F8E50D-3886-4D94-A171-C1CB07CCB6F2}"/>
    <hyperlink ref="A1143" r:id="rId2283" display="out/パワプロ2020 - 投球解析 - 2020-08-29 09-39-15-00_out.mp4" xr:uid="{0B966D03-EAB6-427D-B22D-2D5DFA3A329A}"/>
    <hyperlink ref="B1143" r:id="rId2284" display="result/パワプロ2020 - 投球解析 - 2020-08-29 09-39-15-00_ball.txt" xr:uid="{7177E793-C48D-4113-AB9A-9BDBE70C27C0}"/>
    <hyperlink ref="A1144" r:id="rId2285" display="out/パワプロ2020 - 投球解析 - 2020-08-29 09-39-15-01_out.mp4" xr:uid="{0B176F61-96CA-4B51-9767-832970E1F2D1}"/>
    <hyperlink ref="B1144" r:id="rId2286" display="result/パワプロ2020 - 投球解析 - 2020-08-29 09-39-15-01_ball.txt" xr:uid="{910C48E2-E18B-47BA-AD9A-C7F44CE116D6}"/>
    <hyperlink ref="A1145" r:id="rId2287" display="out/パワプロ2020 - 投球解析 - 2020-08-29 09-39-15-02_out.mp4" xr:uid="{DB8AFEBE-880C-46A2-897D-4C2B0523DB01}"/>
    <hyperlink ref="B1145" r:id="rId2288" display="result/パワプロ2020 - 投球解析 - 2020-08-29 09-39-15-02_ball.txt" xr:uid="{8B4A8EBA-FEFC-4359-86B6-CD5E157E340B}"/>
    <hyperlink ref="A1146" r:id="rId2289" display="out/パワプロ2020 - 投球解析 - 2020-08-29 09-39-15-03_out.mp4" xr:uid="{E30EB306-53B3-4011-8481-CE68FA2055C3}"/>
    <hyperlink ref="B1146" r:id="rId2290" display="result/パワプロ2020 - 投球解析 - 2020-08-29 09-39-15-03_ball.txt" xr:uid="{90977B57-858D-4975-84FF-7E2091F0C091}"/>
    <hyperlink ref="A1147" r:id="rId2291" display="out/パワプロ2020 - 投球解析 - 2020-08-29 09-39-15-04_out.mp4" xr:uid="{9D27C66D-28E8-44AA-A414-11A20D8FD7FA}"/>
    <hyperlink ref="B1147" r:id="rId2292" display="result/パワプロ2020 - 投球解析 - 2020-08-29 09-39-15-04_ball.txt" xr:uid="{7AE11006-5F38-4713-B943-76BE55867AA1}"/>
    <hyperlink ref="A1148" r:id="rId2293" display="out/パワプロ2020 - 投球解析 - 2020-08-29 09-39-15-05_out.mp4" xr:uid="{99509C10-B31F-4EF8-A322-E5650FF9E5D9}"/>
    <hyperlink ref="B1148" r:id="rId2294" display="result/パワプロ2020 - 投球解析 - 2020-08-29 09-39-15-05_ball.txt" xr:uid="{5D5512A4-567D-4B0E-B6CD-93EB1AE5E7DA}"/>
    <hyperlink ref="A1149" r:id="rId2295" display="out/パワプロ2020 - 投球解析 - 2020-08-29 09-39-15-06_out.mp4" xr:uid="{23AB4476-57FF-49E3-9B5B-08A2665FB5C7}"/>
    <hyperlink ref="B1149" r:id="rId2296" display="result/パワプロ2020 - 投球解析 - 2020-08-29 09-39-15-06_ball.txt" xr:uid="{C53CB8DD-7C67-46B5-AFA0-B3069A0D11A9}"/>
    <hyperlink ref="A1150" r:id="rId2297" display="out/パワプロ2020 - 投球解析 - 2020-08-29 09-39-15-07_out.mp4" xr:uid="{CDFDBF38-6544-486E-8699-865A6D4AFF26}"/>
    <hyperlink ref="B1150" r:id="rId2298" display="result/パワプロ2020 - 投球解析 - 2020-08-29 09-39-15-07_ball.txt" xr:uid="{8FD68BB8-B290-4FDC-90D5-989076DF67B8}"/>
    <hyperlink ref="A1151" r:id="rId2299" display="out/パワプロ2020 - 投球解析 - 2020-08-29 09-39-15-08_out.mp4" xr:uid="{79D46148-887E-431E-999D-AE5A921E4C27}"/>
    <hyperlink ref="B1151" r:id="rId2300" display="result/パワプロ2020 - 投球解析 - 2020-08-29 09-39-15-08_ball.txt" xr:uid="{33EEFA59-E607-46E2-B4C5-C09231C87852}"/>
    <hyperlink ref="A1152" r:id="rId2301" display="out/パワプロ2020 - 投球解析 - 2020-08-29 09-39-15-09_out.mp4" xr:uid="{B95C6536-823B-4182-BE5D-36B607144CE0}"/>
    <hyperlink ref="B1152" r:id="rId2302" display="result/パワプロ2020 - 投球解析 - 2020-08-29 09-39-15-09_ball.txt" xr:uid="{71372AA5-962B-4667-83DE-3DB15D2FE00E}"/>
    <hyperlink ref="A1153" r:id="rId2303" display="out/パワプロ2020 - 投球解析 - 2020-08-29 09-41-06-00_out.mp4" xr:uid="{3EE9CC64-6C96-4158-B255-CE331C2BF2C0}"/>
    <hyperlink ref="B1153" r:id="rId2304" display="result/パワプロ2020 - 投球解析 - 2020-08-29 09-41-06-00_ball.txt" xr:uid="{2A90D383-44CF-41B5-BBB5-900CAAF73075}"/>
    <hyperlink ref="A1154" r:id="rId2305" display="out/パワプロ2020 - 投球解析 - 2020-08-29 09-41-06-01_out.mp4" xr:uid="{E372E5F1-F2C0-4399-85D5-6E81C724123E}"/>
    <hyperlink ref="B1154" r:id="rId2306" display="result/パワプロ2020 - 投球解析 - 2020-08-29 09-41-06-01_ball.txt" xr:uid="{D25B3C57-5E27-4FFB-8E7F-6A7BA2EF08E1}"/>
    <hyperlink ref="A1155" r:id="rId2307" display="out/パワプロ2020 - 投球解析 - 2020-08-29 09-41-06-02_out.mp4" xr:uid="{FCA87E05-D0CA-4080-89B5-BAE712F07783}"/>
    <hyperlink ref="B1155" r:id="rId2308" display="result/パワプロ2020 - 投球解析 - 2020-08-29 09-41-06-02_ball.txt" xr:uid="{1CFEDEB0-8ADA-42D1-9664-9053B9B080AA}"/>
    <hyperlink ref="A1156" r:id="rId2309" display="out/パワプロ2020 - 投球解析 - 2020-08-29 09-41-06-03_out.mp4" xr:uid="{B2E106F7-476C-4E1A-A144-557E3489E8ED}"/>
    <hyperlink ref="B1156" r:id="rId2310" display="result/パワプロ2020 - 投球解析 - 2020-08-29 09-41-06-03_ball.txt" xr:uid="{C8796990-CB7F-435E-807C-FFF5291FBE25}"/>
    <hyperlink ref="A1157" r:id="rId2311" display="out/パワプロ2020 - 投球解析 - 2020-08-29 09-41-06-04_out.mp4" xr:uid="{FC6232AC-BE51-4019-ABEF-E75173E6D8A2}"/>
    <hyperlink ref="B1157" r:id="rId2312" display="result/パワプロ2020 - 投球解析 - 2020-08-29 09-41-06-04_ball.txt" xr:uid="{2976DA5D-FB92-4725-8D6B-4CAF7C927D35}"/>
    <hyperlink ref="A1158" r:id="rId2313" display="out/パワプロ2020 - 投球解析 - 2020-08-29 09-41-06-05_out.mp4" xr:uid="{7C5E6E0F-AD63-4C99-8C12-62C7C67C15EC}"/>
    <hyperlink ref="B1158" r:id="rId2314" display="result/パワプロ2020 - 投球解析 - 2020-08-29 09-41-06-05_ball.txt" xr:uid="{800D0065-4922-4F9C-91A5-61AB0C30782E}"/>
    <hyperlink ref="A1159" r:id="rId2315" display="out/パワプロ2020 - 投球解析 - 2020-08-29 09-41-06-06_out.mp4" xr:uid="{3126BFB8-EBBE-46A3-B1AE-42531A71220E}"/>
    <hyperlink ref="B1159" r:id="rId2316" display="result/パワプロ2020 - 投球解析 - 2020-08-29 09-41-06-06_ball.txt" xr:uid="{5713448A-36AE-41D7-AF68-45BAFA8618EF}"/>
    <hyperlink ref="A1160" r:id="rId2317" display="out/パワプロ2020 - 投球解析 - 2020-08-29 09-41-06-07_out.mp4" xr:uid="{0B2CD34F-C8F4-4EE7-96E7-7E6FCB7EE55A}"/>
    <hyperlink ref="B1160" r:id="rId2318" display="result/パワプロ2020 - 投球解析 - 2020-08-29 09-41-06-07_ball.txt" xr:uid="{047A64C9-284F-471D-B003-CFCC71C3FFE1}"/>
    <hyperlink ref="A1161" r:id="rId2319" display="out/パワプロ2020 - 投球解析 - 2020-08-29 09-41-06-08_out.mp4" xr:uid="{0645331E-1AFC-4560-90AA-3CE627D22284}"/>
    <hyperlink ref="B1161" r:id="rId2320" display="result/パワプロ2020 - 投球解析 - 2020-08-29 09-41-06-08_ball.txt" xr:uid="{D828447E-0587-4F34-889B-55703C4CDEA5}"/>
    <hyperlink ref="A1162" r:id="rId2321" display="out/パワプロ2020 - 投球解析 - 2020-08-29 09-41-06-09_out.mp4" xr:uid="{64CD3D06-F737-48A0-AFC9-071621AA9B4B}"/>
    <hyperlink ref="B1162" r:id="rId2322" display="result/パワプロ2020 - 投球解析 - 2020-08-29 09-41-06-09_ball.txt" xr:uid="{B98AD7E1-B18B-4BD5-BADB-1BE726A847B1}"/>
    <hyperlink ref="A1163" r:id="rId2323" display="out/パワプロ2020 - 投球解析 - 2020-08-29 09-42-48-00_out.mp4" xr:uid="{B1B3374A-56E5-42A0-A5DE-12536E52583E}"/>
    <hyperlink ref="B1163" r:id="rId2324" display="result/パワプロ2020 - 投球解析 - 2020-08-29 09-42-48-00_ball.txt" xr:uid="{15DCA73D-CB55-4B80-9410-DFB2A2404CD7}"/>
    <hyperlink ref="A1164" r:id="rId2325" display="out/パワプロ2020 - 投球解析 - 2020-08-29 09-42-48-01_out.mp4" xr:uid="{F3EF5029-6FD6-4309-B4E5-0554E9306436}"/>
    <hyperlink ref="B1164" r:id="rId2326" display="result/パワプロ2020 - 投球解析 - 2020-08-29 09-42-48-01_ball.txt" xr:uid="{2C1916D0-9657-4BF1-86D1-E211801BC8EB}"/>
    <hyperlink ref="A1165" r:id="rId2327" display="out/パワプロ2020 - 投球解析 - 2020-08-29 09-42-48-02_out.mp4" xr:uid="{0EF249DC-F75D-4F1E-99A9-768A139AD3FD}"/>
    <hyperlink ref="B1165" r:id="rId2328" display="result/パワプロ2020 - 投球解析 - 2020-08-29 09-42-48-02_ball.txt" xr:uid="{BD58C61E-B1B2-456A-B6BC-A3378FBAA91D}"/>
    <hyperlink ref="A1166" r:id="rId2329" display="out/パワプロ2020 - 投球解析 - 2020-08-29 09-42-48-03_out.mp4" xr:uid="{FE8DEBCE-9547-42AC-A517-29A623487A65}"/>
    <hyperlink ref="B1166" r:id="rId2330" display="result/パワプロ2020 - 投球解析 - 2020-08-29 09-42-48-03_ball.txt" xr:uid="{9FEB1E2E-5D27-4663-9989-C99FB4724545}"/>
    <hyperlink ref="A1167" r:id="rId2331" display="out/パワプロ2020 - 投球解析 - 2020-08-29 09-42-48-04_out.mp4" xr:uid="{CF5FFDE0-3992-4C80-9661-5056DB102F50}"/>
    <hyperlink ref="B1167" r:id="rId2332" display="result/パワプロ2020 - 投球解析 - 2020-08-29 09-42-48-04_ball.txt" xr:uid="{631E6CEA-EA53-4783-B90E-F4A381F29EF4}"/>
    <hyperlink ref="A1168" r:id="rId2333" display="out/パワプロ2020 - 投球解析 - 2020-08-29 09-42-48-05_out.mp4" xr:uid="{EB01272C-8299-48D7-980E-ED7433489EC5}"/>
    <hyperlink ref="B1168" r:id="rId2334" display="result/パワプロ2020 - 投球解析 - 2020-08-29 09-42-48-05_ball.txt" xr:uid="{7525B1F7-DD27-460F-A462-A7DCFDC532F4}"/>
    <hyperlink ref="A1169" r:id="rId2335" display="out/パワプロ2020 - 投球解析 - 2020-08-29 09-42-48-06_out.mp4" xr:uid="{12625BCD-1CF6-48EC-B1EF-AC0A29EEC82C}"/>
    <hyperlink ref="B1169" r:id="rId2336" display="result/パワプロ2020 - 投球解析 - 2020-08-29 09-42-48-06_ball.txt" xr:uid="{8BD49201-C2F9-4B7D-93C9-C4B1728F35F7}"/>
    <hyperlink ref="A1170" r:id="rId2337" display="out/パワプロ2020 - 投球解析 - 2020-08-29 09-42-48-07_out.mp4" xr:uid="{A9B31AEA-83F8-4C62-82FD-6589CFDEFCF8}"/>
    <hyperlink ref="B1170" r:id="rId2338" display="result/パワプロ2020 - 投球解析 - 2020-08-29 09-42-48-07_ball.txt" xr:uid="{48D06A9A-B672-409D-A49D-56C1075E9015}"/>
    <hyperlink ref="A1171" r:id="rId2339" display="out/パワプロ2020 - 投球解析 - 2020-08-29 09-42-48-08_out.mp4" xr:uid="{736A8D02-56B3-4EBD-8602-E6713112AB6E}"/>
    <hyperlink ref="B1171" r:id="rId2340" display="result/パワプロ2020 - 投球解析 - 2020-08-29 09-42-48-08_ball.txt" xr:uid="{2E0B5812-8F6D-49E7-BF5A-160B7FD183A4}"/>
    <hyperlink ref="A1172" r:id="rId2341" display="out/パワプロ2020 - 投球解析 - 2020-08-29 09-44-23-00_out.mp4" xr:uid="{AFFE3D6D-5576-4F1D-A4FA-998FE8E2BBE9}"/>
    <hyperlink ref="B1172" r:id="rId2342" display="result/パワプロ2020 - 投球解析 - 2020-08-29 09-44-23-00_ball.txt" xr:uid="{FA0CA5AF-B1A5-4FC0-B4A9-8F742206BBC7}"/>
    <hyperlink ref="A1173" r:id="rId2343" display="out/パワプロ2020 - 投球解析 - 2020-08-29 09-44-23-01_out.mp4" xr:uid="{5EC13D00-36E8-4D73-A84E-F43582FC7D31}"/>
    <hyperlink ref="B1173" r:id="rId2344" display="result/パワプロ2020 - 投球解析 - 2020-08-29 09-44-23-01_ball.txt" xr:uid="{8C18D9FB-63E0-4A8C-AAAA-C4ED14C465FB}"/>
    <hyperlink ref="A1174" r:id="rId2345" display="out/パワプロ2020 - 投球解析 - 2020-08-29 09-44-23-02_out.mp4" xr:uid="{1B365A9D-B30E-4831-8FB6-F74CFF6A471B}"/>
    <hyperlink ref="B1174" r:id="rId2346" display="result/パワプロ2020 - 投球解析 - 2020-08-29 09-44-23-02_ball.txt" xr:uid="{5DED299A-87ED-454F-9229-44521EE4E3EC}"/>
    <hyperlink ref="A1175" r:id="rId2347" display="out/パワプロ2020 - 投球解析 - 2020-08-29 09-44-23-03_out.mp4" xr:uid="{242D868B-36B2-4F3B-9410-9A3E2A2DCD3D}"/>
    <hyperlink ref="B1175" r:id="rId2348" display="result/パワプロ2020 - 投球解析 - 2020-08-29 09-44-23-03_ball.txt" xr:uid="{6E157D16-693F-452D-8579-65FED8DDECEC}"/>
    <hyperlink ref="A1176" r:id="rId2349" display="out/パワプロ2020 - 投球解析 - 2020-08-29 09-44-23-04_out.mp4" xr:uid="{19710A48-3EC3-489B-A9BB-64FD4A880666}"/>
    <hyperlink ref="B1176" r:id="rId2350" display="result/パワプロ2020 - 投球解析 - 2020-08-29 09-44-23-04_ball.txt" xr:uid="{05EA6C22-8FDA-4749-85A2-38A943DA52E4}"/>
    <hyperlink ref="A1177" r:id="rId2351" display="out/パワプロ2020 - 投球解析 - 2020-08-29 09-44-23-05_out.mp4" xr:uid="{53F70775-F537-455C-B10F-411182B4AF3F}"/>
    <hyperlink ref="B1177" r:id="rId2352" display="result/パワプロ2020 - 投球解析 - 2020-08-29 09-44-23-05_ball.txt" xr:uid="{F3D6D8A5-07F8-40DD-93DB-8083D833945D}"/>
    <hyperlink ref="A1178" r:id="rId2353" display="out/パワプロ2020 - 投球解析 - 2020-08-29 09-44-23-06_out.mp4" xr:uid="{2B8A19A6-CB9C-4717-9116-39F02B5AC5F5}"/>
    <hyperlink ref="B1178" r:id="rId2354" display="result/パワプロ2020 - 投球解析 - 2020-08-29 09-44-23-06_ball.txt" xr:uid="{32B6E705-5AE0-4A67-B745-493340AC6C9B}"/>
    <hyperlink ref="A1179" r:id="rId2355" display="out/パワプロ2020 - 投球解析 - 2020-08-29 09-44-23-07_out.mp4" xr:uid="{979165E4-5F9B-4961-AA37-32D59DAD08AE}"/>
    <hyperlink ref="B1179" r:id="rId2356" display="result/パワプロ2020 - 投球解析 - 2020-08-29 09-44-23-07_ball.txt" xr:uid="{4FED1D29-F4B2-4133-8A51-5D3266B0466E}"/>
    <hyperlink ref="A1180" r:id="rId2357" display="out/パワプロ2020 - 投球解析 - 2020-08-29 09-44-23-08_out.mp4" xr:uid="{0266312B-A6D7-4397-AB96-D69444C9A26B}"/>
    <hyperlink ref="B1180" r:id="rId2358" display="result/パワプロ2020 - 投球解析 - 2020-08-29 09-44-23-08_ball.txt" xr:uid="{5C2611CD-1EE8-4B4E-883D-8DAAB19A8922}"/>
    <hyperlink ref="A1181" r:id="rId2359" display="out/パワプロ2020 - 投球解析 - 2020-08-29 09-44-23-09_out.mp4" xr:uid="{34B324D8-AAD4-49F1-BBDB-545F37A183F0}"/>
    <hyperlink ref="B1181" r:id="rId2360" display="result/パワプロ2020 - 投球解析 - 2020-08-29 09-44-23-09_ball.txt" xr:uid="{66F819B5-116B-4F16-ADA4-FD2AF53630B0}"/>
    <hyperlink ref="A1182" r:id="rId2361" display="out/パワプロ2020 - 投球解析 - 2020-08-29 09-46-05-00_out.mp4" xr:uid="{88612268-A21B-4BAC-9B49-03F06A658463}"/>
    <hyperlink ref="B1182" r:id="rId2362" display="result/パワプロ2020 - 投球解析 - 2020-08-29 09-46-05-00_ball.txt" xr:uid="{777BFDD3-1443-4D2A-9CF9-2A4990C76CE2}"/>
    <hyperlink ref="A1183" r:id="rId2363" display="out/パワプロ2020 - 投球解析 - 2020-08-29 09-46-05-01_out.mp4" xr:uid="{DC76920D-1D23-46B4-90BE-41FC71B1E082}"/>
    <hyperlink ref="B1183" r:id="rId2364" display="result/パワプロ2020 - 投球解析 - 2020-08-29 09-46-05-01_ball.txt" xr:uid="{B561E6EF-CC83-4482-AE78-5B67F64D561C}"/>
    <hyperlink ref="A1184" r:id="rId2365" display="out/パワプロ2020 - 投球解析 - 2020-08-29 09-46-05-02_out.mp4" xr:uid="{6D3E29AB-84EC-4B4F-A0F0-E02F96D39853}"/>
    <hyperlink ref="B1184" r:id="rId2366" display="result/パワプロ2020 - 投球解析 - 2020-08-29 09-46-05-02_ball.txt" xr:uid="{734CFE40-7E78-436A-B57A-7F34499843C3}"/>
    <hyperlink ref="A1185" r:id="rId2367" display="out/パワプロ2020 - 投球解析 - 2020-08-29 09-46-05-03_out.mp4" xr:uid="{342C21BD-E5CE-4EFC-81D3-9D51C14324DD}"/>
    <hyperlink ref="B1185" r:id="rId2368" display="result/パワプロ2020 - 投球解析 - 2020-08-29 09-46-05-03_ball.txt" xr:uid="{06D1FF7B-A2D8-4041-8A78-11381834B008}"/>
    <hyperlink ref="A1186" r:id="rId2369" display="out/パワプロ2020 - 投球解析 - 2020-08-29 09-46-05-04_out.mp4" xr:uid="{ACC9323D-8DBF-4837-A85F-0634B88A5DC6}"/>
    <hyperlink ref="B1186" r:id="rId2370" display="result/パワプロ2020 - 投球解析 - 2020-08-29 09-46-05-04_ball.txt" xr:uid="{CAEA3C36-D443-4B86-958A-862BCBE6F0EB}"/>
    <hyperlink ref="A1187" r:id="rId2371" display="out/パワプロ2020 - 投球解析 - 2020-08-29 09-46-05-05_out.mp4" xr:uid="{6BC09DDB-8B21-4E75-82A8-DFB7153673B8}"/>
    <hyperlink ref="B1187" r:id="rId2372" display="result/パワプロ2020 - 投球解析 - 2020-08-29 09-46-05-05_ball.txt" xr:uid="{A4A01C19-8871-4F31-9D1F-53F29809B166}"/>
    <hyperlink ref="A1188" r:id="rId2373" display="out/パワプロ2020 - 投球解析 - 2020-08-29 09-46-05-06_out.mp4" xr:uid="{FB24CB91-7E95-44D1-9044-71CAB31987C3}"/>
    <hyperlink ref="B1188" r:id="rId2374" display="result/パワプロ2020 - 投球解析 - 2020-08-29 09-46-05-06_ball.txt" xr:uid="{CAB7C19F-724A-4FB6-8FCB-CEB956696153}"/>
    <hyperlink ref="A1189" r:id="rId2375" display="out/パワプロ2020 - 投球解析 - 2020-08-29 09-46-05-07_out.mp4" xr:uid="{DA55F2A9-3714-40AB-B53F-7670C38E9159}"/>
    <hyperlink ref="B1189" r:id="rId2376" display="result/パワプロ2020 - 投球解析 - 2020-08-29 09-46-05-07_ball.txt" xr:uid="{5D33BC44-4388-4484-AA7A-81089EAC4C30}"/>
    <hyperlink ref="A1190" r:id="rId2377" display="out/パワプロ2020 - 投球解析 - 2020-08-29 09-46-05-08_out.mp4" xr:uid="{8C258172-99B4-4407-9945-0D10714FFB72}"/>
    <hyperlink ref="B1190" r:id="rId2378" display="result/パワプロ2020 - 投球解析 - 2020-08-29 09-46-05-08_ball.txt" xr:uid="{B7E7FE95-9E23-4D70-A3F1-BFA7F168B2C3}"/>
    <hyperlink ref="A1191" r:id="rId2379" display="out/パワプロ2020 - 投球解析 - 2020-08-29 09-46-05-09_out.mp4" xr:uid="{EF16B255-DE33-4120-9154-C8D42E8E001B}"/>
    <hyperlink ref="B1191" r:id="rId2380" display="result/パワプロ2020 - 投球解析 - 2020-08-29 09-46-05-09_ball.txt" xr:uid="{0E2AEDDF-2DA6-428D-A54A-5848F0878BCD}"/>
    <hyperlink ref="A1192" r:id="rId2381" display="out/パワプロ2020 - 投球解析 - 2020-08-29 09-48-04-00_out.mp4" xr:uid="{392FBC36-F928-451F-80CB-F9B14C21F36F}"/>
    <hyperlink ref="B1192" r:id="rId2382" display="result/パワプロ2020 - 投球解析 - 2020-08-29 09-48-04-00_ball.txt" xr:uid="{6F7D1381-EF42-44FE-98C0-35FF663B98CE}"/>
    <hyperlink ref="A1193" r:id="rId2383" display="out/パワプロ2020 - 投球解析 - 2020-08-29 09-48-04-01_out.mp4" xr:uid="{4DADF819-DD83-47C1-BE8D-74D262981D77}"/>
    <hyperlink ref="B1193" r:id="rId2384" display="result/パワプロ2020 - 投球解析 - 2020-08-29 09-48-04-01_ball.txt" xr:uid="{A02CE19C-1F48-4D55-AFC0-7E6946CB3D25}"/>
    <hyperlink ref="A1194" r:id="rId2385" display="out/パワプロ2020 - 投球解析 - 2020-08-29 09-48-04-02_out.mp4" xr:uid="{1C7E12AF-95FD-4917-9979-42192B0FA0FD}"/>
    <hyperlink ref="B1194" r:id="rId2386" display="result/パワプロ2020 - 投球解析 - 2020-08-29 09-48-04-02_ball.txt" xr:uid="{3E1684AA-520E-4DB0-A0FC-290C18C1074A}"/>
    <hyperlink ref="A1195" r:id="rId2387" display="out/パワプロ2020 - 投球解析 - 2020-08-29 09-48-04-03_out.mp4" xr:uid="{89A9E327-1CE2-4769-B30F-6B047B8FA670}"/>
    <hyperlink ref="B1195" r:id="rId2388" display="result/パワプロ2020 - 投球解析 - 2020-08-29 09-48-04-03_ball.txt" xr:uid="{06B1E259-A685-4E79-A826-D5C390B647B3}"/>
    <hyperlink ref="A1196" r:id="rId2389" display="out/パワプロ2020 - 投球解析 - 2020-08-29 09-48-04-04_out.mp4" xr:uid="{64FEB2A3-1773-4DDE-BBDF-61C365E88C2F}"/>
    <hyperlink ref="B1196" r:id="rId2390" display="result/パワプロ2020 - 投球解析 - 2020-08-29 09-48-04-04_ball.txt" xr:uid="{CB46C9CC-0742-4886-82C8-6246A392ED07}"/>
    <hyperlink ref="A1197" r:id="rId2391" display="out/パワプロ2020 - 投球解析 - 2020-08-29 09-48-04-05_out.mp4" xr:uid="{866784DD-6C05-4EA0-8A08-5331558CCF16}"/>
    <hyperlink ref="B1197" r:id="rId2392" display="result/パワプロ2020 - 投球解析 - 2020-08-29 09-48-04-05_ball.txt" xr:uid="{7C22CF0B-5BB9-4318-B54D-E29B05A8B73E}"/>
    <hyperlink ref="A1198" r:id="rId2393" display="out/パワプロ2020 - 投球解析 - 2020-08-29 09-48-04-06_out.mp4" xr:uid="{310CAA04-0D73-442E-969F-F843FB0AEDD1}"/>
    <hyperlink ref="B1198" r:id="rId2394" display="result/パワプロ2020 - 投球解析 - 2020-08-29 09-48-04-06_ball.txt" xr:uid="{6A6BE0E9-1BC4-474A-A177-B9FB3DC64563}"/>
    <hyperlink ref="A1199" r:id="rId2395" display="out/パワプロ2020 - 投球解析 - 2020-08-29 09-48-04-07_out.mp4" xr:uid="{BE41A68E-ADCF-4E47-BE99-1E3180891A89}"/>
    <hyperlink ref="B1199" r:id="rId2396" display="result/パワプロ2020 - 投球解析 - 2020-08-29 09-48-04-07_ball.txt" xr:uid="{0E71E395-476B-41CB-8C4E-1E904423212D}"/>
    <hyperlink ref="A1200" r:id="rId2397" display="out/パワプロ2020 - 投球解析 - 2020-08-29 09-48-04-08_out.mp4" xr:uid="{52F63901-FE41-40DF-9A4D-B98EB526627E}"/>
    <hyperlink ref="B1200" r:id="rId2398" display="result/パワプロ2020 - 投球解析 - 2020-08-29 09-48-04-08_ball.txt" xr:uid="{47912885-6D29-459F-B2C3-C906FD75F86A}"/>
    <hyperlink ref="A1201" r:id="rId2399" display="out/パワプロ2020 - 投球解析 - 2020-08-29 09-48-04-09_out.mp4" xr:uid="{74C174BF-2DE6-4C90-84F7-63A2351E5E20}"/>
    <hyperlink ref="B1201" r:id="rId2400" display="result/パワプロ2020 - 投球解析 - 2020-08-29 09-48-04-09_ball.txt" xr:uid="{FA94D0A1-3DD6-4ED2-9B35-7EBAF3E319B8}"/>
    <hyperlink ref="A1202" r:id="rId2401" display="out/パワプロ2020 - 投球解析 - 2020-08-29 09-49-52-00_out.mp4" xr:uid="{AF058B2C-2128-4013-944A-B2796A35C6E2}"/>
    <hyperlink ref="B1202" r:id="rId2402" display="result/パワプロ2020 - 投球解析 - 2020-08-29 09-49-52-00_ball.txt" xr:uid="{E5C4CA34-81AA-4D8D-B1A0-44255DDCFB20}"/>
    <hyperlink ref="A1203" r:id="rId2403" display="out/パワプロ2020 - 投球解析 - 2020-08-29 09-49-52-01_out.mp4" xr:uid="{C0C5D0B5-82DC-4328-82A2-642E790CC808}"/>
    <hyperlink ref="B1203" r:id="rId2404" display="result/パワプロ2020 - 投球解析 - 2020-08-29 09-49-52-01_ball.txt" xr:uid="{C84A4594-83E4-495E-ADAD-72D8618BA1FF}"/>
    <hyperlink ref="A1204" r:id="rId2405" display="out/パワプロ2020 - 投球解析 - 2020-08-29 09-49-52-02_out.mp4" xr:uid="{853EFFFC-351B-4F7C-8809-D7390AD6B546}"/>
    <hyperlink ref="B1204" r:id="rId2406" display="result/パワプロ2020 - 投球解析 - 2020-08-29 09-49-52-02_ball.txt" xr:uid="{BF62A53B-C67C-4299-9E62-06B0AC0C37EE}"/>
    <hyperlink ref="A1205" r:id="rId2407" display="out/パワプロ2020 - 投球解析 - 2020-08-29 09-49-52-03_out.mp4" xr:uid="{C46A845E-C7A2-43B3-BEE8-D7C7133862A5}"/>
    <hyperlink ref="B1205" r:id="rId2408" display="result/パワプロ2020 - 投球解析 - 2020-08-29 09-49-52-03_ball.txt" xr:uid="{D3306953-7475-4C23-95BE-F1EFDB40BD4A}"/>
    <hyperlink ref="A1206" r:id="rId2409" display="out/パワプロ2020 - 投球解析 - 2020-08-29 09-49-52-04_out.mp4" xr:uid="{57FD1C8A-6EAF-4709-BC0A-63C120C1621E}"/>
    <hyperlink ref="B1206" r:id="rId2410" display="result/パワプロ2020 - 投球解析 - 2020-08-29 09-49-52-04_ball.txt" xr:uid="{0F888B0B-BA51-4A85-A0B1-FE8F941C61A5}"/>
    <hyperlink ref="A1207" r:id="rId2411" display="out/パワプロ2020 - 投球解析 - 2020-08-29 09-49-52-05_out.mp4" xr:uid="{116BCCC7-37CA-412F-B06D-AB4F7ED8DE05}"/>
    <hyperlink ref="B1207" r:id="rId2412" display="result/パワプロ2020 - 投球解析 - 2020-08-29 09-49-52-05_ball.txt" xr:uid="{1AF813F1-AF88-4088-9ABA-4D0F908A6C7C}"/>
    <hyperlink ref="A1208" r:id="rId2413" display="out/パワプロ2020 - 投球解析 - 2020-08-29 09-49-52-06_out.mp4" xr:uid="{BC3754F7-9EDA-4270-8409-6185881CC1FC}"/>
    <hyperlink ref="B1208" r:id="rId2414" display="result/パワプロ2020 - 投球解析 - 2020-08-29 09-49-52-06_ball.txt" xr:uid="{F85A35F6-73B2-46A3-B72A-2420959515F0}"/>
    <hyperlink ref="A1209" r:id="rId2415" display="out/パワプロ2020 - 投球解析 - 2020-08-29 09-49-52-07_out.mp4" xr:uid="{B2CD28C5-2505-4959-9CC7-E2BD11F45DA3}"/>
    <hyperlink ref="B1209" r:id="rId2416" display="result/パワプロ2020 - 投球解析 - 2020-08-29 09-49-52-07_ball.txt" xr:uid="{9FB68717-0B75-44B2-9018-9255A3A589B5}"/>
    <hyperlink ref="A1210" r:id="rId2417" display="out/パワプロ2020 - 投球解析 - 2020-08-29 09-49-52-08_out.mp4" xr:uid="{7DE6884A-3853-4FFC-9ABF-1498F8EED5E6}"/>
    <hyperlink ref="B1210" r:id="rId2418" display="result/パワプロ2020 - 投球解析 - 2020-08-29 09-49-52-08_ball.txt" xr:uid="{6DF567F2-F44D-46E1-A4CD-224B41CC1362}"/>
    <hyperlink ref="A1211" r:id="rId2419" display="out/パワプロ2020 - 投球解析 - 2020-08-29 09-49-52-09_out.mp4" xr:uid="{41B60DAB-ADAD-4C37-B24D-C168EFF0F072}"/>
    <hyperlink ref="B1211" r:id="rId2420" display="result/パワプロ2020 - 投球解析 - 2020-08-29 09-49-52-09_ball.txt" xr:uid="{7E21E077-988C-4DE7-81BE-0CE9EA1E32C1}"/>
    <hyperlink ref="A1212" r:id="rId2421" display="out/パワプロ2020 - 投球解析 - 2020-08-29 15-42-43-00_out.mp4" xr:uid="{72E5C338-E0B9-4A0C-8ABA-D7AF989CA97C}"/>
    <hyperlink ref="B1212" r:id="rId2422" display="result/パワプロ2020 - 投球解析 - 2020-08-29 15-42-43-00_ball.txt" xr:uid="{73EC3D6E-EDDC-45BC-A5F3-BE2AC589C337}"/>
    <hyperlink ref="A1213" r:id="rId2423" display="out/パワプロ2020 - 投球解析 - 2020-08-29 15-42-43-01_out.mp4" xr:uid="{80C22EF9-988B-4C46-9FEF-486D8219E5E4}"/>
    <hyperlink ref="B1213" r:id="rId2424" display="result/パワプロ2020 - 投球解析 - 2020-08-29 15-42-43-01_ball.txt" xr:uid="{C3C70E9E-8115-421E-9244-EC3D141BE6AE}"/>
    <hyperlink ref="A1214" r:id="rId2425" display="out/パワプロ2020 - 投球解析 - 2020-08-29 15-42-43-02_out.mp4" xr:uid="{462EB300-B91F-4C54-856A-A2B64B5C776B}"/>
    <hyperlink ref="B1214" r:id="rId2426" display="result/パワプロ2020 - 投球解析 - 2020-08-29 15-42-43-02_ball.txt" xr:uid="{4595DBE4-086F-44F0-B922-026A932BC2D1}"/>
    <hyperlink ref="A1215" r:id="rId2427" display="out/パワプロ2020 - 投球解析 - 2020-08-29 15-42-43-03_out.mp4" xr:uid="{F6798011-6F4D-459A-8D81-BC3152DD8747}"/>
    <hyperlink ref="B1215" r:id="rId2428" display="result/パワプロ2020 - 投球解析 - 2020-08-29 15-42-43-03_ball.txt" xr:uid="{A5833D36-050C-4686-BFE0-156B146A3B97}"/>
    <hyperlink ref="A1216" r:id="rId2429" display="out/パワプロ2020 - 投球解析 - 2020-08-29 15-42-43-04_out.mp4" xr:uid="{641D3278-DEEF-4F7A-98BA-4A08A44EF9B7}"/>
    <hyperlink ref="B1216" r:id="rId2430" display="result/パワプロ2020 - 投球解析 - 2020-08-29 15-42-43-04_ball.txt" xr:uid="{D212A8D9-7A74-4473-8795-FBA9C2A2C25F}"/>
    <hyperlink ref="A1217" r:id="rId2431" display="out/パワプロ2020 - 投球解析 - 2020-08-29 15-42-43-05_out.mp4" xr:uid="{7C39D257-6CD1-4005-A96A-ABC1859AC6EF}"/>
    <hyperlink ref="B1217" r:id="rId2432" display="result/パワプロ2020 - 投球解析 - 2020-08-29 15-42-43-05_ball.txt" xr:uid="{E49F7A82-45B9-4EA7-89AB-1F2D47CE3F76}"/>
    <hyperlink ref="A1218" r:id="rId2433" display="out/パワプロ2020 - 投球解析 - 2020-08-29 15-42-43-06_out.mp4" xr:uid="{87FB8B92-F718-4F83-B1F0-8EBD5BDF205D}"/>
    <hyperlink ref="B1218" r:id="rId2434" display="result/パワプロ2020 - 投球解析 - 2020-08-29 15-42-43-06_ball.txt" xr:uid="{6B042129-F129-46CF-BC8B-885114E01475}"/>
    <hyperlink ref="A1219" r:id="rId2435" display="out/パワプロ2020 - 投球解析 - 2020-08-29 15-42-43-07_out.mp4" xr:uid="{CE72AD82-5FD6-42F2-B73B-315CEF9F8C19}"/>
    <hyperlink ref="B1219" r:id="rId2436" display="result/パワプロ2020 - 投球解析 - 2020-08-29 15-42-43-07_ball.txt" xr:uid="{E7F69A70-385F-48B5-A904-735F82E141AF}"/>
    <hyperlink ref="A1220" r:id="rId2437" display="out/パワプロ2020 - 投球解析 - 2020-08-29 15-42-43-08_out.mp4" xr:uid="{5F243CEF-D37D-4D70-A465-F097D69BFB5A}"/>
    <hyperlink ref="B1220" r:id="rId2438" display="result/パワプロ2020 - 投球解析 - 2020-08-29 15-42-43-08_ball.txt" xr:uid="{E2C23065-F5D4-4910-8E52-29E1A556593A}"/>
    <hyperlink ref="A1221" r:id="rId2439" display="out/パワプロ2020 - 投球解析 - 2020-08-29 15-42-43-09_out.mp4" xr:uid="{674EC920-701A-4541-9348-B7E635C5A4BB}"/>
    <hyperlink ref="B1221" r:id="rId2440" display="result/パワプロ2020 - 投球解析 - 2020-08-29 15-42-43-09_ball.txt" xr:uid="{ED88FCCD-BC61-4899-A231-8ADFFC200CF5}"/>
    <hyperlink ref="A1222" r:id="rId2441" display="out/パワプロ2020 - 投球解析 - 2020-08-29 15-44-12-00_out.mp4" xr:uid="{A58FBF7F-2CBB-4794-A2DF-E186F9205DDF}"/>
    <hyperlink ref="B1222" r:id="rId2442" display="result/パワプロ2020 - 投球解析 - 2020-08-29 15-44-12-00_ball.txt" xr:uid="{CC3CE6E7-D96B-460E-AA7E-B1B06638537B}"/>
    <hyperlink ref="A1223" r:id="rId2443" display="out/パワプロ2020 - 投球解析 - 2020-08-29 15-44-12-01_out.mp4" xr:uid="{F40CC665-F762-41AD-BBB2-FA79346B7D4F}"/>
    <hyperlink ref="B1223" r:id="rId2444" display="result/パワプロ2020 - 投球解析 - 2020-08-29 15-44-12-01_ball.txt" xr:uid="{4D052A35-C43B-445B-B965-513F1701F278}"/>
    <hyperlink ref="A1224" r:id="rId2445" display="out/パワプロ2020 - 投球解析 - 2020-08-29 15-44-12-02_out.mp4" xr:uid="{8E0FD09D-E5F4-43E3-8A93-3185C975969B}"/>
    <hyperlink ref="B1224" r:id="rId2446" display="result/パワプロ2020 - 投球解析 - 2020-08-29 15-44-12-02_ball.txt" xr:uid="{CDA722E0-08AD-4D16-BA3F-F5B939300F3E}"/>
    <hyperlink ref="A1225" r:id="rId2447" display="out/パワプロ2020 - 投球解析 - 2020-08-29 15-44-12-03_out.mp4" xr:uid="{8C261DD6-58AE-4527-B42F-630F085075C6}"/>
    <hyperlink ref="B1225" r:id="rId2448" display="result/パワプロ2020 - 投球解析 - 2020-08-29 15-44-12-03_ball.txt" xr:uid="{5C913CCB-AB4A-4996-AE7C-6A76F1B03927}"/>
    <hyperlink ref="A1226" r:id="rId2449" display="out/パワプロ2020 - 投球解析 - 2020-08-29 15-44-12-04_out.mp4" xr:uid="{61C5188E-B87D-4C9D-BB91-32815DDE8C96}"/>
    <hyperlink ref="B1226" r:id="rId2450" display="result/パワプロ2020 - 投球解析 - 2020-08-29 15-44-12-04_ball.txt" xr:uid="{E81EA276-FD7C-45AD-A8A6-697AAF22993B}"/>
    <hyperlink ref="A1227" r:id="rId2451" display="out/パワプロ2020 - 投球解析 - 2020-08-29 15-44-12-05_out.mp4" xr:uid="{C715388B-C981-4AC8-A9B5-4E84ADB521AC}"/>
    <hyperlink ref="B1227" r:id="rId2452" display="result/パワプロ2020 - 投球解析 - 2020-08-29 15-44-12-05_ball.txt" xr:uid="{BB4F26A6-DA63-4143-A298-75002735E19D}"/>
    <hyperlink ref="A1228" r:id="rId2453" display="out/パワプロ2020 - 投球解析 - 2020-08-29 15-44-12-06_out.mp4" xr:uid="{16F44AF1-4234-4F59-9B0F-EA8E26F58FE4}"/>
    <hyperlink ref="B1228" r:id="rId2454" display="result/パワプロ2020 - 投球解析 - 2020-08-29 15-44-12-06_ball.txt" xr:uid="{748FE3B3-3470-400D-8644-3CD408B8510C}"/>
    <hyperlink ref="A1229" r:id="rId2455" display="out/パワプロ2020 - 投球解析 - 2020-08-29 15-44-12-07_out.mp4" xr:uid="{62E2847B-89D5-441B-843F-272A7A92603C}"/>
    <hyperlink ref="B1229" r:id="rId2456" display="result/パワプロ2020 - 投球解析 - 2020-08-29 15-44-12-07_ball.txt" xr:uid="{6C134AE3-4ADA-48DF-BE27-7422F1655EF8}"/>
    <hyperlink ref="A1230" r:id="rId2457" display="out/パワプロ2020 - 投球解析 - 2020-08-29 15-44-12-08_out.mp4" xr:uid="{B8BC77B5-DE74-4AE8-A8C9-1D543D0B8F8C}"/>
    <hyperlink ref="B1230" r:id="rId2458" display="result/パワプロ2020 - 投球解析 - 2020-08-29 15-44-12-08_ball.txt" xr:uid="{DC11EA35-2B80-4DB2-995A-528E3D4C7643}"/>
    <hyperlink ref="A1231" r:id="rId2459" display="out/パワプロ2020 - 投球解析 - 2020-08-29 15-44-12-09_out.mp4" xr:uid="{880CF8D6-74AF-42CD-A088-C6A0665AC70C}"/>
    <hyperlink ref="B1231" r:id="rId2460" display="result/パワプロ2020 - 投球解析 - 2020-08-29 15-44-12-09_ball.txt" xr:uid="{DCAF5CDB-9AD9-40E0-8AE7-6C095CA1BD28}"/>
    <hyperlink ref="A1232" r:id="rId2461" display="out/パワプロ2020 - 投球解析 - 2020-08-29 15-44-12-10_out.mp4" xr:uid="{E9444F4E-C678-471B-856C-AD0F3CAAC879}"/>
    <hyperlink ref="B1232" r:id="rId2462" display="result/パワプロ2020 - 投球解析 - 2020-08-29 15-44-12-10_ball.txt" xr:uid="{36C9748A-5431-47DB-9856-21CDE7F6FB30}"/>
    <hyperlink ref="A1233" r:id="rId2463" display="out/パワプロ2020 - 投球解析 - 2020-08-29 15-45-22-00_out.mp4" xr:uid="{081CC60E-86A5-4546-802A-715C4351B127}"/>
    <hyperlink ref="B1233" r:id="rId2464" display="result/パワプロ2020 - 投球解析 - 2020-08-29 15-45-22-00_ball.txt" xr:uid="{FAF0659D-D0AA-41E7-8E02-8DA775934BFD}"/>
    <hyperlink ref="A1234" r:id="rId2465" display="out/パワプロ2020 - 投球解析 - 2020-08-29 15-45-22-01_out.mp4" xr:uid="{479F8461-2BD2-4168-A475-192BE6758D07}"/>
    <hyperlink ref="B1234" r:id="rId2466" display="result/パワプロ2020 - 投球解析 - 2020-08-29 15-45-22-01_ball.txt" xr:uid="{7B19C53E-DCED-4351-B853-16AE61C3EA1F}"/>
    <hyperlink ref="A1235" r:id="rId2467" display="out/パワプロ2020 - 投球解析 - 2020-08-29 15-45-22-02_out.mp4" xr:uid="{0F430984-53FB-46F6-B41B-AAEBC0DD007F}"/>
    <hyperlink ref="B1235" r:id="rId2468" display="result/パワプロ2020 - 投球解析 - 2020-08-29 15-45-22-02_ball.txt" xr:uid="{6231E42A-A279-44DB-9E88-48426FEFFF7C}"/>
    <hyperlink ref="A1236" r:id="rId2469" display="out/パワプロ2020 - 投球解析 - 2020-08-29 15-45-22-03_out.mp4" xr:uid="{11E72B09-5C9F-457A-AEBC-668FB2830FED}"/>
    <hyperlink ref="B1236" r:id="rId2470" display="result/パワプロ2020 - 投球解析 - 2020-08-29 15-45-22-03_ball.txt" xr:uid="{141B5A19-8533-4356-A105-76AB2467D2A6}"/>
    <hyperlink ref="A1237" r:id="rId2471" display="out/パワプロ2020 - 投球解析 - 2020-08-29 15-45-22-04_out.mp4" xr:uid="{F556FD41-AB53-4250-9AE4-2292A8C3F623}"/>
    <hyperlink ref="B1237" r:id="rId2472" display="result/パワプロ2020 - 投球解析 - 2020-08-29 15-45-22-04_ball.txt" xr:uid="{D6F47390-3371-49EA-9551-AC67F48489A4}"/>
    <hyperlink ref="A1238" r:id="rId2473" display="out/パワプロ2020 - 投球解析 - 2020-08-29 15-45-22-05_out.mp4" xr:uid="{C3ECB3DB-FF99-43B0-86FB-122264F82908}"/>
    <hyperlink ref="B1238" r:id="rId2474" display="result/パワプロ2020 - 投球解析 - 2020-08-29 15-45-22-05_ball.txt" xr:uid="{CB41352B-3193-4183-96B6-5A51360212BE}"/>
    <hyperlink ref="A1239" r:id="rId2475" display="out/パワプロ2020 - 投球解析 - 2020-08-29 15-45-22-06_out.mp4" xr:uid="{22F387F7-5EB6-46F0-AB3F-194CD4F516A0}"/>
    <hyperlink ref="B1239" r:id="rId2476" display="result/パワプロ2020 - 投球解析 - 2020-08-29 15-45-22-06_ball.txt" xr:uid="{907AD62B-8978-4DA8-82AC-484AAAED9D6E}"/>
    <hyperlink ref="A1240" r:id="rId2477" display="out/パワプロ2020 - 投球解析 - 2020-08-29 15-45-22-07_out.mp4" xr:uid="{ECDA77E4-243D-4276-8602-5A12191CF48E}"/>
    <hyperlink ref="B1240" r:id="rId2478" display="result/パワプロ2020 - 投球解析 - 2020-08-29 15-45-22-07_ball.txt" xr:uid="{C7A7A52C-A815-4C6F-8876-76A47C1D0C3E}"/>
    <hyperlink ref="A1241" r:id="rId2479" display="out/パワプロ2020 - 投球解析 - 2020-08-29 15-45-22-08_out.mp4" xr:uid="{0D9F3067-E022-4BE5-BE47-470CD2CAC1EC}"/>
    <hyperlink ref="B1241" r:id="rId2480" display="result/パワプロ2020 - 投球解析 - 2020-08-29 15-45-22-08_ball.txt" xr:uid="{37D3371A-83C5-47B2-9D97-4EBD5F9535A1}"/>
    <hyperlink ref="A1242" r:id="rId2481" display="out/パワプロ2020 - 投球解析 - 2020-08-29 15-45-22-09_out.mp4" xr:uid="{52BFBF23-EE64-4CB3-A6C4-5F728B036443}"/>
    <hyperlink ref="B1242" r:id="rId2482" display="result/パワプロ2020 - 投球解析 - 2020-08-29 15-45-22-09_ball.txt" xr:uid="{C95802B3-D3CF-42F7-9990-3FCC014CC729}"/>
    <hyperlink ref="A1243" r:id="rId2483" display="out/パワプロ2020 - 投球解析 - 2020-08-29 15-46-34-00_out.mp4" xr:uid="{220242C2-FAC4-4F92-A021-C87F966D9229}"/>
    <hyperlink ref="B1243" r:id="rId2484" display="result/パワプロ2020 - 投球解析 - 2020-08-29 15-46-34-00_ball.txt" xr:uid="{DFB80B35-F6A6-44E1-A7FA-4C554706211D}"/>
    <hyperlink ref="A1244" r:id="rId2485" display="out/パワプロ2020 - 投球解析 - 2020-08-29 15-46-34-01_out.mp4" xr:uid="{F9A93896-816D-44B8-9533-B1C838CC8971}"/>
    <hyperlink ref="B1244" r:id="rId2486" display="result/パワプロ2020 - 投球解析 - 2020-08-29 15-46-34-01_ball.txt" xr:uid="{A9BE9B9B-15EF-4E86-8040-4D0320FCB2DC}"/>
    <hyperlink ref="A1245" r:id="rId2487" display="out/パワプロ2020 - 投球解析 - 2020-08-29 15-46-34-02_out.mp4" xr:uid="{387F5164-53AA-44B7-B4F6-3640E7BDE609}"/>
    <hyperlink ref="B1245" r:id="rId2488" display="result/パワプロ2020 - 投球解析 - 2020-08-29 15-46-34-02_ball.txt" xr:uid="{738EA680-B341-4EF4-BC19-EB1540FFFB42}"/>
    <hyperlink ref="A1246" r:id="rId2489" display="out/パワプロ2020 - 投球解析 - 2020-08-29 15-46-34-03_out.mp4" xr:uid="{6CAF51EF-027B-4902-8139-4D34B13E1C2C}"/>
    <hyperlink ref="B1246" r:id="rId2490" display="result/パワプロ2020 - 投球解析 - 2020-08-29 15-46-34-03_ball.txt" xr:uid="{248D3F93-A32C-453B-945A-0210B3A3CCC9}"/>
    <hyperlink ref="A1247" r:id="rId2491" display="out/パワプロ2020 - 投球解析 - 2020-08-29 15-46-34-04_out.mp4" xr:uid="{59F30061-44F6-4AD4-846E-A61A938310C4}"/>
    <hyperlink ref="B1247" r:id="rId2492" display="result/パワプロ2020 - 投球解析 - 2020-08-29 15-46-34-04_ball.txt" xr:uid="{99817E02-273B-4B52-9218-B4FF4FC06372}"/>
    <hyperlink ref="A1248" r:id="rId2493" display="out/パワプロ2020 - 投球解析 - 2020-08-29 15-46-34-05_out.mp4" xr:uid="{30B31C96-E5CA-4140-AFAA-1AE24D0640A7}"/>
    <hyperlink ref="B1248" r:id="rId2494" display="result/パワプロ2020 - 投球解析 - 2020-08-29 15-46-34-05_ball.txt" xr:uid="{4F7D1B38-CC48-4F1B-9802-D85FC61F9404}"/>
    <hyperlink ref="A1249" r:id="rId2495" display="out/パワプロ2020 - 投球解析 - 2020-08-29 15-46-34-06_out.mp4" xr:uid="{261422AB-0762-4767-832B-B242643BA74C}"/>
    <hyperlink ref="B1249" r:id="rId2496" display="result/パワプロ2020 - 投球解析 - 2020-08-29 15-46-34-06_ball.txt" xr:uid="{9D25E1CC-3C76-499E-9CBD-5A44AF1570BD}"/>
    <hyperlink ref="A1250" r:id="rId2497" display="out/パワプロ2020 - 投球解析 - 2020-08-29 15-46-34-07_out.mp4" xr:uid="{BA77CFEE-157A-480D-91C4-C520938C7688}"/>
    <hyperlink ref="B1250" r:id="rId2498" display="result/パワプロ2020 - 投球解析 - 2020-08-29 15-46-34-07_ball.txt" xr:uid="{01CFBA8D-F9C5-4BC1-8642-A6A2DD172BE0}"/>
    <hyperlink ref="A1251" r:id="rId2499" display="out/パワプロ2020 - 投球解析 - 2020-08-29 15-46-34-08_out.mp4" xr:uid="{8CB47D0C-E4B1-496C-8D51-FA394F79172F}"/>
    <hyperlink ref="B1251" r:id="rId2500" display="result/パワプロ2020 - 投球解析 - 2020-08-29 15-46-34-08_ball.txt" xr:uid="{79C6FC11-7330-4849-B3C2-C467AC72D750}"/>
    <hyperlink ref="A1252" r:id="rId2501" display="out/パワプロ2020 - 投球解析 - 2020-08-29 15-46-34-09_out.mp4" xr:uid="{86AE9BC1-BF5A-44FE-93DD-7B28450A24BE}"/>
    <hyperlink ref="B1252" r:id="rId2502" display="result/パワプロ2020 - 投球解析 - 2020-08-29 15-46-34-09_ball.txt" xr:uid="{DBA47440-0E85-4092-82BA-4D5342977E28}"/>
    <hyperlink ref="A1253" r:id="rId2503" display="out/パワプロ2020 - 投球解析 - 2020-08-29 15-48-09-00_out.mp4" xr:uid="{3BF098AC-57B8-4678-A53B-517795F8F457}"/>
    <hyperlink ref="B1253" r:id="rId2504" display="result/パワプロ2020 - 投球解析 - 2020-08-29 15-48-09-00_ball.txt" xr:uid="{67D22DF8-48AE-47FB-A248-39BD46AD5B64}"/>
    <hyperlink ref="A1254" r:id="rId2505" display="out/パワプロ2020 - 投球解析 - 2020-08-29 15-48-09-01_out.mp4" xr:uid="{27CBE141-D022-4EA3-BC3F-A1E4BBD5A976}"/>
    <hyperlink ref="B1254" r:id="rId2506" display="result/パワプロ2020 - 投球解析 - 2020-08-29 15-48-09-01_ball.txt" xr:uid="{1F3E9F5E-2FA5-4CD8-BC05-ABCBF15CB889}"/>
    <hyperlink ref="A1255" r:id="rId2507" display="out/パワプロ2020 - 投球解析 - 2020-08-29 15-48-09-02_out.mp4" xr:uid="{714CAD79-E73C-428A-82ED-A11B20928808}"/>
    <hyperlink ref="B1255" r:id="rId2508" display="result/パワプロ2020 - 投球解析 - 2020-08-29 15-48-09-02_ball.txt" xr:uid="{721330A9-46C7-4739-9E91-290F8D6D8683}"/>
    <hyperlink ref="A1256" r:id="rId2509" display="out/パワプロ2020 - 投球解析 - 2020-08-29 15-48-09-03_out.mp4" xr:uid="{D5E23632-9129-4943-A522-6B4464840086}"/>
    <hyperlink ref="B1256" r:id="rId2510" display="result/パワプロ2020 - 投球解析 - 2020-08-29 15-48-09-03_ball.txt" xr:uid="{C4DCAB4D-7D6E-408E-AF3C-C22714BD0107}"/>
    <hyperlink ref="A1257" r:id="rId2511" display="out/パワプロ2020 - 投球解析 - 2020-08-29 15-48-09-04_out.mp4" xr:uid="{196D56C4-F1A5-48AE-88EB-253F72D377C6}"/>
    <hyperlink ref="B1257" r:id="rId2512" display="result/パワプロ2020 - 投球解析 - 2020-08-29 15-48-09-04_ball.txt" xr:uid="{46C1904A-FEFD-4F36-9593-FBE34FF81AD2}"/>
    <hyperlink ref="A1258" r:id="rId2513" display="out/パワプロ2020 - 投球解析 - 2020-08-29 15-48-09-05_out.mp4" xr:uid="{168E6F2E-E10F-4454-9A2F-B6F7237FA21B}"/>
    <hyperlink ref="B1258" r:id="rId2514" display="result/パワプロ2020 - 投球解析 - 2020-08-29 15-48-09-05_ball.txt" xr:uid="{C7A4A942-6D5E-48B7-8B2D-B7B2153C45E2}"/>
    <hyperlink ref="A1259" r:id="rId2515" display="out/パワプロ2020 - 投球解析 - 2020-08-29 15-48-09-06_out.mp4" xr:uid="{05CD7737-910D-4B28-A9EA-BFE626556E84}"/>
    <hyperlink ref="B1259" r:id="rId2516" display="result/パワプロ2020 - 投球解析 - 2020-08-29 15-48-09-06_ball.txt" xr:uid="{D307271D-CB1B-4045-95F9-DF7C555E6B12}"/>
    <hyperlink ref="A1260" r:id="rId2517" display="out/パワプロ2020 - 投球解析 - 2020-08-29 15-48-09-07_out.mp4" xr:uid="{8B87C89C-0B82-4481-B713-7B63A9777774}"/>
    <hyperlink ref="B1260" r:id="rId2518" display="result/パワプロ2020 - 投球解析 - 2020-08-29 15-48-09-07_ball.txt" xr:uid="{179D2106-9B59-48EF-8F10-30288DC6F607}"/>
    <hyperlink ref="A1261" r:id="rId2519" display="out/パワプロ2020 - 投球解析 - 2020-08-29 15-48-09-08_out.mp4" xr:uid="{EDD949DB-A83A-43AC-A26E-E20E80ACE6FD}"/>
    <hyperlink ref="B1261" r:id="rId2520" display="result/パワプロ2020 - 投球解析 - 2020-08-29 15-48-09-08_ball.txt" xr:uid="{4D18E357-44EB-4B35-8779-71581731E329}"/>
    <hyperlink ref="A1262" r:id="rId2521" display="out/パワプロ2020 - 投球解析 - 2020-08-29 15-48-09-09_out.mp4" xr:uid="{843C1056-CE40-4753-AC91-1B8E2E3986A4}"/>
    <hyperlink ref="B1262" r:id="rId2522" display="result/パワプロ2020 - 投球解析 - 2020-08-29 15-48-09-09_ball.txt" xr:uid="{45086680-D4BF-472F-AED2-A5CAED1220BA}"/>
    <hyperlink ref="A1263" r:id="rId2523" display="out/パワプロ2020 - 投球解析 - 2020-08-29 15-49-13-00_out.mp4" xr:uid="{ECF497EE-E63F-4E37-85B2-6748CC7D351C}"/>
    <hyperlink ref="B1263" r:id="rId2524" display="result/パワプロ2020 - 投球解析 - 2020-08-29 15-49-13-00_ball.txt" xr:uid="{CB47998A-70AD-41D4-9D12-FAF0E3C5FF93}"/>
    <hyperlink ref="A1264" r:id="rId2525" display="out/パワプロ2020 - 投球解析 - 2020-08-29 15-49-13-01_out.mp4" xr:uid="{13D7CAE7-4DF8-446E-908B-1E0B5CC68CE8}"/>
    <hyperlink ref="B1264" r:id="rId2526" display="result/パワプロ2020 - 投球解析 - 2020-08-29 15-49-13-01_ball.txt" xr:uid="{8CC91FA6-A8CB-40B0-B4B8-9BEB30282CB1}"/>
    <hyperlink ref="A1265" r:id="rId2527" display="out/パワプロ2020 - 投球解析 - 2020-08-29 15-49-13-02_out.mp4" xr:uid="{8936D95C-1FEC-482D-B307-8C84FFE378FA}"/>
    <hyperlink ref="B1265" r:id="rId2528" display="result/パワプロ2020 - 投球解析 - 2020-08-29 15-49-13-02_ball.txt" xr:uid="{12C9FBC1-475C-413C-81E4-4ED5C2945FCB}"/>
    <hyperlink ref="A1266" r:id="rId2529" display="out/パワプロ2020 - 投球解析 - 2020-08-29 15-49-13-03_out.mp4" xr:uid="{A5A37062-F530-4A97-9FBF-D679A431EB2E}"/>
    <hyperlink ref="B1266" r:id="rId2530" display="result/パワプロ2020 - 投球解析 - 2020-08-29 15-49-13-03_ball.txt" xr:uid="{440DF0EF-EF7B-4FAE-B30B-F3B84C9B6D77}"/>
    <hyperlink ref="A1267" r:id="rId2531" display="out/パワプロ2020 - 投球解析 - 2020-08-29 15-49-13-04_out.mp4" xr:uid="{8BDA7C23-4C75-4E8A-8767-8D36E1C9AC76}"/>
    <hyperlink ref="B1267" r:id="rId2532" display="result/パワプロ2020 - 投球解析 - 2020-08-29 15-49-13-04_ball.txt" xr:uid="{748355E2-7922-4935-8230-515C74731BEA}"/>
    <hyperlink ref="A1268" r:id="rId2533" display="out/パワプロ2020 - 投球解析 - 2020-08-29 15-49-13-05_out.mp4" xr:uid="{4FE37B60-90A1-4F9B-83FE-17C8BBA65D0E}"/>
    <hyperlink ref="B1268" r:id="rId2534" display="result/パワプロ2020 - 投球解析 - 2020-08-29 15-49-13-05_ball.txt" xr:uid="{2F1AA1BC-B068-4EF6-9073-5535F80C5D1F}"/>
    <hyperlink ref="A1269" r:id="rId2535" display="out/パワプロ2020 - 投球解析 - 2020-08-29 15-49-13-06_out.mp4" xr:uid="{25859EE3-4894-4A38-83F6-C280C8BC114B}"/>
    <hyperlink ref="B1269" r:id="rId2536" display="result/パワプロ2020 - 投球解析 - 2020-08-29 15-49-13-06_ball.txt" xr:uid="{B9BCC20C-19D4-4B05-AEEA-DE7547442928}"/>
    <hyperlink ref="A1270" r:id="rId2537" display="out/パワプロ2020 - 投球解析 - 2020-08-29 15-49-13-07_out.mp4" xr:uid="{EA787F94-E7E8-4995-A477-C3A18659432D}"/>
    <hyperlink ref="B1270" r:id="rId2538" display="result/パワプロ2020 - 投球解析 - 2020-08-29 15-49-13-07_ball.txt" xr:uid="{81CF2F1D-0C6D-4C13-976B-74D8641FCA45}"/>
    <hyperlink ref="A1271" r:id="rId2539" display="out/パワプロ2020 - 投球解析 - 2020-08-29 15-49-13-08_out.mp4" xr:uid="{222C9F1D-7D6D-481C-B6A4-7653085152DB}"/>
    <hyperlink ref="B1271" r:id="rId2540" display="result/パワプロ2020 - 投球解析 - 2020-08-29 15-49-13-08_ball.txt" xr:uid="{3C17B284-CCA2-47A1-8C03-1FE24CB0AB00}"/>
    <hyperlink ref="A1272" r:id="rId2541" display="out/パワプロ2020 - 投球解析 - 2020-08-29 15-49-13-09_out.mp4" xr:uid="{D59CB38F-2CB1-4AFB-AEE8-3CF681E368A9}"/>
    <hyperlink ref="B1272" r:id="rId2542" display="result/パワプロ2020 - 投球解析 - 2020-08-29 15-49-13-09_ball.txt" xr:uid="{312D16AE-C0B0-4F24-9178-79C803421806}"/>
    <hyperlink ref="A1273" r:id="rId2543" display="out/パワプロ2020 - 投球解析 - 2020-08-29 15-50-19-00_out.mp4" xr:uid="{F1FFB591-E50F-4F06-A38A-2A1801A673A3}"/>
    <hyperlink ref="B1273" r:id="rId2544" display="result/パワプロ2020 - 投球解析 - 2020-08-29 15-50-19-00_ball.txt" xr:uid="{690E86D9-C3B9-4835-AC76-E231B90F62B3}"/>
    <hyperlink ref="A1274" r:id="rId2545" display="out/パワプロ2020 - 投球解析 - 2020-08-29 15-50-19-01_out.mp4" xr:uid="{F719D9DC-8DF1-4795-AB5B-487A5C99B402}"/>
    <hyperlink ref="B1274" r:id="rId2546" display="result/パワプロ2020 - 投球解析 - 2020-08-29 15-50-19-01_ball.txt" xr:uid="{8522F26E-A093-44FF-9AAD-CF1BBB834023}"/>
    <hyperlink ref="A1275" r:id="rId2547" display="out/パワプロ2020 - 投球解析 - 2020-08-29 15-50-19-02_out.mp4" xr:uid="{7B20BE37-F271-4687-8035-586093C56B25}"/>
    <hyperlink ref="B1275" r:id="rId2548" display="result/パワプロ2020 - 投球解析 - 2020-08-29 15-50-19-02_ball.txt" xr:uid="{6DC2B1CA-0779-48C0-A96D-443B02F46681}"/>
    <hyperlink ref="A1276" r:id="rId2549" display="out/パワプロ2020 - 投球解析 - 2020-08-29 15-50-19-03_out.mp4" xr:uid="{DA9146C8-98FA-44F4-B100-FB17AA7CBAA3}"/>
    <hyperlink ref="B1276" r:id="rId2550" display="result/パワプロ2020 - 投球解析 - 2020-08-29 15-50-19-03_ball.txt" xr:uid="{5167BAFB-CC92-4504-ADAF-F313D21D3BEE}"/>
    <hyperlink ref="A1277" r:id="rId2551" display="out/パワプロ2020 - 投球解析 - 2020-08-29 15-50-19-04_out.mp4" xr:uid="{9A090004-2739-4C26-956C-B18B35C2BA84}"/>
    <hyperlink ref="B1277" r:id="rId2552" display="result/パワプロ2020 - 投球解析 - 2020-08-29 15-50-19-04_ball.txt" xr:uid="{9D4CDB32-AD49-4019-A0EB-DCBD8A3BB3B4}"/>
    <hyperlink ref="A1278" r:id="rId2553" display="out/パワプロ2020 - 投球解析 - 2020-08-29 15-50-19-05_out.mp4" xr:uid="{74B7B30B-776E-485E-8CA7-5A4E600ADA5A}"/>
    <hyperlink ref="B1278" r:id="rId2554" display="result/パワプロ2020 - 投球解析 - 2020-08-29 15-50-19-05_ball.txt" xr:uid="{3DD68BC9-1FC0-4990-8677-C3842B25C8A3}"/>
    <hyperlink ref="A1279" r:id="rId2555" display="out/パワプロ2020 - 投球解析 - 2020-08-29 15-50-19-06_out.mp4" xr:uid="{B9BCF005-D0B5-4F7D-A147-AC56CE6371BF}"/>
    <hyperlink ref="B1279" r:id="rId2556" display="result/パワプロ2020 - 投球解析 - 2020-08-29 15-50-19-06_ball.txt" xr:uid="{2198B647-BD3B-46E4-B64A-F8F196242C16}"/>
    <hyperlink ref="A1280" r:id="rId2557" display="out/パワプロ2020 - 投球解析 - 2020-08-29 15-50-19-07_out.mp4" xr:uid="{6EE04FC3-2E53-4C47-9FC7-8383134DE193}"/>
    <hyperlink ref="B1280" r:id="rId2558" display="result/パワプロ2020 - 投球解析 - 2020-08-29 15-50-19-07_ball.txt" xr:uid="{A8B6C2FE-9A08-46D7-8021-B4AB63B8BC0F}"/>
    <hyperlink ref="A1281" r:id="rId2559" display="out/パワプロ2020 - 投球解析 - 2020-08-29 15-50-19-08_out.mp4" xr:uid="{B8328B5F-F030-4FC3-AECE-C0B4E0A588B3}"/>
    <hyperlink ref="B1281" r:id="rId2560" display="result/パワプロ2020 - 投球解析 - 2020-08-29 15-50-19-08_ball.txt" xr:uid="{6BFC55CC-98EE-458C-AC47-C1A7FEBEFA14}"/>
    <hyperlink ref="A1282" r:id="rId2561" display="out/パワプロ2020 - 投球解析 - 2020-08-29 15-50-19-09_out.mp4" xr:uid="{1C7D8705-AD28-409E-89D9-F9EDB9973451}"/>
    <hyperlink ref="B1282" r:id="rId2562" display="result/パワプロ2020 - 投球解析 - 2020-08-29 15-50-19-09_ball.txt" xr:uid="{54501D0F-A91C-4741-9DC2-D11079C97797}"/>
    <hyperlink ref="A1283" r:id="rId2563" display="out/パワプロ2020 - 投球解析 - 2020-08-29 15-51-26-00_out.mp4" xr:uid="{8E01D849-78C3-4CB9-AE40-82568D5EC685}"/>
    <hyperlink ref="B1283" r:id="rId2564" display="result/パワプロ2020 - 投球解析 - 2020-08-29 15-51-26-00_ball.txt" xr:uid="{872CA9CE-D76B-4B6C-8778-3124DB8FA271}"/>
    <hyperlink ref="A1284" r:id="rId2565" display="out/パワプロ2020 - 投球解析 - 2020-08-29 15-51-26-01_out.mp4" xr:uid="{2E5F2037-8F78-46E8-A9B2-5ECDA5916669}"/>
    <hyperlink ref="B1284" r:id="rId2566" display="result/パワプロ2020 - 投球解析 - 2020-08-29 15-51-26-01_ball.txt" xr:uid="{BD78950F-374B-40B2-BE90-6C9DB0802F69}"/>
    <hyperlink ref="A1285" r:id="rId2567" display="out/パワプロ2020 - 投球解析 - 2020-08-29 15-51-26-02_out.mp4" xr:uid="{00F3F36B-FF79-41A5-963E-9560F422A5AB}"/>
    <hyperlink ref="B1285" r:id="rId2568" display="result/パワプロ2020 - 投球解析 - 2020-08-29 15-51-26-02_ball.txt" xr:uid="{B22F0221-9443-4252-AACF-647825A444A8}"/>
    <hyperlink ref="A1286" r:id="rId2569" display="out/パワプロ2020 - 投球解析 - 2020-08-29 15-51-26-03_out.mp4" xr:uid="{4F57927D-86A0-4886-A161-9BB8AB0445FC}"/>
    <hyperlink ref="B1286" r:id="rId2570" display="result/パワプロ2020 - 投球解析 - 2020-08-29 15-51-26-03_ball.txt" xr:uid="{154DF0B9-C1AD-4681-BA7E-703C6E6F816C}"/>
    <hyperlink ref="A1287" r:id="rId2571" display="out/パワプロ2020 - 投球解析 - 2020-08-29 15-51-26-04_out.mp4" xr:uid="{B0263EE2-B8B4-4CE2-9013-299C3376FDA7}"/>
    <hyperlink ref="B1287" r:id="rId2572" display="result/パワプロ2020 - 投球解析 - 2020-08-29 15-51-26-04_ball.txt" xr:uid="{A9F540EE-C45C-4CB9-8457-C080B4CAD68F}"/>
    <hyperlink ref="A1288" r:id="rId2573" display="out/パワプロ2020 - 投球解析 - 2020-08-29 15-51-26-05_out.mp4" xr:uid="{CF710430-296A-4DCE-8DD0-86490B7D0AEA}"/>
    <hyperlink ref="B1288" r:id="rId2574" display="result/パワプロ2020 - 投球解析 - 2020-08-29 15-51-26-05_ball.txt" xr:uid="{94BA059E-E06E-4795-B069-C55C8F4D4AC3}"/>
    <hyperlink ref="A1289" r:id="rId2575" display="out/パワプロ2020 - 投球解析 - 2020-08-29 15-51-26-06_out.mp4" xr:uid="{BE624B43-1434-4BED-9180-3EDD8CC9D2D2}"/>
    <hyperlink ref="B1289" r:id="rId2576" display="result/パワプロ2020 - 投球解析 - 2020-08-29 15-51-26-06_ball.txt" xr:uid="{EC4BFD1E-C59E-4197-8539-829F6FB496F4}"/>
    <hyperlink ref="A1290" r:id="rId2577" display="out/パワプロ2020 - 投球解析 - 2020-08-29 15-51-26-07_out.mp4" xr:uid="{0C9018E6-84BA-489F-AD68-AE9A7818918F}"/>
    <hyperlink ref="B1290" r:id="rId2578" display="result/パワプロ2020 - 投球解析 - 2020-08-29 15-51-26-07_ball.txt" xr:uid="{9D96CAA8-7FCF-405A-BAE6-F63A6BD6A07D}"/>
    <hyperlink ref="A1291" r:id="rId2579" display="out/パワプロ2020 - 投球解析 - 2020-08-29 15-51-26-08_out.mp4" xr:uid="{4788B576-9ED5-450C-9929-93D04536D9A3}"/>
    <hyperlink ref="B1291" r:id="rId2580" display="result/パワプロ2020 - 投球解析 - 2020-08-29 15-51-26-08_ball.txt" xr:uid="{CCFCDF94-B5C7-48F9-B02D-3F0506B35FD7}"/>
    <hyperlink ref="A1292" r:id="rId2581" display="out/パワプロ2020 - 投球解析 - 2020-08-29 15-51-26-09_out.mp4" xr:uid="{060DC722-3A8D-4493-9A01-A6B006DD8746}"/>
    <hyperlink ref="B1292" r:id="rId2582" display="result/パワプロ2020 - 投球解析 - 2020-08-29 15-51-26-09_ball.txt" xr:uid="{1A18BE89-F977-4E82-98D4-8CED2BC0D121}"/>
    <hyperlink ref="A1293" r:id="rId2583" display="out/パワプロ2020 - 投球解析 - 2020-08-29 15-52-32-00_out.mp4" xr:uid="{A9F2A165-4D52-4D92-A367-007BED110079}"/>
    <hyperlink ref="B1293" r:id="rId2584" display="result/パワプロ2020 - 投球解析 - 2020-08-29 15-52-32-00_ball.txt" xr:uid="{16A1503A-07A0-4741-B54C-DDC2E1624372}"/>
    <hyperlink ref="A1294" r:id="rId2585" display="out/パワプロ2020 - 投球解析 - 2020-08-29 15-52-32-01_out.mp4" xr:uid="{88B6214C-3168-42A9-A054-7A4DF9BEC0D6}"/>
    <hyperlink ref="B1294" r:id="rId2586" display="result/パワプロ2020 - 投球解析 - 2020-08-29 15-52-32-01_ball.txt" xr:uid="{5FF98209-31BE-4CB6-A4D5-8911A9BD7769}"/>
    <hyperlink ref="A1295" r:id="rId2587" display="out/パワプロ2020 - 投球解析 - 2020-08-29 15-52-32-02_out.mp4" xr:uid="{AA0B6E62-31EB-412E-BB35-45B376E141C8}"/>
    <hyperlink ref="B1295" r:id="rId2588" display="result/パワプロ2020 - 投球解析 - 2020-08-29 15-52-32-02_ball.txt" xr:uid="{18ECECD0-62CA-417C-BAB5-D063221D6BC1}"/>
    <hyperlink ref="A1296" r:id="rId2589" display="out/パワプロ2020 - 投球解析 - 2020-08-29 15-52-32-03_out.mp4" xr:uid="{53CCB24D-D96A-419C-9D62-B3DAC4E3564E}"/>
    <hyperlink ref="B1296" r:id="rId2590" display="result/パワプロ2020 - 投球解析 - 2020-08-29 15-52-32-03_ball.txt" xr:uid="{56594E99-813F-404C-8FCD-BBABE6CD6B0C}"/>
    <hyperlink ref="A1297" r:id="rId2591" display="out/パワプロ2020 - 投球解析 - 2020-08-29 15-52-32-04_out.mp4" xr:uid="{56E46A42-6D85-473D-8D42-A86906B52109}"/>
    <hyperlink ref="B1297" r:id="rId2592" display="result/パワプロ2020 - 投球解析 - 2020-08-29 15-52-32-04_ball.txt" xr:uid="{4270EC66-3CFC-4E63-953F-59D4551676B5}"/>
    <hyperlink ref="A1298" r:id="rId2593" display="out/パワプロ2020 - 投球解析 - 2020-08-29 15-52-32-05_out.mp4" xr:uid="{8234DA64-29D8-4544-AD99-F53FA4E06DC4}"/>
    <hyperlink ref="B1298" r:id="rId2594" display="result/パワプロ2020 - 投球解析 - 2020-08-29 15-52-32-05_ball.txt" xr:uid="{9BBFE436-64EA-4AD9-BE90-D839EC8627E1}"/>
    <hyperlink ref="A1299" r:id="rId2595" display="out/パワプロ2020 - 投球解析 - 2020-08-29 15-52-32-06_out.mp4" xr:uid="{75D6E770-2BD0-4305-B0D1-082112E6EE64}"/>
    <hyperlink ref="B1299" r:id="rId2596" display="result/パワプロ2020 - 投球解析 - 2020-08-29 15-52-32-06_ball.txt" xr:uid="{6B32438C-2B23-4E99-BC2B-150595AAAC8E}"/>
    <hyperlink ref="A1300" r:id="rId2597" display="out/パワプロ2020 - 投球解析 - 2020-08-29 15-52-32-07_out.mp4" xr:uid="{2945E47F-BD49-4172-80C3-FF73B08D0E81}"/>
    <hyperlink ref="B1300" r:id="rId2598" display="result/パワプロ2020 - 投球解析 - 2020-08-29 15-52-32-07_ball.txt" xr:uid="{4E4DDFD3-05FE-45F7-A2DD-A1BD4965CEBC}"/>
    <hyperlink ref="A1301" r:id="rId2599" display="out/パワプロ2020 - 投球解析 - 2020-08-29 15-52-32-08_out.mp4" xr:uid="{28E3B6AA-0D96-45EC-B349-99898A65533C}"/>
    <hyperlink ref="B1301" r:id="rId2600" display="result/パワプロ2020 - 投球解析 - 2020-08-29 15-52-32-08_ball.txt" xr:uid="{B15C28B8-E63A-433B-A949-BE2D73F25488}"/>
    <hyperlink ref="A1302" r:id="rId2601" display="out/パワプロ2020 - 投球解析 - 2020-08-29 15-52-32-09_out.mp4" xr:uid="{43392B6F-F101-42B1-B882-214F97002EF5}"/>
    <hyperlink ref="B1302" r:id="rId2602" display="result/パワプロ2020 - 投球解析 - 2020-08-29 15-52-32-09_ball.txt" xr:uid="{F8339980-C2DA-4F67-8F7E-7D287CB3A392}"/>
    <hyperlink ref="A1303" r:id="rId2603" display="out/パワプロ2020 - 投球解析 - 2020-08-29 15-53-40-00_out.mp4" xr:uid="{353B4160-232E-4DC2-B022-366A56D46D22}"/>
    <hyperlink ref="B1303" r:id="rId2604" display="result/パワプロ2020 - 投球解析 - 2020-08-29 15-53-40-00_ball.txt" xr:uid="{9A573E28-1B22-4882-BDE8-3219217FFFEF}"/>
    <hyperlink ref="A1304" r:id="rId2605" display="out/パワプロ2020 - 投球解析 - 2020-08-29 15-53-40-01_out.mp4" xr:uid="{7D3AA7C5-D300-491C-A4CC-C16889428063}"/>
    <hyperlink ref="B1304" r:id="rId2606" display="result/パワプロ2020 - 投球解析 - 2020-08-29 15-53-40-01_ball.txt" xr:uid="{CEFA0587-F6C2-4745-8987-A62DE51468CA}"/>
    <hyperlink ref="A1305" r:id="rId2607" display="out/パワプロ2020 - 投球解析 - 2020-08-29 15-53-40-02_out.mp4" xr:uid="{29898971-EC62-4CCC-8F5E-D1050F95D652}"/>
    <hyperlink ref="B1305" r:id="rId2608" display="result/パワプロ2020 - 投球解析 - 2020-08-29 15-53-40-02_ball.txt" xr:uid="{21290336-8BAA-44F8-8E97-ABFF6BE11FA5}"/>
    <hyperlink ref="A1306" r:id="rId2609" display="out/パワプロ2020 - 投球解析 - 2020-08-29 15-53-40-03_out.mp4" xr:uid="{898A7503-4F33-4CE6-936F-29BEABCC1DF2}"/>
    <hyperlink ref="B1306" r:id="rId2610" display="result/パワプロ2020 - 投球解析 - 2020-08-29 15-53-40-03_ball.txt" xr:uid="{3E27EE09-644E-4908-8FA7-4634F83796CA}"/>
    <hyperlink ref="A1307" r:id="rId2611" display="out/パワプロ2020 - 投球解析 - 2020-08-29 15-53-40-04_out.mp4" xr:uid="{E5CA5E4B-CD92-4CE5-B703-9034C0A36CF1}"/>
    <hyperlink ref="B1307" r:id="rId2612" display="result/パワプロ2020 - 投球解析 - 2020-08-29 15-53-40-04_ball.txt" xr:uid="{87019DEE-72B9-4457-9DA0-EC87EBA4B0F2}"/>
    <hyperlink ref="A1308" r:id="rId2613" display="out/パワプロ2020 - 投球解析 - 2020-08-29 15-53-40-05_out.mp4" xr:uid="{80229882-FA74-4217-8712-879305F8C752}"/>
    <hyperlink ref="B1308" r:id="rId2614" display="result/パワプロ2020 - 投球解析 - 2020-08-29 15-53-40-05_ball.txt" xr:uid="{E3444D23-C472-4215-9782-CB17C1A4B362}"/>
    <hyperlink ref="A1309" r:id="rId2615" display="out/パワプロ2020 - 投球解析 - 2020-08-29 15-53-40-06_out.mp4" xr:uid="{94FFCB13-0832-4BCD-A5FC-3C568EFF2FFF}"/>
    <hyperlink ref="B1309" r:id="rId2616" display="result/パワプロ2020 - 投球解析 - 2020-08-29 15-53-40-06_ball.txt" xr:uid="{AD444AAF-363F-48FA-B2D5-BE11288326CD}"/>
    <hyperlink ref="A1310" r:id="rId2617" display="out/パワプロ2020 - 投球解析 - 2020-08-29 15-53-40-07_out.mp4" xr:uid="{05BDD9B7-929D-4996-B75B-B7BC8B316AD0}"/>
    <hyperlink ref="B1310" r:id="rId2618" display="result/パワプロ2020 - 投球解析 - 2020-08-29 15-53-40-07_ball.txt" xr:uid="{7A6536D5-0230-406D-A953-E8D5CB6D0DE2}"/>
    <hyperlink ref="A1311" r:id="rId2619" display="out/パワプロ2020 - 投球解析 - 2020-08-29 15-53-40-08_out.mp4" xr:uid="{8426D348-E3B6-4A2B-A586-326A345B8215}"/>
    <hyperlink ref="B1311" r:id="rId2620" display="result/パワプロ2020 - 投球解析 - 2020-08-29 15-53-40-08_ball.txt" xr:uid="{7EEF34EE-22B4-470A-8127-35B8E4A17BDD}"/>
    <hyperlink ref="A1312" r:id="rId2621" display="out/パワプロ2020 - 投球解析 - 2020-08-29 15-53-40-09_out.mp4" xr:uid="{3A5B457C-DA7A-4B07-86FA-FC594C162445}"/>
    <hyperlink ref="B1312" r:id="rId2622" display="result/パワプロ2020 - 投球解析 - 2020-08-29 15-53-40-09_ball.txt" xr:uid="{5D72CF74-4787-4A95-A815-CA4DC1B79291}"/>
    <hyperlink ref="A1313" r:id="rId2623" display="out/パワプロ2020 - 投球解析 - 2020-08-29 15-55-24-00_out.mp4" xr:uid="{0F18AE65-5ACA-4E42-AFB6-4C0065C5764E}"/>
    <hyperlink ref="B1313" r:id="rId2624" display="result/パワプロ2020 - 投球解析 - 2020-08-29 15-55-24-00_ball.txt" xr:uid="{33AA5FB7-1C56-4D9E-B0B8-CD31BA1EB81D}"/>
    <hyperlink ref="A1314" r:id="rId2625" display="out/パワプロ2020 - 投球解析 - 2020-08-29 15-55-24-01_out.mp4" xr:uid="{50755FE1-B85A-4DC3-8DC4-DDB36C0384CC}"/>
    <hyperlink ref="B1314" r:id="rId2626" display="result/パワプロ2020 - 投球解析 - 2020-08-29 15-55-24-01_ball.txt" xr:uid="{78DDE563-D8B0-4F51-AEEF-38FB2AE05C81}"/>
    <hyperlink ref="A1315" r:id="rId2627" display="out/パワプロ2020 - 投球解析 - 2020-08-29 15-55-24-02_out.mp4" xr:uid="{134305AB-2C09-4D3A-AC81-9B44B8F12335}"/>
    <hyperlink ref="B1315" r:id="rId2628" display="result/パワプロ2020 - 投球解析 - 2020-08-29 15-55-24-02_ball.txt" xr:uid="{3CF29F30-44F3-4B26-99C2-254E136D5DD2}"/>
    <hyperlink ref="A1316" r:id="rId2629" display="out/パワプロ2020 - 投球解析 - 2020-08-29 15-55-24-03_out.mp4" xr:uid="{ED996610-67C5-4185-B37B-49E1CAE53A72}"/>
    <hyperlink ref="B1316" r:id="rId2630" display="result/パワプロ2020 - 投球解析 - 2020-08-29 15-55-24-03_ball.txt" xr:uid="{5D415D40-0853-49D0-8A91-A8E979C3C1AB}"/>
    <hyperlink ref="A1317" r:id="rId2631" display="out/パワプロ2020 - 投球解析 - 2020-08-29 15-55-24-04_out.mp4" xr:uid="{62919DBD-1138-4C6E-AEF3-FAFCF74B6BF8}"/>
    <hyperlink ref="B1317" r:id="rId2632" display="result/パワプロ2020 - 投球解析 - 2020-08-29 15-55-24-04_ball.txt" xr:uid="{4BCFCEF1-3FFA-4323-8D6C-00E85616CC0E}"/>
    <hyperlink ref="A1318" r:id="rId2633" display="out/パワプロ2020 - 投球解析 - 2020-08-29 15-55-24-05_out.mp4" xr:uid="{86130FAC-1E01-461D-988B-7E887C648AF1}"/>
    <hyperlink ref="B1318" r:id="rId2634" display="result/パワプロ2020 - 投球解析 - 2020-08-29 15-55-24-05_ball.txt" xr:uid="{3FCD60F7-C391-4A33-B2F9-E9E521258E8C}"/>
    <hyperlink ref="A1319" r:id="rId2635" display="out/パワプロ2020 - 投球解析 - 2020-08-29 15-55-24-06_out.mp4" xr:uid="{076912FA-49BA-4D9A-93C7-5C05F1BA1FE9}"/>
    <hyperlink ref="B1319" r:id="rId2636" display="result/パワプロ2020 - 投球解析 - 2020-08-29 15-55-24-06_ball.txt" xr:uid="{6BF95674-6787-41B3-8634-80DCF26B302B}"/>
    <hyperlink ref="A1320" r:id="rId2637" display="out/パワプロ2020 - 投球解析 - 2020-08-29 15-55-24-07_out.mp4" xr:uid="{ED15F0F0-C16D-4F93-9DB7-EC4F106ED69F}"/>
    <hyperlink ref="B1320" r:id="rId2638" display="result/パワプロ2020 - 投球解析 - 2020-08-29 15-55-24-07_ball.txt" xr:uid="{138B0954-6A59-4EF8-AC56-5C01C6905522}"/>
    <hyperlink ref="A1321" r:id="rId2639" display="out/パワプロ2020 - 投球解析 - 2020-08-29 15-55-24-08_out.mp4" xr:uid="{7337EE2A-A025-4AD1-92BF-AFE027634F57}"/>
    <hyperlink ref="B1321" r:id="rId2640" display="result/パワプロ2020 - 投球解析 - 2020-08-29 15-55-24-08_ball.txt" xr:uid="{BA0EB794-6863-4276-AECF-3DB9FA8F2036}"/>
    <hyperlink ref="A1322" r:id="rId2641" display="out/パワプロ2020 - 投球解析 - 2020-08-29 15-55-24-09_out.mp4" xr:uid="{9B37BC81-7114-4C98-B575-6E87BFA80FDE}"/>
    <hyperlink ref="B1322" r:id="rId2642" display="result/パワプロ2020 - 投球解析 - 2020-08-29 15-55-24-09_ball.txt" xr:uid="{2AD04A9E-0340-49B1-B9DD-B513865F1A55}"/>
    <hyperlink ref="A1323" r:id="rId2643" display="out/パワプロ2020 - 投球解析 - 2020-08-29 15-56-35-00_out.mp4" xr:uid="{F9823618-A109-45C5-A7FD-114E763F7CEE}"/>
    <hyperlink ref="B1323" r:id="rId2644" display="result/パワプロ2020 - 投球解析 - 2020-08-29 15-56-35-00_ball.txt" xr:uid="{C0CEEB05-5453-4CA1-A2BB-24D9D0772C83}"/>
    <hyperlink ref="A1324" r:id="rId2645" display="out/パワプロ2020 - 投球解析 - 2020-08-29 15-56-35-01_out.mp4" xr:uid="{1034132C-F9ED-4268-A4DA-9A5FA4A745D4}"/>
    <hyperlink ref="B1324" r:id="rId2646" display="result/パワプロ2020 - 投球解析 - 2020-08-29 15-56-35-01_ball.txt" xr:uid="{C7905A05-ECF3-4F99-AD75-00ED00F53AFD}"/>
    <hyperlink ref="A1325" r:id="rId2647" display="out/パワプロ2020 - 投球解析 - 2020-08-29 15-56-35-02_out.mp4" xr:uid="{67F430D3-4A74-423B-87E8-62292E36BFEB}"/>
    <hyperlink ref="B1325" r:id="rId2648" display="result/パワプロ2020 - 投球解析 - 2020-08-29 15-56-35-02_ball.txt" xr:uid="{72EA617B-AE7B-480A-A636-30F4CD31BB6A}"/>
    <hyperlink ref="A1326" r:id="rId2649" display="out/パワプロ2020 - 投球解析 - 2020-08-29 15-56-35-03_out.mp4" xr:uid="{10456772-68C6-4785-A8B0-90885F9EBC79}"/>
    <hyperlink ref="B1326" r:id="rId2650" display="result/パワプロ2020 - 投球解析 - 2020-08-29 15-56-35-03_ball.txt" xr:uid="{1C71698D-DF25-442F-8EAB-B60D14E1C15A}"/>
    <hyperlink ref="A1327" r:id="rId2651" display="out/パワプロ2020 - 投球解析 - 2020-08-29 15-56-35-04_out.mp4" xr:uid="{F36862C7-7C1F-4A99-AAB3-2C321018330D}"/>
    <hyperlink ref="B1327" r:id="rId2652" display="result/パワプロ2020 - 投球解析 - 2020-08-29 15-56-35-04_ball.txt" xr:uid="{FA5BD4BC-1A01-483D-B0CE-CBE1FE107BBE}"/>
    <hyperlink ref="A1328" r:id="rId2653" display="out/パワプロ2020 - 投球解析 - 2020-08-29 15-56-35-05_out.mp4" xr:uid="{8801FC66-03BB-46D8-8D57-6F7446BC00AF}"/>
    <hyperlink ref="B1328" r:id="rId2654" display="result/パワプロ2020 - 投球解析 - 2020-08-29 15-56-35-05_ball.txt" xr:uid="{50114236-3710-4E14-8376-9B6882FA227E}"/>
    <hyperlink ref="A1329" r:id="rId2655" display="out/パワプロ2020 - 投球解析 - 2020-08-29 15-56-35-06_out.mp4" xr:uid="{C4681F77-481E-4600-A503-09A2968AA221}"/>
    <hyperlink ref="B1329" r:id="rId2656" display="result/パワプロ2020 - 投球解析 - 2020-08-29 15-56-35-06_ball.txt" xr:uid="{DC7E915C-1367-42A0-B6B0-C27A9485A677}"/>
    <hyperlink ref="A1330" r:id="rId2657" display="out/パワプロ2020 - 投球解析 - 2020-08-29 15-56-35-07_out.mp4" xr:uid="{2FDF2F35-13DC-46AF-9E6E-A3E28FCA377D}"/>
    <hyperlink ref="B1330" r:id="rId2658" display="result/パワプロ2020 - 投球解析 - 2020-08-29 15-56-35-07_ball.txt" xr:uid="{88A25497-6D03-4009-8D8B-EB4DAEC85856}"/>
    <hyperlink ref="A1331" r:id="rId2659" display="out/パワプロ2020 - 投球解析 - 2020-08-29 15-56-35-08_out.mp4" xr:uid="{56F1E451-7EC4-4605-B234-CE1C132CDD44}"/>
    <hyperlink ref="B1331" r:id="rId2660" display="result/パワプロ2020 - 投球解析 - 2020-08-29 15-56-35-08_ball.txt" xr:uid="{FBF5B17E-08FE-452A-B5F7-648FD3FA9CCC}"/>
    <hyperlink ref="A1332" r:id="rId2661" display="out/パワプロ2020 - 投球解析 - 2020-08-29 15-56-35-09_out.mp4" xr:uid="{631A525C-E3CF-433D-B3CC-2D7E86AA7CF0}"/>
    <hyperlink ref="B1332" r:id="rId2662" display="result/パワプロ2020 - 投球解析 - 2020-08-29 15-56-35-09_ball.txt" xr:uid="{FD033776-8E45-409F-8406-D99DBB82D5F3}"/>
    <hyperlink ref="A1333" r:id="rId2663" display="out/パワプロ2020 - 投球解析 - 2020-08-29 15-57-36-00_out.mp4" xr:uid="{46995A8A-6E88-4996-AA19-58508A2BA9EF}"/>
    <hyperlink ref="B1333" r:id="rId2664" display="result/パワプロ2020 - 投球解析 - 2020-08-29 15-57-36-00_ball.txt" xr:uid="{361D4156-61A7-48CE-97E9-7A66A1A52157}"/>
    <hyperlink ref="A1334" r:id="rId2665" display="out/パワプロ2020 - 投球解析 - 2020-08-29 15-57-36-01_out.mp4" xr:uid="{ED14E0E4-02A4-4053-AA62-AC72040ECBCE}"/>
    <hyperlink ref="B1334" r:id="rId2666" display="result/パワプロ2020 - 投球解析 - 2020-08-29 15-57-36-01_ball.txt" xr:uid="{AD8927F2-05E1-4C05-BD22-788E4A7B2F13}"/>
    <hyperlink ref="A1335" r:id="rId2667" display="out/パワプロ2020 - 投球解析 - 2020-08-29 15-57-36-02_out.mp4" xr:uid="{B61B18FC-CC9F-444F-8516-1F18AAC2EA38}"/>
    <hyperlink ref="B1335" r:id="rId2668" display="result/パワプロ2020 - 投球解析 - 2020-08-29 15-57-36-02_ball.txt" xr:uid="{5A1C98A4-2097-4A8D-813C-9E97B471D7D0}"/>
    <hyperlink ref="A1336" r:id="rId2669" display="out/パワプロ2020 - 投球解析 - 2020-08-29 15-57-36-03_out.mp4" xr:uid="{700C1A8F-3411-435B-8959-057F1A769B10}"/>
    <hyperlink ref="B1336" r:id="rId2670" display="result/パワプロ2020 - 投球解析 - 2020-08-29 15-57-36-03_ball.txt" xr:uid="{94FEF39F-F9E7-4189-AEA7-E85F4AAC1AA8}"/>
    <hyperlink ref="A1337" r:id="rId2671" display="out/パワプロ2020 - 投球解析 - 2020-08-29 15-57-36-04_out.mp4" xr:uid="{A597030B-7077-4716-BF11-0058FEBEBF1A}"/>
    <hyperlink ref="B1337" r:id="rId2672" display="result/パワプロ2020 - 投球解析 - 2020-08-29 15-57-36-04_ball.txt" xr:uid="{46A968F8-677D-43E1-B3CD-3C88FCDA19A2}"/>
    <hyperlink ref="A1338" r:id="rId2673" display="out/パワプロ2020 - 投球解析 - 2020-08-29 15-57-36-05_out.mp4" xr:uid="{D6CB44B5-FF1E-4938-8D63-DFCC7AFD625D}"/>
    <hyperlink ref="B1338" r:id="rId2674" display="result/パワプロ2020 - 投球解析 - 2020-08-29 15-57-36-05_ball.txt" xr:uid="{A9CFEEE8-562A-4F17-BD15-4FEF6A83EF1A}"/>
    <hyperlink ref="A1339" r:id="rId2675" display="out/パワプロ2020 - 投球解析 - 2020-08-29 15-57-36-06_out.mp4" xr:uid="{7EDB9E10-C79D-451B-9D03-A4EF9D97DF22}"/>
    <hyperlink ref="B1339" r:id="rId2676" display="result/パワプロ2020 - 投球解析 - 2020-08-29 15-57-36-06_ball.txt" xr:uid="{13CADF08-5F7A-4D02-A10C-E1A36276EE9A}"/>
    <hyperlink ref="A1340" r:id="rId2677" display="out/パワプロ2020 - 投球解析 - 2020-08-29 15-57-36-07_out.mp4" xr:uid="{42430251-BE96-4D52-8374-75848EED86B3}"/>
    <hyperlink ref="B1340" r:id="rId2678" display="result/パワプロ2020 - 投球解析 - 2020-08-29 15-57-36-07_ball.txt" xr:uid="{8F6D028F-3699-418C-8D79-9FC0FD211EC9}"/>
    <hyperlink ref="A1341" r:id="rId2679" display="out/パワプロ2020 - 投球解析 - 2020-08-29 15-57-36-08_out.mp4" xr:uid="{4616047F-EBEA-4926-BDAB-24710FF3482F}"/>
    <hyperlink ref="B1341" r:id="rId2680" display="result/パワプロ2020 - 投球解析 - 2020-08-29 15-57-36-08_ball.txt" xr:uid="{3CC8D69C-036E-41D4-9C38-36173A1A73CD}"/>
    <hyperlink ref="A1342" r:id="rId2681" display="out/パワプロ2020 - 投球解析 - 2020-08-29 15-57-36-09_out.mp4" xr:uid="{147DCEB9-02E0-4214-B904-D995751A7CCA}"/>
    <hyperlink ref="B1342" r:id="rId2682" display="result/パワプロ2020 - 投球解析 - 2020-08-29 15-57-36-09_ball.txt" xr:uid="{AD152CB8-536F-44B4-98BF-C5504A44F1B7}"/>
    <hyperlink ref="A1343" r:id="rId2683" display="out/パワプロ2020 - 投球解析 - 2020-08-29 15-58-43-00_out.mp4" xr:uid="{4264CFD3-9092-427C-A1DA-8F05D1ADFCF1}"/>
    <hyperlink ref="B1343" r:id="rId2684" display="result/パワプロ2020 - 投球解析 - 2020-08-29 15-58-43-00_ball.txt" xr:uid="{80E093E6-3EA5-4072-ABF6-1F9C4DFC0BFE}"/>
    <hyperlink ref="A1344" r:id="rId2685" display="out/パワプロ2020 - 投球解析 - 2020-08-29 15-58-43-01_out.mp4" xr:uid="{62200646-C960-450C-85DC-B0F26E86848F}"/>
    <hyperlink ref="B1344" r:id="rId2686" display="result/パワプロ2020 - 投球解析 - 2020-08-29 15-58-43-01_ball.txt" xr:uid="{C812820D-E766-4D36-87D7-F3BD63E9DC92}"/>
    <hyperlink ref="A1345" r:id="rId2687" display="out/パワプロ2020 - 投球解析 - 2020-08-29 15-58-43-02_out.mp4" xr:uid="{4EC7026F-55B0-42F8-AF11-032E7C4D5C60}"/>
    <hyperlink ref="B1345" r:id="rId2688" display="result/パワプロ2020 - 投球解析 - 2020-08-29 15-58-43-02_ball.txt" xr:uid="{5F453FF0-2481-4C44-8206-88F34601111D}"/>
    <hyperlink ref="A1346" r:id="rId2689" display="out/パワプロ2020 - 投球解析 - 2020-08-29 15-58-43-03_out.mp4" xr:uid="{311DC93F-A094-4030-B029-29F793A96133}"/>
    <hyperlink ref="B1346" r:id="rId2690" display="result/パワプロ2020 - 投球解析 - 2020-08-29 15-58-43-03_ball.txt" xr:uid="{1635646F-AF9C-45B1-9DEC-0C2C0334865E}"/>
    <hyperlink ref="A1347" r:id="rId2691" display="out/パワプロ2020 - 投球解析 - 2020-08-29 15-58-43-04_out.mp4" xr:uid="{56BFEFB2-03ED-4825-8B9A-936EBCC8F882}"/>
    <hyperlink ref="B1347" r:id="rId2692" display="result/パワプロ2020 - 投球解析 - 2020-08-29 15-58-43-04_ball.txt" xr:uid="{BEC212A1-A1B6-4DDD-B307-7D5FA4FACE49}"/>
    <hyperlink ref="A1348" r:id="rId2693" display="out/パワプロ2020 - 投球解析 - 2020-08-29 15-58-43-05_out.mp4" xr:uid="{467B752E-65C7-49DD-B5B4-0BF4E90D467D}"/>
    <hyperlink ref="B1348" r:id="rId2694" display="result/パワプロ2020 - 投球解析 - 2020-08-29 15-58-43-05_ball.txt" xr:uid="{CBF49F57-1333-4A88-BC7B-0D04F27521E9}"/>
    <hyperlink ref="A1349" r:id="rId2695" display="out/パワプロ2020 - 投球解析 - 2020-08-29 15-58-43-06_out.mp4" xr:uid="{B70243FB-CEB3-447C-925B-22E3FE916A90}"/>
    <hyperlink ref="B1349" r:id="rId2696" display="result/パワプロ2020 - 投球解析 - 2020-08-29 15-58-43-06_ball.txt" xr:uid="{824D7B43-D075-44D5-9A55-AC5A5E5F402F}"/>
    <hyperlink ref="A1350" r:id="rId2697" display="out/パワプロ2020 - 投球解析 - 2020-08-29 15-58-43-07_out.mp4" xr:uid="{C8F00BAF-F6C1-44F2-9E8E-4CC8427C8A85}"/>
    <hyperlink ref="B1350" r:id="rId2698" display="result/パワプロ2020 - 投球解析 - 2020-08-29 15-58-43-07_ball.txt" xr:uid="{6A251F88-8A3A-441B-B900-A227F074F64B}"/>
    <hyperlink ref="A1351" r:id="rId2699" display="out/パワプロ2020 - 投球解析 - 2020-08-29 15-58-43-08_out.mp4" xr:uid="{5718E6BF-D225-499C-A4B8-1BBE04A8C5C5}"/>
    <hyperlink ref="B1351" r:id="rId2700" display="result/パワプロ2020 - 投球解析 - 2020-08-29 15-58-43-08_ball.txt" xr:uid="{C2B4B8C3-DD42-480D-80D6-11360A10DA81}"/>
    <hyperlink ref="A1352" r:id="rId2701" display="out/パワプロ2020 - 投球解析 - 2020-08-29 15-58-43-09_out.mp4" xr:uid="{37A4AB0D-A27D-4EE4-AFAF-D2906F6EBBC1}"/>
    <hyperlink ref="B1352" r:id="rId2702" display="result/パワプロ2020 - 投球解析 - 2020-08-29 15-58-43-09_ball.txt" xr:uid="{02B66EB7-0F29-4494-B579-AD809C6AE273}"/>
    <hyperlink ref="A1353" r:id="rId2703" display="out/パワプロ2020 - 投球解析 - 2020-08-29 16-00-15-00_out.mp4" xr:uid="{2B03FABE-EDAE-4DE9-BC76-36399AB38C64}"/>
    <hyperlink ref="B1353" r:id="rId2704" display="result/パワプロ2020 - 投球解析 - 2020-08-29 16-00-15-00_ball.txt" xr:uid="{11516CAD-60FB-4CD1-9D9D-833B94A56F5F}"/>
    <hyperlink ref="A1354" r:id="rId2705" display="out/パワプロ2020 - 投球解析 - 2020-08-29 16-00-15-01_out.mp4" xr:uid="{BAA55D93-064B-4CD3-AD7E-02216D6DB15D}"/>
    <hyperlink ref="B1354" r:id="rId2706" display="result/パワプロ2020 - 投球解析 - 2020-08-29 16-00-15-01_ball.txt" xr:uid="{948F5948-1E00-4A7C-9EAB-4359F48FB5C9}"/>
    <hyperlink ref="A1355" r:id="rId2707" display="out/パワプロ2020 - 投球解析 - 2020-08-29 16-00-15-02_out.mp4" xr:uid="{CBB51D87-7546-4487-B2F0-B31C1C09DEE7}"/>
    <hyperlink ref="B1355" r:id="rId2708" display="result/パワプロ2020 - 投球解析 - 2020-08-29 16-00-15-02_ball.txt" xr:uid="{390E6C32-7B2B-4A3B-B8A7-5059F35C7064}"/>
    <hyperlink ref="A1356" r:id="rId2709" display="out/パワプロ2020 - 投球解析 - 2020-08-29 16-00-15-03_out.mp4" xr:uid="{4BF03213-055C-4EB8-B4E9-795A5B4DDF57}"/>
    <hyperlink ref="B1356" r:id="rId2710" display="result/パワプロ2020 - 投球解析 - 2020-08-29 16-00-15-03_ball.txt" xr:uid="{306C26D4-ED68-4DFC-82D0-0AF6EB026EB4}"/>
    <hyperlink ref="A1357" r:id="rId2711" display="out/パワプロ2020 - 投球解析 - 2020-08-29 16-00-15-04_out.mp4" xr:uid="{C362DCD4-3217-480E-8BE5-339A3435B3E0}"/>
    <hyperlink ref="B1357" r:id="rId2712" display="result/パワプロ2020 - 投球解析 - 2020-08-29 16-00-15-04_ball.txt" xr:uid="{BD290C7A-1E76-476E-936C-0AA088D52523}"/>
    <hyperlink ref="A1358" r:id="rId2713" display="out/パワプロ2020 - 投球解析 - 2020-08-29 16-00-15-05_out.mp4" xr:uid="{313FDE54-1C9D-4279-96E9-01D8A978FB52}"/>
    <hyperlink ref="B1358" r:id="rId2714" display="result/パワプロ2020 - 投球解析 - 2020-08-29 16-00-15-05_ball.txt" xr:uid="{9296E4B8-79FD-439C-B2A2-0807D64890FF}"/>
    <hyperlink ref="A1359" r:id="rId2715" display="out/パワプロ2020 - 投球解析 - 2020-08-29 16-00-15-06_out.mp4" xr:uid="{AEDCD816-70F7-404C-B926-7A2712DFE5AC}"/>
    <hyperlink ref="B1359" r:id="rId2716" display="result/パワプロ2020 - 投球解析 - 2020-08-29 16-00-15-06_ball.txt" xr:uid="{363375A1-5DFC-4010-9E51-CAE571A7C31E}"/>
    <hyperlink ref="A1360" r:id="rId2717" display="out/パワプロ2020 - 投球解析 - 2020-08-29 16-00-15-07_out.mp4" xr:uid="{532DA4E6-BC63-45FE-A9D7-A3BDC75EF491}"/>
    <hyperlink ref="B1360" r:id="rId2718" display="result/パワプロ2020 - 投球解析 - 2020-08-29 16-00-15-07_ball.txt" xr:uid="{058A2097-E12C-4FED-B1D5-B24BB2C4F9F2}"/>
    <hyperlink ref="A1361" r:id="rId2719" display="out/パワプロ2020 - 投球解析 - 2020-08-29 16-00-15-08_out.mp4" xr:uid="{271D9F51-8FE1-4781-8489-39277FA9ADCA}"/>
    <hyperlink ref="B1361" r:id="rId2720" display="result/パワプロ2020 - 投球解析 - 2020-08-29 16-00-15-08_ball.txt" xr:uid="{BC80821E-AA61-4442-833E-93BAC7DD3F0D}"/>
    <hyperlink ref="A1362" r:id="rId2721" display="out/パワプロ2020 - 投球解析 - 2020-08-29 16-00-15-09_out.mp4" xr:uid="{37C2AA0F-C561-44FA-B72D-0681B513EB72}"/>
    <hyperlink ref="B1362" r:id="rId2722" display="result/パワプロ2020 - 投球解析 - 2020-08-29 16-00-15-09_ball.txt" xr:uid="{FA99FFA1-EC4E-4F23-88EA-8AF6AD9A4D44}"/>
    <hyperlink ref="A1363" r:id="rId2723" display="out/パワプロ2020 - 投球解析 - 2020-08-29 16-01-23-00_out.mp4" xr:uid="{52936087-9A0B-45A6-8AAB-671FBE854063}"/>
    <hyperlink ref="B1363" r:id="rId2724" display="result/パワプロ2020 - 投球解析 - 2020-08-29 16-01-23-00_ball.txt" xr:uid="{1E68A03E-C048-4407-B5AD-8D8B8A2081BB}"/>
    <hyperlink ref="A1364" r:id="rId2725" display="out/パワプロ2020 - 投球解析 - 2020-08-29 16-01-23-01_out.mp4" xr:uid="{D37BE038-6A49-408D-B20C-F37D91B3834C}"/>
    <hyperlink ref="B1364" r:id="rId2726" display="result/パワプロ2020 - 投球解析 - 2020-08-29 16-01-23-01_ball.txt" xr:uid="{BFF7DB69-A14B-456C-9F98-33869C88D492}"/>
    <hyperlink ref="A1365" r:id="rId2727" display="out/パワプロ2020 - 投球解析 - 2020-08-29 16-01-23-02_out.mp4" xr:uid="{8A5F59E5-F860-45C8-8ABE-DFA941A230DA}"/>
    <hyperlink ref="B1365" r:id="rId2728" display="result/パワプロ2020 - 投球解析 - 2020-08-29 16-01-23-02_ball.txt" xr:uid="{3F920A3B-A8ED-4ACA-8AEB-0356E312CE08}"/>
    <hyperlink ref="A1366" r:id="rId2729" display="out/パワプロ2020 - 投球解析 - 2020-08-29 16-01-23-03_out.mp4" xr:uid="{C016351E-9293-4C8D-BA4A-1377DB309218}"/>
    <hyperlink ref="B1366" r:id="rId2730" display="result/パワプロ2020 - 投球解析 - 2020-08-29 16-01-23-03_ball.txt" xr:uid="{4DBBA5DE-6364-4445-8445-B0387A8F4402}"/>
    <hyperlink ref="A1367" r:id="rId2731" display="out/パワプロ2020 - 投球解析 - 2020-08-29 16-01-23-04_out.mp4" xr:uid="{281A2DCD-027C-4AD9-A5FF-C6160DAC3F9E}"/>
    <hyperlink ref="B1367" r:id="rId2732" display="result/パワプロ2020 - 投球解析 - 2020-08-29 16-01-23-04_ball.txt" xr:uid="{7713E28A-AFCA-4FEE-A60C-1ECC113A5F48}"/>
    <hyperlink ref="A1368" r:id="rId2733" display="out/パワプロ2020 - 投球解析 - 2020-08-29 16-01-23-05_out.mp4" xr:uid="{47A82660-8A0B-460D-B65F-332CF52331A6}"/>
    <hyperlink ref="B1368" r:id="rId2734" display="result/パワプロ2020 - 投球解析 - 2020-08-29 16-01-23-05_ball.txt" xr:uid="{F0FEE093-BC90-4AB0-B980-516112C11D45}"/>
    <hyperlink ref="A1369" r:id="rId2735" display="out/パワプロ2020 - 投球解析 - 2020-08-29 16-01-23-06_out.mp4" xr:uid="{C853BF68-49B7-4EE5-83FB-BD0B123D4DD2}"/>
    <hyperlink ref="B1369" r:id="rId2736" display="result/パワプロ2020 - 投球解析 - 2020-08-29 16-01-23-06_ball.txt" xr:uid="{1C71504F-C6EC-46C4-94F5-DD841B6E1853}"/>
    <hyperlink ref="A1370" r:id="rId2737" display="out/パワプロ2020 - 投球解析 - 2020-08-29 16-01-23-07_out.mp4" xr:uid="{1209AA21-F2CB-4169-B612-AB88D564086E}"/>
    <hyperlink ref="B1370" r:id="rId2738" display="result/パワプロ2020 - 投球解析 - 2020-08-29 16-01-23-07_ball.txt" xr:uid="{3117FB7F-3745-433E-8CE7-77B2A895EC32}"/>
    <hyperlink ref="A1371" r:id="rId2739" display="out/パワプロ2020 - 投球解析 - 2020-08-29 16-01-23-08_out.mp4" xr:uid="{33DB4D78-299A-44A9-A3CB-DF0F3E809277}"/>
    <hyperlink ref="B1371" r:id="rId2740" display="result/パワプロ2020 - 投球解析 - 2020-08-29 16-01-23-08_ball.txt" xr:uid="{130E7913-1703-4A58-AF21-A5CCB988879F}"/>
    <hyperlink ref="A1372" r:id="rId2741" display="out/パワプロ2020 - 投球解析 - 2020-08-29 16-01-23-09_out.mp4" xr:uid="{33F42404-01A4-495F-B865-A68428145B37}"/>
    <hyperlink ref="B1372" r:id="rId2742" display="result/パワプロ2020 - 投球解析 - 2020-08-29 16-01-23-09_ball.txt" xr:uid="{9DD96C16-6033-4077-9B64-C80ACC764059}"/>
    <hyperlink ref="A1373" r:id="rId2743" display="out/パワプロ2020 - 投球解析 - 2020-08-29 16-06-51-00_out.mp4" xr:uid="{8AE3FEBC-AAC8-4998-8481-FC564FCEDC9B}"/>
    <hyperlink ref="B1373" r:id="rId2744" display="result/パワプロ2020 - 投球解析 - 2020-08-29 16-06-51-00_ball.txt" xr:uid="{6DD1E25C-011C-4C3F-9B2B-0F95CA7FC9A6}"/>
    <hyperlink ref="A1374" r:id="rId2745" display="out/パワプロ2020 - 投球解析 - 2020-08-29 16-06-51-01_out.mp4" xr:uid="{70E26E70-B539-44B8-9949-48461CFD6522}"/>
    <hyperlink ref="B1374" r:id="rId2746" display="result/パワプロ2020 - 投球解析 - 2020-08-29 16-06-51-01_ball.txt" xr:uid="{0D7746F5-E0E0-47C7-83BA-E8DECA5A900C}"/>
    <hyperlink ref="A1375" r:id="rId2747" display="out/パワプロ2020 - 投球解析 - 2020-08-29 16-06-51-02_out.mp4" xr:uid="{8B344F6D-873F-410E-8F53-FA14A171280D}"/>
    <hyperlink ref="B1375" r:id="rId2748" display="result/パワプロ2020 - 投球解析 - 2020-08-29 16-06-51-02_ball.txt" xr:uid="{94DB4F95-A49B-45E2-A9AB-4D76980AA441}"/>
    <hyperlink ref="A1376" r:id="rId2749" display="out/パワプロ2020 - 投球解析 - 2020-08-29 16-06-51-03_out.mp4" xr:uid="{5ED8C37C-71C6-4849-B1AB-0999FA653C29}"/>
    <hyperlink ref="B1376" r:id="rId2750" display="result/パワプロ2020 - 投球解析 - 2020-08-29 16-06-51-03_ball.txt" xr:uid="{3BEFB5C9-163A-47D5-A34B-CB59BD77C296}"/>
    <hyperlink ref="A1377" r:id="rId2751" display="out/パワプロ2020 - 投球解析 - 2020-08-29 16-06-51-04_out.mp4" xr:uid="{1C137288-E227-493F-AB97-FC3A01F8B537}"/>
    <hyperlink ref="B1377" r:id="rId2752" display="result/パワプロ2020 - 投球解析 - 2020-08-29 16-06-51-04_ball.txt" xr:uid="{10B07925-4E66-4EBE-820A-2E46A14380ED}"/>
    <hyperlink ref="A1378" r:id="rId2753" display="out/パワプロ2020 - 投球解析 - 2020-08-29 16-06-51-05_out.mp4" xr:uid="{296F4484-E81A-4EDE-87C6-B24DE15EA66F}"/>
    <hyperlink ref="B1378" r:id="rId2754" display="result/パワプロ2020 - 投球解析 - 2020-08-29 16-06-51-05_ball.txt" xr:uid="{C407EE18-62D6-4356-8BF7-7E54B7DB07CB}"/>
    <hyperlink ref="A1379" r:id="rId2755" display="out/パワプロ2020 - 投球解析 - 2020-08-29 16-06-51-06_out.mp4" xr:uid="{3AE50859-5F20-4828-BEE5-E4C475107600}"/>
    <hyperlink ref="B1379" r:id="rId2756" display="result/パワプロ2020 - 投球解析 - 2020-08-29 16-06-51-06_ball.txt" xr:uid="{B8AC65CA-722F-40D3-8C82-1963D81CD4DC}"/>
    <hyperlink ref="A1380" r:id="rId2757" display="out/パワプロ2020 - 投球解析 - 2020-08-29 16-06-51-07_out.mp4" xr:uid="{C4760F98-76A1-4230-A468-6AD3CCCB1810}"/>
    <hyperlink ref="B1380" r:id="rId2758" display="result/パワプロ2020 - 投球解析 - 2020-08-29 16-06-51-07_ball.txt" xr:uid="{5705C60C-9C5E-454F-B278-07D8472E2C5D}"/>
    <hyperlink ref="A1381" r:id="rId2759" display="out/パワプロ2020 - 投球解析 - 2020-08-29 16-06-51-08_out.mp4" xr:uid="{26D27A85-38CC-41F3-A803-F1C4D812EDAB}"/>
    <hyperlink ref="B1381" r:id="rId2760" display="result/パワプロ2020 - 投球解析 - 2020-08-29 16-06-51-08_ball.txt" xr:uid="{8061A46A-19AB-46CE-B10B-FB936D12A4C4}"/>
    <hyperlink ref="A1382" r:id="rId2761" display="out/パワプロ2020 - 投球解析 - 2020-08-29 16-06-51-09_out.mp4" xr:uid="{1AD88904-A6FC-4064-B739-0AEC8B90A849}"/>
    <hyperlink ref="B1382" r:id="rId2762" display="result/パワプロ2020 - 投球解析 - 2020-08-29 16-06-51-09_ball.txt" xr:uid="{9635C8AA-62D2-4E38-BAEA-E8983CC1B87B}"/>
    <hyperlink ref="A1383" r:id="rId2763" display="out/投球解析 - パワプロ2020 - 2020-09-08 23-37-52-00_out.mp4" xr:uid="{7E8DDFB4-FF41-4B6B-A8A8-36A3390A30D8}"/>
    <hyperlink ref="B1383" r:id="rId2764" display="result/投球解析 - パワプロ2020 - 2020-09-08 23-37-52-00_ball.txt" xr:uid="{515E91BF-3CAD-4796-B2B1-3DE764A83E9A}"/>
    <hyperlink ref="A1384" r:id="rId2765" display="out/投球解析 - パワプロ2020 - 2020-09-08 23-37-52-01_out.mp4" xr:uid="{B8148155-4A2C-4F1E-92C5-A1CE194FEED5}"/>
    <hyperlink ref="B1384" r:id="rId2766" display="result/投球解析 - パワプロ2020 - 2020-09-08 23-37-52-01_ball.txt" xr:uid="{282467E1-855E-4B82-BCCD-48F478D4507F}"/>
    <hyperlink ref="A1385" r:id="rId2767" display="out/投球解析 - パワプロ2020 - 2020-09-08 23-37-52-02_out.mp4" xr:uid="{0FDEF07C-FDE9-410E-B625-227B50CD387F}"/>
    <hyperlink ref="B1385" r:id="rId2768" display="result/投球解析 - パワプロ2020 - 2020-09-08 23-37-52-02_ball.txt" xr:uid="{F1E46F78-AADE-433F-99C8-2576EBCDCC59}"/>
    <hyperlink ref="A1386" r:id="rId2769" display="out/投球解析 - パワプロ2020 - 2020-09-08 23-37-52-03_out.mp4" xr:uid="{BE80A3BE-7409-40DF-B0D8-57415589AB37}"/>
    <hyperlink ref="B1386" r:id="rId2770" display="result/投球解析 - パワプロ2020 - 2020-09-08 23-37-52-03_ball.txt" xr:uid="{39B4FEB7-D62A-47D3-B481-850B14BDE331}"/>
    <hyperlink ref="A1387" r:id="rId2771" display="out/投球解析 - パワプロ2020 - 2020-09-08 23-37-52-04_out.mp4" xr:uid="{EA63CF4A-15C9-460A-862E-83C36E3E0FCB}"/>
    <hyperlink ref="B1387" r:id="rId2772" display="result/投球解析 - パワプロ2020 - 2020-09-08 23-37-52-04_ball.txt" xr:uid="{825E244B-9020-4FE4-8763-42042422539F}"/>
    <hyperlink ref="A1388" r:id="rId2773" display="out/投球解析 - パワプロ2020 - 2020-09-08 23-37-52-05_out.mp4" xr:uid="{2CC91A7B-8DE3-4736-85FA-A6F8B73603EC}"/>
    <hyperlink ref="B1388" r:id="rId2774" display="result/投球解析 - パワプロ2020 - 2020-09-08 23-37-52-05_ball.txt" xr:uid="{48BC01D6-B01C-47BE-A883-294BD24282A8}"/>
    <hyperlink ref="A1389" r:id="rId2775" display="out/投球解析 - パワプロ2020 - 2020-09-08 23-37-52-06_out.mp4" xr:uid="{FB19B964-F8D7-43C9-9130-E06A3C106317}"/>
    <hyperlink ref="B1389" r:id="rId2776" display="result/投球解析 - パワプロ2020 - 2020-09-08 23-37-52-06_ball.txt" xr:uid="{31E6CD0E-7FC5-4995-86C1-8F228C920227}"/>
    <hyperlink ref="A1390" r:id="rId2777" display="out/投球解析 - パワプロ2020 - 2020-09-08 23-37-52-07_out.mp4" xr:uid="{2B16B586-5A31-41FC-AD05-2AB6714736C4}"/>
    <hyperlink ref="B1390" r:id="rId2778" display="result/投球解析 - パワプロ2020 - 2020-09-08 23-37-52-07_ball.txt" xr:uid="{8806BAD6-5CC1-43EF-B256-F298228005EC}"/>
    <hyperlink ref="A1391" r:id="rId2779" display="out/投球解析 - パワプロ2020 - 2020-09-08 23-37-52-08_out.mp4" xr:uid="{D5417F85-CAA9-4DD6-99EE-23C44EDDFFA9}"/>
    <hyperlink ref="B1391" r:id="rId2780" display="result/投球解析 - パワプロ2020 - 2020-09-08 23-37-52-08_ball.txt" xr:uid="{C0ED5E4C-31DF-4E7A-A4B2-AB6DBC1A72FB}"/>
    <hyperlink ref="A1392" r:id="rId2781" display="out/投球解析 - パワプロ2020 - 2020-09-08 23-37-52-09_out.mp4" xr:uid="{80DD6B56-AEE7-4767-9B96-F7C156CB6567}"/>
    <hyperlink ref="B1392" r:id="rId2782" display="result/投球解析 - パワプロ2020 - 2020-09-08 23-37-52-09_ball.txt" xr:uid="{B0F477E4-6D8A-42C1-9424-60B8CB4ABC34}"/>
    <hyperlink ref="A1393" r:id="rId2783" display="out/投球解析 - パワプロ2020 - 2020-09-08 23-39-02-00_out.mp4" xr:uid="{3385708A-F73F-4C96-94A3-CDD6983C48C4}"/>
    <hyperlink ref="B1393" r:id="rId2784" display="result/投球解析 - パワプロ2020 - 2020-09-08 23-39-02-00_ball.txt" xr:uid="{D13EBB9A-12B3-41B5-AFDD-77C3F1EAC0F5}"/>
    <hyperlink ref="A1394" r:id="rId2785" display="out/投球解析 - パワプロ2020 - 2020-09-08 23-39-02-01_out.mp4" xr:uid="{EFFCD2F7-5FAC-452A-ADBB-04718741B306}"/>
    <hyperlink ref="B1394" r:id="rId2786" display="result/投球解析 - パワプロ2020 - 2020-09-08 23-39-02-01_ball.txt" xr:uid="{6E156BAE-5CCB-4672-A789-EAF28E0E1A96}"/>
    <hyperlink ref="A1395" r:id="rId2787" display="out/投球解析 - パワプロ2020 - 2020-09-08 23-39-02-02_out.mp4" xr:uid="{E3F877A9-88E6-44E3-AE80-9BE251E6DD7E}"/>
    <hyperlink ref="B1395" r:id="rId2788" display="result/投球解析 - パワプロ2020 - 2020-09-08 23-39-02-02_ball.txt" xr:uid="{20CF2F66-7211-41C3-B2C3-7C3ABCCFA0A6}"/>
    <hyperlink ref="A1396" r:id="rId2789" display="out/投球解析 - パワプロ2020 - 2020-09-08 23-39-02-03_out.mp4" xr:uid="{D740FB9F-60D2-4A76-A747-B3F0ACD9B5B4}"/>
    <hyperlink ref="B1396" r:id="rId2790" display="result/投球解析 - パワプロ2020 - 2020-09-08 23-39-02-03_ball.txt" xr:uid="{AE95C0BA-FF27-451C-8C7F-12E5EA4623B1}"/>
    <hyperlink ref="A1397" r:id="rId2791" display="out/投球解析 - パワプロ2020 - 2020-09-08 23-39-02-04_out.mp4" xr:uid="{302ABEB4-9085-4062-BC41-9FC4423715A3}"/>
    <hyperlink ref="B1397" r:id="rId2792" display="result/投球解析 - パワプロ2020 - 2020-09-08 23-39-02-04_ball.txt" xr:uid="{F0A4B239-9D61-4E6C-807E-29375F7944CB}"/>
    <hyperlink ref="A1398" r:id="rId2793" display="out/投球解析 - パワプロ2020 - 2020-09-08 23-39-02-05_out.mp4" xr:uid="{AF206A86-AC32-4868-A461-8D89615E7C4B}"/>
    <hyperlink ref="B1398" r:id="rId2794" display="result/投球解析 - パワプロ2020 - 2020-09-08 23-39-02-05_ball.txt" xr:uid="{E10BC8E2-AAC4-4715-A8C1-975BB5134D95}"/>
    <hyperlink ref="A1399" r:id="rId2795" display="out/投球解析 - パワプロ2020 - 2020-09-08 23-39-02-06_out.mp4" xr:uid="{42B8DCE8-03DA-4B14-BD23-76893B05CE01}"/>
    <hyperlink ref="B1399" r:id="rId2796" display="result/投球解析 - パワプロ2020 - 2020-09-08 23-39-02-06_ball.txt" xr:uid="{05897892-CF29-4161-A4A3-10FA233420D7}"/>
    <hyperlink ref="A1400" r:id="rId2797" display="out/投球解析 - パワプロ2020 - 2020-09-08 23-39-02-07_out.mp4" xr:uid="{4BC423E0-5411-4CE0-BC6C-27B76C7FC129}"/>
    <hyperlink ref="B1400" r:id="rId2798" display="result/投球解析 - パワプロ2020 - 2020-09-08 23-39-02-07_ball.txt" xr:uid="{CAD1FD8B-26BB-4392-AE12-E854E90EB93C}"/>
    <hyperlink ref="A1401" r:id="rId2799" display="out/投球解析 - パワプロ2020 - 2020-09-08 23-39-02-08_out.mp4" xr:uid="{31A1B7F7-C7E8-4EF4-A3A6-B54AAB2A362C}"/>
    <hyperlink ref="B1401" r:id="rId2800" display="result/投球解析 - パワプロ2020 - 2020-09-08 23-39-02-08_ball.txt" xr:uid="{12CCE787-2FFB-4B8D-8E96-728DF5B4FB4E}"/>
    <hyperlink ref="A1402" r:id="rId2801" display="out/投球解析 - パワプロ2020 - 2020-09-08 23-39-02-09_out.mp4" xr:uid="{3813E9C5-5345-477A-8635-541E2D8DCC9A}"/>
    <hyperlink ref="B1402" r:id="rId2802" display="result/投球解析 - パワプロ2020 - 2020-09-08 23-39-02-09_ball.txt" xr:uid="{D8075568-0743-42FF-B8A3-EA710210738A}"/>
  </hyperlinks>
  <pageMargins left="0.7" right="0.7" top="0.75" bottom="0.75" header="0.3" footer="0.3"/>
  <pageSetup paperSize="9" orientation="portrait" r:id="rId280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51AEB5-6E0B-45CD-91A1-60AB86C6F3C1}">
  <sheetPr codeName="Sheet3"/>
  <dimension ref="A1"/>
  <sheetViews>
    <sheetView topLeftCell="A13" workbookViewId="0">
      <selection activeCell="R22" sqref="R22"/>
    </sheetView>
  </sheetViews>
  <sheetFormatPr defaultRowHeight="18" x14ac:dyDescent="0.55000000000000004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98613-F3F5-4E72-A7DC-9A539FADD27B}">
  <sheetPr codeName="Sheet8"/>
  <dimension ref="A1"/>
  <sheetViews>
    <sheetView workbookViewId="0">
      <selection activeCell="I27" sqref="I27"/>
    </sheetView>
  </sheetViews>
  <sheetFormatPr defaultRowHeight="18" x14ac:dyDescent="0.55000000000000004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87C79-F5F2-4A25-966E-37AF1CA7A863}">
  <sheetPr codeName="Sheet1"/>
  <dimension ref="A1:B217"/>
  <sheetViews>
    <sheetView topLeftCell="A196" workbookViewId="0">
      <selection activeCell="B217" sqref="B217"/>
    </sheetView>
  </sheetViews>
  <sheetFormatPr defaultRowHeight="18" x14ac:dyDescent="0.55000000000000004"/>
  <cols>
    <col min="1" max="1" width="28.25" customWidth="1"/>
    <col min="2" max="2" width="18.25" customWidth="1"/>
  </cols>
  <sheetData>
    <row r="1" spans="1:2" x14ac:dyDescent="0.55000000000000004">
      <c r="A1" t="s">
        <v>178</v>
      </c>
      <c r="B1" t="s">
        <v>187</v>
      </c>
    </row>
    <row r="2" spans="1:2" x14ac:dyDescent="0.55000000000000004">
      <c r="A2" t="s">
        <v>179</v>
      </c>
      <c r="B2" t="s">
        <v>187</v>
      </c>
    </row>
    <row r="3" spans="1:2" x14ac:dyDescent="0.55000000000000004">
      <c r="A3" t="s">
        <v>180</v>
      </c>
      <c r="B3" t="s">
        <v>187</v>
      </c>
    </row>
    <row r="4" spans="1:2" x14ac:dyDescent="0.55000000000000004">
      <c r="A4" t="s">
        <v>1009</v>
      </c>
      <c r="B4" t="s">
        <v>1018</v>
      </c>
    </row>
    <row r="5" spans="1:2" x14ac:dyDescent="0.55000000000000004">
      <c r="A5" t="s">
        <v>1011</v>
      </c>
      <c r="B5" t="s">
        <v>1018</v>
      </c>
    </row>
    <row r="6" spans="1:2" x14ac:dyDescent="0.55000000000000004">
      <c r="A6" t="s">
        <v>1015</v>
      </c>
      <c r="B6" t="s">
        <v>1018</v>
      </c>
    </row>
    <row r="7" spans="1:2" x14ac:dyDescent="0.55000000000000004">
      <c r="A7" t="s">
        <v>1018</v>
      </c>
      <c r="B7" t="s">
        <v>1018</v>
      </c>
    </row>
    <row r="8" spans="1:2" x14ac:dyDescent="0.55000000000000004">
      <c r="A8" t="s">
        <v>1021</v>
      </c>
      <c r="B8" t="s">
        <v>1018</v>
      </c>
    </row>
    <row r="9" spans="1:2" x14ac:dyDescent="0.55000000000000004">
      <c r="A9" t="s">
        <v>1024</v>
      </c>
      <c r="B9" t="s">
        <v>1018</v>
      </c>
    </row>
    <row r="10" spans="1:2" x14ac:dyDescent="0.55000000000000004">
      <c r="A10" t="s">
        <v>1027</v>
      </c>
      <c r="B10" t="s">
        <v>1018</v>
      </c>
    </row>
    <row r="11" spans="1:2" x14ac:dyDescent="0.55000000000000004">
      <c r="A11" t="s">
        <v>135</v>
      </c>
      <c r="B11" t="s">
        <v>135</v>
      </c>
    </row>
    <row r="12" spans="1:2" x14ac:dyDescent="0.55000000000000004">
      <c r="A12" t="s">
        <v>141</v>
      </c>
      <c r="B12" t="s">
        <v>135</v>
      </c>
    </row>
    <row r="13" spans="1:2" x14ac:dyDescent="0.55000000000000004">
      <c r="A13" t="s">
        <v>134</v>
      </c>
      <c r="B13" t="s">
        <v>135</v>
      </c>
    </row>
    <row r="14" spans="1:2" x14ac:dyDescent="0.55000000000000004">
      <c r="A14" t="s">
        <v>120</v>
      </c>
      <c r="B14" t="s">
        <v>119</v>
      </c>
    </row>
    <row r="15" spans="1:2" x14ac:dyDescent="0.55000000000000004">
      <c r="A15" t="s">
        <v>119</v>
      </c>
      <c r="B15" t="s">
        <v>119</v>
      </c>
    </row>
    <row r="16" spans="1:2" x14ac:dyDescent="0.55000000000000004">
      <c r="A16" t="s">
        <v>121</v>
      </c>
      <c r="B16" t="s">
        <v>119</v>
      </c>
    </row>
    <row r="17" spans="1:2" x14ac:dyDescent="0.55000000000000004">
      <c r="A17" t="s">
        <v>122</v>
      </c>
      <c r="B17" t="s">
        <v>119</v>
      </c>
    </row>
    <row r="18" spans="1:2" x14ac:dyDescent="0.55000000000000004">
      <c r="A18" t="s">
        <v>132</v>
      </c>
      <c r="B18" t="s">
        <v>132</v>
      </c>
    </row>
    <row r="19" spans="1:2" x14ac:dyDescent="0.55000000000000004">
      <c r="A19" t="s">
        <v>133</v>
      </c>
      <c r="B19" t="s">
        <v>132</v>
      </c>
    </row>
    <row r="20" spans="1:2" x14ac:dyDescent="0.55000000000000004">
      <c r="A20" t="s">
        <v>176</v>
      </c>
      <c r="B20" t="s">
        <v>132</v>
      </c>
    </row>
    <row r="21" spans="1:2" x14ac:dyDescent="0.55000000000000004">
      <c r="A21" t="s">
        <v>199</v>
      </c>
      <c r="B21" t="s">
        <v>132</v>
      </c>
    </row>
    <row r="22" spans="1:2" x14ac:dyDescent="0.55000000000000004">
      <c r="A22" t="s">
        <v>200</v>
      </c>
      <c r="B22" t="s">
        <v>132</v>
      </c>
    </row>
    <row r="23" spans="1:2" x14ac:dyDescent="0.55000000000000004">
      <c r="A23" t="s">
        <v>206</v>
      </c>
      <c r="B23" t="s">
        <v>132</v>
      </c>
    </row>
    <row r="24" spans="1:2" x14ac:dyDescent="0.55000000000000004">
      <c r="A24" t="s">
        <v>935</v>
      </c>
      <c r="B24" t="s">
        <v>927</v>
      </c>
    </row>
    <row r="25" spans="1:2" x14ac:dyDescent="0.55000000000000004">
      <c r="A25" t="s">
        <v>939</v>
      </c>
      <c r="B25" t="s">
        <v>927</v>
      </c>
    </row>
    <row r="26" spans="1:2" x14ac:dyDescent="0.55000000000000004">
      <c r="A26" t="s">
        <v>207</v>
      </c>
      <c r="B26" t="s">
        <v>213</v>
      </c>
    </row>
    <row r="27" spans="1:2" x14ac:dyDescent="0.55000000000000004">
      <c r="A27" t="s">
        <v>208</v>
      </c>
      <c r="B27" t="s">
        <v>213</v>
      </c>
    </row>
    <row r="28" spans="1:2" x14ac:dyDescent="0.55000000000000004">
      <c r="A28" t="s">
        <v>209</v>
      </c>
      <c r="B28" t="s">
        <v>213</v>
      </c>
    </row>
    <row r="29" spans="1:2" x14ac:dyDescent="0.55000000000000004">
      <c r="A29" t="s">
        <v>210</v>
      </c>
      <c r="B29" t="s">
        <v>213</v>
      </c>
    </row>
    <row r="30" spans="1:2" x14ac:dyDescent="0.55000000000000004">
      <c r="A30" t="s">
        <v>211</v>
      </c>
      <c r="B30" t="s">
        <v>213</v>
      </c>
    </row>
    <row r="31" spans="1:2" x14ac:dyDescent="0.55000000000000004">
      <c r="A31" t="s">
        <v>216</v>
      </c>
      <c r="B31" t="s">
        <v>4</v>
      </c>
    </row>
    <row r="32" spans="1:2" x14ac:dyDescent="0.55000000000000004">
      <c r="A32" t="s">
        <v>345</v>
      </c>
      <c r="B32" t="s">
        <v>4</v>
      </c>
    </row>
    <row r="33" spans="1:2" x14ac:dyDescent="0.55000000000000004">
      <c r="A33" t="s">
        <v>346</v>
      </c>
      <c r="B33" t="s">
        <v>4</v>
      </c>
    </row>
    <row r="34" spans="1:2" x14ac:dyDescent="0.55000000000000004">
      <c r="A34" t="s">
        <v>703</v>
      </c>
      <c r="B34" t="s">
        <v>4</v>
      </c>
    </row>
    <row r="35" spans="1:2" x14ac:dyDescent="0.55000000000000004">
      <c r="A35" t="s">
        <v>128</v>
      </c>
      <c r="B35" t="s">
        <v>128</v>
      </c>
    </row>
    <row r="36" spans="1:2" x14ac:dyDescent="0.55000000000000004">
      <c r="A36" t="s">
        <v>129</v>
      </c>
      <c r="B36" t="s">
        <v>128</v>
      </c>
    </row>
    <row r="37" spans="1:2" x14ac:dyDescent="0.55000000000000004">
      <c r="A37" t="s">
        <v>193</v>
      </c>
      <c r="B37" t="s">
        <v>193</v>
      </c>
    </row>
    <row r="38" spans="1:2" x14ac:dyDescent="0.55000000000000004">
      <c r="A38" t="s">
        <v>182</v>
      </c>
      <c r="B38" t="s">
        <v>183</v>
      </c>
    </row>
    <row r="39" spans="1:2" x14ac:dyDescent="0.55000000000000004">
      <c r="A39" t="s">
        <v>183</v>
      </c>
      <c r="B39" t="s">
        <v>183</v>
      </c>
    </row>
    <row r="40" spans="1:2" x14ac:dyDescent="0.55000000000000004">
      <c r="A40" t="s">
        <v>184</v>
      </c>
      <c r="B40" t="s">
        <v>183</v>
      </c>
    </row>
    <row r="41" spans="1:2" x14ac:dyDescent="0.55000000000000004">
      <c r="A41" t="s">
        <v>186</v>
      </c>
      <c r="B41" t="s">
        <v>183</v>
      </c>
    </row>
    <row r="42" spans="1:2" x14ac:dyDescent="0.55000000000000004">
      <c r="A42" t="s">
        <v>185</v>
      </c>
      <c r="B42" t="s">
        <v>183</v>
      </c>
    </row>
    <row r="43" spans="1:2" x14ac:dyDescent="0.55000000000000004">
      <c r="A43" t="s">
        <v>350</v>
      </c>
      <c r="B43" t="s">
        <v>574</v>
      </c>
    </row>
    <row r="44" spans="1:2" x14ac:dyDescent="0.55000000000000004">
      <c r="A44" t="s">
        <v>351</v>
      </c>
      <c r="B44" t="s">
        <v>574</v>
      </c>
    </row>
    <row r="45" spans="1:2" x14ac:dyDescent="0.55000000000000004">
      <c r="A45" t="s">
        <v>348</v>
      </c>
      <c r="B45" t="s">
        <v>348</v>
      </c>
    </row>
    <row r="46" spans="1:2" x14ac:dyDescent="0.55000000000000004">
      <c r="A46" t="s">
        <v>349</v>
      </c>
      <c r="B46" t="s">
        <v>348</v>
      </c>
    </row>
    <row r="47" spans="1:2" x14ac:dyDescent="0.55000000000000004">
      <c r="A47" t="s">
        <v>1</v>
      </c>
      <c r="B47" t="s">
        <v>1</v>
      </c>
    </row>
    <row r="48" spans="1:2" x14ac:dyDescent="0.55000000000000004">
      <c r="A48" t="s">
        <v>90</v>
      </c>
      <c r="B48" t="s">
        <v>1</v>
      </c>
    </row>
    <row r="49" spans="1:2" x14ac:dyDescent="0.55000000000000004">
      <c r="A49" t="s">
        <v>91</v>
      </c>
      <c r="B49" t="s">
        <v>1</v>
      </c>
    </row>
    <row r="50" spans="1:2" x14ac:dyDescent="0.55000000000000004">
      <c r="A50" t="s">
        <v>49</v>
      </c>
      <c r="B50" t="s">
        <v>1</v>
      </c>
    </row>
    <row r="51" spans="1:2" x14ac:dyDescent="0.55000000000000004">
      <c r="A51" t="s">
        <v>93</v>
      </c>
      <c r="B51" t="s">
        <v>1</v>
      </c>
    </row>
    <row r="52" spans="1:2" x14ac:dyDescent="0.55000000000000004">
      <c r="A52" t="s">
        <v>94</v>
      </c>
      <c r="B52" t="s">
        <v>1</v>
      </c>
    </row>
    <row r="53" spans="1:2" x14ac:dyDescent="0.55000000000000004">
      <c r="A53" t="s">
        <v>100</v>
      </c>
      <c r="B53" t="s">
        <v>1</v>
      </c>
    </row>
    <row r="54" spans="1:2" x14ac:dyDescent="0.55000000000000004">
      <c r="A54" t="s">
        <v>166</v>
      </c>
      <c r="B54" t="s">
        <v>1</v>
      </c>
    </row>
    <row r="55" spans="1:2" x14ac:dyDescent="0.55000000000000004">
      <c r="A55" t="s">
        <v>215</v>
      </c>
      <c r="B55" t="s">
        <v>214</v>
      </c>
    </row>
    <row r="56" spans="1:2" x14ac:dyDescent="0.55000000000000004">
      <c r="A56" t="s">
        <v>516</v>
      </c>
      <c r="B56" t="s">
        <v>342</v>
      </c>
    </row>
    <row r="57" spans="1:2" x14ac:dyDescent="0.55000000000000004">
      <c r="A57" t="s">
        <v>716</v>
      </c>
      <c r="B57" t="s">
        <v>580</v>
      </c>
    </row>
    <row r="58" spans="1:2" x14ac:dyDescent="0.55000000000000004">
      <c r="A58" t="s">
        <v>177</v>
      </c>
      <c r="B58" t="s">
        <v>177</v>
      </c>
    </row>
    <row r="59" spans="1:2" x14ac:dyDescent="0.55000000000000004">
      <c r="A59" t="s">
        <v>153</v>
      </c>
      <c r="B59" t="s">
        <v>153</v>
      </c>
    </row>
    <row r="60" spans="1:2" x14ac:dyDescent="0.55000000000000004">
      <c r="A60" t="s">
        <v>154</v>
      </c>
      <c r="B60" t="s">
        <v>167</v>
      </c>
    </row>
    <row r="61" spans="1:2" x14ac:dyDescent="0.55000000000000004">
      <c r="A61" t="s">
        <v>155</v>
      </c>
      <c r="B61" t="s">
        <v>167</v>
      </c>
    </row>
    <row r="62" spans="1:2" x14ac:dyDescent="0.55000000000000004">
      <c r="A62" t="s">
        <v>156</v>
      </c>
      <c r="B62" t="s">
        <v>167</v>
      </c>
    </row>
    <row r="63" spans="1:2" x14ac:dyDescent="0.55000000000000004">
      <c r="A63" t="s">
        <v>157</v>
      </c>
      <c r="B63" t="s">
        <v>167</v>
      </c>
    </row>
    <row r="64" spans="1:2" x14ac:dyDescent="0.55000000000000004">
      <c r="A64" t="s">
        <v>158</v>
      </c>
      <c r="B64" t="s">
        <v>167</v>
      </c>
    </row>
    <row r="65" spans="1:2" x14ac:dyDescent="0.55000000000000004">
      <c r="A65" t="s">
        <v>159</v>
      </c>
      <c r="B65" t="s">
        <v>167</v>
      </c>
    </row>
    <row r="66" spans="1:2" x14ac:dyDescent="0.55000000000000004">
      <c r="A66" t="s">
        <v>160</v>
      </c>
      <c r="B66" t="s">
        <v>167</v>
      </c>
    </row>
    <row r="67" spans="1:2" x14ac:dyDescent="0.55000000000000004">
      <c r="A67" t="s">
        <v>161</v>
      </c>
      <c r="B67" t="s">
        <v>167</v>
      </c>
    </row>
    <row r="68" spans="1:2" x14ac:dyDescent="0.55000000000000004">
      <c r="A68" t="s">
        <v>162</v>
      </c>
      <c r="B68" t="s">
        <v>167</v>
      </c>
    </row>
    <row r="69" spans="1:2" x14ac:dyDescent="0.55000000000000004">
      <c r="A69" t="s">
        <v>168</v>
      </c>
      <c r="B69" t="s">
        <v>169</v>
      </c>
    </row>
    <row r="70" spans="1:2" x14ac:dyDescent="0.55000000000000004">
      <c r="A70" t="s">
        <v>163</v>
      </c>
      <c r="B70" t="s">
        <v>169</v>
      </c>
    </row>
    <row r="71" spans="1:2" x14ac:dyDescent="0.55000000000000004">
      <c r="A71" t="s">
        <v>164</v>
      </c>
      <c r="B71" t="s">
        <v>169</v>
      </c>
    </row>
    <row r="72" spans="1:2" x14ac:dyDescent="0.55000000000000004">
      <c r="A72" t="s">
        <v>165</v>
      </c>
      <c r="B72" t="s">
        <v>169</v>
      </c>
    </row>
    <row r="73" spans="1:2" x14ac:dyDescent="0.55000000000000004">
      <c r="A73">
        <v>4</v>
      </c>
      <c r="B73" t="s">
        <v>198</v>
      </c>
    </row>
    <row r="74" spans="1:2" x14ac:dyDescent="0.55000000000000004">
      <c r="A74" t="s">
        <v>198</v>
      </c>
      <c r="B74" t="s">
        <v>198</v>
      </c>
    </row>
    <row r="75" spans="1:2" x14ac:dyDescent="0.55000000000000004">
      <c r="A75" t="s">
        <v>196</v>
      </c>
      <c r="B75" t="s">
        <v>198</v>
      </c>
    </row>
    <row r="76" spans="1:2" x14ac:dyDescent="0.55000000000000004">
      <c r="A76">
        <v>1</v>
      </c>
      <c r="B76" t="s">
        <v>198</v>
      </c>
    </row>
    <row r="77" spans="1:2" x14ac:dyDescent="0.55000000000000004">
      <c r="A77" t="s">
        <v>197</v>
      </c>
      <c r="B77" t="s">
        <v>198</v>
      </c>
    </row>
    <row r="78" spans="1:2" x14ac:dyDescent="0.55000000000000004">
      <c r="A78">
        <v>7</v>
      </c>
      <c r="B78" t="s">
        <v>573</v>
      </c>
    </row>
    <row r="79" spans="1:2" x14ac:dyDescent="0.55000000000000004">
      <c r="A79" t="s">
        <v>554</v>
      </c>
      <c r="B79" t="s">
        <v>573</v>
      </c>
    </row>
    <row r="80" spans="1:2" x14ac:dyDescent="0.55000000000000004">
      <c r="A80" t="s">
        <v>194</v>
      </c>
      <c r="B80" t="s">
        <v>194</v>
      </c>
    </row>
    <row r="81" spans="1:2" x14ac:dyDescent="0.55000000000000004">
      <c r="A81" t="s">
        <v>195</v>
      </c>
      <c r="B81" t="s">
        <v>194</v>
      </c>
    </row>
    <row r="82" spans="1:2" x14ac:dyDescent="0.55000000000000004">
      <c r="A82" t="s">
        <v>471</v>
      </c>
      <c r="B82" t="s">
        <v>471</v>
      </c>
    </row>
    <row r="83" spans="1:2" x14ac:dyDescent="0.55000000000000004">
      <c r="A83" t="s">
        <v>473</v>
      </c>
      <c r="B83" t="s">
        <v>471</v>
      </c>
    </row>
    <row r="84" spans="1:2" x14ac:dyDescent="0.55000000000000004">
      <c r="A84" t="s">
        <v>475</v>
      </c>
      <c r="B84" t="s">
        <v>471</v>
      </c>
    </row>
    <row r="85" spans="1:2" x14ac:dyDescent="0.55000000000000004">
      <c r="A85" t="s">
        <v>478</v>
      </c>
      <c r="B85" t="s">
        <v>471</v>
      </c>
    </row>
    <row r="86" spans="1:2" x14ac:dyDescent="0.55000000000000004">
      <c r="A86" t="s">
        <v>480</v>
      </c>
      <c r="B86" t="s">
        <v>471</v>
      </c>
    </row>
    <row r="87" spans="1:2" x14ac:dyDescent="0.55000000000000004">
      <c r="A87" t="s">
        <v>482</v>
      </c>
      <c r="B87" t="s">
        <v>471</v>
      </c>
    </row>
    <row r="88" spans="1:2" x14ac:dyDescent="0.55000000000000004">
      <c r="A88" t="s">
        <v>486</v>
      </c>
      <c r="B88" t="s">
        <v>471</v>
      </c>
    </row>
    <row r="89" spans="1:2" x14ac:dyDescent="0.55000000000000004">
      <c r="A89" t="s">
        <v>174</v>
      </c>
      <c r="B89" t="s">
        <v>174</v>
      </c>
    </row>
    <row r="90" spans="1:2" x14ac:dyDescent="0.55000000000000004">
      <c r="A90" t="s">
        <v>175</v>
      </c>
      <c r="B90" t="s">
        <v>174</v>
      </c>
    </row>
    <row r="91" spans="1:2" x14ac:dyDescent="0.55000000000000004">
      <c r="A91" t="s">
        <v>192</v>
      </c>
      <c r="B91" t="s">
        <v>174</v>
      </c>
    </row>
    <row r="92" spans="1:2" x14ac:dyDescent="0.55000000000000004">
      <c r="A92" t="s">
        <v>140</v>
      </c>
      <c r="B92" t="s">
        <v>140</v>
      </c>
    </row>
    <row r="93" spans="1:2" x14ac:dyDescent="0.55000000000000004">
      <c r="A93" t="s">
        <v>136</v>
      </c>
      <c r="B93" t="s">
        <v>140</v>
      </c>
    </row>
    <row r="94" spans="1:2" x14ac:dyDescent="0.55000000000000004">
      <c r="A94" t="s">
        <v>137</v>
      </c>
      <c r="B94" t="s">
        <v>140</v>
      </c>
    </row>
    <row r="95" spans="1:2" x14ac:dyDescent="0.55000000000000004">
      <c r="A95" t="s">
        <v>138</v>
      </c>
      <c r="B95" t="s">
        <v>140</v>
      </c>
    </row>
    <row r="96" spans="1:2" x14ac:dyDescent="0.55000000000000004">
      <c r="A96" t="s">
        <v>139</v>
      </c>
      <c r="B96" t="s">
        <v>140</v>
      </c>
    </row>
    <row r="97" spans="1:2" x14ac:dyDescent="0.55000000000000004">
      <c r="A97" t="s">
        <v>144</v>
      </c>
      <c r="B97" t="s">
        <v>140</v>
      </c>
    </row>
    <row r="98" spans="1:2" x14ac:dyDescent="0.55000000000000004">
      <c r="A98" t="s">
        <v>145</v>
      </c>
      <c r="B98" t="s">
        <v>140</v>
      </c>
    </row>
    <row r="99" spans="1:2" x14ac:dyDescent="0.55000000000000004">
      <c r="A99" t="s">
        <v>229</v>
      </c>
      <c r="B99" t="s">
        <v>239</v>
      </c>
    </row>
    <row r="100" spans="1:2" x14ac:dyDescent="0.55000000000000004">
      <c r="A100" t="s">
        <v>231</v>
      </c>
      <c r="B100" t="s">
        <v>239</v>
      </c>
    </row>
    <row r="101" spans="1:2" x14ac:dyDescent="0.55000000000000004">
      <c r="A101" t="s">
        <v>228</v>
      </c>
      <c r="B101" t="s">
        <v>239</v>
      </c>
    </row>
    <row r="102" spans="1:2" x14ac:dyDescent="0.55000000000000004">
      <c r="A102" t="s">
        <v>230</v>
      </c>
      <c r="B102" t="s">
        <v>239</v>
      </c>
    </row>
    <row r="103" spans="1:2" x14ac:dyDescent="0.55000000000000004">
      <c r="A103" t="s">
        <v>502</v>
      </c>
      <c r="B103" t="s">
        <v>504</v>
      </c>
    </row>
    <row r="104" spans="1:2" x14ac:dyDescent="0.55000000000000004">
      <c r="A104" t="s">
        <v>506</v>
      </c>
      <c r="B104" t="s">
        <v>504</v>
      </c>
    </row>
    <row r="105" spans="1:2" x14ac:dyDescent="0.55000000000000004">
      <c r="A105">
        <v>6</v>
      </c>
      <c r="B105" t="s">
        <v>42</v>
      </c>
    </row>
    <row r="106" spans="1:2" x14ac:dyDescent="0.55000000000000004">
      <c r="A106" t="s">
        <v>1064</v>
      </c>
      <c r="B106" t="s">
        <v>42</v>
      </c>
    </row>
    <row r="107" spans="1:2" x14ac:dyDescent="0.55000000000000004">
      <c r="A107" t="s">
        <v>123</v>
      </c>
      <c r="B107" t="s">
        <v>123</v>
      </c>
    </row>
    <row r="108" spans="1:2" x14ac:dyDescent="0.55000000000000004">
      <c r="A108" t="s">
        <v>124</v>
      </c>
      <c r="B108" t="s">
        <v>123</v>
      </c>
    </row>
    <row r="109" spans="1:2" x14ac:dyDescent="0.55000000000000004">
      <c r="A109" t="s">
        <v>125</v>
      </c>
      <c r="B109" t="s">
        <v>123</v>
      </c>
    </row>
    <row r="110" spans="1:2" x14ac:dyDescent="0.55000000000000004">
      <c r="A110" t="s">
        <v>126</v>
      </c>
      <c r="B110" t="s">
        <v>123</v>
      </c>
    </row>
    <row r="111" spans="1:2" x14ac:dyDescent="0.55000000000000004">
      <c r="A111" t="s">
        <v>181</v>
      </c>
      <c r="B111" t="s">
        <v>148</v>
      </c>
    </row>
    <row r="112" spans="1:2" x14ac:dyDescent="0.55000000000000004">
      <c r="A112" t="s">
        <v>456</v>
      </c>
      <c r="B112" t="s">
        <v>123</v>
      </c>
    </row>
    <row r="113" spans="1:2" x14ac:dyDescent="0.55000000000000004">
      <c r="A113" t="s">
        <v>106</v>
      </c>
      <c r="B113" t="s">
        <v>106</v>
      </c>
    </row>
    <row r="114" spans="1:2" x14ac:dyDescent="0.55000000000000004">
      <c r="A114" t="s">
        <v>107</v>
      </c>
      <c r="B114" t="s">
        <v>106</v>
      </c>
    </row>
    <row r="115" spans="1:2" x14ac:dyDescent="0.55000000000000004">
      <c r="A115" t="s">
        <v>108</v>
      </c>
      <c r="B115" t="s">
        <v>106</v>
      </c>
    </row>
    <row r="116" spans="1:2" x14ac:dyDescent="0.55000000000000004">
      <c r="A116" t="s">
        <v>109</v>
      </c>
      <c r="B116" t="s">
        <v>106</v>
      </c>
    </row>
    <row r="117" spans="1:2" x14ac:dyDescent="0.55000000000000004">
      <c r="A117" t="s">
        <v>110</v>
      </c>
      <c r="B117" t="s">
        <v>106</v>
      </c>
    </row>
    <row r="118" spans="1:2" x14ac:dyDescent="0.55000000000000004">
      <c r="A118" t="s">
        <v>127</v>
      </c>
      <c r="B118" t="s">
        <v>127</v>
      </c>
    </row>
    <row r="119" spans="1:2" x14ac:dyDescent="0.55000000000000004">
      <c r="A119" t="s">
        <v>983</v>
      </c>
      <c r="B119" t="s">
        <v>92</v>
      </c>
    </row>
    <row r="120" spans="1:2" x14ac:dyDescent="0.55000000000000004">
      <c r="A120" t="s">
        <v>490</v>
      </c>
      <c r="B120" t="s">
        <v>92</v>
      </c>
    </row>
    <row r="121" spans="1:2" x14ac:dyDescent="0.55000000000000004">
      <c r="A121" t="s">
        <v>494</v>
      </c>
      <c r="B121" t="s">
        <v>92</v>
      </c>
    </row>
    <row r="122" spans="1:2" x14ac:dyDescent="0.55000000000000004">
      <c r="A122" t="s">
        <v>499</v>
      </c>
      <c r="B122" t="s">
        <v>92</v>
      </c>
    </row>
    <row r="123" spans="1:2" x14ac:dyDescent="0.55000000000000004">
      <c r="A123" t="s">
        <v>531</v>
      </c>
      <c r="B123" t="s">
        <v>92</v>
      </c>
    </row>
    <row r="124" spans="1:2" x14ac:dyDescent="0.55000000000000004">
      <c r="A124" t="s">
        <v>533</v>
      </c>
      <c r="B124" t="s">
        <v>92</v>
      </c>
    </row>
    <row r="125" spans="1:2" x14ac:dyDescent="0.55000000000000004">
      <c r="A125" t="s">
        <v>535</v>
      </c>
      <c r="B125" t="s">
        <v>92</v>
      </c>
    </row>
    <row r="126" spans="1:2" x14ac:dyDescent="0.55000000000000004">
      <c r="A126" t="s">
        <v>5</v>
      </c>
      <c r="B126" t="s">
        <v>92</v>
      </c>
    </row>
    <row r="127" spans="1:2" x14ac:dyDescent="0.55000000000000004">
      <c r="A127" t="s">
        <v>92</v>
      </c>
      <c r="B127" t="s">
        <v>92</v>
      </c>
    </row>
    <row r="128" spans="1:2" x14ac:dyDescent="0.55000000000000004">
      <c r="A128" t="s">
        <v>344</v>
      </c>
      <c r="B128" t="s">
        <v>92</v>
      </c>
    </row>
    <row r="129" spans="1:2" x14ac:dyDescent="0.55000000000000004">
      <c r="A129" t="s">
        <v>800</v>
      </c>
      <c r="B129" t="s">
        <v>576</v>
      </c>
    </row>
    <row r="130" spans="1:2" x14ac:dyDescent="0.55000000000000004">
      <c r="A130" t="s">
        <v>874</v>
      </c>
      <c r="B130" t="s">
        <v>576</v>
      </c>
    </row>
    <row r="131" spans="1:2" x14ac:dyDescent="0.55000000000000004">
      <c r="A131" t="s">
        <v>806</v>
      </c>
      <c r="B131" t="s">
        <v>576</v>
      </c>
    </row>
    <row r="132" spans="1:2" x14ac:dyDescent="0.55000000000000004">
      <c r="A132" t="s">
        <v>813</v>
      </c>
      <c r="B132" t="s">
        <v>576</v>
      </c>
    </row>
    <row r="133" spans="1:2" x14ac:dyDescent="0.55000000000000004">
      <c r="A133" t="s">
        <v>769</v>
      </c>
      <c r="B133" t="s">
        <v>576</v>
      </c>
    </row>
    <row r="134" spans="1:2" x14ac:dyDescent="0.55000000000000004">
      <c r="A134" t="s">
        <v>724</v>
      </c>
      <c r="B134" t="s">
        <v>576</v>
      </c>
    </row>
    <row r="135" spans="1:2" x14ac:dyDescent="0.55000000000000004">
      <c r="A135" t="s">
        <v>667</v>
      </c>
      <c r="B135" t="s">
        <v>576</v>
      </c>
    </row>
    <row r="136" spans="1:2" x14ac:dyDescent="0.55000000000000004">
      <c r="A136" t="s">
        <v>1152</v>
      </c>
      <c r="B136" t="s">
        <v>992</v>
      </c>
    </row>
    <row r="137" spans="1:2" x14ac:dyDescent="0.55000000000000004">
      <c r="A137" t="s">
        <v>1182</v>
      </c>
      <c r="B137" t="s">
        <v>1059</v>
      </c>
    </row>
    <row r="138" spans="1:2" x14ac:dyDescent="0.55000000000000004">
      <c r="A138" t="s">
        <v>1202</v>
      </c>
      <c r="B138" t="s">
        <v>1514</v>
      </c>
    </row>
    <row r="139" spans="1:2" x14ac:dyDescent="0.55000000000000004">
      <c r="A139">
        <v>2</v>
      </c>
      <c r="B139" t="s">
        <v>1514</v>
      </c>
    </row>
    <row r="140" spans="1:2" x14ac:dyDescent="0.55000000000000004">
      <c r="A140" t="s">
        <v>1327</v>
      </c>
      <c r="B140" t="s">
        <v>1324</v>
      </c>
    </row>
    <row r="141" spans="1:2" x14ac:dyDescent="0.55000000000000004">
      <c r="A141" t="s">
        <v>1397</v>
      </c>
      <c r="B141" t="s">
        <v>576</v>
      </c>
    </row>
    <row r="142" spans="1:2" x14ac:dyDescent="0.55000000000000004">
      <c r="A142" t="s">
        <v>1409</v>
      </c>
      <c r="B142" t="s">
        <v>1416</v>
      </c>
    </row>
    <row r="143" spans="1:2" x14ac:dyDescent="0.55000000000000004">
      <c r="A143" t="s">
        <v>1411</v>
      </c>
      <c r="B143" t="s">
        <v>1416</v>
      </c>
    </row>
    <row r="144" spans="1:2" x14ac:dyDescent="0.55000000000000004">
      <c r="A144" t="s">
        <v>1414</v>
      </c>
      <c r="B144" t="s">
        <v>1416</v>
      </c>
    </row>
    <row r="145" spans="1:2" x14ac:dyDescent="0.55000000000000004">
      <c r="A145" t="s">
        <v>1419</v>
      </c>
      <c r="B145" t="s">
        <v>1416</v>
      </c>
    </row>
    <row r="146" spans="1:2" x14ac:dyDescent="0.55000000000000004">
      <c r="A146" t="s">
        <v>1421</v>
      </c>
      <c r="B146" t="s">
        <v>1416</v>
      </c>
    </row>
    <row r="147" spans="1:2" x14ac:dyDescent="0.55000000000000004">
      <c r="A147" t="s">
        <v>1423</v>
      </c>
      <c r="B147" t="s">
        <v>1227</v>
      </c>
    </row>
    <row r="148" spans="1:2" x14ac:dyDescent="0.55000000000000004">
      <c r="A148" t="s">
        <v>1424</v>
      </c>
      <c r="B148" t="s">
        <v>1227</v>
      </c>
    </row>
    <row r="149" spans="1:2" x14ac:dyDescent="0.55000000000000004">
      <c r="A149" t="s">
        <v>1458</v>
      </c>
      <c r="B149" t="s">
        <v>194</v>
      </c>
    </row>
    <row r="150" spans="1:2" x14ac:dyDescent="0.55000000000000004">
      <c r="A150" t="s">
        <v>1461</v>
      </c>
      <c r="B150" t="s">
        <v>1462</v>
      </c>
    </row>
    <row r="151" spans="1:2" x14ac:dyDescent="0.55000000000000004">
      <c r="A151" t="s">
        <v>1468</v>
      </c>
      <c r="B151" t="s">
        <v>576</v>
      </c>
    </row>
    <row r="152" spans="1:2" x14ac:dyDescent="0.55000000000000004">
      <c r="A152" t="s">
        <v>1469</v>
      </c>
      <c r="B152" t="s">
        <v>1416</v>
      </c>
    </row>
    <row r="153" spans="1:2" x14ac:dyDescent="0.55000000000000004">
      <c r="A153" t="s">
        <v>1470</v>
      </c>
      <c r="B153" t="s">
        <v>1416</v>
      </c>
    </row>
    <row r="154" spans="1:2" x14ac:dyDescent="0.55000000000000004">
      <c r="A154" t="s">
        <v>1471</v>
      </c>
      <c r="B154" t="s">
        <v>1416</v>
      </c>
    </row>
    <row r="155" spans="1:2" x14ac:dyDescent="0.55000000000000004">
      <c r="A155" t="s">
        <v>1473</v>
      </c>
      <c r="B155" t="s">
        <v>140</v>
      </c>
    </row>
    <row r="156" spans="1:2" x14ac:dyDescent="0.55000000000000004">
      <c r="A156" t="s">
        <v>1475</v>
      </c>
      <c r="B156" t="s">
        <v>140</v>
      </c>
    </row>
    <row r="157" spans="1:2" x14ac:dyDescent="0.55000000000000004">
      <c r="A157" t="s">
        <v>1485</v>
      </c>
      <c r="B157" t="s">
        <v>576</v>
      </c>
    </row>
    <row r="158" spans="1:2" x14ac:dyDescent="0.55000000000000004">
      <c r="A158" t="s">
        <v>1499</v>
      </c>
      <c r="B158" t="s">
        <v>576</v>
      </c>
    </row>
    <row r="159" spans="1:2" x14ac:dyDescent="0.55000000000000004">
      <c r="A159" t="s">
        <v>1517</v>
      </c>
      <c r="B159" t="s">
        <v>576</v>
      </c>
    </row>
    <row r="160" spans="1:2" x14ac:dyDescent="0.55000000000000004">
      <c r="A160" t="s">
        <v>1526</v>
      </c>
      <c r="B160" t="s">
        <v>576</v>
      </c>
    </row>
    <row r="161" spans="1:2" x14ac:dyDescent="0.55000000000000004">
      <c r="A161" t="s">
        <v>1540</v>
      </c>
      <c r="B161" t="s">
        <v>576</v>
      </c>
    </row>
    <row r="162" spans="1:2" x14ac:dyDescent="0.55000000000000004">
      <c r="A162" t="s">
        <v>1541</v>
      </c>
      <c r="B162" t="s">
        <v>576</v>
      </c>
    </row>
    <row r="163" spans="1:2" x14ac:dyDescent="0.55000000000000004">
      <c r="A163" t="s">
        <v>1543</v>
      </c>
      <c r="B163" t="s">
        <v>576</v>
      </c>
    </row>
    <row r="164" spans="1:2" x14ac:dyDescent="0.55000000000000004">
      <c r="A164" t="s">
        <v>1578</v>
      </c>
      <c r="B164" t="s">
        <v>576</v>
      </c>
    </row>
    <row r="165" spans="1:2" x14ac:dyDescent="0.55000000000000004">
      <c r="A165" t="s">
        <v>1581</v>
      </c>
      <c r="B165" t="s">
        <v>576</v>
      </c>
    </row>
    <row r="166" spans="1:2" x14ac:dyDescent="0.55000000000000004">
      <c r="A166" t="s">
        <v>1623</v>
      </c>
      <c r="B166" t="s">
        <v>576</v>
      </c>
    </row>
    <row r="167" spans="1:2" x14ac:dyDescent="0.55000000000000004">
      <c r="A167" t="s">
        <v>1647</v>
      </c>
      <c r="B167" t="s">
        <v>576</v>
      </c>
    </row>
    <row r="168" spans="1:2" x14ac:dyDescent="0.55000000000000004">
      <c r="A168" t="s">
        <v>1648</v>
      </c>
      <c r="B168" t="s">
        <v>576</v>
      </c>
    </row>
    <row r="169" spans="1:2" x14ac:dyDescent="0.55000000000000004">
      <c r="A169" t="s">
        <v>1679</v>
      </c>
      <c r="B169" t="s">
        <v>576</v>
      </c>
    </row>
    <row r="170" spans="1:2" x14ac:dyDescent="0.55000000000000004">
      <c r="A170" t="s">
        <v>1697</v>
      </c>
      <c r="B170" t="s">
        <v>576</v>
      </c>
    </row>
    <row r="171" spans="1:2" x14ac:dyDescent="0.55000000000000004">
      <c r="A171" t="s">
        <v>1698</v>
      </c>
      <c r="B171" t="s">
        <v>576</v>
      </c>
    </row>
    <row r="172" spans="1:2" x14ac:dyDescent="0.55000000000000004">
      <c r="A172" t="s">
        <v>1718</v>
      </c>
      <c r="B172" t="s">
        <v>576</v>
      </c>
    </row>
    <row r="173" spans="1:2" x14ac:dyDescent="0.55000000000000004">
      <c r="A173" t="s">
        <v>1730</v>
      </c>
      <c r="B173" t="s">
        <v>576</v>
      </c>
    </row>
    <row r="174" spans="1:2" x14ac:dyDescent="0.55000000000000004">
      <c r="A174" t="s">
        <v>1732</v>
      </c>
      <c r="B174" t="s">
        <v>1902</v>
      </c>
    </row>
    <row r="175" spans="1:2" x14ac:dyDescent="0.55000000000000004">
      <c r="A175" t="s">
        <v>1805</v>
      </c>
      <c r="B175" t="s">
        <v>576</v>
      </c>
    </row>
    <row r="176" spans="1:2" x14ac:dyDescent="0.55000000000000004">
      <c r="A176" t="s">
        <v>1806</v>
      </c>
      <c r="B176" t="s">
        <v>576</v>
      </c>
    </row>
    <row r="177" spans="1:2" x14ac:dyDescent="0.55000000000000004">
      <c r="A177" t="s">
        <v>1886</v>
      </c>
      <c r="B177" t="s">
        <v>576</v>
      </c>
    </row>
    <row r="178" spans="1:2" x14ac:dyDescent="0.55000000000000004">
      <c r="A178" t="s">
        <v>1534</v>
      </c>
      <c r="B178" t="s">
        <v>1901</v>
      </c>
    </row>
    <row r="179" spans="1:2" x14ac:dyDescent="0.55000000000000004">
      <c r="A179" t="s">
        <v>1549</v>
      </c>
      <c r="B179" t="s">
        <v>1902</v>
      </c>
    </row>
    <row r="180" spans="1:2" x14ac:dyDescent="0.55000000000000004">
      <c r="A180" t="s">
        <v>1656</v>
      </c>
      <c r="B180" t="s">
        <v>1903</v>
      </c>
    </row>
    <row r="181" spans="1:2" x14ac:dyDescent="0.55000000000000004">
      <c r="A181" t="s">
        <v>1675</v>
      </c>
      <c r="B181" t="s">
        <v>46</v>
      </c>
    </row>
    <row r="182" spans="1:2" x14ac:dyDescent="0.55000000000000004">
      <c r="A182" t="s">
        <v>1676</v>
      </c>
      <c r="B182" t="s">
        <v>46</v>
      </c>
    </row>
    <row r="183" spans="1:2" x14ac:dyDescent="0.55000000000000004">
      <c r="A183" t="s">
        <v>1703</v>
      </c>
      <c r="B183" t="s">
        <v>1904</v>
      </c>
    </row>
    <row r="184" spans="1:2" x14ac:dyDescent="0.55000000000000004">
      <c r="A184" t="s">
        <v>1705</v>
      </c>
      <c r="B184" t="s">
        <v>1904</v>
      </c>
    </row>
    <row r="185" spans="1:2" x14ac:dyDescent="0.55000000000000004">
      <c r="A185" t="s">
        <v>1720</v>
      </c>
      <c r="B185" t="s">
        <v>7</v>
      </c>
    </row>
    <row r="186" spans="1:2" x14ac:dyDescent="0.55000000000000004">
      <c r="A186" t="s">
        <v>1729</v>
      </c>
      <c r="B186" t="s">
        <v>576</v>
      </c>
    </row>
    <row r="187" spans="1:2" x14ac:dyDescent="0.55000000000000004">
      <c r="A187" t="s">
        <v>1734</v>
      </c>
      <c r="B187" t="s">
        <v>38</v>
      </c>
    </row>
    <row r="188" spans="1:2" x14ac:dyDescent="0.55000000000000004">
      <c r="A188" t="s">
        <v>1736</v>
      </c>
      <c r="B188" t="s">
        <v>38</v>
      </c>
    </row>
    <row r="189" spans="1:2" x14ac:dyDescent="0.55000000000000004">
      <c r="A189" t="s">
        <v>1737</v>
      </c>
      <c r="B189" t="s">
        <v>1904</v>
      </c>
    </row>
    <row r="190" spans="1:2" x14ac:dyDescent="0.55000000000000004">
      <c r="A190" t="s">
        <v>1773</v>
      </c>
      <c r="B190" t="s">
        <v>40</v>
      </c>
    </row>
    <row r="191" spans="1:2" x14ac:dyDescent="0.55000000000000004">
      <c r="A191" t="s">
        <v>1815</v>
      </c>
      <c r="B191" t="s">
        <v>38</v>
      </c>
    </row>
    <row r="192" spans="1:2" x14ac:dyDescent="0.55000000000000004">
      <c r="A192" t="s">
        <v>1818</v>
      </c>
      <c r="B192" t="s">
        <v>38</v>
      </c>
    </row>
    <row r="193" spans="1:2" x14ac:dyDescent="0.55000000000000004">
      <c r="A193" t="s">
        <v>2336</v>
      </c>
      <c r="B193" t="s">
        <v>576</v>
      </c>
    </row>
    <row r="194" spans="1:2" x14ac:dyDescent="0.55000000000000004">
      <c r="A194" t="s">
        <v>2583</v>
      </c>
      <c r="B194" t="s">
        <v>576</v>
      </c>
    </row>
    <row r="195" spans="1:2" x14ac:dyDescent="0.55000000000000004">
      <c r="A195" t="s">
        <v>2558</v>
      </c>
      <c r="B195" t="s">
        <v>44</v>
      </c>
    </row>
    <row r="196" spans="1:2" x14ac:dyDescent="0.55000000000000004">
      <c r="A196" t="s">
        <v>2559</v>
      </c>
      <c r="B196" t="s">
        <v>44</v>
      </c>
    </row>
    <row r="197" spans="1:2" x14ac:dyDescent="0.55000000000000004">
      <c r="A197" t="s">
        <v>2560</v>
      </c>
      <c r="B197" t="s">
        <v>44</v>
      </c>
    </row>
    <row r="198" spans="1:2" x14ac:dyDescent="0.55000000000000004">
      <c r="A198" t="s">
        <v>2561</v>
      </c>
      <c r="B198" t="s">
        <v>44</v>
      </c>
    </row>
    <row r="199" spans="1:2" x14ac:dyDescent="0.55000000000000004">
      <c r="A199" t="s">
        <v>2562</v>
      </c>
      <c r="B199" t="s">
        <v>44</v>
      </c>
    </row>
    <row r="200" spans="1:2" x14ac:dyDescent="0.55000000000000004">
      <c r="A200" t="s">
        <v>2564</v>
      </c>
      <c r="B200" t="s">
        <v>44</v>
      </c>
    </row>
    <row r="201" spans="1:2" x14ac:dyDescent="0.55000000000000004">
      <c r="A201" t="s">
        <v>2565</v>
      </c>
      <c r="B201" t="s">
        <v>44</v>
      </c>
    </row>
    <row r="202" spans="1:2" x14ac:dyDescent="0.55000000000000004">
      <c r="A202" t="s">
        <v>2725</v>
      </c>
      <c r="B202" t="s">
        <v>2725</v>
      </c>
    </row>
    <row r="203" spans="1:2" x14ac:dyDescent="0.55000000000000004">
      <c r="A203" t="s">
        <v>2722</v>
      </c>
      <c r="B203" t="s">
        <v>576</v>
      </c>
    </row>
    <row r="204" spans="1:2" x14ac:dyDescent="0.55000000000000004">
      <c r="A204" t="s">
        <v>2857</v>
      </c>
      <c r="B204" t="s">
        <v>2859</v>
      </c>
    </row>
    <row r="205" spans="1:2" x14ac:dyDescent="0.55000000000000004">
      <c r="A205" t="s">
        <v>2978</v>
      </c>
      <c r="B205" t="s">
        <v>576</v>
      </c>
    </row>
    <row r="206" spans="1:2" x14ac:dyDescent="0.55000000000000004">
      <c r="A206" t="s">
        <v>2975</v>
      </c>
      <c r="B206" t="s">
        <v>576</v>
      </c>
    </row>
    <row r="207" spans="1:2" x14ac:dyDescent="0.55000000000000004">
      <c r="A207" t="s">
        <v>2981</v>
      </c>
      <c r="B207" t="s">
        <v>38</v>
      </c>
    </row>
    <row r="208" spans="1:2" x14ac:dyDescent="0.55000000000000004">
      <c r="A208" t="s">
        <v>2985</v>
      </c>
      <c r="B208" t="s">
        <v>38</v>
      </c>
    </row>
    <row r="209" spans="1:2" x14ac:dyDescent="0.55000000000000004">
      <c r="A209" t="s">
        <v>3002</v>
      </c>
      <c r="B209" t="s">
        <v>3002</v>
      </c>
    </row>
    <row r="210" spans="1:2" x14ac:dyDescent="0.55000000000000004">
      <c r="A210" t="s">
        <v>3023</v>
      </c>
      <c r="B210" t="s">
        <v>38</v>
      </c>
    </row>
    <row r="211" spans="1:2" x14ac:dyDescent="0.55000000000000004">
      <c r="A211" t="s">
        <v>3024</v>
      </c>
      <c r="B211" t="s">
        <v>3054</v>
      </c>
    </row>
    <row r="212" spans="1:2" x14ac:dyDescent="0.55000000000000004">
      <c r="A212" t="s">
        <v>3039</v>
      </c>
      <c r="B212" t="s">
        <v>3055</v>
      </c>
    </row>
    <row r="213" spans="1:2" x14ac:dyDescent="0.55000000000000004">
      <c r="A213" t="s">
        <v>3041</v>
      </c>
      <c r="B213" t="s">
        <v>3055</v>
      </c>
    </row>
    <row r="214" spans="1:2" x14ac:dyDescent="0.55000000000000004">
      <c r="A214" t="s">
        <v>3043</v>
      </c>
      <c r="B214" t="s">
        <v>3055</v>
      </c>
    </row>
    <row r="215" spans="1:2" x14ac:dyDescent="0.55000000000000004">
      <c r="A215" t="s">
        <v>3046</v>
      </c>
      <c r="B215" t="s">
        <v>3055</v>
      </c>
    </row>
    <row r="216" spans="1:2" x14ac:dyDescent="0.55000000000000004">
      <c r="A216" t="s">
        <v>3442</v>
      </c>
      <c r="B216" t="s">
        <v>576</v>
      </c>
    </row>
    <row r="217" spans="1:2" x14ac:dyDescent="0.55000000000000004">
      <c r="A217" t="s">
        <v>3448</v>
      </c>
      <c r="B217" t="s">
        <v>576</v>
      </c>
    </row>
  </sheetData>
  <sortState xmlns:xlrd2="http://schemas.microsoft.com/office/spreadsheetml/2017/richdata2" ref="A1:B140">
    <sortCondition ref="B1:B140"/>
  </sortState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6489D-906D-4653-A72A-9A8EB71951EF}">
  <sheetPr codeName="Sheet13"/>
  <dimension ref="A1:B468"/>
  <sheetViews>
    <sheetView topLeftCell="A487" workbookViewId="0">
      <selection activeCell="A487" sqref="A1:B1048576"/>
    </sheetView>
  </sheetViews>
  <sheetFormatPr defaultRowHeight="18" x14ac:dyDescent="0.55000000000000004"/>
  <sheetData>
    <row r="1" spans="1:2" x14ac:dyDescent="0.55000000000000004">
      <c r="A1" t="s">
        <v>414</v>
      </c>
      <c r="B1" t="s">
        <v>3</v>
      </c>
    </row>
    <row r="2" spans="1:2" x14ac:dyDescent="0.55000000000000004">
      <c r="A2" t="s">
        <v>416</v>
      </c>
      <c r="B2" t="s">
        <v>415</v>
      </c>
    </row>
    <row r="3" spans="1:2" x14ac:dyDescent="0.55000000000000004">
      <c r="A3" t="s">
        <v>415</v>
      </c>
      <c r="B3" t="s">
        <v>415</v>
      </c>
    </row>
    <row r="4" spans="1:2" x14ac:dyDescent="0.55000000000000004">
      <c r="A4" t="s">
        <v>417</v>
      </c>
      <c r="B4" t="s">
        <v>435</v>
      </c>
    </row>
    <row r="5" spans="1:2" x14ac:dyDescent="0.55000000000000004">
      <c r="A5" t="s">
        <v>418</v>
      </c>
      <c r="B5" t="s">
        <v>436</v>
      </c>
    </row>
    <row r="6" spans="1:2" x14ac:dyDescent="0.55000000000000004">
      <c r="A6" t="s">
        <v>419</v>
      </c>
      <c r="B6" t="s">
        <v>436</v>
      </c>
    </row>
    <row r="7" spans="1:2" x14ac:dyDescent="0.55000000000000004">
      <c r="A7" t="s">
        <v>421</v>
      </c>
      <c r="B7" t="s">
        <v>436</v>
      </c>
    </row>
    <row r="8" spans="1:2" x14ac:dyDescent="0.55000000000000004">
      <c r="A8" t="s">
        <v>422</v>
      </c>
      <c r="B8" t="s">
        <v>436</v>
      </c>
    </row>
    <row r="9" spans="1:2" x14ac:dyDescent="0.55000000000000004">
      <c r="A9" t="s">
        <v>423</v>
      </c>
      <c r="B9" t="s">
        <v>436</v>
      </c>
    </row>
    <row r="10" spans="1:2" x14ac:dyDescent="0.55000000000000004">
      <c r="A10" t="s">
        <v>424</v>
      </c>
      <c r="B10" t="s">
        <v>436</v>
      </c>
    </row>
    <row r="11" spans="1:2" x14ac:dyDescent="0.55000000000000004">
      <c r="A11" t="s">
        <v>420</v>
      </c>
      <c r="B11" t="s">
        <v>436</v>
      </c>
    </row>
    <row r="12" spans="1:2" x14ac:dyDescent="0.55000000000000004">
      <c r="A12" t="s">
        <v>425</v>
      </c>
      <c r="B12" t="s">
        <v>436</v>
      </c>
    </row>
    <row r="13" spans="1:2" x14ac:dyDescent="0.55000000000000004">
      <c r="A13" t="s">
        <v>426</v>
      </c>
      <c r="B13" t="s">
        <v>436</v>
      </c>
    </row>
    <row r="14" spans="1:2" x14ac:dyDescent="0.55000000000000004">
      <c r="A14" t="s">
        <v>427</v>
      </c>
      <c r="B14" t="s">
        <v>436</v>
      </c>
    </row>
    <row r="15" spans="1:2" x14ac:dyDescent="0.55000000000000004">
      <c r="A15" t="s">
        <v>428</v>
      </c>
      <c r="B15" t="s">
        <v>436</v>
      </c>
    </row>
    <row r="16" spans="1:2" x14ac:dyDescent="0.55000000000000004">
      <c r="A16" t="s">
        <v>429</v>
      </c>
      <c r="B16" t="s">
        <v>436</v>
      </c>
    </row>
    <row r="17" spans="1:2" x14ac:dyDescent="0.55000000000000004">
      <c r="A17" t="s">
        <v>430</v>
      </c>
      <c r="B17" t="s">
        <v>436</v>
      </c>
    </row>
    <row r="18" spans="1:2" x14ac:dyDescent="0.55000000000000004">
      <c r="A18" t="s">
        <v>431</v>
      </c>
      <c r="B18" t="s">
        <v>436</v>
      </c>
    </row>
    <row r="19" spans="1:2" x14ac:dyDescent="0.55000000000000004">
      <c r="A19" t="s">
        <v>432</v>
      </c>
      <c r="B19" t="s">
        <v>436</v>
      </c>
    </row>
    <row r="20" spans="1:2" x14ac:dyDescent="0.55000000000000004">
      <c r="A20" t="s">
        <v>433</v>
      </c>
      <c r="B20" t="s">
        <v>436</v>
      </c>
    </row>
    <row r="21" spans="1:2" x14ac:dyDescent="0.55000000000000004">
      <c r="A21" t="s">
        <v>434</v>
      </c>
      <c r="B21" t="s">
        <v>436</v>
      </c>
    </row>
    <row r="22" spans="1:2" x14ac:dyDescent="0.55000000000000004">
      <c r="A22" t="s">
        <v>654</v>
      </c>
      <c r="B22" t="s">
        <v>217</v>
      </c>
    </row>
    <row r="23" spans="1:2" x14ac:dyDescent="0.55000000000000004">
      <c r="A23" t="s">
        <v>655</v>
      </c>
      <c r="B23" t="s">
        <v>217</v>
      </c>
    </row>
    <row r="24" spans="1:2" x14ac:dyDescent="0.55000000000000004">
      <c r="A24" t="s">
        <v>659</v>
      </c>
      <c r="B24" t="s">
        <v>1082</v>
      </c>
    </row>
    <row r="25" spans="1:2" x14ac:dyDescent="0.55000000000000004">
      <c r="A25" t="s">
        <v>661</v>
      </c>
      <c r="B25" t="s">
        <v>1082</v>
      </c>
    </row>
    <row r="26" spans="1:2" x14ac:dyDescent="0.55000000000000004">
      <c r="A26" t="s">
        <v>662</v>
      </c>
      <c r="B26" t="s">
        <v>1082</v>
      </c>
    </row>
    <row r="27" spans="1:2" x14ac:dyDescent="0.55000000000000004">
      <c r="A27" t="s">
        <v>663</v>
      </c>
      <c r="B27" t="s">
        <v>1082</v>
      </c>
    </row>
    <row r="28" spans="1:2" x14ac:dyDescent="0.55000000000000004">
      <c r="A28" t="s">
        <v>666</v>
      </c>
      <c r="B28" t="s">
        <v>1082</v>
      </c>
    </row>
    <row r="29" spans="1:2" x14ac:dyDescent="0.55000000000000004">
      <c r="A29" t="s">
        <v>668</v>
      </c>
      <c r="B29" t="s">
        <v>1082</v>
      </c>
    </row>
    <row r="30" spans="1:2" x14ac:dyDescent="0.55000000000000004">
      <c r="A30" t="s">
        <v>671</v>
      </c>
      <c r="B30" t="s">
        <v>1082</v>
      </c>
    </row>
    <row r="31" spans="1:2" x14ac:dyDescent="0.55000000000000004">
      <c r="A31" t="s">
        <v>674</v>
      </c>
      <c r="B31" t="s">
        <v>1082</v>
      </c>
    </row>
    <row r="32" spans="1:2" x14ac:dyDescent="0.55000000000000004">
      <c r="A32" t="s">
        <v>676</v>
      </c>
      <c r="B32" t="s">
        <v>1082</v>
      </c>
    </row>
    <row r="33" spans="1:2" x14ac:dyDescent="0.55000000000000004">
      <c r="A33" t="s">
        <v>678</v>
      </c>
      <c r="B33" t="s">
        <v>1082</v>
      </c>
    </row>
    <row r="34" spans="1:2" x14ac:dyDescent="0.55000000000000004">
      <c r="A34" t="s">
        <v>680</v>
      </c>
      <c r="B34" t="s">
        <v>1082</v>
      </c>
    </row>
    <row r="35" spans="1:2" x14ac:dyDescent="0.55000000000000004">
      <c r="A35" t="s">
        <v>683</v>
      </c>
      <c r="B35" t="s">
        <v>1082</v>
      </c>
    </row>
    <row r="36" spans="1:2" x14ac:dyDescent="0.55000000000000004">
      <c r="A36" t="s">
        <v>685</v>
      </c>
      <c r="B36" t="s">
        <v>1082</v>
      </c>
    </row>
    <row r="37" spans="1:2" x14ac:dyDescent="0.55000000000000004">
      <c r="A37" t="s">
        <v>688</v>
      </c>
      <c r="B37" t="s">
        <v>1082</v>
      </c>
    </row>
    <row r="38" spans="1:2" x14ac:dyDescent="0.55000000000000004">
      <c r="A38" t="s">
        <v>691</v>
      </c>
      <c r="B38" t="s">
        <v>1082</v>
      </c>
    </row>
    <row r="39" spans="1:2" x14ac:dyDescent="0.55000000000000004">
      <c r="A39" t="s">
        <v>694</v>
      </c>
      <c r="B39" t="s">
        <v>1082</v>
      </c>
    </row>
    <row r="40" spans="1:2" x14ac:dyDescent="0.55000000000000004">
      <c r="A40" t="s">
        <v>697</v>
      </c>
      <c r="B40" t="s">
        <v>1082</v>
      </c>
    </row>
    <row r="41" spans="1:2" x14ac:dyDescent="0.55000000000000004">
      <c r="A41" t="s">
        <v>699</v>
      </c>
      <c r="B41" t="s">
        <v>1082</v>
      </c>
    </row>
    <row r="42" spans="1:2" x14ac:dyDescent="0.55000000000000004">
      <c r="A42" t="s">
        <v>701</v>
      </c>
      <c r="B42" t="s">
        <v>1082</v>
      </c>
    </row>
    <row r="43" spans="1:2" x14ac:dyDescent="0.55000000000000004">
      <c r="A43" t="s">
        <v>704</v>
      </c>
      <c r="B43" t="s">
        <v>1082</v>
      </c>
    </row>
    <row r="44" spans="1:2" x14ac:dyDescent="0.55000000000000004">
      <c r="A44" t="s">
        <v>706</v>
      </c>
      <c r="B44" t="s">
        <v>1082</v>
      </c>
    </row>
    <row r="45" spans="1:2" x14ac:dyDescent="0.55000000000000004">
      <c r="A45" t="s">
        <v>709</v>
      </c>
      <c r="B45" t="s">
        <v>218</v>
      </c>
    </row>
    <row r="46" spans="1:2" x14ac:dyDescent="0.55000000000000004">
      <c r="A46" t="s">
        <v>711</v>
      </c>
      <c r="B46" t="s">
        <v>218</v>
      </c>
    </row>
    <row r="47" spans="1:2" x14ac:dyDescent="0.55000000000000004">
      <c r="A47" t="s">
        <v>713</v>
      </c>
      <c r="B47" t="s">
        <v>218</v>
      </c>
    </row>
    <row r="48" spans="1:2" x14ac:dyDescent="0.55000000000000004">
      <c r="A48" t="s">
        <v>715</v>
      </c>
      <c r="B48" t="s">
        <v>218</v>
      </c>
    </row>
    <row r="49" spans="1:2" x14ac:dyDescent="0.55000000000000004">
      <c r="A49" t="s">
        <v>719</v>
      </c>
      <c r="B49" t="s">
        <v>218</v>
      </c>
    </row>
    <row r="50" spans="1:2" x14ac:dyDescent="0.55000000000000004">
      <c r="A50" t="s">
        <v>721</v>
      </c>
      <c r="B50" t="s">
        <v>218</v>
      </c>
    </row>
    <row r="51" spans="1:2" x14ac:dyDescent="0.55000000000000004">
      <c r="A51" t="s">
        <v>730</v>
      </c>
      <c r="B51" t="s">
        <v>218</v>
      </c>
    </row>
    <row r="52" spans="1:2" x14ac:dyDescent="0.55000000000000004">
      <c r="A52" t="s">
        <v>738</v>
      </c>
      <c r="B52" t="s">
        <v>218</v>
      </c>
    </row>
    <row r="53" spans="1:2" x14ac:dyDescent="0.55000000000000004">
      <c r="A53" t="s">
        <v>742</v>
      </c>
      <c r="B53" t="s">
        <v>219</v>
      </c>
    </row>
    <row r="54" spans="1:2" x14ac:dyDescent="0.55000000000000004">
      <c r="A54" t="s">
        <v>744</v>
      </c>
      <c r="B54" t="s">
        <v>219</v>
      </c>
    </row>
    <row r="55" spans="1:2" x14ac:dyDescent="0.55000000000000004">
      <c r="A55" t="s">
        <v>746</v>
      </c>
      <c r="B55" t="s">
        <v>219</v>
      </c>
    </row>
    <row r="56" spans="1:2" x14ac:dyDescent="0.55000000000000004">
      <c r="A56" t="s">
        <v>748</v>
      </c>
      <c r="B56" t="s">
        <v>219</v>
      </c>
    </row>
    <row r="57" spans="1:2" x14ac:dyDescent="0.55000000000000004">
      <c r="A57" t="s">
        <v>749</v>
      </c>
      <c r="B57" t="s">
        <v>219</v>
      </c>
    </row>
    <row r="58" spans="1:2" x14ac:dyDescent="0.55000000000000004">
      <c r="A58" t="s">
        <v>750</v>
      </c>
      <c r="B58" t="s">
        <v>219</v>
      </c>
    </row>
    <row r="59" spans="1:2" x14ac:dyDescent="0.55000000000000004">
      <c r="A59" t="s">
        <v>752</v>
      </c>
      <c r="B59" t="s">
        <v>219</v>
      </c>
    </row>
    <row r="60" spans="1:2" x14ac:dyDescent="0.55000000000000004">
      <c r="A60" t="s">
        <v>753</v>
      </c>
      <c r="B60" t="s">
        <v>219</v>
      </c>
    </row>
    <row r="61" spans="1:2" x14ac:dyDescent="0.55000000000000004">
      <c r="A61" t="s">
        <v>755</v>
      </c>
      <c r="B61" t="s">
        <v>219</v>
      </c>
    </row>
    <row r="62" spans="1:2" x14ac:dyDescent="0.55000000000000004">
      <c r="A62" t="s">
        <v>757</v>
      </c>
      <c r="B62" t="s">
        <v>219</v>
      </c>
    </row>
    <row r="63" spans="1:2" x14ac:dyDescent="0.55000000000000004">
      <c r="A63" t="s">
        <v>759</v>
      </c>
      <c r="B63" t="s">
        <v>219</v>
      </c>
    </row>
    <row r="64" spans="1:2" x14ac:dyDescent="0.55000000000000004">
      <c r="A64" t="s">
        <v>763</v>
      </c>
      <c r="B64" t="s">
        <v>219</v>
      </c>
    </row>
    <row r="65" spans="1:2" x14ac:dyDescent="0.55000000000000004">
      <c r="A65" t="s">
        <v>765</v>
      </c>
      <c r="B65" t="s">
        <v>219</v>
      </c>
    </row>
    <row r="66" spans="1:2" x14ac:dyDescent="0.55000000000000004">
      <c r="A66" t="s">
        <v>767</v>
      </c>
      <c r="B66" t="s">
        <v>219</v>
      </c>
    </row>
    <row r="67" spans="1:2" x14ac:dyDescent="0.55000000000000004">
      <c r="A67" t="s">
        <v>771</v>
      </c>
      <c r="B67" t="s">
        <v>1083</v>
      </c>
    </row>
    <row r="68" spans="1:2" x14ac:dyDescent="0.55000000000000004">
      <c r="A68" t="s">
        <v>774</v>
      </c>
      <c r="B68" t="s">
        <v>220</v>
      </c>
    </row>
    <row r="69" spans="1:2" x14ac:dyDescent="0.55000000000000004">
      <c r="A69" t="s">
        <v>776</v>
      </c>
      <c r="B69" t="s">
        <v>220</v>
      </c>
    </row>
    <row r="70" spans="1:2" x14ac:dyDescent="0.55000000000000004">
      <c r="A70" t="s">
        <v>777</v>
      </c>
      <c r="B70" t="s">
        <v>220</v>
      </c>
    </row>
    <row r="71" spans="1:2" x14ac:dyDescent="0.55000000000000004">
      <c r="A71" t="s">
        <v>778</v>
      </c>
      <c r="B71" t="s">
        <v>220</v>
      </c>
    </row>
    <row r="72" spans="1:2" x14ac:dyDescent="0.55000000000000004">
      <c r="A72" t="s">
        <v>780</v>
      </c>
      <c r="B72" t="s">
        <v>220</v>
      </c>
    </row>
    <row r="73" spans="1:2" x14ac:dyDescent="0.55000000000000004">
      <c r="A73" t="s">
        <v>782</v>
      </c>
      <c r="B73" t="s">
        <v>220</v>
      </c>
    </row>
    <row r="74" spans="1:2" x14ac:dyDescent="0.55000000000000004">
      <c r="A74" t="s">
        <v>783</v>
      </c>
      <c r="B74" t="s">
        <v>220</v>
      </c>
    </row>
    <row r="75" spans="1:2" x14ac:dyDescent="0.55000000000000004">
      <c r="A75" t="s">
        <v>784</v>
      </c>
      <c r="B75" t="s">
        <v>220</v>
      </c>
    </row>
    <row r="76" spans="1:2" x14ac:dyDescent="0.55000000000000004">
      <c r="A76" t="s">
        <v>785</v>
      </c>
      <c r="B76" t="s">
        <v>220</v>
      </c>
    </row>
    <row r="77" spans="1:2" x14ac:dyDescent="0.55000000000000004">
      <c r="A77" t="s">
        <v>786</v>
      </c>
      <c r="B77" t="s">
        <v>220</v>
      </c>
    </row>
    <row r="78" spans="1:2" x14ac:dyDescent="0.55000000000000004">
      <c r="A78" t="s">
        <v>787</v>
      </c>
      <c r="B78" t="s">
        <v>220</v>
      </c>
    </row>
    <row r="79" spans="1:2" x14ac:dyDescent="0.55000000000000004">
      <c r="A79" t="s">
        <v>790</v>
      </c>
      <c r="B79" t="s">
        <v>220</v>
      </c>
    </row>
    <row r="80" spans="1:2" x14ac:dyDescent="0.55000000000000004">
      <c r="A80" t="s">
        <v>793</v>
      </c>
      <c r="B80" t="s">
        <v>220</v>
      </c>
    </row>
    <row r="81" spans="1:2" x14ac:dyDescent="0.55000000000000004">
      <c r="A81" t="s">
        <v>795</v>
      </c>
      <c r="B81" t="s">
        <v>220</v>
      </c>
    </row>
    <row r="82" spans="1:2" x14ac:dyDescent="0.55000000000000004">
      <c r="A82" t="s">
        <v>798</v>
      </c>
      <c r="B82" t="s">
        <v>220</v>
      </c>
    </row>
    <row r="83" spans="1:2" x14ac:dyDescent="0.55000000000000004">
      <c r="A83" t="s">
        <v>801</v>
      </c>
      <c r="B83" t="s">
        <v>221</v>
      </c>
    </row>
    <row r="84" spans="1:2" x14ac:dyDescent="0.55000000000000004">
      <c r="A84" t="s">
        <v>804</v>
      </c>
      <c r="B84" t="s">
        <v>221</v>
      </c>
    </row>
    <row r="85" spans="1:2" x14ac:dyDescent="0.55000000000000004">
      <c r="A85" t="s">
        <v>808</v>
      </c>
      <c r="B85" t="s">
        <v>221</v>
      </c>
    </row>
    <row r="86" spans="1:2" x14ac:dyDescent="0.55000000000000004">
      <c r="A86" t="s">
        <v>811</v>
      </c>
      <c r="B86" t="s">
        <v>221</v>
      </c>
    </row>
    <row r="87" spans="1:2" x14ac:dyDescent="0.55000000000000004">
      <c r="A87" t="s">
        <v>815</v>
      </c>
      <c r="B87" t="s">
        <v>221</v>
      </c>
    </row>
    <row r="88" spans="1:2" x14ac:dyDescent="0.55000000000000004">
      <c r="A88" t="s">
        <v>817</v>
      </c>
      <c r="B88" t="s">
        <v>221</v>
      </c>
    </row>
    <row r="89" spans="1:2" x14ac:dyDescent="0.55000000000000004">
      <c r="A89" t="s">
        <v>818</v>
      </c>
      <c r="B89" t="s">
        <v>221</v>
      </c>
    </row>
    <row r="90" spans="1:2" x14ac:dyDescent="0.55000000000000004">
      <c r="A90" t="s">
        <v>819</v>
      </c>
      <c r="B90" t="s">
        <v>221</v>
      </c>
    </row>
    <row r="91" spans="1:2" x14ac:dyDescent="0.55000000000000004">
      <c r="A91" t="s">
        <v>820</v>
      </c>
      <c r="B91" t="s">
        <v>221</v>
      </c>
    </row>
    <row r="92" spans="1:2" x14ac:dyDescent="0.55000000000000004">
      <c r="A92" t="s">
        <v>821</v>
      </c>
      <c r="B92" t="s">
        <v>221</v>
      </c>
    </row>
    <row r="93" spans="1:2" x14ac:dyDescent="0.55000000000000004">
      <c r="A93" t="s">
        <v>822</v>
      </c>
      <c r="B93" t="s">
        <v>221</v>
      </c>
    </row>
    <row r="94" spans="1:2" x14ac:dyDescent="0.55000000000000004">
      <c r="A94" t="s">
        <v>823</v>
      </c>
      <c r="B94" t="s">
        <v>221</v>
      </c>
    </row>
    <row r="95" spans="1:2" x14ac:dyDescent="0.55000000000000004">
      <c r="A95" t="s">
        <v>825</v>
      </c>
      <c r="B95" t="s">
        <v>221</v>
      </c>
    </row>
    <row r="96" spans="1:2" x14ac:dyDescent="0.55000000000000004">
      <c r="A96" t="s">
        <v>831</v>
      </c>
      <c r="B96" t="s">
        <v>221</v>
      </c>
    </row>
    <row r="97" spans="1:2" x14ac:dyDescent="0.55000000000000004">
      <c r="A97" t="s">
        <v>833</v>
      </c>
      <c r="B97" t="s">
        <v>221</v>
      </c>
    </row>
    <row r="98" spans="1:2" x14ac:dyDescent="0.55000000000000004">
      <c r="A98" t="s">
        <v>837</v>
      </c>
      <c r="B98" t="s">
        <v>221</v>
      </c>
    </row>
    <row r="99" spans="1:2" x14ac:dyDescent="0.55000000000000004">
      <c r="A99" t="s">
        <v>839</v>
      </c>
      <c r="B99" t="s">
        <v>221</v>
      </c>
    </row>
    <row r="100" spans="1:2" x14ac:dyDescent="0.55000000000000004">
      <c r="A100" t="s">
        <v>842</v>
      </c>
      <c r="B100" t="s">
        <v>221</v>
      </c>
    </row>
    <row r="101" spans="1:2" x14ac:dyDescent="0.55000000000000004">
      <c r="A101" t="s">
        <v>845</v>
      </c>
      <c r="B101" t="s">
        <v>221</v>
      </c>
    </row>
    <row r="102" spans="1:2" x14ac:dyDescent="0.55000000000000004">
      <c r="A102" t="s">
        <v>847</v>
      </c>
      <c r="B102" t="s">
        <v>232</v>
      </c>
    </row>
    <row r="103" spans="1:2" x14ac:dyDescent="0.55000000000000004">
      <c r="A103" t="s">
        <v>848</v>
      </c>
      <c r="B103" t="s">
        <v>232</v>
      </c>
    </row>
    <row r="104" spans="1:2" x14ac:dyDescent="0.55000000000000004">
      <c r="A104" t="s">
        <v>849</v>
      </c>
      <c r="B104" t="s">
        <v>232</v>
      </c>
    </row>
    <row r="105" spans="1:2" x14ac:dyDescent="0.55000000000000004">
      <c r="A105" t="s">
        <v>851</v>
      </c>
      <c r="B105" t="s">
        <v>232</v>
      </c>
    </row>
    <row r="106" spans="1:2" x14ac:dyDescent="0.55000000000000004">
      <c r="A106" t="s">
        <v>852</v>
      </c>
      <c r="B106" t="s">
        <v>232</v>
      </c>
    </row>
    <row r="107" spans="1:2" x14ac:dyDescent="0.55000000000000004">
      <c r="A107" t="s">
        <v>854</v>
      </c>
      <c r="B107" t="s">
        <v>232</v>
      </c>
    </row>
    <row r="108" spans="1:2" x14ac:dyDescent="0.55000000000000004">
      <c r="A108" t="s">
        <v>855</v>
      </c>
      <c r="B108" t="s">
        <v>232</v>
      </c>
    </row>
    <row r="109" spans="1:2" x14ac:dyDescent="0.55000000000000004">
      <c r="A109" t="s">
        <v>856</v>
      </c>
      <c r="B109" t="s">
        <v>232</v>
      </c>
    </row>
    <row r="110" spans="1:2" x14ac:dyDescent="0.55000000000000004">
      <c r="A110" t="s">
        <v>857</v>
      </c>
      <c r="B110" t="s">
        <v>232</v>
      </c>
    </row>
    <row r="111" spans="1:2" x14ac:dyDescent="0.55000000000000004">
      <c r="A111" t="s">
        <v>859</v>
      </c>
      <c r="B111" t="s">
        <v>232</v>
      </c>
    </row>
    <row r="112" spans="1:2" x14ac:dyDescent="0.55000000000000004">
      <c r="A112" t="s">
        <v>861</v>
      </c>
      <c r="B112" t="s">
        <v>232</v>
      </c>
    </row>
    <row r="113" spans="1:2" x14ac:dyDescent="0.55000000000000004">
      <c r="A113" t="s">
        <v>864</v>
      </c>
      <c r="B113" t="s">
        <v>232</v>
      </c>
    </row>
    <row r="114" spans="1:2" x14ac:dyDescent="0.55000000000000004">
      <c r="A114" t="s">
        <v>866</v>
      </c>
      <c r="B114" t="s">
        <v>232</v>
      </c>
    </row>
    <row r="115" spans="1:2" x14ac:dyDescent="0.55000000000000004">
      <c r="A115" t="s">
        <v>869</v>
      </c>
      <c r="B115" t="s">
        <v>232</v>
      </c>
    </row>
    <row r="116" spans="1:2" x14ac:dyDescent="0.55000000000000004">
      <c r="A116" t="s">
        <v>872</v>
      </c>
      <c r="B116" t="s">
        <v>232</v>
      </c>
    </row>
    <row r="117" spans="1:2" x14ac:dyDescent="0.55000000000000004">
      <c r="A117" t="s">
        <v>876</v>
      </c>
      <c r="B117" t="s">
        <v>232</v>
      </c>
    </row>
    <row r="118" spans="1:2" x14ac:dyDescent="0.55000000000000004">
      <c r="A118" t="s">
        <v>879</v>
      </c>
      <c r="B118" t="s">
        <v>232</v>
      </c>
    </row>
    <row r="119" spans="1:2" x14ac:dyDescent="0.55000000000000004">
      <c r="A119" t="s">
        <v>882</v>
      </c>
      <c r="B119" t="s">
        <v>232</v>
      </c>
    </row>
    <row r="120" spans="1:2" x14ac:dyDescent="0.55000000000000004">
      <c r="A120" t="s">
        <v>885</v>
      </c>
      <c r="B120" t="s">
        <v>232</v>
      </c>
    </row>
    <row r="121" spans="1:2" x14ac:dyDescent="0.55000000000000004">
      <c r="A121" t="s">
        <v>887</v>
      </c>
      <c r="B121" t="s">
        <v>232</v>
      </c>
    </row>
    <row r="122" spans="1:2" x14ac:dyDescent="0.55000000000000004">
      <c r="A122" t="s">
        <v>889</v>
      </c>
      <c r="B122" t="s">
        <v>232</v>
      </c>
    </row>
    <row r="123" spans="1:2" x14ac:dyDescent="0.55000000000000004">
      <c r="A123" t="s">
        <v>891</v>
      </c>
      <c r="B123" t="s">
        <v>232</v>
      </c>
    </row>
    <row r="124" spans="1:2" x14ac:dyDescent="0.55000000000000004">
      <c r="A124" t="s">
        <v>893</v>
      </c>
      <c r="B124" t="s">
        <v>232</v>
      </c>
    </row>
    <row r="125" spans="1:2" x14ac:dyDescent="0.55000000000000004">
      <c r="A125" t="s">
        <v>895</v>
      </c>
      <c r="B125" t="s">
        <v>232</v>
      </c>
    </row>
    <row r="126" spans="1:2" x14ac:dyDescent="0.55000000000000004">
      <c r="A126" t="s">
        <v>898</v>
      </c>
      <c r="B126" t="s">
        <v>232</v>
      </c>
    </row>
    <row r="127" spans="1:2" x14ac:dyDescent="0.55000000000000004">
      <c r="A127" t="s">
        <v>900</v>
      </c>
      <c r="B127" t="s">
        <v>232</v>
      </c>
    </row>
    <row r="128" spans="1:2" x14ac:dyDescent="0.55000000000000004">
      <c r="A128" t="s">
        <v>902</v>
      </c>
      <c r="B128" t="s">
        <v>1084</v>
      </c>
    </row>
    <row r="129" spans="1:2" x14ac:dyDescent="0.55000000000000004">
      <c r="A129" t="s">
        <v>903</v>
      </c>
      <c r="B129" t="s">
        <v>1084</v>
      </c>
    </row>
    <row r="130" spans="1:2" x14ac:dyDescent="0.55000000000000004">
      <c r="A130" t="s">
        <v>904</v>
      </c>
      <c r="B130" t="s">
        <v>203</v>
      </c>
    </row>
    <row r="131" spans="1:2" x14ac:dyDescent="0.55000000000000004">
      <c r="A131" t="s">
        <v>905</v>
      </c>
      <c r="B131" t="s">
        <v>203</v>
      </c>
    </row>
    <row r="132" spans="1:2" x14ac:dyDescent="0.55000000000000004">
      <c r="A132" t="s">
        <v>907</v>
      </c>
      <c r="B132" t="s">
        <v>203</v>
      </c>
    </row>
    <row r="133" spans="1:2" x14ac:dyDescent="0.55000000000000004">
      <c r="A133" t="s">
        <v>908</v>
      </c>
      <c r="B133" t="s">
        <v>203</v>
      </c>
    </row>
    <row r="134" spans="1:2" x14ac:dyDescent="0.55000000000000004">
      <c r="A134" t="s">
        <v>909</v>
      </c>
      <c r="B134" t="s">
        <v>203</v>
      </c>
    </row>
    <row r="135" spans="1:2" x14ac:dyDescent="0.55000000000000004">
      <c r="A135" t="s">
        <v>910</v>
      </c>
      <c r="B135" t="s">
        <v>203</v>
      </c>
    </row>
    <row r="136" spans="1:2" x14ac:dyDescent="0.55000000000000004">
      <c r="A136" t="s">
        <v>912</v>
      </c>
      <c r="B136" t="s">
        <v>203</v>
      </c>
    </row>
    <row r="137" spans="1:2" x14ac:dyDescent="0.55000000000000004">
      <c r="A137" t="s">
        <v>915</v>
      </c>
      <c r="B137" t="s">
        <v>203</v>
      </c>
    </row>
    <row r="138" spans="1:2" x14ac:dyDescent="0.55000000000000004">
      <c r="A138" t="s">
        <v>917</v>
      </c>
      <c r="B138" t="s">
        <v>203</v>
      </c>
    </row>
    <row r="139" spans="1:2" x14ac:dyDescent="0.55000000000000004">
      <c r="A139" t="s">
        <v>919</v>
      </c>
      <c r="B139" t="s">
        <v>203</v>
      </c>
    </row>
    <row r="140" spans="1:2" x14ac:dyDescent="0.55000000000000004">
      <c r="A140" t="s">
        <v>925</v>
      </c>
      <c r="B140" t="s">
        <v>203</v>
      </c>
    </row>
    <row r="141" spans="1:2" x14ac:dyDescent="0.55000000000000004">
      <c r="A141" t="s">
        <v>929</v>
      </c>
      <c r="B141" t="s">
        <v>203</v>
      </c>
    </row>
    <row r="142" spans="1:2" x14ac:dyDescent="0.55000000000000004">
      <c r="A142" t="s">
        <v>942</v>
      </c>
      <c r="B142" t="s">
        <v>203</v>
      </c>
    </row>
    <row r="143" spans="1:2" x14ac:dyDescent="0.55000000000000004">
      <c r="A143" t="s">
        <v>947</v>
      </c>
      <c r="B143" t="s">
        <v>203</v>
      </c>
    </row>
    <row r="144" spans="1:2" x14ac:dyDescent="0.55000000000000004">
      <c r="A144" t="s">
        <v>950</v>
      </c>
      <c r="B144" t="s">
        <v>203</v>
      </c>
    </row>
    <row r="145" spans="1:2" x14ac:dyDescent="0.55000000000000004">
      <c r="A145" t="s">
        <v>954</v>
      </c>
      <c r="B145" t="s">
        <v>203</v>
      </c>
    </row>
    <row r="146" spans="1:2" x14ac:dyDescent="0.55000000000000004">
      <c r="A146" t="s">
        <v>956</v>
      </c>
      <c r="B146" t="s">
        <v>203</v>
      </c>
    </row>
    <row r="147" spans="1:2" x14ac:dyDescent="0.55000000000000004">
      <c r="A147" t="s">
        <v>958</v>
      </c>
      <c r="B147" t="s">
        <v>203</v>
      </c>
    </row>
    <row r="148" spans="1:2" x14ac:dyDescent="0.55000000000000004">
      <c r="A148" t="s">
        <v>960</v>
      </c>
      <c r="B148" t="s">
        <v>1086</v>
      </c>
    </row>
    <row r="149" spans="1:2" x14ac:dyDescent="0.55000000000000004">
      <c r="A149" t="s">
        <v>962</v>
      </c>
      <c r="B149" t="s">
        <v>1086</v>
      </c>
    </row>
    <row r="150" spans="1:2" x14ac:dyDescent="0.55000000000000004">
      <c r="A150" t="s">
        <v>963</v>
      </c>
      <c r="B150" t="s">
        <v>1085</v>
      </c>
    </row>
    <row r="151" spans="1:2" x14ac:dyDescent="0.55000000000000004">
      <c r="A151" t="s">
        <v>964</v>
      </c>
      <c r="B151" t="s">
        <v>1085</v>
      </c>
    </row>
    <row r="152" spans="1:2" x14ac:dyDescent="0.55000000000000004">
      <c r="A152" t="s">
        <v>965</v>
      </c>
      <c r="B152" t="s">
        <v>1085</v>
      </c>
    </row>
    <row r="153" spans="1:2" x14ac:dyDescent="0.55000000000000004">
      <c r="A153" t="s">
        <v>966</v>
      </c>
      <c r="B153" t="s">
        <v>1085</v>
      </c>
    </row>
    <row r="154" spans="1:2" x14ac:dyDescent="0.55000000000000004">
      <c r="A154" t="s">
        <v>968</v>
      </c>
      <c r="B154" t="s">
        <v>1085</v>
      </c>
    </row>
    <row r="155" spans="1:2" x14ac:dyDescent="0.55000000000000004">
      <c r="A155" t="s">
        <v>969</v>
      </c>
      <c r="B155" t="s">
        <v>1085</v>
      </c>
    </row>
    <row r="156" spans="1:2" x14ac:dyDescent="0.55000000000000004">
      <c r="A156" t="s">
        <v>970</v>
      </c>
      <c r="B156" t="s">
        <v>1085</v>
      </c>
    </row>
    <row r="157" spans="1:2" x14ac:dyDescent="0.55000000000000004">
      <c r="A157" t="s">
        <v>973</v>
      </c>
      <c r="B157" t="s">
        <v>1085</v>
      </c>
    </row>
    <row r="158" spans="1:2" x14ac:dyDescent="0.55000000000000004">
      <c r="A158" t="s">
        <v>977</v>
      </c>
      <c r="B158" t="s">
        <v>1085</v>
      </c>
    </row>
    <row r="159" spans="1:2" x14ac:dyDescent="0.55000000000000004">
      <c r="A159" t="s">
        <v>979</v>
      </c>
      <c r="B159" t="s">
        <v>1085</v>
      </c>
    </row>
    <row r="160" spans="1:2" x14ac:dyDescent="0.55000000000000004">
      <c r="A160" t="s">
        <v>981</v>
      </c>
      <c r="B160" t="s">
        <v>1085</v>
      </c>
    </row>
    <row r="161" spans="1:2" x14ac:dyDescent="0.55000000000000004">
      <c r="A161" t="s">
        <v>984</v>
      </c>
      <c r="B161" t="s">
        <v>1085</v>
      </c>
    </row>
    <row r="162" spans="1:2" x14ac:dyDescent="0.55000000000000004">
      <c r="A162" t="s">
        <v>986</v>
      </c>
      <c r="B162" t="s">
        <v>1085</v>
      </c>
    </row>
    <row r="163" spans="1:2" x14ac:dyDescent="0.55000000000000004">
      <c r="A163" t="s">
        <v>988</v>
      </c>
      <c r="B163" t="s">
        <v>1085</v>
      </c>
    </row>
    <row r="164" spans="1:2" x14ac:dyDescent="0.55000000000000004">
      <c r="A164" t="s">
        <v>990</v>
      </c>
      <c r="B164" t="s">
        <v>1085</v>
      </c>
    </row>
    <row r="165" spans="1:2" x14ac:dyDescent="0.55000000000000004">
      <c r="A165" t="s">
        <v>993</v>
      </c>
      <c r="B165" t="s">
        <v>1085</v>
      </c>
    </row>
    <row r="166" spans="1:2" x14ac:dyDescent="0.55000000000000004">
      <c r="A166" t="s">
        <v>995</v>
      </c>
      <c r="B166" t="s">
        <v>1085</v>
      </c>
    </row>
    <row r="167" spans="1:2" x14ac:dyDescent="0.55000000000000004">
      <c r="A167" t="s">
        <v>997</v>
      </c>
      <c r="B167" t="s">
        <v>1085</v>
      </c>
    </row>
    <row r="168" spans="1:2" x14ac:dyDescent="0.55000000000000004">
      <c r="A168" t="s">
        <v>1000</v>
      </c>
      <c r="B168" t="s">
        <v>1085</v>
      </c>
    </row>
    <row r="169" spans="1:2" x14ac:dyDescent="0.55000000000000004">
      <c r="A169" t="s">
        <v>1002</v>
      </c>
      <c r="B169" t="s">
        <v>1085</v>
      </c>
    </row>
    <row r="170" spans="1:2" x14ac:dyDescent="0.55000000000000004">
      <c r="A170" t="s">
        <v>1005</v>
      </c>
      <c r="B170" t="s">
        <v>1085</v>
      </c>
    </row>
    <row r="171" spans="1:2" x14ac:dyDescent="0.55000000000000004">
      <c r="A171" t="s">
        <v>1007</v>
      </c>
      <c r="B171" t="s">
        <v>1085</v>
      </c>
    </row>
    <row r="172" spans="1:2" x14ac:dyDescent="0.55000000000000004">
      <c r="A172" t="s">
        <v>1013</v>
      </c>
      <c r="B172" t="s">
        <v>1085</v>
      </c>
    </row>
    <row r="173" spans="1:2" x14ac:dyDescent="0.55000000000000004">
      <c r="A173" t="s">
        <v>1016</v>
      </c>
      <c r="B173" t="s">
        <v>1085</v>
      </c>
    </row>
    <row r="174" spans="1:2" x14ac:dyDescent="0.55000000000000004">
      <c r="A174" t="s">
        <v>1022</v>
      </c>
      <c r="B174" t="s">
        <v>1085</v>
      </c>
    </row>
    <row r="175" spans="1:2" x14ac:dyDescent="0.55000000000000004">
      <c r="A175" t="s">
        <v>1025</v>
      </c>
      <c r="B175" t="s">
        <v>1085</v>
      </c>
    </row>
    <row r="176" spans="1:2" x14ac:dyDescent="0.55000000000000004">
      <c r="A176" t="s">
        <v>1028</v>
      </c>
      <c r="B176" t="s">
        <v>1085</v>
      </c>
    </row>
    <row r="177" spans="1:2" x14ac:dyDescent="0.55000000000000004">
      <c r="A177" t="s">
        <v>1030</v>
      </c>
      <c r="B177" t="s">
        <v>1085</v>
      </c>
    </row>
    <row r="178" spans="1:2" x14ac:dyDescent="0.55000000000000004">
      <c r="A178" t="s">
        <v>1032</v>
      </c>
      <c r="B178" t="s">
        <v>1038</v>
      </c>
    </row>
    <row r="179" spans="1:2" x14ac:dyDescent="0.55000000000000004">
      <c r="A179" t="s">
        <v>1033</v>
      </c>
      <c r="B179" t="s">
        <v>1038</v>
      </c>
    </row>
    <row r="180" spans="1:2" x14ac:dyDescent="0.55000000000000004">
      <c r="A180" t="s">
        <v>1035</v>
      </c>
      <c r="B180" t="s">
        <v>579</v>
      </c>
    </row>
    <row r="181" spans="1:2" x14ac:dyDescent="0.55000000000000004">
      <c r="A181" t="s">
        <v>1036</v>
      </c>
      <c r="B181" t="s">
        <v>579</v>
      </c>
    </row>
    <row r="182" spans="1:2" x14ac:dyDescent="0.55000000000000004">
      <c r="A182" t="s">
        <v>1037</v>
      </c>
      <c r="B182" t="s">
        <v>579</v>
      </c>
    </row>
    <row r="183" spans="1:2" x14ac:dyDescent="0.55000000000000004">
      <c r="A183" t="s">
        <v>1038</v>
      </c>
      <c r="B183" t="s">
        <v>579</v>
      </c>
    </row>
    <row r="184" spans="1:2" x14ac:dyDescent="0.55000000000000004">
      <c r="A184" t="s">
        <v>1039</v>
      </c>
      <c r="B184" t="s">
        <v>579</v>
      </c>
    </row>
    <row r="185" spans="1:2" x14ac:dyDescent="0.55000000000000004">
      <c r="A185" t="s">
        <v>1040</v>
      </c>
      <c r="B185" t="s">
        <v>579</v>
      </c>
    </row>
    <row r="186" spans="1:2" x14ac:dyDescent="0.55000000000000004">
      <c r="A186">
        <v>190</v>
      </c>
      <c r="B186" t="s">
        <v>579</v>
      </c>
    </row>
    <row r="187" spans="1:2" x14ac:dyDescent="0.55000000000000004">
      <c r="A187" t="s">
        <v>1041</v>
      </c>
      <c r="B187" t="s">
        <v>579</v>
      </c>
    </row>
    <row r="188" spans="1:2" x14ac:dyDescent="0.55000000000000004">
      <c r="A188">
        <v>110</v>
      </c>
      <c r="B188" t="s">
        <v>579</v>
      </c>
    </row>
    <row r="189" spans="1:2" x14ac:dyDescent="0.55000000000000004">
      <c r="A189" t="s">
        <v>1045</v>
      </c>
      <c r="B189" t="s">
        <v>579</v>
      </c>
    </row>
    <row r="190" spans="1:2" x14ac:dyDescent="0.55000000000000004">
      <c r="A190" t="s">
        <v>1050</v>
      </c>
      <c r="B190" t="s">
        <v>579</v>
      </c>
    </row>
    <row r="191" spans="1:2" x14ac:dyDescent="0.55000000000000004">
      <c r="A191" t="s">
        <v>1054</v>
      </c>
      <c r="B191" t="s">
        <v>579</v>
      </c>
    </row>
    <row r="192" spans="1:2" x14ac:dyDescent="0.55000000000000004">
      <c r="A192" t="s">
        <v>1057</v>
      </c>
      <c r="B192" t="s">
        <v>579</v>
      </c>
    </row>
    <row r="193" spans="1:2" x14ac:dyDescent="0.55000000000000004">
      <c r="A193">
        <v>90</v>
      </c>
      <c r="B193" t="s">
        <v>579</v>
      </c>
    </row>
    <row r="194" spans="1:2" x14ac:dyDescent="0.55000000000000004">
      <c r="A194">
        <v>0</v>
      </c>
      <c r="B194" t="s">
        <v>579</v>
      </c>
    </row>
    <row r="195" spans="1:2" x14ac:dyDescent="0.55000000000000004">
      <c r="A195" t="s">
        <v>1070</v>
      </c>
      <c r="B195" t="s">
        <v>579</v>
      </c>
    </row>
    <row r="196" spans="1:2" x14ac:dyDescent="0.55000000000000004">
      <c r="A196" t="s">
        <v>1076</v>
      </c>
      <c r="B196" t="s">
        <v>579</v>
      </c>
    </row>
    <row r="197" spans="1:2" x14ac:dyDescent="0.55000000000000004">
      <c r="A197" t="s">
        <v>1102</v>
      </c>
      <c r="B197" t="s">
        <v>1095</v>
      </c>
    </row>
    <row r="198" spans="1:2" x14ac:dyDescent="0.55000000000000004">
      <c r="A198" t="s">
        <v>1103</v>
      </c>
      <c r="B198" t="s">
        <v>1095</v>
      </c>
    </row>
    <row r="199" spans="1:2" x14ac:dyDescent="0.55000000000000004">
      <c r="A199" t="s">
        <v>1104</v>
      </c>
      <c r="B199" t="s">
        <v>1094</v>
      </c>
    </row>
    <row r="200" spans="1:2" x14ac:dyDescent="0.55000000000000004">
      <c r="A200" t="s">
        <v>1105</v>
      </c>
      <c r="B200" t="s">
        <v>1094</v>
      </c>
    </row>
    <row r="201" spans="1:2" x14ac:dyDescent="0.55000000000000004">
      <c r="A201" t="s">
        <v>1106</v>
      </c>
      <c r="B201" t="s">
        <v>1094</v>
      </c>
    </row>
    <row r="202" spans="1:2" x14ac:dyDescent="0.55000000000000004">
      <c r="A202" t="s">
        <v>1107</v>
      </c>
      <c r="B202" t="s">
        <v>1094</v>
      </c>
    </row>
    <row r="203" spans="1:2" x14ac:dyDescent="0.55000000000000004">
      <c r="A203" t="s">
        <v>1110</v>
      </c>
      <c r="B203" t="s">
        <v>1094</v>
      </c>
    </row>
    <row r="204" spans="1:2" x14ac:dyDescent="0.55000000000000004">
      <c r="A204" t="s">
        <v>1112</v>
      </c>
      <c r="B204" t="s">
        <v>1094</v>
      </c>
    </row>
    <row r="205" spans="1:2" x14ac:dyDescent="0.55000000000000004">
      <c r="A205" t="s">
        <v>1117</v>
      </c>
      <c r="B205" t="s">
        <v>1094</v>
      </c>
    </row>
    <row r="206" spans="1:2" x14ac:dyDescent="0.55000000000000004">
      <c r="A206" t="s">
        <v>1119</v>
      </c>
      <c r="B206" t="s">
        <v>1094</v>
      </c>
    </row>
    <row r="207" spans="1:2" x14ac:dyDescent="0.55000000000000004">
      <c r="A207" t="s">
        <v>1121</v>
      </c>
      <c r="B207" t="s">
        <v>1094</v>
      </c>
    </row>
    <row r="208" spans="1:2" x14ac:dyDescent="0.55000000000000004">
      <c r="A208" t="s">
        <v>1127</v>
      </c>
      <c r="B208" t="s">
        <v>1094</v>
      </c>
    </row>
    <row r="209" spans="1:2" x14ac:dyDescent="0.55000000000000004">
      <c r="A209" t="s">
        <v>1129</v>
      </c>
      <c r="B209" t="s">
        <v>1094</v>
      </c>
    </row>
    <row r="210" spans="1:2" x14ac:dyDescent="0.55000000000000004">
      <c r="A210" t="s">
        <v>1131</v>
      </c>
      <c r="B210" t="s">
        <v>1094</v>
      </c>
    </row>
    <row r="211" spans="1:2" x14ac:dyDescent="0.55000000000000004">
      <c r="A211" t="s">
        <v>1134</v>
      </c>
      <c r="B211" t="s">
        <v>1094</v>
      </c>
    </row>
    <row r="212" spans="1:2" x14ac:dyDescent="0.55000000000000004">
      <c r="A212" t="s">
        <v>1136</v>
      </c>
      <c r="B212" t="s">
        <v>1094</v>
      </c>
    </row>
    <row r="213" spans="1:2" x14ac:dyDescent="0.55000000000000004">
      <c r="A213" t="s">
        <v>1142</v>
      </c>
      <c r="B213" t="s">
        <v>1094</v>
      </c>
    </row>
    <row r="214" spans="1:2" x14ac:dyDescent="0.55000000000000004">
      <c r="A214" t="s">
        <v>1144</v>
      </c>
      <c r="B214" t="s">
        <v>1094</v>
      </c>
    </row>
    <row r="215" spans="1:2" x14ac:dyDescent="0.55000000000000004">
      <c r="A215" t="s">
        <v>1149</v>
      </c>
      <c r="B215" t="s">
        <v>1094</v>
      </c>
    </row>
    <row r="216" spans="1:2" x14ac:dyDescent="0.55000000000000004">
      <c r="A216" t="s">
        <v>1153</v>
      </c>
      <c r="B216" t="s">
        <v>1094</v>
      </c>
    </row>
    <row r="217" spans="1:2" x14ac:dyDescent="0.55000000000000004">
      <c r="A217" t="s">
        <v>1156</v>
      </c>
      <c r="B217" t="s">
        <v>1094</v>
      </c>
    </row>
    <row r="218" spans="1:2" x14ac:dyDescent="0.55000000000000004">
      <c r="A218" t="s">
        <v>1160</v>
      </c>
      <c r="B218" t="s">
        <v>1094</v>
      </c>
    </row>
    <row r="219" spans="1:2" x14ac:dyDescent="0.55000000000000004">
      <c r="A219" t="s">
        <v>1162</v>
      </c>
      <c r="B219" t="s">
        <v>1503</v>
      </c>
    </row>
    <row r="220" spans="1:2" x14ac:dyDescent="0.55000000000000004">
      <c r="A220" t="s">
        <v>1163</v>
      </c>
      <c r="B220" t="s">
        <v>233</v>
      </c>
    </row>
    <row r="221" spans="1:2" x14ac:dyDescent="0.55000000000000004">
      <c r="A221" t="s">
        <v>1189</v>
      </c>
      <c r="B221" t="s">
        <v>233</v>
      </c>
    </row>
    <row r="222" spans="1:2" x14ac:dyDescent="0.55000000000000004">
      <c r="A222" t="s">
        <v>1209</v>
      </c>
      <c r="B222" t="s">
        <v>1504</v>
      </c>
    </row>
    <row r="223" spans="1:2" x14ac:dyDescent="0.55000000000000004">
      <c r="A223" t="s">
        <v>1210</v>
      </c>
      <c r="B223" t="s">
        <v>235</v>
      </c>
    </row>
    <row r="224" spans="1:2" x14ac:dyDescent="0.55000000000000004">
      <c r="A224" t="s">
        <v>1212</v>
      </c>
      <c r="B224" t="s">
        <v>235</v>
      </c>
    </row>
    <row r="225" spans="1:2" x14ac:dyDescent="0.55000000000000004">
      <c r="A225" t="s">
        <v>1254</v>
      </c>
      <c r="B225" t="s">
        <v>1505</v>
      </c>
    </row>
    <row r="226" spans="1:2" x14ac:dyDescent="0.55000000000000004">
      <c r="A226" t="s">
        <v>1256</v>
      </c>
      <c r="B226" t="s">
        <v>1505</v>
      </c>
    </row>
    <row r="227" spans="1:2" x14ac:dyDescent="0.55000000000000004">
      <c r="A227" t="s">
        <v>1261</v>
      </c>
      <c r="B227" t="s">
        <v>237</v>
      </c>
    </row>
    <row r="228" spans="1:2" x14ac:dyDescent="0.55000000000000004">
      <c r="A228" t="s">
        <v>1285</v>
      </c>
      <c r="B228" t="s">
        <v>237</v>
      </c>
    </row>
    <row r="229" spans="1:2" x14ac:dyDescent="0.55000000000000004">
      <c r="A229" t="s">
        <v>1291</v>
      </c>
      <c r="B229" t="s">
        <v>237</v>
      </c>
    </row>
    <row r="230" spans="1:2" x14ac:dyDescent="0.55000000000000004">
      <c r="A230" t="s">
        <v>1295</v>
      </c>
      <c r="B230" t="s">
        <v>1506</v>
      </c>
    </row>
    <row r="231" spans="1:2" x14ac:dyDescent="0.55000000000000004">
      <c r="A231" t="s">
        <v>1297</v>
      </c>
      <c r="B231" t="s">
        <v>1506</v>
      </c>
    </row>
    <row r="232" spans="1:2" x14ac:dyDescent="0.55000000000000004">
      <c r="A232" t="s">
        <v>1300</v>
      </c>
      <c r="B232" t="s">
        <v>204</v>
      </c>
    </row>
    <row r="233" spans="1:2" x14ac:dyDescent="0.55000000000000004">
      <c r="A233" t="s">
        <v>1302</v>
      </c>
      <c r="B233" t="s">
        <v>204</v>
      </c>
    </row>
    <row r="234" spans="1:2" x14ac:dyDescent="0.55000000000000004">
      <c r="A234" t="s">
        <v>1304</v>
      </c>
      <c r="B234" t="s">
        <v>204</v>
      </c>
    </row>
    <row r="235" spans="1:2" x14ac:dyDescent="0.55000000000000004">
      <c r="A235" t="s">
        <v>1307</v>
      </c>
      <c r="B235" t="s">
        <v>204</v>
      </c>
    </row>
    <row r="236" spans="1:2" x14ac:dyDescent="0.55000000000000004">
      <c r="A236" t="s">
        <v>1309</v>
      </c>
      <c r="B236" t="s">
        <v>204</v>
      </c>
    </row>
    <row r="237" spans="1:2" x14ac:dyDescent="0.55000000000000004">
      <c r="A237" t="s">
        <v>1312</v>
      </c>
      <c r="B237" t="s">
        <v>204</v>
      </c>
    </row>
    <row r="238" spans="1:2" x14ac:dyDescent="0.55000000000000004">
      <c r="A238" t="s">
        <v>1316</v>
      </c>
      <c r="B238" t="s">
        <v>204</v>
      </c>
    </row>
    <row r="239" spans="1:2" x14ac:dyDescent="0.55000000000000004">
      <c r="A239" t="s">
        <v>1318</v>
      </c>
      <c r="B239" t="s">
        <v>204</v>
      </c>
    </row>
    <row r="240" spans="1:2" x14ac:dyDescent="0.55000000000000004">
      <c r="A240" t="s">
        <v>1326</v>
      </c>
      <c r="B240" t="s">
        <v>204</v>
      </c>
    </row>
    <row r="241" spans="1:2" x14ac:dyDescent="0.55000000000000004">
      <c r="A241" t="s">
        <v>1338</v>
      </c>
      <c r="B241" t="s">
        <v>1507</v>
      </c>
    </row>
    <row r="242" spans="1:2" x14ac:dyDescent="0.55000000000000004">
      <c r="A242" t="s">
        <v>1340</v>
      </c>
      <c r="B242" t="s">
        <v>1507</v>
      </c>
    </row>
    <row r="243" spans="1:2" x14ac:dyDescent="0.55000000000000004">
      <c r="A243" t="s">
        <v>1343</v>
      </c>
      <c r="B243" t="s">
        <v>1082</v>
      </c>
    </row>
    <row r="244" spans="1:2" x14ac:dyDescent="0.55000000000000004">
      <c r="A244" t="s">
        <v>1347</v>
      </c>
      <c r="B244" t="s">
        <v>1082</v>
      </c>
    </row>
    <row r="245" spans="1:2" x14ac:dyDescent="0.55000000000000004">
      <c r="A245" t="s">
        <v>1353</v>
      </c>
      <c r="B245" t="s">
        <v>1082</v>
      </c>
    </row>
    <row r="246" spans="1:2" x14ac:dyDescent="0.55000000000000004">
      <c r="A246" t="s">
        <v>1356</v>
      </c>
      <c r="B246" t="s">
        <v>1082</v>
      </c>
    </row>
    <row r="247" spans="1:2" x14ac:dyDescent="0.55000000000000004">
      <c r="A247" t="s">
        <v>1362</v>
      </c>
      <c r="B247" t="s">
        <v>1082</v>
      </c>
    </row>
    <row r="248" spans="1:2" x14ac:dyDescent="0.55000000000000004">
      <c r="A248" t="s">
        <v>1368</v>
      </c>
      <c r="B248" t="s">
        <v>1082</v>
      </c>
    </row>
    <row r="249" spans="1:2" x14ac:dyDescent="0.55000000000000004">
      <c r="A249" t="s">
        <v>1375</v>
      </c>
      <c r="B249" t="s">
        <v>1082</v>
      </c>
    </row>
    <row r="250" spans="1:2" x14ac:dyDescent="0.55000000000000004">
      <c r="A250" t="s">
        <v>1378</v>
      </c>
      <c r="B250" t="s">
        <v>1509</v>
      </c>
    </row>
    <row r="251" spans="1:2" x14ac:dyDescent="0.55000000000000004">
      <c r="A251" t="s">
        <v>1380</v>
      </c>
      <c r="B251" t="s">
        <v>1509</v>
      </c>
    </row>
    <row r="252" spans="1:2" x14ac:dyDescent="0.55000000000000004">
      <c r="A252" t="s">
        <v>1383</v>
      </c>
      <c r="B252" t="s">
        <v>1508</v>
      </c>
    </row>
    <row r="253" spans="1:2" x14ac:dyDescent="0.55000000000000004">
      <c r="A253" t="s">
        <v>1385</v>
      </c>
      <c r="B253" t="s">
        <v>1508</v>
      </c>
    </row>
    <row r="254" spans="1:2" x14ac:dyDescent="0.55000000000000004">
      <c r="A254" t="s">
        <v>1387</v>
      </c>
      <c r="B254" t="s">
        <v>1508</v>
      </c>
    </row>
    <row r="255" spans="1:2" x14ac:dyDescent="0.55000000000000004">
      <c r="A255" t="s">
        <v>1389</v>
      </c>
      <c r="B255" t="s">
        <v>1508</v>
      </c>
    </row>
    <row r="256" spans="1:2" x14ac:dyDescent="0.55000000000000004">
      <c r="A256" t="s">
        <v>1391</v>
      </c>
      <c r="B256" t="s">
        <v>1508</v>
      </c>
    </row>
    <row r="257" spans="1:2" x14ac:dyDescent="0.55000000000000004">
      <c r="A257" t="s">
        <v>1398</v>
      </c>
      <c r="B257" t="s">
        <v>1508</v>
      </c>
    </row>
    <row r="258" spans="1:2" x14ac:dyDescent="0.55000000000000004">
      <c r="A258" t="s">
        <v>1401</v>
      </c>
      <c r="B258" t="s">
        <v>1508</v>
      </c>
    </row>
    <row r="259" spans="1:2" x14ac:dyDescent="0.55000000000000004">
      <c r="A259" t="s">
        <v>1412</v>
      </c>
      <c r="B259" t="s">
        <v>1508</v>
      </c>
    </row>
    <row r="260" spans="1:2" x14ac:dyDescent="0.55000000000000004">
      <c r="A260" t="s">
        <v>1422</v>
      </c>
      <c r="B260" t="s">
        <v>1508</v>
      </c>
    </row>
    <row r="261" spans="1:2" x14ac:dyDescent="0.55000000000000004">
      <c r="A261" t="s">
        <v>1435</v>
      </c>
      <c r="B261" t="s">
        <v>1508</v>
      </c>
    </row>
    <row r="262" spans="1:2" x14ac:dyDescent="0.55000000000000004">
      <c r="A262" t="s">
        <v>1445</v>
      </c>
      <c r="B262" t="s">
        <v>1508</v>
      </c>
    </row>
    <row r="263" spans="1:2" x14ac:dyDescent="0.55000000000000004">
      <c r="A263" t="s">
        <v>1447</v>
      </c>
      <c r="B263" t="s">
        <v>1510</v>
      </c>
    </row>
    <row r="264" spans="1:2" x14ac:dyDescent="0.55000000000000004">
      <c r="A264" t="s">
        <v>1448</v>
      </c>
      <c r="B264" t="s">
        <v>201</v>
      </c>
    </row>
    <row r="265" spans="1:2" x14ac:dyDescent="0.55000000000000004">
      <c r="A265" t="s">
        <v>1449</v>
      </c>
      <c r="B265" t="s">
        <v>201</v>
      </c>
    </row>
    <row r="266" spans="1:2" x14ac:dyDescent="0.55000000000000004">
      <c r="A266" t="s">
        <v>1451</v>
      </c>
      <c r="B266" t="s">
        <v>201</v>
      </c>
    </row>
    <row r="267" spans="1:2" x14ac:dyDescent="0.55000000000000004">
      <c r="A267" t="s">
        <v>1452</v>
      </c>
      <c r="B267" t="s">
        <v>201</v>
      </c>
    </row>
    <row r="268" spans="1:2" x14ac:dyDescent="0.55000000000000004">
      <c r="A268" t="s">
        <v>1453</v>
      </c>
      <c r="B268" t="s">
        <v>201</v>
      </c>
    </row>
    <row r="269" spans="1:2" x14ac:dyDescent="0.55000000000000004">
      <c r="A269" t="s">
        <v>1454</v>
      </c>
      <c r="B269" t="s">
        <v>201</v>
      </c>
    </row>
    <row r="270" spans="1:2" x14ac:dyDescent="0.55000000000000004">
      <c r="A270" t="s">
        <v>1455</v>
      </c>
      <c r="B270" t="s">
        <v>201</v>
      </c>
    </row>
    <row r="271" spans="1:2" x14ac:dyDescent="0.55000000000000004">
      <c r="A271" t="s">
        <v>1456</v>
      </c>
      <c r="B271" t="s">
        <v>201</v>
      </c>
    </row>
    <row r="272" spans="1:2" x14ac:dyDescent="0.55000000000000004">
      <c r="A272" t="s">
        <v>1460</v>
      </c>
      <c r="B272" t="s">
        <v>201</v>
      </c>
    </row>
    <row r="273" spans="1:2" x14ac:dyDescent="0.55000000000000004">
      <c r="A273" t="s">
        <v>1463</v>
      </c>
      <c r="B273" t="s">
        <v>201</v>
      </c>
    </row>
    <row r="274" spans="1:2" x14ac:dyDescent="0.55000000000000004">
      <c r="A274" t="s">
        <v>1464</v>
      </c>
      <c r="B274" t="s">
        <v>1511</v>
      </c>
    </row>
    <row r="275" spans="1:2" x14ac:dyDescent="0.55000000000000004">
      <c r="A275" t="s">
        <v>1465</v>
      </c>
      <c r="B275" t="s">
        <v>234</v>
      </c>
    </row>
    <row r="276" spans="1:2" x14ac:dyDescent="0.55000000000000004">
      <c r="A276" t="s">
        <v>1466</v>
      </c>
      <c r="B276" t="s">
        <v>234</v>
      </c>
    </row>
    <row r="277" spans="1:2" x14ac:dyDescent="0.55000000000000004">
      <c r="A277" t="s">
        <v>1474</v>
      </c>
      <c r="B277" t="s">
        <v>234</v>
      </c>
    </row>
    <row r="278" spans="1:2" x14ac:dyDescent="0.55000000000000004">
      <c r="A278" t="s">
        <v>1476</v>
      </c>
      <c r="B278" t="s">
        <v>1512</v>
      </c>
    </row>
    <row r="279" spans="1:2" x14ac:dyDescent="0.55000000000000004">
      <c r="A279" t="s">
        <v>1477</v>
      </c>
      <c r="B279" t="s">
        <v>1512</v>
      </c>
    </row>
    <row r="280" spans="1:2" x14ac:dyDescent="0.55000000000000004">
      <c r="A280" t="s">
        <v>1478</v>
      </c>
      <c r="B280" t="s">
        <v>236</v>
      </c>
    </row>
    <row r="281" spans="1:2" x14ac:dyDescent="0.55000000000000004">
      <c r="A281" t="s">
        <v>1479</v>
      </c>
      <c r="B281" t="s">
        <v>236</v>
      </c>
    </row>
    <row r="282" spans="1:2" x14ac:dyDescent="0.55000000000000004">
      <c r="A282" t="s">
        <v>1480</v>
      </c>
      <c r="B282" t="s">
        <v>236</v>
      </c>
    </row>
    <row r="283" spans="1:2" x14ac:dyDescent="0.55000000000000004">
      <c r="A283" t="s">
        <v>1481</v>
      </c>
      <c r="B283" t="s">
        <v>236</v>
      </c>
    </row>
    <row r="284" spans="1:2" x14ac:dyDescent="0.55000000000000004">
      <c r="A284" t="s">
        <v>1482</v>
      </c>
      <c r="B284" t="s">
        <v>236</v>
      </c>
    </row>
    <row r="285" spans="1:2" x14ac:dyDescent="0.55000000000000004">
      <c r="A285" t="s">
        <v>1483</v>
      </c>
      <c r="B285" t="s">
        <v>236</v>
      </c>
    </row>
    <row r="286" spans="1:2" x14ac:dyDescent="0.55000000000000004">
      <c r="A286" t="s">
        <v>1484</v>
      </c>
      <c r="B286" t="s">
        <v>236</v>
      </c>
    </row>
    <row r="287" spans="1:2" x14ac:dyDescent="0.55000000000000004">
      <c r="A287" t="s">
        <v>1486</v>
      </c>
      <c r="B287" t="s">
        <v>236</v>
      </c>
    </row>
    <row r="288" spans="1:2" x14ac:dyDescent="0.55000000000000004">
      <c r="A288" t="s">
        <v>1487</v>
      </c>
      <c r="B288" t="s">
        <v>236</v>
      </c>
    </row>
    <row r="289" spans="1:2" x14ac:dyDescent="0.55000000000000004">
      <c r="A289" t="s">
        <v>1488</v>
      </c>
      <c r="B289" t="s">
        <v>236</v>
      </c>
    </row>
    <row r="290" spans="1:2" x14ac:dyDescent="0.55000000000000004">
      <c r="A290" t="s">
        <v>1489</v>
      </c>
      <c r="B290" t="s">
        <v>236</v>
      </c>
    </row>
    <row r="291" spans="1:2" x14ac:dyDescent="0.55000000000000004">
      <c r="A291" t="s">
        <v>1491</v>
      </c>
      <c r="B291" t="s">
        <v>236</v>
      </c>
    </row>
    <row r="292" spans="1:2" x14ac:dyDescent="0.55000000000000004">
      <c r="A292" t="s">
        <v>1492</v>
      </c>
      <c r="B292" t="s">
        <v>236</v>
      </c>
    </row>
    <row r="293" spans="1:2" x14ac:dyDescent="0.55000000000000004">
      <c r="A293" t="s">
        <v>1493</v>
      </c>
      <c r="B293" t="s">
        <v>1513</v>
      </c>
    </row>
    <row r="294" spans="1:2" x14ac:dyDescent="0.55000000000000004">
      <c r="A294" t="s">
        <v>212</v>
      </c>
      <c r="B294" t="s">
        <v>212</v>
      </c>
    </row>
    <row r="295" spans="1:2" x14ac:dyDescent="0.55000000000000004">
      <c r="A295" t="s">
        <v>1496</v>
      </c>
      <c r="B295" t="s">
        <v>212</v>
      </c>
    </row>
    <row r="296" spans="1:2" x14ac:dyDescent="0.55000000000000004">
      <c r="A296" t="s">
        <v>1497</v>
      </c>
      <c r="B296" t="s">
        <v>212</v>
      </c>
    </row>
    <row r="297" spans="1:2" x14ac:dyDescent="0.55000000000000004">
      <c r="A297" t="s">
        <v>1498</v>
      </c>
      <c r="B297" t="s">
        <v>212</v>
      </c>
    </row>
    <row r="298" spans="1:2" x14ac:dyDescent="0.55000000000000004">
      <c r="A298" t="s">
        <v>1500</v>
      </c>
      <c r="B298" t="s">
        <v>212</v>
      </c>
    </row>
    <row r="299" spans="1:2" x14ac:dyDescent="0.55000000000000004">
      <c r="A299" t="s">
        <v>1501</v>
      </c>
      <c r="B299" t="s">
        <v>212</v>
      </c>
    </row>
    <row r="300" spans="1:2" x14ac:dyDescent="0.55000000000000004">
      <c r="A300" t="s">
        <v>1524</v>
      </c>
      <c r="B300" t="s">
        <v>1889</v>
      </c>
    </row>
    <row r="301" spans="1:2" x14ac:dyDescent="0.55000000000000004">
      <c r="A301" t="s">
        <v>1539</v>
      </c>
      <c r="B301" t="s">
        <v>238</v>
      </c>
    </row>
    <row r="302" spans="1:2" x14ac:dyDescent="0.55000000000000004">
      <c r="A302" t="s">
        <v>1542</v>
      </c>
      <c r="B302" t="s">
        <v>238</v>
      </c>
    </row>
    <row r="303" spans="1:2" x14ac:dyDescent="0.55000000000000004">
      <c r="A303" t="s">
        <v>1545</v>
      </c>
      <c r="B303" t="s">
        <v>202</v>
      </c>
    </row>
    <row r="304" spans="1:2" x14ac:dyDescent="0.55000000000000004">
      <c r="A304" t="s">
        <v>1546</v>
      </c>
      <c r="B304" t="s">
        <v>202</v>
      </c>
    </row>
    <row r="305" spans="1:2" x14ac:dyDescent="0.55000000000000004">
      <c r="A305" t="s">
        <v>1547</v>
      </c>
      <c r="B305" t="s">
        <v>202</v>
      </c>
    </row>
    <row r="306" spans="1:2" x14ac:dyDescent="0.55000000000000004">
      <c r="A306" t="s">
        <v>1548</v>
      </c>
      <c r="B306" t="s">
        <v>202</v>
      </c>
    </row>
    <row r="307" spans="1:2" x14ac:dyDescent="0.55000000000000004">
      <c r="A307" t="s">
        <v>1552</v>
      </c>
      <c r="B307" t="s">
        <v>202</v>
      </c>
    </row>
    <row r="308" spans="1:2" x14ac:dyDescent="0.55000000000000004">
      <c r="A308" t="s">
        <v>1554</v>
      </c>
      <c r="B308" t="s">
        <v>202</v>
      </c>
    </row>
    <row r="309" spans="1:2" x14ac:dyDescent="0.55000000000000004">
      <c r="A309" t="s">
        <v>1555</v>
      </c>
      <c r="B309" t="s">
        <v>1890</v>
      </c>
    </row>
    <row r="310" spans="1:2" x14ac:dyDescent="0.55000000000000004">
      <c r="A310" t="s">
        <v>1556</v>
      </c>
      <c r="B310" t="s">
        <v>1890</v>
      </c>
    </row>
    <row r="311" spans="1:2" x14ac:dyDescent="0.55000000000000004">
      <c r="A311" t="s">
        <v>1558</v>
      </c>
      <c r="B311" t="s">
        <v>1082</v>
      </c>
    </row>
    <row r="312" spans="1:2" x14ac:dyDescent="0.55000000000000004">
      <c r="A312" t="s">
        <v>1560</v>
      </c>
      <c r="B312" t="s">
        <v>1082</v>
      </c>
    </row>
    <row r="313" spans="1:2" x14ac:dyDescent="0.55000000000000004">
      <c r="A313" t="s">
        <v>1561</v>
      </c>
      <c r="B313" t="s">
        <v>1082</v>
      </c>
    </row>
    <row r="314" spans="1:2" x14ac:dyDescent="0.55000000000000004">
      <c r="A314" t="s">
        <v>1562</v>
      </c>
      <c r="B314" t="s">
        <v>1082</v>
      </c>
    </row>
    <row r="315" spans="1:2" x14ac:dyDescent="0.55000000000000004">
      <c r="A315" t="s">
        <v>1563</v>
      </c>
      <c r="B315" t="s">
        <v>1082</v>
      </c>
    </row>
    <row r="316" spans="1:2" x14ac:dyDescent="0.55000000000000004">
      <c r="A316" t="s">
        <v>1564</v>
      </c>
      <c r="B316" t="s">
        <v>1082</v>
      </c>
    </row>
    <row r="317" spans="1:2" x14ac:dyDescent="0.55000000000000004">
      <c r="A317" t="s">
        <v>1566</v>
      </c>
      <c r="B317" t="s">
        <v>1082</v>
      </c>
    </row>
    <row r="318" spans="1:2" x14ac:dyDescent="0.55000000000000004">
      <c r="A318" t="s">
        <v>1567</v>
      </c>
      <c r="B318" t="s">
        <v>1082</v>
      </c>
    </row>
    <row r="319" spans="1:2" x14ac:dyDescent="0.55000000000000004">
      <c r="A319" t="s">
        <v>1568</v>
      </c>
      <c r="B319" t="s">
        <v>1082</v>
      </c>
    </row>
    <row r="320" spans="1:2" x14ac:dyDescent="0.55000000000000004">
      <c r="A320" t="s">
        <v>1569</v>
      </c>
      <c r="B320" t="s">
        <v>1082</v>
      </c>
    </row>
    <row r="321" spans="1:2" x14ac:dyDescent="0.55000000000000004">
      <c r="A321" t="s">
        <v>1570</v>
      </c>
      <c r="B321" t="s">
        <v>1082</v>
      </c>
    </row>
    <row r="322" spans="1:2" x14ac:dyDescent="0.55000000000000004">
      <c r="A322" t="s">
        <v>1571</v>
      </c>
      <c r="B322" t="s">
        <v>1082</v>
      </c>
    </row>
    <row r="323" spans="1:2" x14ac:dyDescent="0.55000000000000004">
      <c r="A323" t="s">
        <v>1572</v>
      </c>
      <c r="B323" t="s">
        <v>1082</v>
      </c>
    </row>
    <row r="324" spans="1:2" x14ac:dyDescent="0.55000000000000004">
      <c r="A324" t="s">
        <v>1576</v>
      </c>
      <c r="B324" t="s">
        <v>218</v>
      </c>
    </row>
    <row r="325" spans="1:2" x14ac:dyDescent="0.55000000000000004">
      <c r="A325" t="s">
        <v>1580</v>
      </c>
      <c r="B325" t="s">
        <v>218</v>
      </c>
    </row>
    <row r="326" spans="1:2" x14ac:dyDescent="0.55000000000000004">
      <c r="A326" t="s">
        <v>578</v>
      </c>
      <c r="B326" t="s">
        <v>1891</v>
      </c>
    </row>
    <row r="327" spans="1:2" x14ac:dyDescent="0.55000000000000004">
      <c r="A327" t="s">
        <v>1584</v>
      </c>
      <c r="B327" t="s">
        <v>219</v>
      </c>
    </row>
    <row r="328" spans="1:2" x14ac:dyDescent="0.55000000000000004">
      <c r="A328" t="s">
        <v>1585</v>
      </c>
      <c r="B328" t="s">
        <v>219</v>
      </c>
    </row>
    <row r="329" spans="1:2" x14ac:dyDescent="0.55000000000000004">
      <c r="A329" t="s">
        <v>1586</v>
      </c>
      <c r="B329" t="s">
        <v>219</v>
      </c>
    </row>
    <row r="330" spans="1:2" x14ac:dyDescent="0.55000000000000004">
      <c r="A330" t="s">
        <v>1587</v>
      </c>
      <c r="B330" t="s">
        <v>219</v>
      </c>
    </row>
    <row r="331" spans="1:2" x14ac:dyDescent="0.55000000000000004">
      <c r="A331" t="s">
        <v>1588</v>
      </c>
      <c r="B331" t="s">
        <v>219</v>
      </c>
    </row>
    <row r="332" spans="1:2" x14ac:dyDescent="0.55000000000000004">
      <c r="A332" t="s">
        <v>1589</v>
      </c>
      <c r="B332" t="s">
        <v>219</v>
      </c>
    </row>
    <row r="333" spans="1:2" x14ac:dyDescent="0.55000000000000004">
      <c r="A333" t="s">
        <v>1590</v>
      </c>
      <c r="B333" t="s">
        <v>219</v>
      </c>
    </row>
    <row r="334" spans="1:2" x14ac:dyDescent="0.55000000000000004">
      <c r="A334" t="s">
        <v>1592</v>
      </c>
      <c r="B334" t="s">
        <v>219</v>
      </c>
    </row>
    <row r="335" spans="1:2" x14ac:dyDescent="0.55000000000000004">
      <c r="A335" t="s">
        <v>1593</v>
      </c>
      <c r="B335" t="s">
        <v>219</v>
      </c>
    </row>
    <row r="336" spans="1:2" x14ac:dyDescent="0.55000000000000004">
      <c r="A336" t="s">
        <v>1594</v>
      </c>
      <c r="B336" t="s">
        <v>219</v>
      </c>
    </row>
    <row r="337" spans="1:2" x14ac:dyDescent="0.55000000000000004">
      <c r="A337" t="s">
        <v>1595</v>
      </c>
      <c r="B337" t="s">
        <v>219</v>
      </c>
    </row>
    <row r="338" spans="1:2" x14ac:dyDescent="0.55000000000000004">
      <c r="A338" t="s">
        <v>1597</v>
      </c>
      <c r="B338" t="s">
        <v>219</v>
      </c>
    </row>
    <row r="339" spans="1:2" x14ac:dyDescent="0.55000000000000004">
      <c r="A339" t="s">
        <v>1600</v>
      </c>
      <c r="B339" t="s">
        <v>219</v>
      </c>
    </row>
    <row r="340" spans="1:2" x14ac:dyDescent="0.55000000000000004">
      <c r="A340" t="s">
        <v>1601</v>
      </c>
      <c r="B340" t="s">
        <v>1892</v>
      </c>
    </row>
    <row r="341" spans="1:2" x14ac:dyDescent="0.55000000000000004">
      <c r="A341" t="s">
        <v>1603</v>
      </c>
      <c r="B341" t="s">
        <v>220</v>
      </c>
    </row>
    <row r="342" spans="1:2" x14ac:dyDescent="0.55000000000000004">
      <c r="A342" t="s">
        <v>1604</v>
      </c>
      <c r="B342" t="s">
        <v>220</v>
      </c>
    </row>
    <row r="343" spans="1:2" x14ac:dyDescent="0.55000000000000004">
      <c r="A343" t="s">
        <v>1606</v>
      </c>
      <c r="B343" t="s">
        <v>220</v>
      </c>
    </row>
    <row r="344" spans="1:2" x14ac:dyDescent="0.55000000000000004">
      <c r="A344" t="s">
        <v>1607</v>
      </c>
      <c r="B344" t="s">
        <v>220</v>
      </c>
    </row>
    <row r="345" spans="1:2" x14ac:dyDescent="0.55000000000000004">
      <c r="A345" t="s">
        <v>1608</v>
      </c>
      <c r="B345" t="s">
        <v>220</v>
      </c>
    </row>
    <row r="346" spans="1:2" x14ac:dyDescent="0.55000000000000004">
      <c r="A346" t="s">
        <v>1609</v>
      </c>
      <c r="B346" t="s">
        <v>220</v>
      </c>
    </row>
    <row r="347" spans="1:2" x14ac:dyDescent="0.55000000000000004">
      <c r="A347" t="s">
        <v>811</v>
      </c>
      <c r="B347" t="s">
        <v>220</v>
      </c>
    </row>
    <row r="348" spans="1:2" x14ac:dyDescent="0.55000000000000004">
      <c r="A348" t="s">
        <v>1611</v>
      </c>
      <c r="B348" t="s">
        <v>220</v>
      </c>
    </row>
    <row r="349" spans="1:2" x14ac:dyDescent="0.55000000000000004">
      <c r="A349" t="s">
        <v>1612</v>
      </c>
      <c r="B349" t="s">
        <v>220</v>
      </c>
    </row>
    <row r="350" spans="1:2" x14ac:dyDescent="0.55000000000000004">
      <c r="A350" t="s">
        <v>1614</v>
      </c>
      <c r="B350" t="s">
        <v>220</v>
      </c>
    </row>
    <row r="351" spans="1:2" x14ac:dyDescent="0.55000000000000004">
      <c r="A351" t="s">
        <v>1615</v>
      </c>
      <c r="B351" t="s">
        <v>220</v>
      </c>
    </row>
    <row r="352" spans="1:2" x14ac:dyDescent="0.55000000000000004">
      <c r="A352" t="s">
        <v>1617</v>
      </c>
      <c r="B352" t="s">
        <v>220</v>
      </c>
    </row>
    <row r="353" spans="1:2" x14ac:dyDescent="0.55000000000000004">
      <c r="A353" t="s">
        <v>856</v>
      </c>
      <c r="B353" t="s">
        <v>220</v>
      </c>
    </row>
    <row r="354" spans="1:2" x14ac:dyDescent="0.55000000000000004">
      <c r="A354" t="s">
        <v>1618</v>
      </c>
      <c r="B354" t="s">
        <v>220</v>
      </c>
    </row>
    <row r="355" spans="1:2" x14ac:dyDescent="0.55000000000000004">
      <c r="A355" t="s">
        <v>1619</v>
      </c>
      <c r="B355" t="s">
        <v>220</v>
      </c>
    </row>
    <row r="356" spans="1:2" x14ac:dyDescent="0.55000000000000004">
      <c r="A356" t="s">
        <v>2316</v>
      </c>
      <c r="B356" t="s">
        <v>2399</v>
      </c>
    </row>
    <row r="357" spans="1:2" x14ac:dyDescent="0.55000000000000004">
      <c r="A357" t="s">
        <v>2318</v>
      </c>
      <c r="B357" t="s">
        <v>2401</v>
      </c>
    </row>
    <row r="358" spans="1:2" x14ac:dyDescent="0.55000000000000004">
      <c r="A358" t="s">
        <v>2319</v>
      </c>
      <c r="B358" t="s">
        <v>2401</v>
      </c>
    </row>
    <row r="359" spans="1:2" x14ac:dyDescent="0.55000000000000004">
      <c r="A359" t="s">
        <v>2320</v>
      </c>
      <c r="B359" t="s">
        <v>2400</v>
      </c>
    </row>
    <row r="360" spans="1:2" x14ac:dyDescent="0.55000000000000004">
      <c r="A360" t="s">
        <v>2321</v>
      </c>
      <c r="B360" t="s">
        <v>2400</v>
      </c>
    </row>
    <row r="361" spans="1:2" x14ac:dyDescent="0.55000000000000004">
      <c r="A361" t="s">
        <v>2322</v>
      </c>
      <c r="B361" t="s">
        <v>2400</v>
      </c>
    </row>
    <row r="362" spans="1:2" x14ac:dyDescent="0.55000000000000004">
      <c r="A362" t="s">
        <v>2323</v>
      </c>
      <c r="B362" t="s">
        <v>2400</v>
      </c>
    </row>
    <row r="363" spans="1:2" x14ac:dyDescent="0.55000000000000004">
      <c r="A363" t="s">
        <v>2324</v>
      </c>
      <c r="B363" t="s">
        <v>2400</v>
      </c>
    </row>
    <row r="364" spans="1:2" x14ac:dyDescent="0.55000000000000004">
      <c r="A364" t="s">
        <v>2325</v>
      </c>
      <c r="B364" t="s">
        <v>2400</v>
      </c>
    </row>
    <row r="365" spans="1:2" x14ac:dyDescent="0.55000000000000004">
      <c r="A365" t="s">
        <v>2327</v>
      </c>
      <c r="B365" t="s">
        <v>2400</v>
      </c>
    </row>
    <row r="366" spans="1:2" x14ac:dyDescent="0.55000000000000004">
      <c r="A366" t="s">
        <v>2328</v>
      </c>
      <c r="B366" t="s">
        <v>2403</v>
      </c>
    </row>
    <row r="367" spans="1:2" x14ac:dyDescent="0.55000000000000004">
      <c r="A367" t="s">
        <v>2329</v>
      </c>
      <c r="B367" t="s">
        <v>2403</v>
      </c>
    </row>
    <row r="368" spans="1:2" x14ac:dyDescent="0.55000000000000004">
      <c r="A368" t="s">
        <v>2330</v>
      </c>
      <c r="B368" t="s">
        <v>2402</v>
      </c>
    </row>
    <row r="369" spans="1:2" x14ac:dyDescent="0.55000000000000004">
      <c r="A369" t="s">
        <v>2331</v>
      </c>
      <c r="B369" t="s">
        <v>2402</v>
      </c>
    </row>
    <row r="370" spans="1:2" x14ac:dyDescent="0.55000000000000004">
      <c r="A370" t="s">
        <v>2333</v>
      </c>
      <c r="B370" t="s">
        <v>2404</v>
      </c>
    </row>
    <row r="371" spans="1:2" x14ac:dyDescent="0.55000000000000004">
      <c r="A371" t="s">
        <v>2334</v>
      </c>
      <c r="B371" t="s">
        <v>2404</v>
      </c>
    </row>
    <row r="372" spans="1:2" x14ac:dyDescent="0.55000000000000004">
      <c r="A372" t="s">
        <v>2337</v>
      </c>
      <c r="B372" t="s">
        <v>2333</v>
      </c>
    </row>
    <row r="373" spans="1:2" x14ac:dyDescent="0.55000000000000004">
      <c r="A373" t="s">
        <v>2339</v>
      </c>
      <c r="B373" t="s">
        <v>2333</v>
      </c>
    </row>
    <row r="374" spans="1:2" x14ac:dyDescent="0.55000000000000004">
      <c r="A374" t="s">
        <v>2342</v>
      </c>
      <c r="B374" t="s">
        <v>2333</v>
      </c>
    </row>
    <row r="375" spans="1:2" x14ac:dyDescent="0.55000000000000004">
      <c r="A375" t="s">
        <v>2343</v>
      </c>
      <c r="B375" t="s">
        <v>2333</v>
      </c>
    </row>
    <row r="376" spans="1:2" x14ac:dyDescent="0.55000000000000004">
      <c r="A376" t="s">
        <v>2553</v>
      </c>
      <c r="B376" t="s">
        <v>2589</v>
      </c>
    </row>
    <row r="377" spans="1:2" x14ac:dyDescent="0.55000000000000004">
      <c r="A377" t="s">
        <v>2554</v>
      </c>
      <c r="B377" t="s">
        <v>2589</v>
      </c>
    </row>
    <row r="378" spans="1:2" x14ac:dyDescent="0.55000000000000004">
      <c r="A378" t="s">
        <v>2555</v>
      </c>
      <c r="B378" t="s">
        <v>2588</v>
      </c>
    </row>
    <row r="379" spans="1:2" x14ac:dyDescent="0.55000000000000004">
      <c r="A379" t="s">
        <v>2556</v>
      </c>
      <c r="B379" t="s">
        <v>2588</v>
      </c>
    </row>
    <row r="380" spans="1:2" x14ac:dyDescent="0.55000000000000004">
      <c r="A380" t="s">
        <v>2557</v>
      </c>
      <c r="B380" t="s">
        <v>2588</v>
      </c>
    </row>
    <row r="381" spans="1:2" x14ac:dyDescent="0.55000000000000004">
      <c r="A381" t="s">
        <v>2563</v>
      </c>
      <c r="B381" t="s">
        <v>2588</v>
      </c>
    </row>
    <row r="382" spans="1:2" x14ac:dyDescent="0.55000000000000004">
      <c r="A382">
        <v>0</v>
      </c>
      <c r="B382" t="s">
        <v>2588</v>
      </c>
    </row>
    <row r="383" spans="1:2" x14ac:dyDescent="0.55000000000000004">
      <c r="A383" t="s">
        <v>2568</v>
      </c>
      <c r="B383" t="s">
        <v>2588</v>
      </c>
    </row>
    <row r="384" spans="1:2" x14ac:dyDescent="0.55000000000000004">
      <c r="A384" t="s">
        <v>2572</v>
      </c>
      <c r="B384" t="s">
        <v>2588</v>
      </c>
    </row>
    <row r="385" spans="1:2" x14ac:dyDescent="0.55000000000000004">
      <c r="A385" t="s">
        <v>2576</v>
      </c>
      <c r="B385" t="s">
        <v>2591</v>
      </c>
    </row>
    <row r="386" spans="1:2" x14ac:dyDescent="0.55000000000000004">
      <c r="A386" t="s">
        <v>2577</v>
      </c>
      <c r="B386" t="s">
        <v>2590</v>
      </c>
    </row>
    <row r="387" spans="1:2" x14ac:dyDescent="0.55000000000000004">
      <c r="A387" t="s">
        <v>2579</v>
      </c>
      <c r="B387" t="s">
        <v>2590</v>
      </c>
    </row>
    <row r="388" spans="1:2" x14ac:dyDescent="0.55000000000000004">
      <c r="A388" t="s">
        <v>2713</v>
      </c>
      <c r="B388" t="s">
        <v>2735</v>
      </c>
    </row>
    <row r="389" spans="1:2" x14ac:dyDescent="0.55000000000000004">
      <c r="A389" t="s">
        <v>2714</v>
      </c>
      <c r="B389" t="s">
        <v>2735</v>
      </c>
    </row>
    <row r="390" spans="1:2" x14ac:dyDescent="0.55000000000000004">
      <c r="A390" t="s">
        <v>2715</v>
      </c>
      <c r="B390" t="s">
        <v>2734</v>
      </c>
    </row>
    <row r="391" spans="1:2" x14ac:dyDescent="0.55000000000000004">
      <c r="A391" t="s">
        <v>2716</v>
      </c>
      <c r="B391" t="s">
        <v>2734</v>
      </c>
    </row>
    <row r="392" spans="1:2" x14ac:dyDescent="0.55000000000000004">
      <c r="A392" t="s">
        <v>2717</v>
      </c>
      <c r="B392" t="s">
        <v>2734</v>
      </c>
    </row>
    <row r="393" spans="1:2" x14ac:dyDescent="0.55000000000000004">
      <c r="A393" t="s">
        <v>2718</v>
      </c>
      <c r="B393" t="s">
        <v>2734</v>
      </c>
    </row>
    <row r="394" spans="1:2" x14ac:dyDescent="0.55000000000000004">
      <c r="A394" t="s">
        <v>2719</v>
      </c>
      <c r="B394" t="s">
        <v>2734</v>
      </c>
    </row>
    <row r="395" spans="1:2" x14ac:dyDescent="0.55000000000000004">
      <c r="A395" t="s">
        <v>2720</v>
      </c>
      <c r="B395" t="s">
        <v>2734</v>
      </c>
    </row>
    <row r="396" spans="1:2" x14ac:dyDescent="0.55000000000000004">
      <c r="A396" t="s">
        <v>2723</v>
      </c>
      <c r="B396" t="s">
        <v>2734</v>
      </c>
    </row>
    <row r="397" spans="1:2" x14ac:dyDescent="0.55000000000000004">
      <c r="A397" t="s">
        <v>2724</v>
      </c>
      <c r="B397" t="s">
        <v>2734</v>
      </c>
    </row>
    <row r="398" spans="1:2" x14ac:dyDescent="0.55000000000000004">
      <c r="A398" t="s">
        <v>2726</v>
      </c>
      <c r="B398" t="s">
        <v>2734</v>
      </c>
    </row>
    <row r="399" spans="1:2" x14ac:dyDescent="0.55000000000000004">
      <c r="A399" t="s">
        <v>2730</v>
      </c>
      <c r="B399" t="s">
        <v>2734</v>
      </c>
    </row>
    <row r="400" spans="1:2" x14ac:dyDescent="0.55000000000000004">
      <c r="A400" t="s">
        <v>2732</v>
      </c>
      <c r="B400" t="s">
        <v>2734</v>
      </c>
    </row>
    <row r="401" spans="1:2" x14ac:dyDescent="0.55000000000000004">
      <c r="A401" t="s">
        <v>2847</v>
      </c>
      <c r="B401" t="s">
        <v>2734</v>
      </c>
    </row>
    <row r="402" spans="1:2" x14ac:dyDescent="0.55000000000000004">
      <c r="A402" t="s">
        <v>2848</v>
      </c>
      <c r="B402" t="s">
        <v>2734</v>
      </c>
    </row>
    <row r="403" spans="1:2" x14ac:dyDescent="0.55000000000000004">
      <c r="A403" t="s">
        <v>2849</v>
      </c>
      <c r="B403" t="s">
        <v>2734</v>
      </c>
    </row>
    <row r="404" spans="1:2" x14ac:dyDescent="0.55000000000000004">
      <c r="A404" t="s">
        <v>2850</v>
      </c>
      <c r="B404" t="s">
        <v>2734</v>
      </c>
    </row>
    <row r="405" spans="1:2" x14ac:dyDescent="0.55000000000000004">
      <c r="A405" t="s">
        <v>2851</v>
      </c>
      <c r="B405" t="s">
        <v>2734</v>
      </c>
    </row>
    <row r="406" spans="1:2" x14ac:dyDescent="0.55000000000000004">
      <c r="A406" t="s">
        <v>2852</v>
      </c>
      <c r="B406" t="s">
        <v>2734</v>
      </c>
    </row>
    <row r="407" spans="1:2" x14ac:dyDescent="0.55000000000000004">
      <c r="A407" t="s">
        <v>2855</v>
      </c>
      <c r="B407" t="s">
        <v>2734</v>
      </c>
    </row>
    <row r="408" spans="1:2" x14ac:dyDescent="0.55000000000000004">
      <c r="A408" t="s">
        <v>2841</v>
      </c>
      <c r="B408" t="s">
        <v>2858</v>
      </c>
    </row>
    <row r="409" spans="1:2" x14ac:dyDescent="0.55000000000000004">
      <c r="A409" t="s">
        <v>2842</v>
      </c>
      <c r="B409" t="s">
        <v>2742</v>
      </c>
    </row>
    <row r="410" spans="1:2" x14ac:dyDescent="0.55000000000000004">
      <c r="A410" t="s">
        <v>2844</v>
      </c>
      <c r="B410" t="s">
        <v>2742</v>
      </c>
    </row>
    <row r="411" spans="1:2" x14ac:dyDescent="0.55000000000000004">
      <c r="A411" t="s">
        <v>2845</v>
      </c>
      <c r="B411" t="s">
        <v>2742</v>
      </c>
    </row>
    <row r="412" spans="1:2" x14ac:dyDescent="0.55000000000000004">
      <c r="A412" t="s">
        <v>2961</v>
      </c>
      <c r="B412" t="s">
        <v>3051</v>
      </c>
    </row>
    <row r="413" spans="1:2" x14ac:dyDescent="0.55000000000000004">
      <c r="A413" t="s">
        <v>2963</v>
      </c>
      <c r="B413" t="s">
        <v>3051</v>
      </c>
    </row>
    <row r="414" spans="1:2" x14ac:dyDescent="0.55000000000000004">
      <c r="A414" t="s">
        <v>2965</v>
      </c>
      <c r="B414" t="s">
        <v>3050</v>
      </c>
    </row>
    <row r="415" spans="1:2" x14ac:dyDescent="0.55000000000000004">
      <c r="A415" t="s">
        <v>2966</v>
      </c>
      <c r="B415" t="s">
        <v>3050</v>
      </c>
    </row>
    <row r="416" spans="1:2" x14ac:dyDescent="0.55000000000000004">
      <c r="A416" t="s">
        <v>2967</v>
      </c>
      <c r="B416" t="s">
        <v>3050</v>
      </c>
    </row>
    <row r="417" spans="1:2" x14ac:dyDescent="0.55000000000000004">
      <c r="A417" t="s">
        <v>2968</v>
      </c>
      <c r="B417" t="s">
        <v>3050</v>
      </c>
    </row>
    <row r="418" spans="1:2" x14ac:dyDescent="0.55000000000000004">
      <c r="A418" t="s">
        <v>2970</v>
      </c>
      <c r="B418" t="s">
        <v>3050</v>
      </c>
    </row>
    <row r="419" spans="1:2" x14ac:dyDescent="0.55000000000000004">
      <c r="A419" t="s">
        <v>2973</v>
      </c>
      <c r="B419" t="s">
        <v>3050</v>
      </c>
    </row>
    <row r="420" spans="1:2" x14ac:dyDescent="0.55000000000000004">
      <c r="A420" t="s">
        <v>2974</v>
      </c>
      <c r="B420" t="s">
        <v>3050</v>
      </c>
    </row>
    <row r="421" spans="1:2" x14ac:dyDescent="0.55000000000000004">
      <c r="A421" t="s">
        <v>2976</v>
      </c>
      <c r="B421" t="s">
        <v>3050</v>
      </c>
    </row>
    <row r="422" spans="1:2" x14ac:dyDescent="0.55000000000000004">
      <c r="A422" t="s">
        <v>2980</v>
      </c>
      <c r="B422" t="s">
        <v>3050</v>
      </c>
    </row>
    <row r="423" spans="1:2" x14ac:dyDescent="0.55000000000000004">
      <c r="A423" t="s">
        <v>2983</v>
      </c>
      <c r="B423" t="s">
        <v>3050</v>
      </c>
    </row>
    <row r="424" spans="1:2" x14ac:dyDescent="0.55000000000000004">
      <c r="A424" t="s">
        <v>2987</v>
      </c>
      <c r="B424" t="s">
        <v>3050</v>
      </c>
    </row>
    <row r="425" spans="1:2" x14ac:dyDescent="0.55000000000000004">
      <c r="A425" t="s">
        <v>2989</v>
      </c>
      <c r="B425" t="s">
        <v>3050</v>
      </c>
    </row>
    <row r="426" spans="1:2" x14ac:dyDescent="0.55000000000000004">
      <c r="A426" t="s">
        <v>2990</v>
      </c>
      <c r="B426" t="s">
        <v>3050</v>
      </c>
    </row>
    <row r="427" spans="1:2" x14ac:dyDescent="0.55000000000000004">
      <c r="A427" t="s">
        <v>2991</v>
      </c>
      <c r="B427" t="s">
        <v>3050</v>
      </c>
    </row>
    <row r="428" spans="1:2" x14ac:dyDescent="0.55000000000000004">
      <c r="A428" t="s">
        <v>2992</v>
      </c>
      <c r="B428" t="s">
        <v>3050</v>
      </c>
    </row>
    <row r="429" spans="1:2" x14ac:dyDescent="0.55000000000000004">
      <c r="A429" t="s">
        <v>2993</v>
      </c>
      <c r="B429" t="s">
        <v>3050</v>
      </c>
    </row>
    <row r="430" spans="1:2" x14ac:dyDescent="0.55000000000000004">
      <c r="A430" t="s">
        <v>2994</v>
      </c>
      <c r="B430" t="s">
        <v>3050</v>
      </c>
    </row>
    <row r="431" spans="1:2" x14ac:dyDescent="0.55000000000000004">
      <c r="A431" t="s">
        <v>2995</v>
      </c>
      <c r="B431" t="s">
        <v>2751</v>
      </c>
    </row>
    <row r="432" spans="1:2" x14ac:dyDescent="0.55000000000000004">
      <c r="A432" t="s">
        <v>2996</v>
      </c>
      <c r="B432" t="s">
        <v>2751</v>
      </c>
    </row>
    <row r="433" spans="1:2" x14ac:dyDescent="0.55000000000000004">
      <c r="A433" t="s">
        <v>428</v>
      </c>
      <c r="B433" t="s">
        <v>2751</v>
      </c>
    </row>
    <row r="434" spans="1:2" x14ac:dyDescent="0.55000000000000004">
      <c r="A434" t="s">
        <v>2997</v>
      </c>
      <c r="B434" t="s">
        <v>2751</v>
      </c>
    </row>
    <row r="435" spans="1:2" x14ac:dyDescent="0.55000000000000004">
      <c r="A435" t="s">
        <v>2864</v>
      </c>
      <c r="B435" t="s">
        <v>2751</v>
      </c>
    </row>
    <row r="436" spans="1:2" x14ac:dyDescent="0.55000000000000004">
      <c r="A436" t="s">
        <v>2998</v>
      </c>
      <c r="B436" t="s">
        <v>2751</v>
      </c>
    </row>
    <row r="437" spans="1:2" x14ac:dyDescent="0.55000000000000004">
      <c r="A437" t="s">
        <v>3000</v>
      </c>
      <c r="B437" t="s">
        <v>2751</v>
      </c>
    </row>
    <row r="438" spans="1:2" x14ac:dyDescent="0.55000000000000004">
      <c r="A438" t="s">
        <v>3004</v>
      </c>
      <c r="B438" t="s">
        <v>3052</v>
      </c>
    </row>
    <row r="439" spans="1:2" x14ac:dyDescent="0.55000000000000004">
      <c r="A439" t="s">
        <v>3005</v>
      </c>
      <c r="B439" t="s">
        <v>3052</v>
      </c>
    </row>
    <row r="440" spans="1:2" x14ac:dyDescent="0.55000000000000004">
      <c r="A440" t="s">
        <v>3006</v>
      </c>
      <c r="B440" t="s">
        <v>3052</v>
      </c>
    </row>
    <row r="441" spans="1:2" x14ac:dyDescent="0.55000000000000004">
      <c r="A441" t="s">
        <v>3007</v>
      </c>
      <c r="B441" t="s">
        <v>3052</v>
      </c>
    </row>
    <row r="442" spans="1:2" x14ac:dyDescent="0.55000000000000004">
      <c r="A442" t="s">
        <v>3008</v>
      </c>
      <c r="B442" t="s">
        <v>3052</v>
      </c>
    </row>
    <row r="443" spans="1:2" x14ac:dyDescent="0.55000000000000004">
      <c r="A443" t="s">
        <v>3009</v>
      </c>
      <c r="B443" t="s">
        <v>3052</v>
      </c>
    </row>
    <row r="444" spans="1:2" x14ac:dyDescent="0.55000000000000004">
      <c r="A444" t="s">
        <v>3010</v>
      </c>
      <c r="B444" t="s">
        <v>3052</v>
      </c>
    </row>
    <row r="445" spans="1:2" x14ac:dyDescent="0.55000000000000004">
      <c r="A445" t="s">
        <v>3011</v>
      </c>
      <c r="B445" t="s">
        <v>3052</v>
      </c>
    </row>
    <row r="446" spans="1:2" x14ac:dyDescent="0.55000000000000004">
      <c r="A446" t="s">
        <v>3013</v>
      </c>
      <c r="B446" t="s">
        <v>3052</v>
      </c>
    </row>
    <row r="447" spans="1:2" x14ac:dyDescent="0.55000000000000004">
      <c r="A447" t="s">
        <v>3014</v>
      </c>
      <c r="B447" t="s">
        <v>3052</v>
      </c>
    </row>
    <row r="448" spans="1:2" x14ac:dyDescent="0.55000000000000004">
      <c r="A448" t="s">
        <v>3015</v>
      </c>
      <c r="B448" t="s">
        <v>3052</v>
      </c>
    </row>
    <row r="449" spans="1:2" x14ac:dyDescent="0.55000000000000004">
      <c r="A449" t="s">
        <v>3016</v>
      </c>
      <c r="B449" t="s">
        <v>3052</v>
      </c>
    </row>
    <row r="450" spans="1:2" x14ac:dyDescent="0.55000000000000004">
      <c r="A450" t="s">
        <v>3018</v>
      </c>
      <c r="B450" t="s">
        <v>3052</v>
      </c>
    </row>
    <row r="451" spans="1:2" x14ac:dyDescent="0.55000000000000004">
      <c r="A451" t="s">
        <v>3019</v>
      </c>
      <c r="B451" t="s">
        <v>3052</v>
      </c>
    </row>
    <row r="452" spans="1:2" x14ac:dyDescent="0.55000000000000004">
      <c r="A452" t="s">
        <v>3020</v>
      </c>
      <c r="B452" t="s">
        <v>3052</v>
      </c>
    </row>
    <row r="453" spans="1:2" x14ac:dyDescent="0.55000000000000004">
      <c r="A453" t="s">
        <v>3022</v>
      </c>
      <c r="B453" t="s">
        <v>3052</v>
      </c>
    </row>
    <row r="454" spans="1:2" x14ac:dyDescent="0.55000000000000004">
      <c r="A454" t="s">
        <v>3025</v>
      </c>
      <c r="B454" t="s">
        <v>3052</v>
      </c>
    </row>
    <row r="455" spans="1:2" x14ac:dyDescent="0.55000000000000004">
      <c r="A455" t="s">
        <v>3026</v>
      </c>
      <c r="B455" t="s">
        <v>3053</v>
      </c>
    </row>
    <row r="456" spans="1:2" x14ac:dyDescent="0.55000000000000004">
      <c r="A456" t="s">
        <v>3027</v>
      </c>
      <c r="B456" t="s">
        <v>3053</v>
      </c>
    </row>
    <row r="457" spans="1:2" x14ac:dyDescent="0.55000000000000004">
      <c r="A457" t="s">
        <v>3028</v>
      </c>
      <c r="B457" t="s">
        <v>3053</v>
      </c>
    </row>
    <row r="458" spans="1:2" x14ac:dyDescent="0.55000000000000004">
      <c r="A458" t="s">
        <v>3029</v>
      </c>
      <c r="B458" t="s">
        <v>3053</v>
      </c>
    </row>
    <row r="459" spans="1:2" x14ac:dyDescent="0.55000000000000004">
      <c r="A459" t="s">
        <v>3030</v>
      </c>
      <c r="B459" t="s">
        <v>3053</v>
      </c>
    </row>
    <row r="460" spans="1:2" x14ac:dyDescent="0.55000000000000004">
      <c r="A460" t="s">
        <v>3031</v>
      </c>
      <c r="B460" t="s">
        <v>3053</v>
      </c>
    </row>
    <row r="461" spans="1:2" x14ac:dyDescent="0.55000000000000004">
      <c r="A461" t="s">
        <v>3032</v>
      </c>
      <c r="B461" t="s">
        <v>3053</v>
      </c>
    </row>
    <row r="462" spans="1:2" x14ac:dyDescent="0.55000000000000004">
      <c r="A462" t="s">
        <v>3033</v>
      </c>
      <c r="B462" t="s">
        <v>3053</v>
      </c>
    </row>
    <row r="463" spans="1:2" x14ac:dyDescent="0.55000000000000004">
      <c r="A463" t="s">
        <v>3034</v>
      </c>
      <c r="B463" t="s">
        <v>3053</v>
      </c>
    </row>
    <row r="464" spans="1:2" x14ac:dyDescent="0.55000000000000004">
      <c r="A464" t="s">
        <v>3035</v>
      </c>
      <c r="B464" t="s">
        <v>3053</v>
      </c>
    </row>
    <row r="465" spans="1:2" x14ac:dyDescent="0.55000000000000004">
      <c r="A465" t="s">
        <v>3036</v>
      </c>
      <c r="B465" t="s">
        <v>3053</v>
      </c>
    </row>
    <row r="466" spans="1:2" x14ac:dyDescent="0.55000000000000004">
      <c r="A466" t="s">
        <v>3037</v>
      </c>
      <c r="B466" t="s">
        <v>3053</v>
      </c>
    </row>
    <row r="467" spans="1:2" x14ac:dyDescent="0.55000000000000004">
      <c r="A467" t="s">
        <v>3045</v>
      </c>
      <c r="B467" t="s">
        <v>3053</v>
      </c>
    </row>
    <row r="468" spans="1:2" x14ac:dyDescent="0.55000000000000004">
      <c r="A468" t="s">
        <v>3048</v>
      </c>
      <c r="B468" t="s">
        <v>3053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ECC71-9663-4D50-9C12-7EC4872AEED2}">
  <sheetPr codeName="Sheet12"/>
  <dimension ref="A1:D433"/>
  <sheetViews>
    <sheetView topLeftCell="A365" workbookViewId="0">
      <selection activeCell="B389" sqref="B389"/>
    </sheetView>
  </sheetViews>
  <sheetFormatPr defaultRowHeight="18" x14ac:dyDescent="0.55000000000000004"/>
  <cols>
    <col min="1" max="1" width="8.58203125" style="10"/>
  </cols>
  <sheetData>
    <row r="1" spans="1:4" x14ac:dyDescent="0.55000000000000004">
      <c r="A1" s="10">
        <v>49</v>
      </c>
      <c r="B1">
        <v>99</v>
      </c>
      <c r="D1">
        <f ca="1">SUMPRODUCT(ISERROR(output!J:J)*1)</f>
        <v>16</v>
      </c>
    </row>
    <row r="2" spans="1:4" x14ac:dyDescent="0.55000000000000004">
      <c r="A2" s="10">
        <v>56</v>
      </c>
      <c r="B2">
        <v>96</v>
      </c>
    </row>
    <row r="3" spans="1:4" x14ac:dyDescent="0.55000000000000004">
      <c r="A3" s="10" t="s">
        <v>2344</v>
      </c>
      <c r="B3" s="11">
        <v>70</v>
      </c>
    </row>
    <row r="4" spans="1:4" x14ac:dyDescent="0.55000000000000004">
      <c r="A4" s="10" t="s">
        <v>2345</v>
      </c>
      <c r="B4" s="11">
        <v>71</v>
      </c>
    </row>
    <row r="5" spans="1:4" x14ac:dyDescent="0.55000000000000004">
      <c r="A5" s="10" t="s">
        <v>2346</v>
      </c>
      <c r="B5" s="11">
        <v>72</v>
      </c>
    </row>
    <row r="6" spans="1:4" x14ac:dyDescent="0.55000000000000004">
      <c r="A6" s="10" t="s">
        <v>2347</v>
      </c>
      <c r="B6" s="11">
        <v>73</v>
      </c>
    </row>
    <row r="7" spans="1:4" x14ac:dyDescent="0.55000000000000004">
      <c r="A7" s="10" t="s">
        <v>2348</v>
      </c>
      <c r="B7" s="11">
        <v>74</v>
      </c>
    </row>
    <row r="8" spans="1:4" x14ac:dyDescent="0.55000000000000004">
      <c r="A8" s="10" t="s">
        <v>2349</v>
      </c>
      <c r="B8" s="11">
        <v>75</v>
      </c>
    </row>
    <row r="9" spans="1:4" x14ac:dyDescent="0.55000000000000004">
      <c r="A9" s="10" t="s">
        <v>2350</v>
      </c>
      <c r="B9" s="11">
        <v>76</v>
      </c>
    </row>
    <row r="10" spans="1:4" x14ac:dyDescent="0.55000000000000004">
      <c r="A10" s="10" t="s">
        <v>1996</v>
      </c>
      <c r="B10" s="11">
        <v>77</v>
      </c>
    </row>
    <row r="11" spans="1:4" x14ac:dyDescent="0.55000000000000004">
      <c r="A11" s="10" t="s">
        <v>1995</v>
      </c>
      <c r="B11" s="11">
        <v>78</v>
      </c>
    </row>
    <row r="12" spans="1:4" x14ac:dyDescent="0.55000000000000004">
      <c r="A12" s="10" t="s">
        <v>1987</v>
      </c>
      <c r="B12" s="11">
        <v>79</v>
      </c>
    </row>
    <row r="13" spans="1:4" x14ac:dyDescent="0.55000000000000004">
      <c r="A13" s="10" t="s">
        <v>2351</v>
      </c>
      <c r="B13" s="11">
        <v>80</v>
      </c>
    </row>
    <row r="14" spans="1:4" x14ac:dyDescent="0.55000000000000004">
      <c r="A14" s="10" t="s">
        <v>2352</v>
      </c>
      <c r="B14" s="11">
        <v>81</v>
      </c>
    </row>
    <row r="15" spans="1:4" x14ac:dyDescent="0.55000000000000004">
      <c r="A15" s="10" t="s">
        <v>2353</v>
      </c>
      <c r="B15" s="11">
        <v>82</v>
      </c>
    </row>
    <row r="16" spans="1:4" x14ac:dyDescent="0.55000000000000004">
      <c r="A16" s="10" t="s">
        <v>2003</v>
      </c>
      <c r="B16" s="11">
        <v>83</v>
      </c>
    </row>
    <row r="17" spans="1:2" x14ac:dyDescent="0.55000000000000004">
      <c r="A17" s="10" t="s">
        <v>2354</v>
      </c>
      <c r="B17" s="11">
        <v>84</v>
      </c>
    </row>
    <row r="18" spans="1:2" x14ac:dyDescent="0.55000000000000004">
      <c r="A18" s="10" t="s">
        <v>2012</v>
      </c>
      <c r="B18" s="11">
        <v>85</v>
      </c>
    </row>
    <row r="19" spans="1:2" x14ac:dyDescent="0.55000000000000004">
      <c r="A19" s="10" t="s">
        <v>2006</v>
      </c>
      <c r="B19" s="11">
        <v>86</v>
      </c>
    </row>
    <row r="20" spans="1:2" x14ac:dyDescent="0.55000000000000004">
      <c r="A20" s="10" t="s">
        <v>2355</v>
      </c>
      <c r="B20" s="11">
        <v>87</v>
      </c>
    </row>
    <row r="21" spans="1:2" x14ac:dyDescent="0.55000000000000004">
      <c r="A21" s="10" t="s">
        <v>2356</v>
      </c>
      <c r="B21" s="11">
        <v>88</v>
      </c>
    </row>
    <row r="22" spans="1:2" x14ac:dyDescent="0.55000000000000004">
      <c r="A22" s="10" t="s">
        <v>2357</v>
      </c>
      <c r="B22" s="11">
        <v>89</v>
      </c>
    </row>
    <row r="23" spans="1:2" x14ac:dyDescent="0.55000000000000004">
      <c r="A23" s="10" t="s">
        <v>2024</v>
      </c>
      <c r="B23" s="11">
        <v>90</v>
      </c>
    </row>
    <row r="24" spans="1:2" x14ac:dyDescent="0.55000000000000004">
      <c r="A24" s="10" t="s">
        <v>2358</v>
      </c>
      <c r="B24" s="11">
        <v>91</v>
      </c>
    </row>
    <row r="25" spans="1:2" x14ac:dyDescent="0.55000000000000004">
      <c r="A25" s="10" t="s">
        <v>2359</v>
      </c>
      <c r="B25" s="11">
        <v>92</v>
      </c>
    </row>
    <row r="26" spans="1:2" x14ac:dyDescent="0.55000000000000004">
      <c r="A26" s="10" t="s">
        <v>2032</v>
      </c>
      <c r="B26" s="11">
        <v>93</v>
      </c>
    </row>
    <row r="27" spans="1:2" x14ac:dyDescent="0.55000000000000004">
      <c r="A27" s="10" t="s">
        <v>2360</v>
      </c>
      <c r="B27" s="11">
        <v>94</v>
      </c>
    </row>
    <row r="28" spans="1:2" x14ac:dyDescent="0.55000000000000004">
      <c r="A28" s="10" t="s">
        <v>2040</v>
      </c>
      <c r="B28" s="11">
        <v>95</v>
      </c>
    </row>
    <row r="29" spans="1:2" x14ac:dyDescent="0.55000000000000004">
      <c r="A29" s="10" t="s">
        <v>2037</v>
      </c>
      <c r="B29" s="11">
        <v>96</v>
      </c>
    </row>
    <row r="30" spans="1:2" x14ac:dyDescent="0.55000000000000004">
      <c r="A30" s="10" t="s">
        <v>2361</v>
      </c>
      <c r="B30" s="11">
        <v>97</v>
      </c>
    </row>
    <row r="31" spans="1:2" x14ac:dyDescent="0.55000000000000004">
      <c r="A31" s="10" t="s">
        <v>2362</v>
      </c>
      <c r="B31" s="11">
        <v>98</v>
      </c>
    </row>
    <row r="32" spans="1:2" x14ac:dyDescent="0.55000000000000004">
      <c r="A32" s="10" t="s">
        <v>2363</v>
      </c>
      <c r="B32" s="11">
        <v>99</v>
      </c>
    </row>
    <row r="33" spans="1:2" x14ac:dyDescent="0.55000000000000004">
      <c r="A33" s="10" t="s">
        <v>2064</v>
      </c>
      <c r="B33" s="11">
        <v>100</v>
      </c>
    </row>
    <row r="34" spans="1:2" x14ac:dyDescent="0.55000000000000004">
      <c r="A34" s="10" t="s">
        <v>2062</v>
      </c>
      <c r="B34" s="11">
        <v>101</v>
      </c>
    </row>
    <row r="35" spans="1:2" x14ac:dyDescent="0.55000000000000004">
      <c r="A35" s="10" t="s">
        <v>2364</v>
      </c>
      <c r="B35" s="11">
        <v>102</v>
      </c>
    </row>
    <row r="36" spans="1:2" x14ac:dyDescent="0.55000000000000004">
      <c r="A36" s="10" t="s">
        <v>2365</v>
      </c>
      <c r="B36" s="11">
        <v>103</v>
      </c>
    </row>
    <row r="37" spans="1:2" x14ac:dyDescent="0.55000000000000004">
      <c r="A37" s="10" t="s">
        <v>2366</v>
      </c>
      <c r="B37" s="11">
        <v>104</v>
      </c>
    </row>
    <row r="38" spans="1:2" x14ac:dyDescent="0.55000000000000004">
      <c r="A38" s="10" t="s">
        <v>2070</v>
      </c>
      <c r="B38" s="11">
        <v>105</v>
      </c>
    </row>
    <row r="39" spans="1:2" x14ac:dyDescent="0.55000000000000004">
      <c r="A39" s="10" t="s">
        <v>2087</v>
      </c>
      <c r="B39" s="11">
        <v>106</v>
      </c>
    </row>
    <row r="40" spans="1:2" x14ac:dyDescent="0.55000000000000004">
      <c r="A40" s="10" t="s">
        <v>2088</v>
      </c>
      <c r="B40" s="11">
        <v>107</v>
      </c>
    </row>
    <row r="41" spans="1:2" x14ac:dyDescent="0.55000000000000004">
      <c r="A41" s="10" t="s">
        <v>2075</v>
      </c>
      <c r="B41" s="11">
        <v>108</v>
      </c>
    </row>
    <row r="42" spans="1:2" x14ac:dyDescent="0.55000000000000004">
      <c r="A42" s="10" t="s">
        <v>2367</v>
      </c>
      <c r="B42" s="11">
        <v>109</v>
      </c>
    </row>
    <row r="43" spans="1:2" x14ac:dyDescent="0.55000000000000004">
      <c r="A43" s="10" t="s">
        <v>2368</v>
      </c>
      <c r="B43" s="11">
        <v>110</v>
      </c>
    </row>
    <row r="44" spans="1:2" x14ac:dyDescent="0.55000000000000004">
      <c r="A44" s="10" t="s">
        <v>2369</v>
      </c>
      <c r="B44" s="11">
        <v>111</v>
      </c>
    </row>
    <row r="45" spans="1:2" x14ac:dyDescent="0.55000000000000004">
      <c r="A45" s="10" t="s">
        <v>2370</v>
      </c>
      <c r="B45" s="11">
        <v>112</v>
      </c>
    </row>
    <row r="46" spans="1:2" x14ac:dyDescent="0.55000000000000004">
      <c r="A46" s="10" t="s">
        <v>1923</v>
      </c>
      <c r="B46" s="11">
        <v>113</v>
      </c>
    </row>
    <row r="47" spans="1:2" x14ac:dyDescent="0.55000000000000004">
      <c r="A47" s="10" t="s">
        <v>1921</v>
      </c>
      <c r="B47" s="11">
        <v>114</v>
      </c>
    </row>
    <row r="48" spans="1:2" x14ac:dyDescent="0.55000000000000004">
      <c r="A48" s="10" t="s">
        <v>1922</v>
      </c>
      <c r="B48" s="11">
        <v>115</v>
      </c>
    </row>
    <row r="49" spans="1:2" x14ac:dyDescent="0.55000000000000004">
      <c r="A49" s="10" t="s">
        <v>2136</v>
      </c>
      <c r="B49" s="11">
        <v>116</v>
      </c>
    </row>
    <row r="50" spans="1:2" x14ac:dyDescent="0.55000000000000004">
      <c r="A50" s="10" t="s">
        <v>2371</v>
      </c>
      <c r="B50" s="11">
        <v>117</v>
      </c>
    </row>
    <row r="51" spans="1:2" x14ac:dyDescent="0.55000000000000004">
      <c r="A51" s="10" t="s">
        <v>1929</v>
      </c>
      <c r="B51" s="11">
        <v>118</v>
      </c>
    </row>
    <row r="52" spans="1:2" x14ac:dyDescent="0.55000000000000004">
      <c r="A52" s="10" t="s">
        <v>1927</v>
      </c>
      <c r="B52" s="11">
        <v>119</v>
      </c>
    </row>
    <row r="53" spans="1:2" x14ac:dyDescent="0.55000000000000004">
      <c r="A53" s="10" t="s">
        <v>1928</v>
      </c>
      <c r="B53" s="11">
        <v>120</v>
      </c>
    </row>
    <row r="54" spans="1:2" x14ac:dyDescent="0.55000000000000004">
      <c r="A54" s="10" t="s">
        <v>1926</v>
      </c>
      <c r="B54" s="11">
        <v>121</v>
      </c>
    </row>
    <row r="55" spans="1:2" x14ac:dyDescent="0.55000000000000004">
      <c r="A55" s="10" t="s">
        <v>2372</v>
      </c>
      <c r="B55" s="11">
        <v>122</v>
      </c>
    </row>
    <row r="56" spans="1:2" x14ac:dyDescent="0.55000000000000004">
      <c r="A56" s="10" t="s">
        <v>1924</v>
      </c>
      <c r="B56" s="11">
        <v>123</v>
      </c>
    </row>
    <row r="57" spans="1:2" x14ac:dyDescent="0.55000000000000004">
      <c r="A57" s="10" t="s">
        <v>1925</v>
      </c>
      <c r="B57" s="11">
        <v>124</v>
      </c>
    </row>
    <row r="58" spans="1:2" x14ac:dyDescent="0.55000000000000004">
      <c r="A58" s="10" t="s">
        <v>1946</v>
      </c>
      <c r="B58" s="11">
        <v>125</v>
      </c>
    </row>
    <row r="59" spans="1:2" x14ac:dyDescent="0.55000000000000004">
      <c r="A59" s="10" t="s">
        <v>1919</v>
      </c>
      <c r="B59" s="11">
        <v>126</v>
      </c>
    </row>
    <row r="60" spans="1:2" x14ac:dyDescent="0.55000000000000004">
      <c r="A60" s="10" t="s">
        <v>1920</v>
      </c>
      <c r="B60" s="11">
        <v>127</v>
      </c>
    </row>
    <row r="61" spans="1:2" x14ac:dyDescent="0.55000000000000004">
      <c r="A61" s="10" t="s">
        <v>2107</v>
      </c>
      <c r="B61" s="11">
        <v>128</v>
      </c>
    </row>
    <row r="62" spans="1:2" x14ac:dyDescent="0.55000000000000004">
      <c r="A62" s="10" t="s">
        <v>1918</v>
      </c>
      <c r="B62" s="11">
        <v>129</v>
      </c>
    </row>
    <row r="63" spans="1:2" x14ac:dyDescent="0.55000000000000004">
      <c r="A63" s="10" t="s">
        <v>1932</v>
      </c>
      <c r="B63" s="11">
        <v>130</v>
      </c>
    </row>
    <row r="64" spans="1:2" x14ac:dyDescent="0.55000000000000004">
      <c r="A64" s="10" t="s">
        <v>1933</v>
      </c>
      <c r="B64" s="11">
        <v>131</v>
      </c>
    </row>
    <row r="65" spans="1:2" x14ac:dyDescent="0.55000000000000004">
      <c r="A65" s="10" t="s">
        <v>1931</v>
      </c>
      <c r="B65" s="11">
        <v>132</v>
      </c>
    </row>
    <row r="66" spans="1:2" x14ac:dyDescent="0.55000000000000004">
      <c r="A66" s="10" t="s">
        <v>2122</v>
      </c>
      <c r="B66" s="11">
        <v>133</v>
      </c>
    </row>
    <row r="67" spans="1:2" x14ac:dyDescent="0.55000000000000004">
      <c r="A67" s="10" t="s">
        <v>2373</v>
      </c>
      <c r="B67" s="11">
        <v>134</v>
      </c>
    </row>
    <row r="68" spans="1:2" x14ac:dyDescent="0.55000000000000004">
      <c r="A68" s="10" t="s">
        <v>2104</v>
      </c>
      <c r="B68" s="11">
        <v>135</v>
      </c>
    </row>
    <row r="69" spans="1:2" x14ac:dyDescent="0.55000000000000004">
      <c r="A69" s="10" t="s">
        <v>2105</v>
      </c>
      <c r="B69" s="11">
        <v>136</v>
      </c>
    </row>
    <row r="70" spans="1:2" x14ac:dyDescent="0.55000000000000004">
      <c r="A70" s="10" t="s">
        <v>2374</v>
      </c>
      <c r="B70" s="11">
        <v>137</v>
      </c>
    </row>
    <row r="71" spans="1:2" x14ac:dyDescent="0.55000000000000004">
      <c r="A71" s="10" t="s">
        <v>2106</v>
      </c>
      <c r="B71" s="11">
        <v>138</v>
      </c>
    </row>
    <row r="72" spans="1:2" x14ac:dyDescent="0.55000000000000004">
      <c r="A72" s="10" t="s">
        <v>1914</v>
      </c>
      <c r="B72" s="11">
        <v>139</v>
      </c>
    </row>
    <row r="73" spans="1:2" x14ac:dyDescent="0.55000000000000004">
      <c r="A73" s="10" t="s">
        <v>1912</v>
      </c>
      <c r="B73" s="11">
        <v>140</v>
      </c>
    </row>
    <row r="74" spans="1:2" x14ac:dyDescent="0.55000000000000004">
      <c r="A74" s="10" t="s">
        <v>2375</v>
      </c>
      <c r="B74" s="11">
        <v>141</v>
      </c>
    </row>
    <row r="75" spans="1:2" x14ac:dyDescent="0.55000000000000004">
      <c r="A75" s="10" t="s">
        <v>2376</v>
      </c>
      <c r="B75" s="11">
        <v>142</v>
      </c>
    </row>
    <row r="76" spans="1:2" x14ac:dyDescent="0.55000000000000004">
      <c r="A76" s="10" t="s">
        <v>2125</v>
      </c>
      <c r="B76" s="11">
        <v>143</v>
      </c>
    </row>
    <row r="77" spans="1:2" x14ac:dyDescent="0.55000000000000004">
      <c r="A77" s="10" t="s">
        <v>2180</v>
      </c>
      <c r="B77" s="11">
        <v>144</v>
      </c>
    </row>
    <row r="78" spans="1:2" x14ac:dyDescent="0.55000000000000004">
      <c r="A78" s="10" t="s">
        <v>2117</v>
      </c>
      <c r="B78" s="11">
        <v>145</v>
      </c>
    </row>
    <row r="79" spans="1:2" x14ac:dyDescent="0.55000000000000004">
      <c r="A79" s="10" t="s">
        <v>1945</v>
      </c>
      <c r="B79" s="11">
        <v>146</v>
      </c>
    </row>
    <row r="80" spans="1:2" x14ac:dyDescent="0.55000000000000004">
      <c r="A80" s="10" t="s">
        <v>2377</v>
      </c>
      <c r="B80" s="11">
        <v>147</v>
      </c>
    </row>
    <row r="81" spans="1:2" x14ac:dyDescent="0.55000000000000004">
      <c r="A81" s="10" t="s">
        <v>1960</v>
      </c>
      <c r="B81" s="11">
        <v>148</v>
      </c>
    </row>
    <row r="82" spans="1:2" x14ac:dyDescent="0.55000000000000004">
      <c r="A82" s="10" t="s">
        <v>1961</v>
      </c>
      <c r="B82" s="11">
        <v>149</v>
      </c>
    </row>
    <row r="83" spans="1:2" x14ac:dyDescent="0.55000000000000004">
      <c r="A83" s="10" t="s">
        <v>1975</v>
      </c>
      <c r="B83" s="11">
        <v>150</v>
      </c>
    </row>
    <row r="84" spans="1:2" x14ac:dyDescent="0.55000000000000004">
      <c r="A84" s="10" t="s">
        <v>2378</v>
      </c>
      <c r="B84" s="11">
        <v>151</v>
      </c>
    </row>
    <row r="85" spans="1:2" x14ac:dyDescent="0.55000000000000004">
      <c r="A85" s="10" t="s">
        <v>2090</v>
      </c>
      <c r="B85" s="11">
        <v>152</v>
      </c>
    </row>
    <row r="86" spans="1:2" x14ac:dyDescent="0.55000000000000004">
      <c r="A86" s="10" t="s">
        <v>2103</v>
      </c>
      <c r="B86" s="11">
        <v>153</v>
      </c>
    </row>
    <row r="87" spans="1:2" x14ac:dyDescent="0.55000000000000004">
      <c r="A87" s="10" t="s">
        <v>2379</v>
      </c>
      <c r="B87" s="11">
        <v>154</v>
      </c>
    </row>
    <row r="88" spans="1:2" x14ac:dyDescent="0.55000000000000004">
      <c r="A88" s="10" t="s">
        <v>2269</v>
      </c>
      <c r="B88" s="11">
        <v>155</v>
      </c>
    </row>
    <row r="89" spans="1:2" x14ac:dyDescent="0.55000000000000004">
      <c r="A89" s="10" t="s">
        <v>2276</v>
      </c>
      <c r="B89" s="11">
        <v>156</v>
      </c>
    </row>
    <row r="90" spans="1:2" x14ac:dyDescent="0.55000000000000004">
      <c r="A90" s="10" t="s">
        <v>2380</v>
      </c>
      <c r="B90" s="11">
        <v>157</v>
      </c>
    </row>
    <row r="91" spans="1:2" x14ac:dyDescent="0.55000000000000004">
      <c r="A91" s="10" t="s">
        <v>2381</v>
      </c>
      <c r="B91" s="11">
        <v>158</v>
      </c>
    </row>
    <row r="92" spans="1:2" x14ac:dyDescent="0.55000000000000004">
      <c r="A92" s="10" t="s">
        <v>2382</v>
      </c>
      <c r="B92" s="11">
        <v>159</v>
      </c>
    </row>
    <row r="93" spans="1:2" x14ac:dyDescent="0.55000000000000004">
      <c r="A93" s="10" t="s">
        <v>2383</v>
      </c>
      <c r="B93" s="11">
        <v>160</v>
      </c>
    </row>
    <row r="94" spans="1:2" x14ac:dyDescent="0.55000000000000004">
      <c r="A94" s="10" t="s">
        <v>2384</v>
      </c>
      <c r="B94" s="11">
        <v>161</v>
      </c>
    </row>
    <row r="95" spans="1:2" x14ac:dyDescent="0.55000000000000004">
      <c r="A95" s="10" t="s">
        <v>2385</v>
      </c>
      <c r="B95" s="11">
        <v>162</v>
      </c>
    </row>
    <row r="96" spans="1:2" x14ac:dyDescent="0.55000000000000004">
      <c r="A96" s="10" t="s">
        <v>2386</v>
      </c>
      <c r="B96" s="11">
        <v>163</v>
      </c>
    </row>
    <row r="97" spans="1:2" x14ac:dyDescent="0.55000000000000004">
      <c r="A97" s="10" t="s">
        <v>2387</v>
      </c>
      <c r="B97" s="11">
        <v>164</v>
      </c>
    </row>
    <row r="98" spans="1:2" x14ac:dyDescent="0.55000000000000004">
      <c r="A98" s="10" t="s">
        <v>2388</v>
      </c>
      <c r="B98" s="11">
        <v>165</v>
      </c>
    </row>
    <row r="99" spans="1:2" x14ac:dyDescent="0.55000000000000004">
      <c r="A99" s="10" t="s">
        <v>2389</v>
      </c>
      <c r="B99" s="11">
        <v>166</v>
      </c>
    </row>
    <row r="100" spans="1:2" x14ac:dyDescent="0.55000000000000004">
      <c r="A100" s="10" t="s">
        <v>2390</v>
      </c>
      <c r="B100" s="11">
        <v>167</v>
      </c>
    </row>
    <row r="101" spans="1:2" x14ac:dyDescent="0.55000000000000004">
      <c r="A101" s="10" t="s">
        <v>2391</v>
      </c>
      <c r="B101" s="11">
        <v>168</v>
      </c>
    </row>
    <row r="102" spans="1:2" x14ac:dyDescent="0.55000000000000004">
      <c r="A102" s="10" t="s">
        <v>2392</v>
      </c>
      <c r="B102" s="11">
        <v>169</v>
      </c>
    </row>
    <row r="103" spans="1:2" x14ac:dyDescent="0.55000000000000004">
      <c r="A103" s="10" t="s">
        <v>2393</v>
      </c>
      <c r="B103" s="11">
        <v>170</v>
      </c>
    </row>
    <row r="104" spans="1:2" x14ac:dyDescent="0.55000000000000004">
      <c r="A104" s="10" t="s">
        <v>2394</v>
      </c>
      <c r="B104" s="11">
        <v>171</v>
      </c>
    </row>
    <row r="105" spans="1:2" x14ac:dyDescent="0.55000000000000004">
      <c r="A105" s="10" t="s">
        <v>2395</v>
      </c>
      <c r="B105" s="11">
        <v>172</v>
      </c>
    </row>
    <row r="106" spans="1:2" x14ac:dyDescent="0.55000000000000004">
      <c r="A106" s="10" t="s">
        <v>2396</v>
      </c>
      <c r="B106" s="11">
        <v>173</v>
      </c>
    </row>
    <row r="107" spans="1:2" x14ac:dyDescent="0.55000000000000004">
      <c r="A107" s="10" t="s">
        <v>2397</v>
      </c>
      <c r="B107" s="11">
        <v>174</v>
      </c>
    </row>
    <row r="108" spans="1:2" x14ac:dyDescent="0.55000000000000004">
      <c r="A108" s="10" t="s">
        <v>2398</v>
      </c>
      <c r="B108" s="11">
        <v>175</v>
      </c>
    </row>
    <row r="109" spans="1:2" x14ac:dyDescent="0.55000000000000004">
      <c r="A109" s="10" t="s">
        <v>1574</v>
      </c>
      <c r="B109">
        <v>85</v>
      </c>
    </row>
    <row r="110" spans="1:2" x14ac:dyDescent="0.55000000000000004">
      <c r="A110" s="10" t="s">
        <v>596</v>
      </c>
      <c r="B110">
        <v>115</v>
      </c>
    </row>
    <row r="111" spans="1:2" x14ac:dyDescent="0.55000000000000004">
      <c r="A111" s="10" t="s">
        <v>729</v>
      </c>
      <c r="B111">
        <v>86</v>
      </c>
    </row>
    <row r="112" spans="1:2" x14ac:dyDescent="0.55000000000000004">
      <c r="A112" s="10" t="s">
        <v>1715</v>
      </c>
      <c r="B112">
        <v>122</v>
      </c>
    </row>
    <row r="113" spans="1:2" x14ac:dyDescent="0.55000000000000004">
      <c r="A113" s="10" t="s">
        <v>575</v>
      </c>
      <c r="B113">
        <v>146</v>
      </c>
    </row>
    <row r="114" spans="1:2" x14ac:dyDescent="0.55000000000000004">
      <c r="A114" s="10" t="s">
        <v>1364</v>
      </c>
      <c r="B114">
        <v>132</v>
      </c>
    </row>
    <row r="115" spans="1:2" x14ac:dyDescent="0.55000000000000004">
      <c r="A115" s="10" t="s">
        <v>1012</v>
      </c>
      <c r="B115">
        <v>132</v>
      </c>
    </row>
    <row r="116" spans="1:2" x14ac:dyDescent="0.55000000000000004">
      <c r="A116" s="10" t="s">
        <v>1742</v>
      </c>
      <c r="B116">
        <v>122</v>
      </c>
    </row>
    <row r="117" spans="1:2" x14ac:dyDescent="0.55000000000000004">
      <c r="A117" s="10" t="s">
        <v>737</v>
      </c>
      <c r="B117">
        <v>86</v>
      </c>
    </row>
    <row r="118" spans="1:2" x14ac:dyDescent="0.55000000000000004">
      <c r="A118" s="10" t="s">
        <v>792</v>
      </c>
      <c r="B118">
        <v>96</v>
      </c>
    </row>
    <row r="119" spans="1:2" x14ac:dyDescent="0.55000000000000004">
      <c r="A119" s="10" t="s">
        <v>657</v>
      </c>
      <c r="B119">
        <v>79</v>
      </c>
    </row>
    <row r="120" spans="1:2" x14ac:dyDescent="0.55000000000000004">
      <c r="A120" s="10" t="s">
        <v>650</v>
      </c>
      <c r="B120">
        <v>126</v>
      </c>
    </row>
    <row r="121" spans="1:2" x14ac:dyDescent="0.55000000000000004">
      <c r="A121" s="10" t="s">
        <v>648</v>
      </c>
      <c r="B121">
        <v>125</v>
      </c>
    </row>
    <row r="122" spans="1:2" x14ac:dyDescent="0.55000000000000004">
      <c r="A122" s="10" t="s">
        <v>577</v>
      </c>
      <c r="B122">
        <v>113</v>
      </c>
    </row>
    <row r="123" spans="1:2" x14ac:dyDescent="0.55000000000000004">
      <c r="A123" s="10" t="s">
        <v>1328</v>
      </c>
      <c r="B123">
        <v>126</v>
      </c>
    </row>
    <row r="124" spans="1:2" x14ac:dyDescent="0.55000000000000004">
      <c r="A124" s="10" t="s">
        <v>1245</v>
      </c>
      <c r="B124">
        <v>122</v>
      </c>
    </row>
    <row r="125" spans="1:2" x14ac:dyDescent="0.55000000000000004">
      <c r="A125" s="10" t="s">
        <v>626</v>
      </c>
      <c r="B125">
        <v>125</v>
      </c>
    </row>
    <row r="126" spans="1:2" x14ac:dyDescent="0.55000000000000004">
      <c r="A126" s="10" t="s">
        <v>1887</v>
      </c>
      <c r="B126">
        <v>126</v>
      </c>
    </row>
    <row r="127" spans="1:2" x14ac:dyDescent="0.55000000000000004">
      <c r="A127" s="10" t="s">
        <v>643</v>
      </c>
      <c r="B127">
        <v>122</v>
      </c>
    </row>
    <row r="128" spans="1:2" x14ac:dyDescent="0.55000000000000004">
      <c r="A128" s="10" t="s">
        <v>1248</v>
      </c>
      <c r="B128">
        <v>122</v>
      </c>
    </row>
    <row r="129" spans="1:2" x14ac:dyDescent="0.55000000000000004">
      <c r="A129" s="10" t="s">
        <v>1170</v>
      </c>
      <c r="B129">
        <v>145</v>
      </c>
    </row>
    <row r="130" spans="1:2" x14ac:dyDescent="0.55000000000000004">
      <c r="A130" s="10" t="s">
        <v>1659</v>
      </c>
      <c r="B130">
        <v>144</v>
      </c>
    </row>
    <row r="131" spans="1:2" x14ac:dyDescent="0.55000000000000004">
      <c r="A131" s="10" t="s">
        <v>1213</v>
      </c>
      <c r="B131">
        <v>145</v>
      </c>
    </row>
    <row r="132" spans="1:2" x14ac:dyDescent="0.55000000000000004">
      <c r="A132" s="10" t="s">
        <v>1260</v>
      </c>
      <c r="B132">
        <v>144</v>
      </c>
    </row>
    <row r="133" spans="1:2" x14ac:dyDescent="0.55000000000000004">
      <c r="A133" s="10" t="s">
        <v>1306</v>
      </c>
      <c r="B133">
        <v>149</v>
      </c>
    </row>
    <row r="134" spans="1:2" x14ac:dyDescent="0.55000000000000004">
      <c r="A134" s="10" t="s">
        <v>639</v>
      </c>
      <c r="B134">
        <v>146</v>
      </c>
    </row>
    <row r="135" spans="1:2" x14ac:dyDescent="0.55000000000000004">
      <c r="A135" s="10" t="s">
        <v>619</v>
      </c>
      <c r="B135">
        <v>146</v>
      </c>
    </row>
    <row r="136" spans="1:2" x14ac:dyDescent="0.55000000000000004">
      <c r="A136" s="10" t="s">
        <v>617</v>
      </c>
      <c r="B136">
        <v>148</v>
      </c>
    </row>
    <row r="137" spans="1:2" x14ac:dyDescent="0.55000000000000004">
      <c r="A137" s="10" t="s">
        <v>1211</v>
      </c>
      <c r="B137">
        <v>148</v>
      </c>
    </row>
    <row r="138" spans="1:2" x14ac:dyDescent="0.55000000000000004">
      <c r="A138" s="10" t="s">
        <v>609</v>
      </c>
      <c r="B138">
        <v>148</v>
      </c>
    </row>
    <row r="139" spans="1:2" x14ac:dyDescent="0.55000000000000004">
      <c r="A139" s="10" t="s">
        <v>967</v>
      </c>
      <c r="B139">
        <v>148</v>
      </c>
    </row>
    <row r="140" spans="1:2" x14ac:dyDescent="0.55000000000000004">
      <c r="A140" s="10" t="s">
        <v>621</v>
      </c>
      <c r="B140">
        <v>126</v>
      </c>
    </row>
    <row r="141" spans="1:2" x14ac:dyDescent="0.55000000000000004">
      <c r="A141" s="10" t="s">
        <v>632</v>
      </c>
      <c r="B141">
        <v>115</v>
      </c>
    </row>
    <row r="142" spans="1:2" x14ac:dyDescent="0.55000000000000004">
      <c r="A142" s="10" t="s">
        <v>853</v>
      </c>
      <c r="B142">
        <v>105</v>
      </c>
    </row>
    <row r="143" spans="1:2" x14ac:dyDescent="0.55000000000000004">
      <c r="A143" s="10" t="s">
        <v>1621</v>
      </c>
      <c r="B143">
        <v>100</v>
      </c>
    </row>
    <row r="144" spans="1:2" x14ac:dyDescent="0.55000000000000004">
      <c r="A144" s="10" t="s">
        <v>863</v>
      </c>
      <c r="B144">
        <v>106</v>
      </c>
    </row>
    <row r="145" spans="1:2" x14ac:dyDescent="0.55000000000000004">
      <c r="A145" s="10" t="s">
        <v>1610</v>
      </c>
      <c r="B145">
        <v>96</v>
      </c>
    </row>
    <row r="146" spans="1:2" x14ac:dyDescent="0.55000000000000004">
      <c r="A146" s="10" t="s">
        <v>1228</v>
      </c>
      <c r="B146">
        <v>126</v>
      </c>
    </row>
    <row r="147" spans="1:2" x14ac:dyDescent="0.55000000000000004">
      <c r="A147" s="10" t="s">
        <v>1459</v>
      </c>
      <c r="B147">
        <v>126</v>
      </c>
    </row>
    <row r="148" spans="1:2" x14ac:dyDescent="0.55000000000000004">
      <c r="A148" s="10" t="s">
        <v>1425</v>
      </c>
      <c r="B148">
        <v>126</v>
      </c>
    </row>
    <row r="149" spans="1:2" x14ac:dyDescent="0.55000000000000004">
      <c r="A149" s="10" t="s">
        <v>1532</v>
      </c>
      <c r="B149">
        <v>125</v>
      </c>
    </row>
    <row r="150" spans="1:2" x14ac:dyDescent="0.55000000000000004">
      <c r="A150" s="10" t="s">
        <v>1161</v>
      </c>
      <c r="B150">
        <v>116</v>
      </c>
    </row>
    <row r="151" spans="1:2" x14ac:dyDescent="0.55000000000000004">
      <c r="A151" s="10" t="s">
        <v>1533</v>
      </c>
      <c r="B151">
        <v>126</v>
      </c>
    </row>
    <row r="152" spans="1:2" x14ac:dyDescent="0.55000000000000004">
      <c r="A152" s="10" t="s">
        <v>1146</v>
      </c>
      <c r="B152">
        <v>118</v>
      </c>
    </row>
    <row r="153" spans="1:2" x14ac:dyDescent="0.55000000000000004">
      <c r="A153" s="10" t="s">
        <v>1159</v>
      </c>
      <c r="B153">
        <v>118</v>
      </c>
    </row>
    <row r="154" spans="1:2" x14ac:dyDescent="0.55000000000000004">
      <c r="A154" s="10" t="s">
        <v>604</v>
      </c>
      <c r="B154">
        <v>118</v>
      </c>
    </row>
    <row r="155" spans="1:2" x14ac:dyDescent="0.55000000000000004">
      <c r="A155" s="10" t="s">
        <v>858</v>
      </c>
      <c r="B155">
        <v>106</v>
      </c>
    </row>
    <row r="156" spans="1:2" x14ac:dyDescent="0.55000000000000004">
      <c r="A156" s="10" t="s">
        <v>1536</v>
      </c>
      <c r="B156">
        <v>115</v>
      </c>
    </row>
    <row r="157" spans="1:2" x14ac:dyDescent="0.55000000000000004">
      <c r="A157" s="10" t="s">
        <v>1633</v>
      </c>
      <c r="B157">
        <v>106</v>
      </c>
    </row>
    <row r="158" spans="1:2" x14ac:dyDescent="0.55000000000000004">
      <c r="A158" s="10" t="s">
        <v>841</v>
      </c>
      <c r="B158">
        <v>100</v>
      </c>
    </row>
    <row r="159" spans="1:2" x14ac:dyDescent="0.55000000000000004">
      <c r="A159" s="10" t="s">
        <v>830</v>
      </c>
      <c r="B159">
        <v>100</v>
      </c>
    </row>
    <row r="160" spans="1:2" x14ac:dyDescent="0.55000000000000004">
      <c r="A160" s="10" t="s">
        <v>850</v>
      </c>
      <c r="B160">
        <v>107</v>
      </c>
    </row>
    <row r="161" spans="1:2" x14ac:dyDescent="0.55000000000000004">
      <c r="A161" s="10" t="s">
        <v>649</v>
      </c>
      <c r="B161">
        <v>124</v>
      </c>
    </row>
    <row r="162" spans="1:2" x14ac:dyDescent="0.55000000000000004">
      <c r="A162" s="10" t="s">
        <v>628</v>
      </c>
      <c r="B162">
        <v>126</v>
      </c>
    </row>
    <row r="163" spans="1:2" x14ac:dyDescent="0.55000000000000004">
      <c r="A163" s="10" t="s">
        <v>1279</v>
      </c>
      <c r="B163">
        <v>120</v>
      </c>
    </row>
    <row r="164" spans="1:2" x14ac:dyDescent="0.55000000000000004">
      <c r="A164" s="10" t="s">
        <v>597</v>
      </c>
      <c r="B164">
        <v>123</v>
      </c>
    </row>
    <row r="165" spans="1:2" x14ac:dyDescent="0.55000000000000004">
      <c r="A165" s="10" t="s">
        <v>602</v>
      </c>
      <c r="B165">
        <v>122</v>
      </c>
    </row>
    <row r="166" spans="1:2" x14ac:dyDescent="0.55000000000000004">
      <c r="A166" s="10" t="s">
        <v>627</v>
      </c>
      <c r="B166">
        <v>125</v>
      </c>
    </row>
    <row r="167" spans="1:2" x14ac:dyDescent="0.55000000000000004">
      <c r="A167" s="10" t="s">
        <v>591</v>
      </c>
      <c r="B167">
        <v>128</v>
      </c>
    </row>
    <row r="168" spans="1:2" x14ac:dyDescent="0.55000000000000004">
      <c r="A168" s="10" t="s">
        <v>1186</v>
      </c>
      <c r="B168">
        <v>123</v>
      </c>
    </row>
    <row r="169" spans="1:2" x14ac:dyDescent="0.55000000000000004">
      <c r="A169" s="10" t="s">
        <v>1529</v>
      </c>
      <c r="B169">
        <v>126</v>
      </c>
    </row>
    <row r="170" spans="1:2" x14ac:dyDescent="0.55000000000000004">
      <c r="A170" s="10" t="s">
        <v>1779</v>
      </c>
      <c r="B170">
        <v>125</v>
      </c>
    </row>
    <row r="171" spans="1:2" x14ac:dyDescent="0.55000000000000004">
      <c r="A171" s="10" t="s">
        <v>1551</v>
      </c>
      <c r="B171">
        <v>124</v>
      </c>
    </row>
    <row r="172" spans="1:2" x14ac:dyDescent="0.55000000000000004">
      <c r="A172" s="10" t="s">
        <v>1437</v>
      </c>
      <c r="B172">
        <v>124</v>
      </c>
    </row>
    <row r="173" spans="1:2" x14ac:dyDescent="0.55000000000000004">
      <c r="A173" s="10" t="s">
        <v>582</v>
      </c>
      <c r="B173">
        <v>140</v>
      </c>
    </row>
    <row r="174" spans="1:2" x14ac:dyDescent="0.55000000000000004">
      <c r="A174" s="10" t="s">
        <v>588</v>
      </c>
      <c r="B174">
        <v>126</v>
      </c>
    </row>
    <row r="175" spans="1:2" x14ac:dyDescent="0.55000000000000004">
      <c r="A175" s="10" t="s">
        <v>651</v>
      </c>
      <c r="B175">
        <v>124</v>
      </c>
    </row>
    <row r="176" spans="1:2" x14ac:dyDescent="0.55000000000000004">
      <c r="A176" s="10" t="s">
        <v>603</v>
      </c>
      <c r="B176">
        <v>120</v>
      </c>
    </row>
    <row r="177" spans="1:2" x14ac:dyDescent="0.55000000000000004">
      <c r="A177" s="10" t="s">
        <v>622</v>
      </c>
      <c r="B177">
        <v>128</v>
      </c>
    </row>
    <row r="178" spans="1:2" x14ac:dyDescent="0.55000000000000004">
      <c r="A178" s="10" t="s">
        <v>1450</v>
      </c>
      <c r="B178">
        <v>148</v>
      </c>
    </row>
    <row r="179" spans="1:2" x14ac:dyDescent="0.55000000000000004">
      <c r="A179" s="10" t="s">
        <v>1530</v>
      </c>
      <c r="B179">
        <v>128</v>
      </c>
    </row>
    <row r="180" spans="1:2" x14ac:dyDescent="0.55000000000000004">
      <c r="A180" s="10" t="s">
        <v>1668</v>
      </c>
      <c r="B180">
        <v>126</v>
      </c>
    </row>
    <row r="181" spans="1:2" x14ac:dyDescent="0.55000000000000004">
      <c r="A181" s="10" t="s">
        <v>827</v>
      </c>
      <c r="B181">
        <v>102</v>
      </c>
    </row>
    <row r="182" spans="1:2" x14ac:dyDescent="0.55000000000000004">
      <c r="A182" s="10" t="s">
        <v>727</v>
      </c>
      <c r="B182">
        <v>84</v>
      </c>
    </row>
    <row r="183" spans="1:2" x14ac:dyDescent="0.55000000000000004">
      <c r="A183" s="10" t="s">
        <v>875</v>
      </c>
      <c r="B183">
        <v>108</v>
      </c>
    </row>
    <row r="184" spans="1:2" x14ac:dyDescent="0.55000000000000004">
      <c r="A184" s="10" t="s">
        <v>631</v>
      </c>
      <c r="B184">
        <v>117</v>
      </c>
    </row>
    <row r="185" spans="1:2" x14ac:dyDescent="0.55000000000000004">
      <c r="A185" s="10" t="s">
        <v>630</v>
      </c>
      <c r="B185">
        <v>117</v>
      </c>
    </row>
    <row r="186" spans="1:2" x14ac:dyDescent="0.55000000000000004">
      <c r="A186" s="10" t="s">
        <v>1577</v>
      </c>
      <c r="B186">
        <v>84</v>
      </c>
    </row>
    <row r="187" spans="1:2" x14ac:dyDescent="0.55000000000000004">
      <c r="A187" s="10" t="s">
        <v>710</v>
      </c>
      <c r="B187">
        <v>84</v>
      </c>
    </row>
    <row r="188" spans="1:2" x14ac:dyDescent="0.55000000000000004">
      <c r="A188" s="10" t="s">
        <v>773</v>
      </c>
      <c r="B188">
        <v>98</v>
      </c>
    </row>
    <row r="189" spans="1:2" x14ac:dyDescent="0.55000000000000004">
      <c r="A189" s="10" t="s">
        <v>797</v>
      </c>
      <c r="B189">
        <v>95</v>
      </c>
    </row>
    <row r="190" spans="1:2" x14ac:dyDescent="0.55000000000000004">
      <c r="A190" s="10" t="s">
        <v>1575</v>
      </c>
      <c r="B190">
        <v>85</v>
      </c>
    </row>
    <row r="191" spans="1:2" x14ac:dyDescent="0.55000000000000004">
      <c r="A191" s="10" t="s">
        <v>732</v>
      </c>
      <c r="B191">
        <v>85</v>
      </c>
    </row>
    <row r="192" spans="1:2" x14ac:dyDescent="0.55000000000000004">
      <c r="A192" s="10" t="s">
        <v>1844</v>
      </c>
      <c r="B192">
        <v>144</v>
      </c>
    </row>
    <row r="193" spans="1:2" x14ac:dyDescent="0.55000000000000004">
      <c r="A193" s="10" t="s">
        <v>1417</v>
      </c>
      <c r="B193">
        <v>141</v>
      </c>
    </row>
    <row r="194" spans="1:2" x14ac:dyDescent="0.55000000000000004">
      <c r="A194" s="10" t="s">
        <v>1550</v>
      </c>
      <c r="B194">
        <v>141</v>
      </c>
    </row>
    <row r="195" spans="1:2" x14ac:dyDescent="0.55000000000000004">
      <c r="A195" s="10" t="s">
        <v>616</v>
      </c>
      <c r="B195">
        <v>144</v>
      </c>
    </row>
    <row r="196" spans="1:2" x14ac:dyDescent="0.55000000000000004">
      <c r="A196" s="10" t="s">
        <v>1276</v>
      </c>
      <c r="B196">
        <v>144</v>
      </c>
    </row>
    <row r="197" spans="1:2" x14ac:dyDescent="0.55000000000000004">
      <c r="A197" s="10" t="s">
        <v>584</v>
      </c>
      <c r="B197">
        <v>141</v>
      </c>
    </row>
    <row r="198" spans="1:2" x14ac:dyDescent="0.55000000000000004">
      <c r="A198" s="10" t="s">
        <v>618</v>
      </c>
      <c r="B198">
        <v>145</v>
      </c>
    </row>
    <row r="199" spans="1:2" x14ac:dyDescent="0.55000000000000004">
      <c r="A199" s="10" t="s">
        <v>586</v>
      </c>
      <c r="B199">
        <v>143</v>
      </c>
    </row>
    <row r="200" spans="1:2" x14ac:dyDescent="0.55000000000000004">
      <c r="A200" s="10" t="s">
        <v>1523</v>
      </c>
      <c r="B200">
        <v>118</v>
      </c>
    </row>
    <row r="201" spans="1:2" x14ac:dyDescent="0.55000000000000004">
      <c r="A201" s="10" t="s">
        <v>1299</v>
      </c>
      <c r="B201">
        <v>149</v>
      </c>
    </row>
    <row r="202" spans="1:2" x14ac:dyDescent="0.55000000000000004">
      <c r="A202" s="10" t="s">
        <v>644</v>
      </c>
      <c r="B202">
        <v>149</v>
      </c>
    </row>
    <row r="203" spans="1:2" x14ac:dyDescent="0.55000000000000004">
      <c r="A203" s="10" t="s">
        <v>1355</v>
      </c>
      <c r="B203">
        <v>145</v>
      </c>
    </row>
    <row r="204" spans="1:2" x14ac:dyDescent="0.55000000000000004">
      <c r="A204" s="10" t="s">
        <v>585</v>
      </c>
      <c r="B204">
        <v>140</v>
      </c>
    </row>
    <row r="205" spans="1:2" x14ac:dyDescent="0.55000000000000004">
      <c r="A205" s="10" t="s">
        <v>636</v>
      </c>
      <c r="B205">
        <v>143</v>
      </c>
    </row>
    <row r="206" spans="1:2" x14ac:dyDescent="0.55000000000000004">
      <c r="A206" s="10" t="s">
        <v>1043</v>
      </c>
      <c r="B206">
        <v>143</v>
      </c>
    </row>
    <row r="207" spans="1:2" x14ac:dyDescent="0.55000000000000004">
      <c r="A207" s="10" t="s">
        <v>612</v>
      </c>
      <c r="B207">
        <v>145</v>
      </c>
    </row>
    <row r="208" spans="1:2" x14ac:dyDescent="0.55000000000000004">
      <c r="A208" s="10" t="s">
        <v>1034</v>
      </c>
      <c r="B208">
        <v>145</v>
      </c>
    </row>
    <row r="209" spans="1:2" x14ac:dyDescent="0.55000000000000004">
      <c r="A209" s="10" t="s">
        <v>620</v>
      </c>
      <c r="B209">
        <v>146</v>
      </c>
    </row>
    <row r="210" spans="1:2" x14ac:dyDescent="0.55000000000000004">
      <c r="A210" s="10" t="s">
        <v>611</v>
      </c>
      <c r="B210">
        <v>146</v>
      </c>
    </row>
    <row r="211" spans="1:2" x14ac:dyDescent="0.55000000000000004">
      <c r="A211" s="10" t="s">
        <v>592</v>
      </c>
      <c r="B211">
        <v>115</v>
      </c>
    </row>
    <row r="212" spans="1:2" x14ac:dyDescent="0.55000000000000004">
      <c r="A212" s="10" t="s">
        <v>1538</v>
      </c>
      <c r="B212">
        <v>114</v>
      </c>
    </row>
    <row r="213" spans="1:2" x14ac:dyDescent="0.55000000000000004">
      <c r="A213" s="10" t="s">
        <v>634</v>
      </c>
      <c r="B213">
        <v>114</v>
      </c>
    </row>
    <row r="214" spans="1:2" x14ac:dyDescent="0.55000000000000004">
      <c r="A214" s="10" t="s">
        <v>646</v>
      </c>
      <c r="B214">
        <v>141</v>
      </c>
    </row>
    <row r="215" spans="1:2" x14ac:dyDescent="0.55000000000000004">
      <c r="A215" s="10" t="s">
        <v>647</v>
      </c>
      <c r="B215">
        <v>141</v>
      </c>
    </row>
    <row r="216" spans="1:2" x14ac:dyDescent="0.55000000000000004">
      <c r="A216" s="10" t="s">
        <v>1165</v>
      </c>
      <c r="B216">
        <v>143</v>
      </c>
    </row>
    <row r="217" spans="1:2" x14ac:dyDescent="0.55000000000000004">
      <c r="A217" s="10" t="s">
        <v>1713</v>
      </c>
      <c r="B217">
        <v>144</v>
      </c>
    </row>
    <row r="218" spans="1:2" x14ac:dyDescent="0.55000000000000004">
      <c r="A218" s="10" t="s">
        <v>635</v>
      </c>
      <c r="B218">
        <v>148</v>
      </c>
    </row>
    <row r="219" spans="1:2" x14ac:dyDescent="0.55000000000000004">
      <c r="A219" s="10" t="s">
        <v>1264</v>
      </c>
      <c r="B219">
        <v>144</v>
      </c>
    </row>
    <row r="220" spans="1:2" x14ac:dyDescent="0.55000000000000004">
      <c r="A220" s="10" t="s">
        <v>1657</v>
      </c>
      <c r="B220">
        <v>144</v>
      </c>
    </row>
    <row r="221" spans="1:2" x14ac:dyDescent="0.55000000000000004">
      <c r="A221" s="10" t="s">
        <v>642</v>
      </c>
      <c r="B221">
        <v>148</v>
      </c>
    </row>
    <row r="222" spans="1:2" x14ac:dyDescent="0.55000000000000004">
      <c r="A222" s="10" t="s">
        <v>610</v>
      </c>
      <c r="B222">
        <v>147</v>
      </c>
    </row>
    <row r="223" spans="1:2" x14ac:dyDescent="0.55000000000000004">
      <c r="A223" s="10" t="s">
        <v>972</v>
      </c>
      <c r="B223">
        <v>144</v>
      </c>
    </row>
    <row r="224" spans="1:2" x14ac:dyDescent="0.55000000000000004">
      <c r="A224" s="10" t="s">
        <v>1403</v>
      </c>
      <c r="B224">
        <v>147</v>
      </c>
    </row>
    <row r="225" spans="1:2" x14ac:dyDescent="0.55000000000000004">
      <c r="A225" s="10" t="s">
        <v>906</v>
      </c>
      <c r="B225">
        <v>151</v>
      </c>
    </row>
    <row r="226" spans="1:2" x14ac:dyDescent="0.55000000000000004">
      <c r="A226" s="10" t="s">
        <v>824</v>
      </c>
      <c r="B226">
        <v>139</v>
      </c>
    </row>
    <row r="227" spans="1:2" x14ac:dyDescent="0.55000000000000004">
      <c r="A227" s="10" t="s">
        <v>1620</v>
      </c>
      <c r="B227">
        <v>99</v>
      </c>
    </row>
    <row r="228" spans="1:2" x14ac:dyDescent="0.55000000000000004">
      <c r="A228" s="10" t="s">
        <v>1605</v>
      </c>
      <c r="B228">
        <v>98</v>
      </c>
    </row>
    <row r="229" spans="1:2" x14ac:dyDescent="0.55000000000000004">
      <c r="A229" s="10" t="s">
        <v>633</v>
      </c>
      <c r="B229">
        <v>114</v>
      </c>
    </row>
    <row r="230" spans="1:2" x14ac:dyDescent="0.55000000000000004">
      <c r="A230" s="10" t="s">
        <v>1537</v>
      </c>
      <c r="B230">
        <v>114</v>
      </c>
    </row>
    <row r="231" spans="1:2" x14ac:dyDescent="0.55000000000000004">
      <c r="A231" s="10" t="s">
        <v>615</v>
      </c>
      <c r="B231">
        <v>144</v>
      </c>
    </row>
    <row r="232" spans="1:2" x14ac:dyDescent="0.55000000000000004">
      <c r="A232" s="10" t="s">
        <v>961</v>
      </c>
      <c r="B232">
        <v>144</v>
      </c>
    </row>
    <row r="233" spans="1:2" x14ac:dyDescent="0.55000000000000004">
      <c r="A233" s="10" t="s">
        <v>810</v>
      </c>
      <c r="B233">
        <v>95</v>
      </c>
    </row>
    <row r="234" spans="1:2" x14ac:dyDescent="0.55000000000000004">
      <c r="A234" s="10" t="s">
        <v>762</v>
      </c>
      <c r="B234">
        <v>93</v>
      </c>
    </row>
    <row r="235" spans="1:2" x14ac:dyDescent="0.55000000000000004">
      <c r="A235" s="10" t="s">
        <v>1596</v>
      </c>
      <c r="B235">
        <v>93</v>
      </c>
    </row>
    <row r="236" spans="1:2" x14ac:dyDescent="0.55000000000000004">
      <c r="A236" s="10" t="s">
        <v>789</v>
      </c>
      <c r="B236">
        <v>98</v>
      </c>
    </row>
    <row r="237" spans="1:2" x14ac:dyDescent="0.55000000000000004">
      <c r="A237" s="10" t="s">
        <v>583</v>
      </c>
      <c r="B237">
        <v>139</v>
      </c>
    </row>
    <row r="238" spans="1:2" x14ac:dyDescent="0.55000000000000004">
      <c r="A238" s="10" t="s">
        <v>844</v>
      </c>
      <c r="B238">
        <v>99</v>
      </c>
    </row>
    <row r="239" spans="1:2" x14ac:dyDescent="0.55000000000000004">
      <c r="A239" s="10" t="s">
        <v>747</v>
      </c>
      <c r="B239">
        <v>91</v>
      </c>
    </row>
    <row r="240" spans="1:2" x14ac:dyDescent="0.55000000000000004">
      <c r="A240" s="10" t="s">
        <v>779</v>
      </c>
      <c r="B240">
        <v>96</v>
      </c>
    </row>
    <row r="241" spans="1:2" x14ac:dyDescent="0.55000000000000004">
      <c r="A241" s="10" t="s">
        <v>587</v>
      </c>
      <c r="B241">
        <v>139</v>
      </c>
    </row>
    <row r="242" spans="1:2" x14ac:dyDescent="0.55000000000000004">
      <c r="A242" s="10" t="s">
        <v>1108</v>
      </c>
      <c r="B242">
        <v>135</v>
      </c>
    </row>
    <row r="243" spans="1:2" x14ac:dyDescent="0.55000000000000004">
      <c r="A243" s="10" t="s">
        <v>754</v>
      </c>
      <c r="B243">
        <v>92</v>
      </c>
    </row>
    <row r="244" spans="1:2" x14ac:dyDescent="0.55000000000000004">
      <c r="A244" s="10" t="s">
        <v>1591</v>
      </c>
      <c r="B244">
        <v>92</v>
      </c>
    </row>
    <row r="245" spans="1:2" x14ac:dyDescent="0.55000000000000004">
      <c r="A245" s="10" t="s">
        <v>745</v>
      </c>
      <c r="B245">
        <v>90</v>
      </c>
    </row>
    <row r="246" spans="1:2" x14ac:dyDescent="0.55000000000000004">
      <c r="A246" s="10" t="s">
        <v>743</v>
      </c>
      <c r="B246">
        <v>91</v>
      </c>
    </row>
    <row r="247" spans="1:2" x14ac:dyDescent="0.55000000000000004">
      <c r="A247" s="10" t="s">
        <v>1583</v>
      </c>
      <c r="B247">
        <v>91</v>
      </c>
    </row>
    <row r="248" spans="1:2" x14ac:dyDescent="0.55000000000000004">
      <c r="A248" s="10" t="s">
        <v>1290</v>
      </c>
      <c r="B248">
        <v>134</v>
      </c>
    </row>
    <row r="249" spans="1:2" x14ac:dyDescent="0.55000000000000004">
      <c r="A249" s="10" t="s">
        <v>940</v>
      </c>
      <c r="B249">
        <v>134</v>
      </c>
    </row>
    <row r="250" spans="1:2" x14ac:dyDescent="0.55000000000000004">
      <c r="A250" s="10" t="s">
        <v>1363</v>
      </c>
      <c r="B250">
        <v>132</v>
      </c>
    </row>
    <row r="251" spans="1:2" x14ac:dyDescent="0.55000000000000004">
      <c r="A251" s="10" t="s">
        <v>741</v>
      </c>
      <c r="B251">
        <v>92</v>
      </c>
    </row>
    <row r="252" spans="1:2" x14ac:dyDescent="0.55000000000000004">
      <c r="A252" s="10" t="s">
        <v>1123</v>
      </c>
      <c r="B252">
        <v>135</v>
      </c>
    </row>
    <row r="253" spans="1:2" x14ac:dyDescent="0.55000000000000004">
      <c r="A253" s="10" t="s">
        <v>751</v>
      </c>
      <c r="B253">
        <v>90</v>
      </c>
    </row>
    <row r="254" spans="1:2" x14ac:dyDescent="0.55000000000000004">
      <c r="A254" s="10" t="s">
        <v>1494</v>
      </c>
      <c r="B254">
        <v>154</v>
      </c>
    </row>
    <row r="255" spans="1:2" x14ac:dyDescent="0.55000000000000004">
      <c r="A255" s="10" t="s">
        <v>607</v>
      </c>
      <c r="B255">
        <v>132</v>
      </c>
    </row>
    <row r="256" spans="1:2" x14ac:dyDescent="0.55000000000000004">
      <c r="A256" s="10" t="s">
        <v>606</v>
      </c>
      <c r="B256">
        <v>118</v>
      </c>
    </row>
    <row r="257" spans="1:2" x14ac:dyDescent="0.55000000000000004">
      <c r="A257" s="10" t="s">
        <v>775</v>
      </c>
      <c r="B257">
        <v>97</v>
      </c>
    </row>
    <row r="258" spans="1:2" x14ac:dyDescent="0.55000000000000004">
      <c r="A258" s="10" t="s">
        <v>897</v>
      </c>
      <c r="B258">
        <v>97</v>
      </c>
    </row>
    <row r="259" spans="1:2" x14ac:dyDescent="0.55000000000000004">
      <c r="A259" s="10" t="s">
        <v>781</v>
      </c>
      <c r="B259">
        <v>98</v>
      </c>
    </row>
    <row r="260" spans="1:2" x14ac:dyDescent="0.55000000000000004">
      <c r="A260" s="10" t="s">
        <v>1602</v>
      </c>
      <c r="B260">
        <v>97</v>
      </c>
    </row>
    <row r="261" spans="1:2" x14ac:dyDescent="0.55000000000000004">
      <c r="A261" s="10" t="s">
        <v>1579</v>
      </c>
      <c r="B261">
        <v>85</v>
      </c>
    </row>
    <row r="262" spans="1:2" x14ac:dyDescent="0.55000000000000004">
      <c r="A262" s="10" t="s">
        <v>722</v>
      </c>
      <c r="B262">
        <v>84</v>
      </c>
    </row>
    <row r="263" spans="1:2" x14ac:dyDescent="0.55000000000000004">
      <c r="A263" s="10" t="s">
        <v>712</v>
      </c>
      <c r="B263">
        <v>84</v>
      </c>
    </row>
    <row r="264" spans="1:2" x14ac:dyDescent="0.55000000000000004">
      <c r="A264" s="10" t="s">
        <v>717</v>
      </c>
      <c r="B264">
        <v>83</v>
      </c>
    </row>
    <row r="265" spans="1:2" x14ac:dyDescent="0.55000000000000004">
      <c r="A265" s="10" t="s">
        <v>718</v>
      </c>
      <c r="B265">
        <v>84</v>
      </c>
    </row>
    <row r="266" spans="1:2" x14ac:dyDescent="0.55000000000000004">
      <c r="A266" s="10" t="s">
        <v>725</v>
      </c>
      <c r="B266">
        <v>84</v>
      </c>
    </row>
    <row r="267" spans="1:2" x14ac:dyDescent="0.55000000000000004">
      <c r="A267" s="10" t="s">
        <v>720</v>
      </c>
      <c r="B267">
        <v>86</v>
      </c>
    </row>
    <row r="268" spans="1:2" x14ac:dyDescent="0.55000000000000004">
      <c r="A268" s="10" t="s">
        <v>1582</v>
      </c>
      <c r="B268">
        <v>86</v>
      </c>
    </row>
    <row r="269" spans="1:2" x14ac:dyDescent="0.55000000000000004">
      <c r="A269" s="10" t="s">
        <v>1518</v>
      </c>
      <c r="B269">
        <v>115</v>
      </c>
    </row>
    <row r="270" spans="1:2" x14ac:dyDescent="0.55000000000000004">
      <c r="A270" s="10" t="s">
        <v>1520</v>
      </c>
      <c r="B270">
        <v>113</v>
      </c>
    </row>
    <row r="271" spans="1:2" x14ac:dyDescent="0.55000000000000004">
      <c r="A271" s="10" t="s">
        <v>598</v>
      </c>
      <c r="B271">
        <v>122</v>
      </c>
    </row>
    <row r="272" spans="1:2" x14ac:dyDescent="0.55000000000000004">
      <c r="A272" s="10" t="s">
        <v>708</v>
      </c>
      <c r="B272">
        <v>85</v>
      </c>
    </row>
    <row r="273" spans="1:2" x14ac:dyDescent="0.55000000000000004">
      <c r="A273" s="10" t="s">
        <v>928</v>
      </c>
      <c r="B273">
        <v>135</v>
      </c>
    </row>
    <row r="274" spans="1:2" x14ac:dyDescent="0.55000000000000004">
      <c r="A274" s="10" t="s">
        <v>690</v>
      </c>
      <c r="B274">
        <v>70</v>
      </c>
    </row>
    <row r="275" spans="1:2" x14ac:dyDescent="0.55000000000000004">
      <c r="A275" s="10" t="s">
        <v>1630</v>
      </c>
      <c r="B275">
        <v>106</v>
      </c>
    </row>
    <row r="276" spans="1:2" x14ac:dyDescent="0.55000000000000004">
      <c r="A276" s="10" t="s">
        <v>1627</v>
      </c>
      <c r="B276">
        <v>107</v>
      </c>
    </row>
    <row r="277" spans="1:2" x14ac:dyDescent="0.55000000000000004">
      <c r="A277" s="10" t="s">
        <v>1544</v>
      </c>
      <c r="B277">
        <v>122</v>
      </c>
    </row>
    <row r="278" spans="1:2" x14ac:dyDescent="0.55000000000000004">
      <c r="A278" s="10" t="s">
        <v>1115</v>
      </c>
      <c r="B278">
        <v>136</v>
      </c>
    </row>
    <row r="279" spans="1:2" x14ac:dyDescent="0.55000000000000004">
      <c r="A279" s="10" t="s">
        <v>1598</v>
      </c>
      <c r="B279">
        <v>90</v>
      </c>
    </row>
    <row r="280" spans="1:2" x14ac:dyDescent="0.55000000000000004">
      <c r="A280" s="10" t="s">
        <v>1495</v>
      </c>
      <c r="B280">
        <v>157</v>
      </c>
    </row>
    <row r="281" spans="1:2" x14ac:dyDescent="0.55000000000000004">
      <c r="A281" s="10" t="s">
        <v>1683</v>
      </c>
      <c r="B281">
        <v>116</v>
      </c>
    </row>
    <row r="282" spans="1:2" x14ac:dyDescent="0.55000000000000004">
      <c r="A282" s="10" t="s">
        <v>1073</v>
      </c>
      <c r="B282">
        <v>116</v>
      </c>
    </row>
    <row r="283" spans="1:2" x14ac:dyDescent="0.55000000000000004">
      <c r="A283" s="10" t="s">
        <v>605</v>
      </c>
      <c r="B283">
        <v>118</v>
      </c>
    </row>
    <row r="284" spans="1:2" x14ac:dyDescent="0.55000000000000004">
      <c r="A284" s="10" t="s">
        <v>1079</v>
      </c>
      <c r="B284">
        <v>118</v>
      </c>
    </row>
    <row r="285" spans="1:2" x14ac:dyDescent="0.55000000000000004">
      <c r="A285" s="10" t="s">
        <v>1522</v>
      </c>
      <c r="B285">
        <v>118</v>
      </c>
    </row>
    <row r="286" spans="1:2" x14ac:dyDescent="0.55000000000000004">
      <c r="A286" s="10" t="s">
        <v>593</v>
      </c>
      <c r="B286">
        <v>113</v>
      </c>
    </row>
    <row r="287" spans="1:2" x14ac:dyDescent="0.55000000000000004">
      <c r="A287" s="10" t="s">
        <v>1519</v>
      </c>
      <c r="B287">
        <v>113</v>
      </c>
    </row>
    <row r="288" spans="1:2" x14ac:dyDescent="0.55000000000000004">
      <c r="A288" s="10" t="s">
        <v>595</v>
      </c>
      <c r="B288">
        <v>113</v>
      </c>
    </row>
    <row r="289" spans="1:2" x14ac:dyDescent="0.55000000000000004">
      <c r="A289" s="10" t="s">
        <v>868</v>
      </c>
      <c r="B289">
        <v>107</v>
      </c>
    </row>
    <row r="290" spans="1:2" x14ac:dyDescent="0.55000000000000004">
      <c r="A290" s="10" t="s">
        <v>1616</v>
      </c>
      <c r="B290">
        <v>95</v>
      </c>
    </row>
    <row r="291" spans="1:2" x14ac:dyDescent="0.55000000000000004">
      <c r="A291" s="10" t="s">
        <v>589</v>
      </c>
      <c r="B291">
        <v>127</v>
      </c>
    </row>
    <row r="292" spans="1:2" x14ac:dyDescent="0.55000000000000004">
      <c r="A292" s="10" t="s">
        <v>601</v>
      </c>
      <c r="B292">
        <v>121</v>
      </c>
    </row>
    <row r="293" spans="1:2" x14ac:dyDescent="0.55000000000000004">
      <c r="A293" s="10" t="s">
        <v>624</v>
      </c>
      <c r="B293">
        <v>128</v>
      </c>
    </row>
    <row r="294" spans="1:2" x14ac:dyDescent="0.55000000000000004">
      <c r="A294" s="10" t="s">
        <v>600</v>
      </c>
      <c r="B294">
        <v>123</v>
      </c>
    </row>
    <row r="295" spans="1:2" x14ac:dyDescent="0.55000000000000004">
      <c r="A295" s="10" t="s">
        <v>599</v>
      </c>
      <c r="B295">
        <v>122</v>
      </c>
    </row>
    <row r="296" spans="1:2" x14ac:dyDescent="0.55000000000000004">
      <c r="A296" s="10" t="s">
        <v>1196</v>
      </c>
      <c r="B296">
        <v>123</v>
      </c>
    </row>
    <row r="297" spans="1:2" x14ac:dyDescent="0.55000000000000004">
      <c r="A297" s="10" t="s">
        <v>652</v>
      </c>
      <c r="B297">
        <v>127</v>
      </c>
    </row>
    <row r="298" spans="1:2" x14ac:dyDescent="0.55000000000000004">
      <c r="A298" s="10" t="s">
        <v>1521</v>
      </c>
      <c r="B298">
        <v>122</v>
      </c>
    </row>
    <row r="299" spans="1:2" x14ac:dyDescent="0.55000000000000004">
      <c r="A299" s="10" t="s">
        <v>1490</v>
      </c>
      <c r="B299">
        <v>122</v>
      </c>
    </row>
    <row r="300" spans="1:2" x14ac:dyDescent="0.55000000000000004">
      <c r="A300" s="10" t="s">
        <v>1725</v>
      </c>
      <c r="B300">
        <v>128</v>
      </c>
    </row>
    <row r="301" spans="1:2" x14ac:dyDescent="0.55000000000000004">
      <c r="A301" s="10" t="s">
        <v>637</v>
      </c>
      <c r="B301">
        <v>144</v>
      </c>
    </row>
    <row r="302" spans="1:2" x14ac:dyDescent="0.55000000000000004">
      <c r="A302" s="10" t="s">
        <v>1531</v>
      </c>
      <c r="B302">
        <v>125</v>
      </c>
    </row>
    <row r="303" spans="1:2" x14ac:dyDescent="0.55000000000000004">
      <c r="A303" s="10" t="s">
        <v>1701</v>
      </c>
      <c r="B303">
        <v>126</v>
      </c>
    </row>
    <row r="304" spans="1:2" x14ac:dyDescent="0.55000000000000004">
      <c r="A304" s="10" t="s">
        <v>975</v>
      </c>
      <c r="B304">
        <v>144</v>
      </c>
    </row>
    <row r="305" spans="1:2" x14ac:dyDescent="0.55000000000000004">
      <c r="A305" s="10" t="s">
        <v>1467</v>
      </c>
      <c r="B305">
        <v>144</v>
      </c>
    </row>
    <row r="306" spans="1:2" x14ac:dyDescent="0.55000000000000004">
      <c r="A306" s="10" t="s">
        <v>594</v>
      </c>
      <c r="B306">
        <v>113</v>
      </c>
    </row>
    <row r="307" spans="1:2" x14ac:dyDescent="0.55000000000000004">
      <c r="A307" s="10" t="s">
        <v>1430</v>
      </c>
      <c r="B307">
        <v>127</v>
      </c>
    </row>
    <row r="308" spans="1:2" x14ac:dyDescent="0.55000000000000004">
      <c r="A308" s="10" t="s">
        <v>664</v>
      </c>
      <c r="B308">
        <v>78</v>
      </c>
    </row>
    <row r="309" spans="1:2" x14ac:dyDescent="0.55000000000000004">
      <c r="A309" s="10" t="s">
        <v>653</v>
      </c>
      <c r="B309">
        <v>79</v>
      </c>
    </row>
    <row r="310" spans="1:2" x14ac:dyDescent="0.55000000000000004">
      <c r="A310" s="10" t="s">
        <v>665</v>
      </c>
      <c r="B310">
        <v>79</v>
      </c>
    </row>
    <row r="311" spans="1:2" x14ac:dyDescent="0.55000000000000004">
      <c r="A311" s="10" t="s">
        <v>1557</v>
      </c>
      <c r="B311">
        <v>79</v>
      </c>
    </row>
    <row r="312" spans="1:2" x14ac:dyDescent="0.55000000000000004">
      <c r="A312" s="10" t="s">
        <v>658</v>
      </c>
      <c r="B312">
        <v>78</v>
      </c>
    </row>
    <row r="313" spans="1:2" x14ac:dyDescent="0.55000000000000004">
      <c r="A313" s="10" t="s">
        <v>687</v>
      </c>
      <c r="B313">
        <v>70</v>
      </c>
    </row>
    <row r="314" spans="1:2" x14ac:dyDescent="0.55000000000000004">
      <c r="A314" s="10" t="s">
        <v>1394</v>
      </c>
      <c r="B314">
        <v>146</v>
      </c>
    </row>
    <row r="315" spans="1:2" x14ac:dyDescent="0.55000000000000004">
      <c r="A315" s="10" t="s">
        <v>660</v>
      </c>
      <c r="B315">
        <v>78</v>
      </c>
    </row>
    <row r="316" spans="1:2" x14ac:dyDescent="0.55000000000000004">
      <c r="A316" s="10" t="s">
        <v>1230</v>
      </c>
      <c r="B316">
        <v>126</v>
      </c>
    </row>
    <row r="317" spans="1:2" x14ac:dyDescent="0.55000000000000004">
      <c r="A317" s="10" t="s">
        <v>922</v>
      </c>
      <c r="B317">
        <v>148</v>
      </c>
    </row>
    <row r="318" spans="1:2" x14ac:dyDescent="0.55000000000000004">
      <c r="A318" s="10" t="s">
        <v>1439</v>
      </c>
      <c r="B318">
        <v>122</v>
      </c>
    </row>
    <row r="319" spans="1:2" x14ac:dyDescent="0.55000000000000004">
      <c r="A319" s="10" t="s">
        <v>1428</v>
      </c>
      <c r="B319">
        <v>127</v>
      </c>
    </row>
    <row r="320" spans="1:2" x14ac:dyDescent="0.55000000000000004">
      <c r="A320" s="10" t="s">
        <v>1528</v>
      </c>
      <c r="B320">
        <v>144</v>
      </c>
    </row>
    <row r="321" spans="1:2" x14ac:dyDescent="0.55000000000000004">
      <c r="A321" s="10" t="s">
        <v>1457</v>
      </c>
      <c r="B321">
        <v>138</v>
      </c>
    </row>
    <row r="322" spans="1:2" x14ac:dyDescent="0.55000000000000004">
      <c r="A322" s="10" t="s">
        <v>1472</v>
      </c>
      <c r="B322">
        <v>138</v>
      </c>
    </row>
    <row r="323" spans="1:2" x14ac:dyDescent="0.55000000000000004">
      <c r="A323" s="10" t="s">
        <v>1535</v>
      </c>
      <c r="B323">
        <v>118</v>
      </c>
    </row>
    <row r="324" spans="1:2" x14ac:dyDescent="0.55000000000000004">
      <c r="A324" s="10" t="s">
        <v>1081</v>
      </c>
      <c r="B324">
        <v>142</v>
      </c>
    </row>
    <row r="325" spans="1:2" x14ac:dyDescent="0.55000000000000004">
      <c r="A325" s="10" t="s">
        <v>645</v>
      </c>
      <c r="B325">
        <v>142</v>
      </c>
    </row>
    <row r="326" spans="1:2" x14ac:dyDescent="0.55000000000000004">
      <c r="A326" s="10" t="s">
        <v>608</v>
      </c>
      <c r="B326">
        <v>132</v>
      </c>
    </row>
    <row r="327" spans="1:2" x14ac:dyDescent="0.55000000000000004">
      <c r="A327" s="10" t="s">
        <v>1382</v>
      </c>
      <c r="B327">
        <v>148</v>
      </c>
    </row>
    <row r="328" spans="1:2" x14ac:dyDescent="0.55000000000000004">
      <c r="A328" s="10" t="s">
        <v>641</v>
      </c>
      <c r="B328">
        <v>147</v>
      </c>
    </row>
    <row r="329" spans="1:2" x14ac:dyDescent="0.55000000000000004">
      <c r="A329" s="10" t="s">
        <v>1565</v>
      </c>
      <c r="B329">
        <v>78</v>
      </c>
    </row>
    <row r="330" spans="1:2" x14ac:dyDescent="0.55000000000000004">
      <c r="A330" s="10" t="s">
        <v>1559</v>
      </c>
      <c r="B330">
        <v>78</v>
      </c>
    </row>
    <row r="331" spans="1:2" x14ac:dyDescent="0.55000000000000004">
      <c r="A331" s="10" t="s">
        <v>693</v>
      </c>
      <c r="B331">
        <v>70</v>
      </c>
    </row>
    <row r="332" spans="1:2" x14ac:dyDescent="0.55000000000000004">
      <c r="A332" s="10" t="s">
        <v>614</v>
      </c>
      <c r="B332">
        <v>147</v>
      </c>
    </row>
    <row r="333" spans="1:2" x14ac:dyDescent="0.55000000000000004">
      <c r="A333" s="10" t="s">
        <v>2326</v>
      </c>
      <c r="B333">
        <v>144</v>
      </c>
    </row>
    <row r="334" spans="1:2" x14ac:dyDescent="0.55000000000000004">
      <c r="A334" s="10" t="s">
        <v>2332</v>
      </c>
      <c r="B334">
        <v>116</v>
      </c>
    </row>
    <row r="335" spans="1:2" x14ac:dyDescent="0.55000000000000004">
      <c r="A335" s="10" t="s">
        <v>2335</v>
      </c>
      <c r="B335">
        <v>116</v>
      </c>
    </row>
    <row r="336" spans="1:2" x14ac:dyDescent="0.55000000000000004">
      <c r="A336" s="10" t="s">
        <v>2338</v>
      </c>
      <c r="B336">
        <v>116</v>
      </c>
    </row>
    <row r="337" spans="1:2" x14ac:dyDescent="0.55000000000000004">
      <c r="A337" s="10" t="s">
        <v>2340</v>
      </c>
      <c r="B337">
        <v>114</v>
      </c>
    </row>
    <row r="338" spans="1:2" x14ac:dyDescent="0.55000000000000004">
      <c r="A338" s="10" t="s">
        <v>2341</v>
      </c>
      <c r="B338">
        <v>113</v>
      </c>
    </row>
    <row r="339" spans="1:2" x14ac:dyDescent="0.55000000000000004">
      <c r="A339" s="10" t="s">
        <v>2566</v>
      </c>
      <c r="B339">
        <v>101</v>
      </c>
    </row>
    <row r="340" spans="1:2" x14ac:dyDescent="0.55000000000000004">
      <c r="A340" s="10" t="s">
        <v>2567</v>
      </c>
      <c r="B340">
        <v>106</v>
      </c>
    </row>
    <row r="341" spans="1:2" x14ac:dyDescent="0.55000000000000004">
      <c r="A341" s="10" t="s">
        <v>2569</v>
      </c>
      <c r="B341">
        <v>106</v>
      </c>
    </row>
    <row r="342" spans="1:2" x14ac:dyDescent="0.55000000000000004">
      <c r="A342" s="10" t="s">
        <v>2570</v>
      </c>
      <c r="B342">
        <v>107</v>
      </c>
    </row>
    <row r="343" spans="1:2" x14ac:dyDescent="0.55000000000000004">
      <c r="A343" s="10" t="s">
        <v>2571</v>
      </c>
      <c r="B343">
        <v>106</v>
      </c>
    </row>
    <row r="344" spans="1:2" x14ac:dyDescent="0.55000000000000004">
      <c r="A344" s="10" t="s">
        <v>2573</v>
      </c>
      <c r="B344">
        <v>106</v>
      </c>
    </row>
    <row r="345" spans="1:2" x14ac:dyDescent="0.55000000000000004">
      <c r="A345" s="10" t="s">
        <v>2574</v>
      </c>
      <c r="B345">
        <v>106</v>
      </c>
    </row>
    <row r="346" spans="1:2" x14ac:dyDescent="0.55000000000000004">
      <c r="A346" s="10" t="s">
        <v>2575</v>
      </c>
      <c r="B346">
        <v>113</v>
      </c>
    </row>
    <row r="347" spans="1:2" x14ac:dyDescent="0.55000000000000004">
      <c r="A347" s="10" t="s">
        <v>2578</v>
      </c>
      <c r="B347">
        <v>114</v>
      </c>
    </row>
    <row r="348" spans="1:2" x14ac:dyDescent="0.55000000000000004">
      <c r="A348" s="10" t="s">
        <v>2580</v>
      </c>
      <c r="B348">
        <v>116</v>
      </c>
    </row>
    <row r="349" spans="1:2" x14ac:dyDescent="0.55000000000000004">
      <c r="A349" s="10" t="s">
        <v>2581</v>
      </c>
      <c r="B349">
        <v>116</v>
      </c>
    </row>
    <row r="350" spans="1:2" x14ac:dyDescent="0.55000000000000004">
      <c r="A350" s="10" t="s">
        <v>2582</v>
      </c>
      <c r="B350">
        <v>114</v>
      </c>
    </row>
    <row r="351" spans="1:2" x14ac:dyDescent="0.55000000000000004">
      <c r="A351" s="10" t="s">
        <v>2584</v>
      </c>
      <c r="B351">
        <v>107</v>
      </c>
    </row>
    <row r="352" spans="1:2" x14ac:dyDescent="0.55000000000000004">
      <c r="A352" s="10" t="s">
        <v>2585</v>
      </c>
      <c r="B352">
        <v>107</v>
      </c>
    </row>
    <row r="353" spans="1:2" x14ac:dyDescent="0.55000000000000004">
      <c r="A353" s="10" t="s">
        <v>2586</v>
      </c>
      <c r="B353">
        <v>109</v>
      </c>
    </row>
    <row r="354" spans="1:2" x14ac:dyDescent="0.55000000000000004">
      <c r="A354" s="10" t="s">
        <v>2587</v>
      </c>
      <c r="B354">
        <v>94</v>
      </c>
    </row>
    <row r="355" spans="1:2" x14ac:dyDescent="0.55000000000000004">
      <c r="A355" s="10" t="s">
        <v>2721</v>
      </c>
      <c r="B355">
        <v>144</v>
      </c>
    </row>
    <row r="356" spans="1:2" x14ac:dyDescent="0.55000000000000004">
      <c r="A356" s="10" t="s">
        <v>2727</v>
      </c>
      <c r="B356">
        <v>116</v>
      </c>
    </row>
    <row r="357" spans="1:2" x14ac:dyDescent="0.55000000000000004">
      <c r="A357" s="10" t="s">
        <v>2728</v>
      </c>
      <c r="B357">
        <v>118</v>
      </c>
    </row>
    <row r="358" spans="1:2" x14ac:dyDescent="0.55000000000000004">
      <c r="A358" s="10" t="s">
        <v>2729</v>
      </c>
      <c r="B358">
        <v>118</v>
      </c>
    </row>
    <row r="359" spans="1:2" x14ac:dyDescent="0.55000000000000004">
      <c r="A359" s="10" t="s">
        <v>2731</v>
      </c>
      <c r="B359">
        <v>129</v>
      </c>
    </row>
    <row r="360" spans="1:2" x14ac:dyDescent="0.55000000000000004">
      <c r="A360" s="10" t="s">
        <v>2733</v>
      </c>
      <c r="B360">
        <v>126</v>
      </c>
    </row>
    <row r="361" spans="1:2" x14ac:dyDescent="0.55000000000000004">
      <c r="A361" s="10" t="s">
        <v>2843</v>
      </c>
      <c r="B361">
        <v>126</v>
      </c>
    </row>
    <row r="362" spans="1:2" x14ac:dyDescent="0.55000000000000004">
      <c r="A362" s="10" t="s">
        <v>2846</v>
      </c>
      <c r="B362">
        <v>126</v>
      </c>
    </row>
    <row r="363" spans="1:2" x14ac:dyDescent="0.55000000000000004">
      <c r="A363" s="10" t="s">
        <v>590</v>
      </c>
      <c r="B363">
        <v>128</v>
      </c>
    </row>
    <row r="364" spans="1:2" x14ac:dyDescent="0.55000000000000004">
      <c r="A364" s="10" t="s">
        <v>2853</v>
      </c>
      <c r="B364">
        <v>126</v>
      </c>
    </row>
    <row r="365" spans="1:2" x14ac:dyDescent="0.55000000000000004">
      <c r="A365" s="10" t="s">
        <v>2854</v>
      </c>
      <c r="B365">
        <v>127</v>
      </c>
    </row>
    <row r="366" spans="1:2" x14ac:dyDescent="0.55000000000000004">
      <c r="A366" s="10" t="s">
        <v>2856</v>
      </c>
      <c r="B366">
        <v>126</v>
      </c>
    </row>
    <row r="367" spans="1:2" x14ac:dyDescent="0.55000000000000004">
      <c r="A367" s="10" t="s">
        <v>2962</v>
      </c>
      <c r="B367">
        <v>172</v>
      </c>
    </row>
    <row r="368" spans="1:2" x14ac:dyDescent="0.55000000000000004">
      <c r="A368" s="10" t="s">
        <v>2964</v>
      </c>
      <c r="B368">
        <v>172</v>
      </c>
    </row>
    <row r="369" spans="1:2" x14ac:dyDescent="0.55000000000000004">
      <c r="A369" s="10" t="s">
        <v>2969</v>
      </c>
      <c r="B369">
        <v>171</v>
      </c>
    </row>
    <row r="370" spans="1:2" x14ac:dyDescent="0.55000000000000004">
      <c r="A370" s="10" t="s">
        <v>2971</v>
      </c>
      <c r="B370">
        <v>172</v>
      </c>
    </row>
    <row r="371" spans="1:2" x14ac:dyDescent="0.55000000000000004">
      <c r="A371" s="10" t="s">
        <v>2972</v>
      </c>
      <c r="B371">
        <v>169</v>
      </c>
    </row>
    <row r="372" spans="1:2" x14ac:dyDescent="0.55000000000000004">
      <c r="A372" s="10" t="s">
        <v>2977</v>
      </c>
      <c r="B372">
        <v>173</v>
      </c>
    </row>
    <row r="373" spans="1:2" x14ac:dyDescent="0.55000000000000004">
      <c r="A373" s="10" t="s">
        <v>2979</v>
      </c>
      <c r="B373">
        <v>160</v>
      </c>
    </row>
    <row r="374" spans="1:2" x14ac:dyDescent="0.55000000000000004">
      <c r="A374" s="10" t="s">
        <v>2982</v>
      </c>
      <c r="B374">
        <v>164</v>
      </c>
    </row>
    <row r="375" spans="1:2" x14ac:dyDescent="0.55000000000000004">
      <c r="A375" s="10" t="s">
        <v>2984</v>
      </c>
      <c r="B375">
        <v>162</v>
      </c>
    </row>
    <row r="376" spans="1:2" x14ac:dyDescent="0.55000000000000004">
      <c r="A376" s="10" t="s">
        <v>2986</v>
      </c>
      <c r="B376">
        <v>161</v>
      </c>
    </row>
    <row r="377" spans="1:2" x14ac:dyDescent="0.55000000000000004">
      <c r="A377" s="10" t="s">
        <v>2988</v>
      </c>
      <c r="B377">
        <v>163</v>
      </c>
    </row>
    <row r="378" spans="1:2" x14ac:dyDescent="0.55000000000000004">
      <c r="A378" s="10" t="s">
        <v>2999</v>
      </c>
      <c r="B378">
        <v>127</v>
      </c>
    </row>
    <row r="379" spans="1:2" x14ac:dyDescent="0.55000000000000004">
      <c r="A379" s="10" t="s">
        <v>3001</v>
      </c>
      <c r="B379">
        <v>118</v>
      </c>
    </row>
    <row r="380" spans="1:2" x14ac:dyDescent="0.55000000000000004">
      <c r="A380" s="10" t="s">
        <v>3003</v>
      </c>
      <c r="B380">
        <v>159</v>
      </c>
    </row>
    <row r="381" spans="1:2" x14ac:dyDescent="0.55000000000000004">
      <c r="A381" s="10" t="s">
        <v>3012</v>
      </c>
      <c r="B381">
        <v>158</v>
      </c>
    </row>
    <row r="382" spans="1:2" x14ac:dyDescent="0.55000000000000004">
      <c r="A382" s="10" t="s">
        <v>3017</v>
      </c>
      <c r="B382">
        <v>162</v>
      </c>
    </row>
    <row r="383" spans="1:2" x14ac:dyDescent="0.55000000000000004">
      <c r="A383" s="10" t="s">
        <v>3021</v>
      </c>
      <c r="B383">
        <v>153</v>
      </c>
    </row>
    <row r="384" spans="1:2" x14ac:dyDescent="0.55000000000000004">
      <c r="A384" s="10" t="s">
        <v>3038</v>
      </c>
      <c r="B384">
        <v>111</v>
      </c>
    </row>
    <row r="385" spans="1:2" x14ac:dyDescent="0.55000000000000004">
      <c r="A385" s="10" t="s">
        <v>3040</v>
      </c>
      <c r="B385">
        <v>110</v>
      </c>
    </row>
    <row r="386" spans="1:2" x14ac:dyDescent="0.55000000000000004">
      <c r="A386" s="10" t="s">
        <v>3042</v>
      </c>
      <c r="B386">
        <v>113</v>
      </c>
    </row>
    <row r="387" spans="1:2" x14ac:dyDescent="0.55000000000000004">
      <c r="A387" s="10" t="s">
        <v>3044</v>
      </c>
      <c r="B387">
        <v>112</v>
      </c>
    </row>
    <row r="388" spans="1:2" x14ac:dyDescent="0.55000000000000004">
      <c r="A388" s="10" t="s">
        <v>3047</v>
      </c>
      <c r="B388">
        <v>111</v>
      </c>
    </row>
    <row r="389" spans="1:2" x14ac:dyDescent="0.55000000000000004">
      <c r="A389"/>
    </row>
    <row r="390" spans="1:2" x14ac:dyDescent="0.55000000000000004">
      <c r="A390"/>
    </row>
    <row r="391" spans="1:2" x14ac:dyDescent="0.55000000000000004">
      <c r="A391"/>
    </row>
    <row r="392" spans="1:2" x14ac:dyDescent="0.55000000000000004">
      <c r="A392"/>
    </row>
    <row r="393" spans="1:2" x14ac:dyDescent="0.55000000000000004">
      <c r="A393"/>
    </row>
    <row r="394" spans="1:2" x14ac:dyDescent="0.55000000000000004">
      <c r="A394"/>
    </row>
    <row r="395" spans="1:2" x14ac:dyDescent="0.55000000000000004">
      <c r="A395"/>
    </row>
    <row r="396" spans="1:2" x14ac:dyDescent="0.55000000000000004">
      <c r="A396"/>
    </row>
    <row r="397" spans="1:2" x14ac:dyDescent="0.55000000000000004">
      <c r="A397"/>
    </row>
    <row r="398" spans="1:2" x14ac:dyDescent="0.55000000000000004">
      <c r="A398"/>
    </row>
    <row r="399" spans="1:2" x14ac:dyDescent="0.55000000000000004">
      <c r="A399"/>
    </row>
    <row r="400" spans="1:2" x14ac:dyDescent="0.55000000000000004">
      <c r="A400"/>
    </row>
    <row r="401" spans="1:1" x14ac:dyDescent="0.55000000000000004">
      <c r="A401"/>
    </row>
    <row r="402" spans="1:1" x14ac:dyDescent="0.55000000000000004">
      <c r="A402"/>
    </row>
    <row r="403" spans="1:1" x14ac:dyDescent="0.55000000000000004">
      <c r="A403"/>
    </row>
    <row r="404" spans="1:1" x14ac:dyDescent="0.55000000000000004">
      <c r="A404"/>
    </row>
    <row r="405" spans="1:1" x14ac:dyDescent="0.55000000000000004">
      <c r="A405"/>
    </row>
    <row r="406" spans="1:1" x14ac:dyDescent="0.55000000000000004">
      <c r="A406"/>
    </row>
    <row r="407" spans="1:1" x14ac:dyDescent="0.55000000000000004">
      <c r="A407"/>
    </row>
    <row r="408" spans="1:1" x14ac:dyDescent="0.55000000000000004">
      <c r="A408"/>
    </row>
    <row r="409" spans="1:1" x14ac:dyDescent="0.55000000000000004">
      <c r="A409"/>
    </row>
    <row r="410" spans="1:1" x14ac:dyDescent="0.55000000000000004">
      <c r="A410"/>
    </row>
    <row r="411" spans="1:1" x14ac:dyDescent="0.55000000000000004">
      <c r="A411"/>
    </row>
    <row r="412" spans="1:1" x14ac:dyDescent="0.55000000000000004">
      <c r="A412"/>
    </row>
    <row r="413" spans="1:1" x14ac:dyDescent="0.55000000000000004">
      <c r="A413"/>
    </row>
    <row r="414" spans="1:1" x14ac:dyDescent="0.55000000000000004">
      <c r="A414"/>
    </row>
    <row r="415" spans="1:1" x14ac:dyDescent="0.55000000000000004">
      <c r="A415"/>
    </row>
    <row r="416" spans="1:1" x14ac:dyDescent="0.55000000000000004">
      <c r="A416"/>
    </row>
    <row r="417" spans="1:1" x14ac:dyDescent="0.55000000000000004">
      <c r="A417"/>
    </row>
    <row r="418" spans="1:1" x14ac:dyDescent="0.55000000000000004">
      <c r="A418"/>
    </row>
    <row r="419" spans="1:1" x14ac:dyDescent="0.55000000000000004">
      <c r="A419"/>
    </row>
    <row r="420" spans="1:1" x14ac:dyDescent="0.55000000000000004">
      <c r="A420"/>
    </row>
    <row r="421" spans="1:1" x14ac:dyDescent="0.55000000000000004">
      <c r="A421"/>
    </row>
    <row r="422" spans="1:1" x14ac:dyDescent="0.55000000000000004">
      <c r="A422"/>
    </row>
    <row r="423" spans="1:1" x14ac:dyDescent="0.55000000000000004">
      <c r="A423"/>
    </row>
    <row r="424" spans="1:1" x14ac:dyDescent="0.55000000000000004">
      <c r="A424"/>
    </row>
    <row r="425" spans="1:1" x14ac:dyDescent="0.55000000000000004">
      <c r="A425"/>
    </row>
    <row r="426" spans="1:1" x14ac:dyDescent="0.55000000000000004">
      <c r="A426"/>
    </row>
    <row r="427" spans="1:1" x14ac:dyDescent="0.55000000000000004">
      <c r="A427"/>
    </row>
    <row r="428" spans="1:1" x14ac:dyDescent="0.55000000000000004">
      <c r="A428"/>
    </row>
    <row r="429" spans="1:1" x14ac:dyDescent="0.55000000000000004">
      <c r="A429"/>
    </row>
    <row r="430" spans="1:1" x14ac:dyDescent="0.55000000000000004">
      <c r="A430"/>
    </row>
    <row r="431" spans="1:1" x14ac:dyDescent="0.55000000000000004">
      <c r="A431"/>
    </row>
    <row r="432" spans="1:1" x14ac:dyDescent="0.55000000000000004">
      <c r="A432"/>
    </row>
    <row r="433" spans="1:1" x14ac:dyDescent="0.55000000000000004">
      <c r="A433"/>
    </row>
  </sheetData>
  <sortState xmlns:xlrd2="http://schemas.microsoft.com/office/spreadsheetml/2017/richdata2" ref="A1:B429">
    <sortCondition ref="A1:A429"/>
  </sortState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25D045-225B-4777-8470-9E5A1C1A69E4}">
  <sheetPr codeName="Sheet2"/>
  <dimension ref="A1:AP7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Q2" sqref="AQ2"/>
    </sheetView>
  </sheetViews>
  <sheetFormatPr defaultRowHeight="18" x14ac:dyDescent="0.55000000000000004"/>
  <cols>
    <col min="2" max="2" width="22.25" customWidth="1"/>
    <col min="3" max="3" width="13.08203125" customWidth="1"/>
    <col min="4" max="4" width="12.08203125" customWidth="1"/>
    <col min="5" max="35" width="4.58203125" customWidth="1"/>
    <col min="36" max="42" width="3.5" customWidth="1"/>
  </cols>
  <sheetData>
    <row r="1" spans="1:42" s="8" customFormat="1" ht="117.65" customHeight="1" x14ac:dyDescent="0.55000000000000004">
      <c r="A1" s="8" t="s">
        <v>340</v>
      </c>
      <c r="B1" s="8" t="s">
        <v>341</v>
      </c>
      <c r="D1" s="8" t="s">
        <v>240</v>
      </c>
      <c r="E1" s="8" t="s">
        <v>241</v>
      </c>
      <c r="F1" s="8" t="s">
        <v>242</v>
      </c>
      <c r="G1" s="8" t="s">
        <v>243</v>
      </c>
      <c r="H1" s="8" t="s">
        <v>0</v>
      </c>
      <c r="I1" s="8" t="s">
        <v>35</v>
      </c>
      <c r="J1" s="8" t="s">
        <v>147</v>
      </c>
      <c r="K1" s="8" t="s">
        <v>36</v>
      </c>
      <c r="L1" s="8" t="s">
        <v>37</v>
      </c>
      <c r="M1" s="8" t="s">
        <v>9</v>
      </c>
      <c r="N1" s="8" t="s">
        <v>38</v>
      </c>
      <c r="O1" s="8" t="s">
        <v>15</v>
      </c>
      <c r="P1" s="8" t="s">
        <v>4</v>
      </c>
      <c r="Q1" s="8" t="s">
        <v>10</v>
      </c>
      <c r="R1" s="8" t="s">
        <v>39</v>
      </c>
      <c r="S1" s="8" t="s">
        <v>40</v>
      </c>
      <c r="T1" s="8" t="s">
        <v>41</v>
      </c>
      <c r="U1" s="8" t="s">
        <v>16</v>
      </c>
      <c r="V1" s="8" t="s">
        <v>123</v>
      </c>
      <c r="W1" s="8" t="s">
        <v>6</v>
      </c>
      <c r="X1" s="8" t="s">
        <v>42</v>
      </c>
      <c r="Y1" s="8" t="s">
        <v>14</v>
      </c>
      <c r="Z1" s="8" t="s">
        <v>43</v>
      </c>
      <c r="AA1" s="8" t="s">
        <v>44</v>
      </c>
      <c r="AB1" s="8" t="s">
        <v>45</v>
      </c>
      <c r="AC1" s="8" t="s">
        <v>8</v>
      </c>
      <c r="AD1" s="8" t="s">
        <v>46</v>
      </c>
      <c r="AE1" s="8" t="s">
        <v>47</v>
      </c>
      <c r="AF1" s="8" t="s">
        <v>151</v>
      </c>
      <c r="AG1" s="8" t="s">
        <v>7</v>
      </c>
      <c r="AH1" s="8" t="s">
        <v>48</v>
      </c>
      <c r="AI1" s="8" t="s">
        <v>152</v>
      </c>
      <c r="AJ1" s="8" t="s">
        <v>301</v>
      </c>
      <c r="AK1" s="8" t="s">
        <v>302</v>
      </c>
      <c r="AL1" s="8" t="s">
        <v>303</v>
      </c>
      <c r="AM1" s="8" t="s">
        <v>304</v>
      </c>
      <c r="AN1" s="8" t="s">
        <v>305</v>
      </c>
      <c r="AO1" s="8" t="s">
        <v>306</v>
      </c>
      <c r="AP1" s="8" t="s">
        <v>307</v>
      </c>
    </row>
    <row r="2" spans="1:42" x14ac:dyDescent="0.55000000000000004">
      <c r="A2" t="s">
        <v>244</v>
      </c>
      <c r="B2" t="s">
        <v>11</v>
      </c>
      <c r="C2" t="s">
        <v>298</v>
      </c>
      <c r="D2">
        <v>47</v>
      </c>
      <c r="E2">
        <v>145</v>
      </c>
    </row>
    <row r="3" spans="1:42" x14ac:dyDescent="0.55000000000000004">
      <c r="A3" t="s">
        <v>245</v>
      </c>
      <c r="B3" t="s">
        <v>95</v>
      </c>
      <c r="C3" t="s">
        <v>297</v>
      </c>
      <c r="D3">
        <v>67.5</v>
      </c>
      <c r="E3">
        <v>125</v>
      </c>
      <c r="F3">
        <v>51</v>
      </c>
      <c r="G3">
        <v>64</v>
      </c>
      <c r="H3">
        <v>1</v>
      </c>
      <c r="I3">
        <v>1</v>
      </c>
      <c r="M3">
        <v>3</v>
      </c>
      <c r="Q3">
        <v>2</v>
      </c>
      <c r="AD3">
        <v>1</v>
      </c>
    </row>
    <row r="4" spans="1:42" x14ac:dyDescent="0.55000000000000004">
      <c r="A4" t="s">
        <v>246</v>
      </c>
      <c r="B4" t="s">
        <v>96</v>
      </c>
      <c r="C4" t="s">
        <v>299</v>
      </c>
      <c r="D4">
        <v>47</v>
      </c>
      <c r="E4">
        <v>140</v>
      </c>
      <c r="F4">
        <v>58</v>
      </c>
      <c r="G4">
        <v>39</v>
      </c>
      <c r="H4">
        <v>1</v>
      </c>
      <c r="I4">
        <v>1</v>
      </c>
      <c r="L4">
        <v>1</v>
      </c>
      <c r="M4">
        <v>3</v>
      </c>
      <c r="AE4">
        <v>2</v>
      </c>
    </row>
    <row r="5" spans="1:42" x14ac:dyDescent="0.55000000000000004">
      <c r="A5" t="s">
        <v>247</v>
      </c>
      <c r="B5" t="s">
        <v>97</v>
      </c>
      <c r="C5" t="s">
        <v>299</v>
      </c>
      <c r="D5">
        <v>77</v>
      </c>
      <c r="E5">
        <v>116</v>
      </c>
      <c r="F5">
        <v>26</v>
      </c>
      <c r="G5">
        <v>18</v>
      </c>
      <c r="H5">
        <v>1</v>
      </c>
      <c r="I5">
        <v>1</v>
      </c>
      <c r="N5">
        <v>1</v>
      </c>
    </row>
    <row r="6" spans="1:42" x14ac:dyDescent="0.55000000000000004">
      <c r="A6" t="s">
        <v>248</v>
      </c>
      <c r="B6" t="s">
        <v>98</v>
      </c>
      <c r="C6" t="s">
        <v>299</v>
      </c>
      <c r="D6">
        <v>47</v>
      </c>
      <c r="E6">
        <v>120</v>
      </c>
      <c r="F6">
        <v>34</v>
      </c>
      <c r="G6">
        <v>15</v>
      </c>
      <c r="H6">
        <v>1</v>
      </c>
      <c r="I6">
        <v>1</v>
      </c>
      <c r="AC6">
        <v>1</v>
      </c>
    </row>
    <row r="7" spans="1:42" x14ac:dyDescent="0.55000000000000004">
      <c r="A7" t="s">
        <v>249</v>
      </c>
      <c r="B7" t="s">
        <v>99</v>
      </c>
      <c r="C7" t="s">
        <v>299</v>
      </c>
      <c r="D7">
        <v>47</v>
      </c>
      <c r="E7">
        <v>130</v>
      </c>
      <c r="F7">
        <v>26</v>
      </c>
      <c r="G7">
        <v>43</v>
      </c>
      <c r="H7">
        <v>1</v>
      </c>
      <c r="I7">
        <v>1</v>
      </c>
    </row>
    <row r="8" spans="1:42" x14ac:dyDescent="0.55000000000000004">
      <c r="A8" t="s">
        <v>250</v>
      </c>
      <c r="B8" t="s">
        <v>101</v>
      </c>
      <c r="D8">
        <v>47</v>
      </c>
    </row>
    <row r="9" spans="1:42" x14ac:dyDescent="0.55000000000000004">
      <c r="A9" t="s">
        <v>251</v>
      </c>
      <c r="B9" t="s">
        <v>102</v>
      </c>
      <c r="C9" t="s">
        <v>299</v>
      </c>
      <c r="D9">
        <v>47</v>
      </c>
      <c r="E9">
        <v>155</v>
      </c>
      <c r="F9">
        <v>28</v>
      </c>
      <c r="G9">
        <v>37</v>
      </c>
      <c r="H9">
        <v>1</v>
      </c>
      <c r="I9">
        <v>1</v>
      </c>
      <c r="R9">
        <v>1</v>
      </c>
      <c r="AC9">
        <v>1</v>
      </c>
    </row>
    <row r="10" spans="1:42" x14ac:dyDescent="0.55000000000000004">
      <c r="A10" t="s">
        <v>252</v>
      </c>
      <c r="B10" t="s">
        <v>103</v>
      </c>
      <c r="C10" t="s">
        <v>299</v>
      </c>
      <c r="D10">
        <v>47</v>
      </c>
      <c r="E10">
        <v>160</v>
      </c>
      <c r="F10">
        <v>51</v>
      </c>
      <c r="G10">
        <v>48</v>
      </c>
      <c r="O10">
        <v>3</v>
      </c>
      <c r="AG10">
        <v>1</v>
      </c>
    </row>
    <row r="11" spans="1:42" x14ac:dyDescent="0.55000000000000004">
      <c r="A11" t="s">
        <v>253</v>
      </c>
      <c r="B11" t="s">
        <v>104</v>
      </c>
      <c r="C11" t="s">
        <v>299</v>
      </c>
      <c r="D11">
        <v>21</v>
      </c>
      <c r="E11">
        <v>165</v>
      </c>
      <c r="F11">
        <v>38</v>
      </c>
      <c r="G11">
        <v>41</v>
      </c>
      <c r="H11">
        <v>1</v>
      </c>
      <c r="I11">
        <v>1</v>
      </c>
      <c r="Z11">
        <v>1</v>
      </c>
      <c r="AH11">
        <v>3</v>
      </c>
    </row>
    <row r="12" spans="1:42" x14ac:dyDescent="0.55000000000000004">
      <c r="A12" t="s">
        <v>254</v>
      </c>
      <c r="B12" t="s">
        <v>105</v>
      </c>
      <c r="C12" t="s">
        <v>299</v>
      </c>
      <c r="D12">
        <v>47</v>
      </c>
      <c r="E12">
        <v>170</v>
      </c>
      <c r="F12">
        <v>53</v>
      </c>
      <c r="G12">
        <v>51</v>
      </c>
      <c r="H12">
        <v>1</v>
      </c>
      <c r="I12">
        <v>1</v>
      </c>
      <c r="V12">
        <v>4</v>
      </c>
      <c r="AC12">
        <v>2</v>
      </c>
    </row>
    <row r="13" spans="1:42" x14ac:dyDescent="0.55000000000000004">
      <c r="A13" t="s">
        <v>255</v>
      </c>
      <c r="B13" t="s">
        <v>111</v>
      </c>
      <c r="D13">
        <v>47</v>
      </c>
    </row>
    <row r="14" spans="1:42" x14ac:dyDescent="0.55000000000000004">
      <c r="A14" t="s">
        <v>256</v>
      </c>
      <c r="B14" t="s">
        <v>112</v>
      </c>
      <c r="D14">
        <v>58</v>
      </c>
    </row>
    <row r="15" spans="1:42" x14ac:dyDescent="0.55000000000000004">
      <c r="A15" t="s">
        <v>257</v>
      </c>
      <c r="B15" t="s">
        <v>113</v>
      </c>
      <c r="D15">
        <v>47</v>
      </c>
      <c r="E15">
        <v>150</v>
      </c>
      <c r="F15">
        <v>35</v>
      </c>
      <c r="G15">
        <v>51</v>
      </c>
      <c r="H15">
        <v>1</v>
      </c>
      <c r="I15">
        <v>1</v>
      </c>
      <c r="O15">
        <v>2</v>
      </c>
      <c r="W15">
        <v>3</v>
      </c>
      <c r="AI15">
        <v>3</v>
      </c>
    </row>
    <row r="16" spans="1:42" x14ac:dyDescent="0.55000000000000004">
      <c r="A16" t="s">
        <v>258</v>
      </c>
      <c r="B16" t="s">
        <v>114</v>
      </c>
      <c r="D16">
        <v>47</v>
      </c>
      <c r="E16">
        <v>150</v>
      </c>
      <c r="F16">
        <v>51</v>
      </c>
      <c r="G16">
        <v>31</v>
      </c>
      <c r="H16">
        <v>1</v>
      </c>
      <c r="I16">
        <v>1</v>
      </c>
      <c r="W16">
        <v>5</v>
      </c>
      <c r="AC16">
        <v>1</v>
      </c>
    </row>
    <row r="17" spans="1:42" x14ac:dyDescent="0.55000000000000004">
      <c r="A17" t="s">
        <v>259</v>
      </c>
      <c r="B17" t="s">
        <v>115</v>
      </c>
      <c r="D17">
        <v>33</v>
      </c>
      <c r="E17">
        <v>150</v>
      </c>
      <c r="F17">
        <v>73</v>
      </c>
      <c r="G17">
        <v>31</v>
      </c>
      <c r="H17">
        <v>1</v>
      </c>
      <c r="I17">
        <v>1</v>
      </c>
      <c r="N17">
        <v>1</v>
      </c>
      <c r="W17">
        <v>7</v>
      </c>
      <c r="AN17" t="s">
        <v>308</v>
      </c>
    </row>
    <row r="18" spans="1:42" x14ac:dyDescent="0.55000000000000004">
      <c r="A18" t="s">
        <v>260</v>
      </c>
      <c r="B18" t="s">
        <v>116</v>
      </c>
      <c r="D18">
        <v>47</v>
      </c>
    </row>
    <row r="19" spans="1:42" x14ac:dyDescent="0.55000000000000004">
      <c r="A19" t="s">
        <v>261</v>
      </c>
      <c r="B19" t="s">
        <v>117</v>
      </c>
      <c r="D19">
        <v>26</v>
      </c>
    </row>
    <row r="20" spans="1:42" x14ac:dyDescent="0.55000000000000004">
      <c r="A20" t="s">
        <v>262</v>
      </c>
      <c r="B20" t="s">
        <v>130</v>
      </c>
      <c r="D20">
        <v>47</v>
      </c>
      <c r="E20">
        <v>145</v>
      </c>
      <c r="F20">
        <v>69</v>
      </c>
      <c r="G20">
        <v>41</v>
      </c>
      <c r="H20">
        <v>1</v>
      </c>
      <c r="I20">
        <v>1</v>
      </c>
      <c r="V20">
        <v>2</v>
      </c>
      <c r="AB20">
        <v>4</v>
      </c>
    </row>
    <row r="21" spans="1:42" x14ac:dyDescent="0.55000000000000004">
      <c r="A21" t="s">
        <v>263</v>
      </c>
      <c r="B21" t="s">
        <v>131</v>
      </c>
      <c r="D21">
        <v>13</v>
      </c>
      <c r="E21">
        <v>140</v>
      </c>
      <c r="F21">
        <v>51</v>
      </c>
      <c r="G21">
        <v>51</v>
      </c>
      <c r="H21">
        <v>1</v>
      </c>
      <c r="I21">
        <v>1</v>
      </c>
      <c r="K21">
        <v>1</v>
      </c>
      <c r="O21">
        <v>2</v>
      </c>
      <c r="AB21">
        <v>4</v>
      </c>
    </row>
    <row r="22" spans="1:42" x14ac:dyDescent="0.55000000000000004">
      <c r="A22" t="s">
        <v>264</v>
      </c>
      <c r="B22" t="s">
        <v>142</v>
      </c>
      <c r="D22">
        <v>47</v>
      </c>
      <c r="E22">
        <v>145</v>
      </c>
      <c r="F22">
        <v>51</v>
      </c>
      <c r="G22">
        <v>45</v>
      </c>
      <c r="H22">
        <v>1</v>
      </c>
      <c r="I22">
        <v>1</v>
      </c>
      <c r="N22">
        <v>1</v>
      </c>
      <c r="Z22">
        <v>4</v>
      </c>
      <c r="AJ22" t="s">
        <v>310</v>
      </c>
    </row>
    <row r="23" spans="1:42" x14ac:dyDescent="0.55000000000000004">
      <c r="A23" t="s">
        <v>265</v>
      </c>
      <c r="B23" t="s">
        <v>143</v>
      </c>
      <c r="D23">
        <v>47</v>
      </c>
      <c r="E23">
        <v>153</v>
      </c>
      <c r="F23">
        <v>35</v>
      </c>
      <c r="G23">
        <v>53</v>
      </c>
      <c r="H23">
        <v>1</v>
      </c>
      <c r="I23">
        <v>1</v>
      </c>
      <c r="N23">
        <v>5</v>
      </c>
      <c r="X23">
        <v>4</v>
      </c>
    </row>
    <row r="24" spans="1:42" x14ac:dyDescent="0.55000000000000004">
      <c r="A24" t="s">
        <v>266</v>
      </c>
      <c r="B24" t="s">
        <v>146</v>
      </c>
      <c r="D24">
        <v>47</v>
      </c>
      <c r="E24">
        <v>156</v>
      </c>
      <c r="F24">
        <v>61</v>
      </c>
      <c r="G24">
        <v>77</v>
      </c>
      <c r="H24">
        <v>1</v>
      </c>
      <c r="I24">
        <v>1</v>
      </c>
      <c r="X24">
        <v>4</v>
      </c>
    </row>
    <row r="25" spans="1:42" x14ac:dyDescent="0.55000000000000004">
      <c r="A25" t="s">
        <v>267</v>
      </c>
      <c r="B25" t="s">
        <v>172</v>
      </c>
      <c r="D25">
        <v>47</v>
      </c>
      <c r="E25">
        <v>138</v>
      </c>
      <c r="F25">
        <v>38</v>
      </c>
      <c r="G25">
        <v>62</v>
      </c>
      <c r="H25">
        <v>1</v>
      </c>
      <c r="I25">
        <v>1</v>
      </c>
      <c r="J25">
        <v>1</v>
      </c>
      <c r="M25">
        <v>4</v>
      </c>
    </row>
    <row r="26" spans="1:42" x14ac:dyDescent="0.55000000000000004">
      <c r="A26" t="s">
        <v>268</v>
      </c>
      <c r="B26" t="s">
        <v>173</v>
      </c>
      <c r="D26">
        <v>47</v>
      </c>
    </row>
    <row r="27" spans="1:42" x14ac:dyDescent="0.55000000000000004">
      <c r="A27" t="s">
        <v>269</v>
      </c>
      <c r="B27" t="s">
        <v>170</v>
      </c>
      <c r="D27">
        <v>47</v>
      </c>
      <c r="E27">
        <v>145</v>
      </c>
      <c r="F27">
        <v>48</v>
      </c>
      <c r="G27">
        <v>42</v>
      </c>
      <c r="H27">
        <v>1</v>
      </c>
      <c r="I27">
        <v>1</v>
      </c>
      <c r="M27">
        <v>4</v>
      </c>
      <c r="W27">
        <v>2</v>
      </c>
    </row>
    <row r="28" spans="1:42" x14ac:dyDescent="0.55000000000000004">
      <c r="A28" t="s">
        <v>270</v>
      </c>
      <c r="B28" t="s">
        <v>171</v>
      </c>
      <c r="D28">
        <v>47</v>
      </c>
      <c r="E28">
        <v>135</v>
      </c>
      <c r="F28">
        <v>56</v>
      </c>
      <c r="G28">
        <v>71</v>
      </c>
      <c r="H28">
        <v>1</v>
      </c>
      <c r="I28">
        <v>1</v>
      </c>
      <c r="L28">
        <v>1</v>
      </c>
      <c r="O28">
        <v>4</v>
      </c>
    </row>
    <row r="29" spans="1:42" x14ac:dyDescent="0.55000000000000004">
      <c r="A29" t="s">
        <v>271</v>
      </c>
      <c r="B29" t="s">
        <v>188</v>
      </c>
      <c r="D29">
        <v>47</v>
      </c>
      <c r="E29">
        <v>150</v>
      </c>
      <c r="F29">
        <v>70</v>
      </c>
      <c r="G29">
        <v>60</v>
      </c>
      <c r="H29">
        <v>1</v>
      </c>
      <c r="I29">
        <v>1</v>
      </c>
      <c r="U29">
        <v>4</v>
      </c>
      <c r="Z29">
        <v>4</v>
      </c>
    </row>
    <row r="30" spans="1:42" x14ac:dyDescent="0.55000000000000004">
      <c r="A30" t="s">
        <v>272</v>
      </c>
      <c r="B30" t="s">
        <v>189</v>
      </c>
      <c r="D30">
        <v>47</v>
      </c>
      <c r="E30">
        <v>150</v>
      </c>
      <c r="F30">
        <v>62</v>
      </c>
      <c r="G30">
        <v>43</v>
      </c>
      <c r="H30">
        <v>1</v>
      </c>
      <c r="I30">
        <v>1</v>
      </c>
      <c r="T30">
        <v>4</v>
      </c>
      <c r="AD30">
        <v>4</v>
      </c>
    </row>
    <row r="31" spans="1:42" x14ac:dyDescent="0.55000000000000004">
      <c r="A31" t="s">
        <v>273</v>
      </c>
      <c r="B31" t="s">
        <v>190</v>
      </c>
      <c r="D31">
        <v>47</v>
      </c>
      <c r="E31">
        <v>150</v>
      </c>
      <c r="F31">
        <v>60</v>
      </c>
      <c r="G31">
        <v>57</v>
      </c>
      <c r="H31">
        <v>1</v>
      </c>
      <c r="I31">
        <v>1</v>
      </c>
      <c r="V31">
        <v>4</v>
      </c>
      <c r="AG31">
        <v>4</v>
      </c>
      <c r="AJ31" t="s">
        <v>324</v>
      </c>
    </row>
    <row r="32" spans="1:42" x14ac:dyDescent="0.55000000000000004">
      <c r="A32" t="s">
        <v>274</v>
      </c>
      <c r="B32" t="s">
        <v>191</v>
      </c>
      <c r="D32">
        <v>47</v>
      </c>
      <c r="E32">
        <v>150</v>
      </c>
      <c r="F32">
        <v>81</v>
      </c>
      <c r="G32">
        <v>63</v>
      </c>
      <c r="H32">
        <v>1</v>
      </c>
      <c r="I32">
        <v>1</v>
      </c>
      <c r="M32">
        <v>3</v>
      </c>
      <c r="P32">
        <v>3</v>
      </c>
      <c r="W32">
        <v>4</v>
      </c>
      <c r="AP32" t="s">
        <v>325</v>
      </c>
    </row>
    <row r="33" spans="1:42" x14ac:dyDescent="0.55000000000000004">
      <c r="A33" t="s">
        <v>275</v>
      </c>
      <c r="B33" t="s">
        <v>205</v>
      </c>
      <c r="D33">
        <v>47</v>
      </c>
      <c r="E33">
        <v>152</v>
      </c>
      <c r="F33">
        <v>61</v>
      </c>
      <c r="G33">
        <v>24</v>
      </c>
      <c r="H33">
        <v>1</v>
      </c>
      <c r="I33">
        <v>1</v>
      </c>
      <c r="N33">
        <v>1</v>
      </c>
      <c r="U33">
        <v>4</v>
      </c>
      <c r="AE33">
        <v>3</v>
      </c>
      <c r="AL33" t="s">
        <v>310</v>
      </c>
    </row>
    <row r="34" spans="1:42" x14ac:dyDescent="0.55000000000000004">
      <c r="A34" t="s">
        <v>276</v>
      </c>
      <c r="B34" t="s">
        <v>201</v>
      </c>
      <c r="D34">
        <v>47</v>
      </c>
      <c r="E34">
        <v>152</v>
      </c>
      <c r="F34">
        <v>67</v>
      </c>
      <c r="G34">
        <v>30</v>
      </c>
      <c r="H34">
        <v>1</v>
      </c>
      <c r="I34">
        <v>1</v>
      </c>
      <c r="K34">
        <v>1</v>
      </c>
      <c r="S34">
        <v>4</v>
      </c>
      <c r="AB34">
        <v>4</v>
      </c>
    </row>
    <row r="35" spans="1:42" x14ac:dyDescent="0.55000000000000004">
      <c r="A35" t="s">
        <v>277</v>
      </c>
      <c r="B35" t="s">
        <v>202</v>
      </c>
      <c r="D35">
        <v>47</v>
      </c>
      <c r="E35">
        <v>152</v>
      </c>
      <c r="F35">
        <v>50</v>
      </c>
      <c r="G35">
        <v>50</v>
      </c>
      <c r="H35">
        <v>1</v>
      </c>
      <c r="I35">
        <v>1</v>
      </c>
      <c r="O35">
        <v>2</v>
      </c>
      <c r="R35">
        <v>4</v>
      </c>
      <c r="W35">
        <v>2</v>
      </c>
    </row>
    <row r="36" spans="1:42" x14ac:dyDescent="0.55000000000000004">
      <c r="A36" t="s">
        <v>278</v>
      </c>
      <c r="B36" t="s">
        <v>203</v>
      </c>
      <c r="D36">
        <v>47</v>
      </c>
      <c r="E36">
        <v>155</v>
      </c>
      <c r="F36">
        <v>58</v>
      </c>
      <c r="G36">
        <v>38</v>
      </c>
      <c r="H36">
        <v>1</v>
      </c>
      <c r="I36">
        <v>1</v>
      </c>
      <c r="R36">
        <v>4</v>
      </c>
      <c r="Z36">
        <v>4</v>
      </c>
      <c r="AJ36" t="s">
        <v>331</v>
      </c>
      <c r="AL36" t="s">
        <v>332</v>
      </c>
      <c r="AP36" t="s">
        <v>332</v>
      </c>
    </row>
    <row r="37" spans="1:42" x14ac:dyDescent="0.55000000000000004">
      <c r="A37" t="s">
        <v>279</v>
      </c>
      <c r="B37" t="s">
        <v>204</v>
      </c>
      <c r="D37">
        <v>47</v>
      </c>
      <c r="E37">
        <v>155</v>
      </c>
      <c r="F37">
        <v>67</v>
      </c>
      <c r="G37">
        <v>51</v>
      </c>
      <c r="H37">
        <v>1</v>
      </c>
      <c r="I37">
        <v>1</v>
      </c>
      <c r="S37">
        <v>4</v>
      </c>
      <c r="AG37">
        <v>7</v>
      </c>
    </row>
    <row r="38" spans="1:42" x14ac:dyDescent="0.55000000000000004">
      <c r="A38" t="s">
        <v>280</v>
      </c>
      <c r="B38" t="s">
        <v>212</v>
      </c>
      <c r="D38">
        <v>47</v>
      </c>
      <c r="E38">
        <v>159</v>
      </c>
      <c r="F38">
        <v>69</v>
      </c>
      <c r="G38">
        <v>54</v>
      </c>
      <c r="H38">
        <v>1</v>
      </c>
      <c r="I38">
        <v>1</v>
      </c>
      <c r="P38">
        <v>4</v>
      </c>
      <c r="Z38">
        <v>5</v>
      </c>
      <c r="AJ38" t="s">
        <v>332</v>
      </c>
      <c r="AL38" t="s">
        <v>332</v>
      </c>
      <c r="AM38" t="s">
        <v>332</v>
      </c>
      <c r="AN38" t="s">
        <v>335</v>
      </c>
    </row>
    <row r="39" spans="1:42" x14ac:dyDescent="0.55000000000000004">
      <c r="A39" t="s">
        <v>281</v>
      </c>
      <c r="B39" t="s">
        <v>217</v>
      </c>
      <c r="D39">
        <v>47</v>
      </c>
      <c r="E39">
        <v>80</v>
      </c>
      <c r="F39">
        <v>1</v>
      </c>
      <c r="G39">
        <v>1</v>
      </c>
      <c r="H39">
        <v>1</v>
      </c>
      <c r="I39">
        <v>1</v>
      </c>
      <c r="P39">
        <v>1</v>
      </c>
    </row>
    <row r="40" spans="1:42" x14ac:dyDescent="0.55000000000000004">
      <c r="A40" t="s">
        <v>282</v>
      </c>
      <c r="B40" t="s">
        <v>218</v>
      </c>
      <c r="D40">
        <v>47</v>
      </c>
      <c r="E40">
        <v>88</v>
      </c>
      <c r="F40">
        <v>30</v>
      </c>
      <c r="G40">
        <v>30</v>
      </c>
      <c r="H40">
        <v>1</v>
      </c>
      <c r="I40">
        <v>1</v>
      </c>
    </row>
    <row r="41" spans="1:42" x14ac:dyDescent="0.55000000000000004">
      <c r="A41" t="s">
        <v>283</v>
      </c>
      <c r="B41" t="s">
        <v>219</v>
      </c>
      <c r="D41">
        <v>47</v>
      </c>
      <c r="E41">
        <v>95</v>
      </c>
      <c r="F41">
        <v>20</v>
      </c>
      <c r="G41">
        <v>20</v>
      </c>
      <c r="H41">
        <v>1</v>
      </c>
      <c r="I41">
        <v>1</v>
      </c>
    </row>
    <row r="42" spans="1:42" x14ac:dyDescent="0.55000000000000004">
      <c r="A42" t="s">
        <v>284</v>
      </c>
      <c r="B42" t="s">
        <v>220</v>
      </c>
      <c r="D42">
        <v>47</v>
      </c>
      <c r="E42">
        <v>100</v>
      </c>
      <c r="F42">
        <v>20</v>
      </c>
      <c r="G42">
        <v>20</v>
      </c>
      <c r="H42">
        <v>1</v>
      </c>
      <c r="I42">
        <v>1</v>
      </c>
      <c r="AJ42" t="s">
        <v>337</v>
      </c>
      <c r="AM42" t="s">
        <v>332</v>
      </c>
      <c r="AP42" t="s">
        <v>332</v>
      </c>
    </row>
    <row r="43" spans="1:42" x14ac:dyDescent="0.55000000000000004">
      <c r="A43" t="s">
        <v>285</v>
      </c>
      <c r="B43" t="s">
        <v>221</v>
      </c>
      <c r="D43">
        <v>47</v>
      </c>
      <c r="E43">
        <v>104</v>
      </c>
      <c r="F43">
        <v>25</v>
      </c>
      <c r="G43">
        <v>25</v>
      </c>
      <c r="H43">
        <v>1</v>
      </c>
      <c r="I43">
        <v>1</v>
      </c>
    </row>
    <row r="44" spans="1:42" x14ac:dyDescent="0.55000000000000004">
      <c r="A44" t="s">
        <v>286</v>
      </c>
      <c r="B44" t="s">
        <v>232</v>
      </c>
      <c r="D44">
        <v>47</v>
      </c>
      <c r="E44">
        <v>110</v>
      </c>
      <c r="F44">
        <v>53</v>
      </c>
      <c r="G44">
        <v>27</v>
      </c>
      <c r="H44">
        <v>1</v>
      </c>
      <c r="I44">
        <v>1</v>
      </c>
      <c r="M44">
        <v>1</v>
      </c>
      <c r="AM44" t="s">
        <v>310</v>
      </c>
    </row>
    <row r="45" spans="1:42" x14ac:dyDescent="0.55000000000000004">
      <c r="A45" t="s">
        <v>287</v>
      </c>
      <c r="B45" t="s">
        <v>233</v>
      </c>
      <c r="D45">
        <v>47</v>
      </c>
      <c r="E45">
        <v>150</v>
      </c>
      <c r="F45">
        <v>32</v>
      </c>
      <c r="G45">
        <v>53</v>
      </c>
      <c r="H45">
        <v>1</v>
      </c>
      <c r="I45">
        <v>1</v>
      </c>
      <c r="X45">
        <v>1</v>
      </c>
      <c r="AE45">
        <v>3</v>
      </c>
      <c r="AG45">
        <v>1</v>
      </c>
      <c r="AJ45" t="s">
        <v>310</v>
      </c>
    </row>
    <row r="46" spans="1:42" x14ac:dyDescent="0.55000000000000004">
      <c r="A46" t="s">
        <v>288</v>
      </c>
      <c r="B46" t="s">
        <v>234</v>
      </c>
      <c r="D46">
        <v>47</v>
      </c>
      <c r="E46">
        <v>150</v>
      </c>
      <c r="F46">
        <v>55</v>
      </c>
      <c r="G46">
        <v>49</v>
      </c>
      <c r="H46">
        <v>1</v>
      </c>
      <c r="I46">
        <v>1</v>
      </c>
      <c r="N46">
        <v>3</v>
      </c>
      <c r="X46">
        <v>2</v>
      </c>
    </row>
    <row r="47" spans="1:42" x14ac:dyDescent="0.55000000000000004">
      <c r="A47" t="s">
        <v>289</v>
      </c>
      <c r="B47" t="s">
        <v>235</v>
      </c>
      <c r="D47">
        <v>47</v>
      </c>
      <c r="E47">
        <v>150</v>
      </c>
      <c r="F47">
        <v>40</v>
      </c>
      <c r="G47">
        <v>40</v>
      </c>
      <c r="H47">
        <v>1</v>
      </c>
      <c r="I47">
        <v>1</v>
      </c>
      <c r="U47">
        <v>4</v>
      </c>
      <c r="X47">
        <v>3</v>
      </c>
      <c r="AE47">
        <v>2</v>
      </c>
    </row>
    <row r="48" spans="1:42" x14ac:dyDescent="0.55000000000000004">
      <c r="A48" t="s">
        <v>290</v>
      </c>
      <c r="B48" t="s">
        <v>236</v>
      </c>
      <c r="D48">
        <v>47</v>
      </c>
      <c r="E48">
        <v>150</v>
      </c>
      <c r="F48">
        <v>53</v>
      </c>
      <c r="G48">
        <v>31</v>
      </c>
      <c r="H48">
        <v>1</v>
      </c>
      <c r="I48">
        <v>1</v>
      </c>
      <c r="O48">
        <v>4</v>
      </c>
      <c r="X48">
        <v>5</v>
      </c>
    </row>
    <row r="49" spans="1:42" x14ac:dyDescent="0.55000000000000004">
      <c r="A49" t="s">
        <v>291</v>
      </c>
      <c r="B49" t="s">
        <v>237</v>
      </c>
      <c r="D49">
        <v>47</v>
      </c>
      <c r="E49">
        <v>150</v>
      </c>
      <c r="F49">
        <v>67</v>
      </c>
      <c r="G49">
        <v>44</v>
      </c>
      <c r="H49">
        <v>1</v>
      </c>
      <c r="I49">
        <v>1</v>
      </c>
      <c r="X49">
        <v>6</v>
      </c>
      <c r="AG49">
        <v>3</v>
      </c>
    </row>
    <row r="50" spans="1:42" x14ac:dyDescent="0.55000000000000004">
      <c r="A50" t="s">
        <v>292</v>
      </c>
      <c r="B50" t="s">
        <v>238</v>
      </c>
      <c r="D50">
        <v>47</v>
      </c>
      <c r="E50">
        <v>150</v>
      </c>
      <c r="F50">
        <v>60</v>
      </c>
      <c r="G50">
        <v>60</v>
      </c>
      <c r="H50">
        <v>1</v>
      </c>
      <c r="I50">
        <v>1</v>
      </c>
      <c r="X50">
        <v>7</v>
      </c>
    </row>
    <row r="51" spans="1:42" x14ac:dyDescent="0.55000000000000004">
      <c r="A51" t="s">
        <v>1087</v>
      </c>
      <c r="B51" t="s">
        <v>572</v>
      </c>
      <c r="D51">
        <v>47</v>
      </c>
      <c r="E51">
        <v>150</v>
      </c>
      <c r="F51">
        <v>21</v>
      </c>
      <c r="G51">
        <v>21</v>
      </c>
      <c r="H51">
        <v>1</v>
      </c>
      <c r="I51">
        <v>1</v>
      </c>
      <c r="V51">
        <v>1</v>
      </c>
      <c r="W51">
        <v>1</v>
      </c>
      <c r="AA51">
        <v>1</v>
      </c>
    </row>
    <row r="52" spans="1:42" x14ac:dyDescent="0.55000000000000004">
      <c r="A52" t="s">
        <v>1088</v>
      </c>
      <c r="B52" t="s">
        <v>1086</v>
      </c>
      <c r="D52">
        <v>47</v>
      </c>
      <c r="E52">
        <v>150</v>
      </c>
      <c r="F52">
        <v>52</v>
      </c>
      <c r="G52">
        <v>64</v>
      </c>
      <c r="H52">
        <v>1</v>
      </c>
      <c r="I52">
        <v>1</v>
      </c>
      <c r="W52">
        <v>2</v>
      </c>
      <c r="AD52">
        <v>2</v>
      </c>
      <c r="AJ52" t="s">
        <v>1090</v>
      </c>
      <c r="AK52" t="s">
        <v>1091</v>
      </c>
      <c r="AM52" t="s">
        <v>1091</v>
      </c>
    </row>
    <row r="53" spans="1:42" x14ac:dyDescent="0.55000000000000004">
      <c r="A53" t="s">
        <v>1089</v>
      </c>
      <c r="B53" t="s">
        <v>1038</v>
      </c>
      <c r="D53">
        <v>47</v>
      </c>
      <c r="E53">
        <v>150</v>
      </c>
      <c r="F53">
        <v>30</v>
      </c>
      <c r="G53">
        <v>32</v>
      </c>
      <c r="H53">
        <v>1</v>
      </c>
      <c r="I53">
        <v>1</v>
      </c>
      <c r="P53">
        <v>5</v>
      </c>
      <c r="X53">
        <v>4</v>
      </c>
    </row>
    <row r="54" spans="1:42" x14ac:dyDescent="0.55000000000000004">
      <c r="A54" t="s">
        <v>1096</v>
      </c>
      <c r="B54" t="s">
        <v>1095</v>
      </c>
      <c r="D54">
        <v>47</v>
      </c>
      <c r="E54">
        <v>138</v>
      </c>
      <c r="F54">
        <v>51</v>
      </c>
      <c r="G54">
        <v>55</v>
      </c>
      <c r="H54">
        <v>1</v>
      </c>
      <c r="I54">
        <v>1</v>
      </c>
      <c r="O54">
        <v>4</v>
      </c>
      <c r="W54">
        <v>3</v>
      </c>
    </row>
    <row r="55" spans="1:42" x14ac:dyDescent="0.55000000000000004">
      <c r="A55" t="s">
        <v>2405</v>
      </c>
      <c r="B55" t="s">
        <v>2401</v>
      </c>
      <c r="D55">
        <v>47</v>
      </c>
      <c r="E55">
        <v>147</v>
      </c>
      <c r="F55">
        <v>59</v>
      </c>
      <c r="G55">
        <v>59</v>
      </c>
      <c r="H55">
        <v>1</v>
      </c>
      <c r="I55">
        <v>1</v>
      </c>
      <c r="L55">
        <v>1</v>
      </c>
      <c r="M55">
        <v>2</v>
      </c>
      <c r="AA55">
        <v>3</v>
      </c>
      <c r="AG55">
        <v>2</v>
      </c>
    </row>
    <row r="56" spans="1:42" x14ac:dyDescent="0.55000000000000004">
      <c r="A56" t="s">
        <v>2406</v>
      </c>
      <c r="B56" t="s">
        <v>2403</v>
      </c>
      <c r="D56">
        <v>47</v>
      </c>
      <c r="E56">
        <v>130</v>
      </c>
      <c r="F56">
        <v>67</v>
      </c>
      <c r="G56">
        <v>51</v>
      </c>
      <c r="H56">
        <v>1</v>
      </c>
      <c r="I56">
        <v>1</v>
      </c>
      <c r="O56">
        <v>3</v>
      </c>
      <c r="P56">
        <v>3</v>
      </c>
    </row>
    <row r="57" spans="1:42" x14ac:dyDescent="0.55000000000000004">
      <c r="A57" t="s">
        <v>2407</v>
      </c>
      <c r="B57" t="s">
        <v>2333</v>
      </c>
      <c r="D57">
        <v>47</v>
      </c>
      <c r="E57">
        <v>119</v>
      </c>
      <c r="F57">
        <v>31</v>
      </c>
      <c r="G57">
        <v>38</v>
      </c>
      <c r="H57">
        <v>1</v>
      </c>
      <c r="I57">
        <v>1</v>
      </c>
      <c r="P57">
        <v>1</v>
      </c>
    </row>
    <row r="58" spans="1:42" x14ac:dyDescent="0.55000000000000004">
      <c r="A58" t="s">
        <v>2408</v>
      </c>
      <c r="B58" t="s">
        <v>2414</v>
      </c>
      <c r="D58">
        <v>47</v>
      </c>
      <c r="E58">
        <v>130</v>
      </c>
      <c r="F58">
        <v>24</v>
      </c>
      <c r="G58">
        <v>37</v>
      </c>
      <c r="H58">
        <v>1</v>
      </c>
      <c r="I58">
        <v>1</v>
      </c>
      <c r="AA58">
        <v>1</v>
      </c>
      <c r="AC58">
        <v>1</v>
      </c>
    </row>
    <row r="59" spans="1:42" x14ac:dyDescent="0.55000000000000004">
      <c r="A59" t="s">
        <v>2409</v>
      </c>
      <c r="B59" t="s">
        <v>2415</v>
      </c>
      <c r="D59">
        <v>47</v>
      </c>
      <c r="E59">
        <v>119</v>
      </c>
      <c r="F59">
        <v>10</v>
      </c>
      <c r="G59">
        <v>13</v>
      </c>
      <c r="H59">
        <v>1</v>
      </c>
      <c r="I59">
        <v>1</v>
      </c>
      <c r="P59">
        <v>1</v>
      </c>
      <c r="AB59">
        <v>1</v>
      </c>
    </row>
    <row r="60" spans="1:42" x14ac:dyDescent="0.55000000000000004">
      <c r="A60" t="s">
        <v>2410</v>
      </c>
      <c r="B60" t="s">
        <v>2735</v>
      </c>
      <c r="D60">
        <v>47</v>
      </c>
      <c r="E60">
        <v>150</v>
      </c>
      <c r="F60">
        <v>81</v>
      </c>
      <c r="G60">
        <v>63</v>
      </c>
      <c r="H60">
        <v>1</v>
      </c>
      <c r="I60">
        <v>1</v>
      </c>
      <c r="M60">
        <v>3</v>
      </c>
      <c r="P60">
        <v>3</v>
      </c>
      <c r="W60">
        <v>4</v>
      </c>
      <c r="AP60" t="s">
        <v>2736</v>
      </c>
    </row>
    <row r="61" spans="1:42" x14ac:dyDescent="0.55000000000000004">
      <c r="A61" t="s">
        <v>2739</v>
      </c>
      <c r="B61" t="s">
        <v>2740</v>
      </c>
      <c r="D61">
        <v>47</v>
      </c>
      <c r="E61">
        <v>145</v>
      </c>
      <c r="F61">
        <v>48</v>
      </c>
      <c r="G61">
        <v>42</v>
      </c>
      <c r="H61">
        <v>1</v>
      </c>
      <c r="I61">
        <v>1</v>
      </c>
      <c r="M61">
        <v>4</v>
      </c>
      <c r="W61">
        <v>2</v>
      </c>
    </row>
    <row r="62" spans="1:42" x14ac:dyDescent="0.55000000000000004">
      <c r="A62" t="s">
        <v>2741</v>
      </c>
      <c r="B62" t="s">
        <v>2742</v>
      </c>
      <c r="D62">
        <v>47</v>
      </c>
      <c r="E62">
        <v>150</v>
      </c>
      <c r="F62">
        <v>57</v>
      </c>
      <c r="G62">
        <v>40</v>
      </c>
      <c r="H62">
        <v>1</v>
      </c>
      <c r="I62">
        <v>1</v>
      </c>
      <c r="M62">
        <v>3</v>
      </c>
      <c r="W62">
        <v>4</v>
      </c>
    </row>
    <row r="63" spans="1:42" x14ac:dyDescent="0.55000000000000004">
      <c r="A63" t="s">
        <v>2744</v>
      </c>
      <c r="B63" t="s">
        <v>2745</v>
      </c>
      <c r="D63">
        <v>47</v>
      </c>
      <c r="E63">
        <v>175</v>
      </c>
      <c r="F63">
        <v>61</v>
      </c>
      <c r="G63">
        <v>56</v>
      </c>
      <c r="H63">
        <v>1</v>
      </c>
      <c r="I63">
        <v>1</v>
      </c>
      <c r="M63">
        <v>3</v>
      </c>
      <c r="AE63">
        <v>2</v>
      </c>
      <c r="AJ63" t="s">
        <v>2747</v>
      </c>
      <c r="AL63" t="s">
        <v>2747</v>
      </c>
      <c r="AM63" t="s">
        <v>2748</v>
      </c>
      <c r="AN63" t="s">
        <v>2746</v>
      </c>
    </row>
    <row r="64" spans="1:42" x14ac:dyDescent="0.55000000000000004">
      <c r="A64" t="s">
        <v>2750</v>
      </c>
      <c r="B64" t="s">
        <v>2751</v>
      </c>
      <c r="D64">
        <v>47</v>
      </c>
      <c r="E64">
        <v>145</v>
      </c>
      <c r="F64">
        <v>60</v>
      </c>
      <c r="G64">
        <v>30</v>
      </c>
      <c r="H64">
        <v>1</v>
      </c>
      <c r="I64">
        <v>1</v>
      </c>
      <c r="J64">
        <v>1</v>
      </c>
      <c r="M64">
        <v>1</v>
      </c>
      <c r="AB64">
        <v>4</v>
      </c>
      <c r="AC64">
        <v>1</v>
      </c>
      <c r="AJ64" t="s">
        <v>2748</v>
      </c>
      <c r="AK64" t="s">
        <v>2748</v>
      </c>
      <c r="AL64" t="s">
        <v>2748</v>
      </c>
      <c r="AN64" t="s">
        <v>2746</v>
      </c>
    </row>
    <row r="65" spans="1:42" x14ac:dyDescent="0.55000000000000004">
      <c r="A65" t="s">
        <v>2755</v>
      </c>
      <c r="B65" t="s">
        <v>2756</v>
      </c>
      <c r="D65">
        <v>47</v>
      </c>
      <c r="E65">
        <v>165</v>
      </c>
      <c r="F65">
        <v>65</v>
      </c>
      <c r="G65">
        <v>48</v>
      </c>
      <c r="H65">
        <v>1</v>
      </c>
      <c r="I65">
        <v>1</v>
      </c>
      <c r="N65">
        <v>3</v>
      </c>
      <c r="AI65">
        <v>5</v>
      </c>
      <c r="AJ65" t="s">
        <v>2747</v>
      </c>
      <c r="AM65" t="s">
        <v>2747</v>
      </c>
      <c r="AN65" t="s">
        <v>2746</v>
      </c>
      <c r="AP65" t="s">
        <v>2747</v>
      </c>
    </row>
    <row r="66" spans="1:42" x14ac:dyDescent="0.55000000000000004">
      <c r="A66" t="s">
        <v>2757</v>
      </c>
      <c r="B66" t="s">
        <v>2758</v>
      </c>
      <c r="D66">
        <v>47</v>
      </c>
      <c r="E66">
        <v>135</v>
      </c>
      <c r="F66">
        <v>70</v>
      </c>
      <c r="G66">
        <v>83</v>
      </c>
      <c r="H66">
        <v>1</v>
      </c>
      <c r="I66">
        <v>1</v>
      </c>
      <c r="U66">
        <v>3</v>
      </c>
      <c r="AA66">
        <v>3</v>
      </c>
      <c r="AN66" t="s">
        <v>2746</v>
      </c>
    </row>
    <row r="67" spans="1:42" x14ac:dyDescent="0.55000000000000004">
      <c r="A67" t="s">
        <v>2760</v>
      </c>
      <c r="B67" t="s">
        <v>2761</v>
      </c>
      <c r="D67">
        <v>47</v>
      </c>
      <c r="E67">
        <v>128</v>
      </c>
      <c r="F67">
        <v>68</v>
      </c>
      <c r="G67">
        <v>80</v>
      </c>
      <c r="H67">
        <v>1</v>
      </c>
      <c r="I67">
        <v>1</v>
      </c>
      <c r="L67">
        <v>1</v>
      </c>
      <c r="M67">
        <v>1</v>
      </c>
      <c r="W67">
        <v>4</v>
      </c>
    </row>
    <row r="68" spans="1:42" x14ac:dyDescent="0.55000000000000004">
      <c r="A68" t="s">
        <v>2762</v>
      </c>
      <c r="B68" t="s">
        <v>2763</v>
      </c>
      <c r="D68">
        <v>47</v>
      </c>
      <c r="E68">
        <v>165</v>
      </c>
      <c r="F68">
        <v>62</v>
      </c>
      <c r="G68">
        <v>51</v>
      </c>
      <c r="H68">
        <v>1</v>
      </c>
      <c r="I68">
        <v>1</v>
      </c>
      <c r="M68">
        <v>3</v>
      </c>
      <c r="AC68">
        <v>4</v>
      </c>
      <c r="AJ68" t="s">
        <v>2748</v>
      </c>
      <c r="AK68" t="s">
        <v>2747</v>
      </c>
      <c r="AM68" t="s">
        <v>2748</v>
      </c>
      <c r="AN68" t="s">
        <v>2748</v>
      </c>
    </row>
    <row r="69" spans="1:42" x14ac:dyDescent="0.55000000000000004">
      <c r="A69" t="s">
        <v>2765</v>
      </c>
      <c r="B69" t="s">
        <v>2766</v>
      </c>
      <c r="D69">
        <v>47</v>
      </c>
      <c r="E69">
        <v>125</v>
      </c>
      <c r="F69">
        <v>50</v>
      </c>
      <c r="G69">
        <v>60</v>
      </c>
      <c r="H69">
        <v>1</v>
      </c>
      <c r="I69">
        <v>1</v>
      </c>
      <c r="L69">
        <v>1</v>
      </c>
      <c r="Q69">
        <v>2</v>
      </c>
      <c r="AC69">
        <v>2</v>
      </c>
      <c r="AO69" t="s">
        <v>2736</v>
      </c>
    </row>
    <row r="70" spans="1:42" x14ac:dyDescent="0.55000000000000004">
      <c r="A70" t="s">
        <v>3059</v>
      </c>
      <c r="B70" t="s">
        <v>3056</v>
      </c>
      <c r="D70">
        <v>47</v>
      </c>
      <c r="E70">
        <v>134</v>
      </c>
      <c r="F70">
        <v>59</v>
      </c>
      <c r="G70">
        <v>59</v>
      </c>
      <c r="H70">
        <v>1</v>
      </c>
      <c r="I70">
        <v>1</v>
      </c>
      <c r="N70">
        <v>2</v>
      </c>
      <c r="AB70">
        <v>2</v>
      </c>
      <c r="AH70">
        <v>2</v>
      </c>
      <c r="AN70" t="s">
        <v>3057</v>
      </c>
    </row>
    <row r="71" spans="1:42" x14ac:dyDescent="0.55000000000000004">
      <c r="A71" t="s">
        <v>3060</v>
      </c>
      <c r="B71" t="s">
        <v>3058</v>
      </c>
      <c r="D71">
        <v>47</v>
      </c>
      <c r="E71">
        <v>147</v>
      </c>
      <c r="F71">
        <v>59</v>
      </c>
      <c r="G71">
        <v>59</v>
      </c>
      <c r="H71">
        <v>1</v>
      </c>
      <c r="I71">
        <v>1</v>
      </c>
      <c r="Q71">
        <v>4</v>
      </c>
      <c r="Z71">
        <v>1</v>
      </c>
      <c r="AH71">
        <v>3</v>
      </c>
      <c r="AN71" t="s">
        <v>3057</v>
      </c>
    </row>
    <row r="72" spans="1:42" x14ac:dyDescent="0.55000000000000004">
      <c r="A72" t="s">
        <v>3061</v>
      </c>
      <c r="B72" t="s">
        <v>3068</v>
      </c>
      <c r="D72">
        <v>47</v>
      </c>
      <c r="E72">
        <v>154</v>
      </c>
      <c r="F72">
        <v>65</v>
      </c>
      <c r="G72">
        <v>64</v>
      </c>
      <c r="H72">
        <v>1</v>
      </c>
      <c r="I72">
        <v>1</v>
      </c>
      <c r="O72">
        <v>4</v>
      </c>
      <c r="Y72">
        <v>1</v>
      </c>
      <c r="AI72">
        <v>3</v>
      </c>
      <c r="AN72" t="s">
        <v>3057</v>
      </c>
    </row>
    <row r="73" spans="1:42" x14ac:dyDescent="0.55000000000000004">
      <c r="A73" t="s">
        <v>3062</v>
      </c>
      <c r="B73" t="s">
        <v>3069</v>
      </c>
      <c r="D73">
        <v>47</v>
      </c>
      <c r="E73">
        <v>110</v>
      </c>
      <c r="F73">
        <v>40</v>
      </c>
      <c r="G73">
        <v>20</v>
      </c>
      <c r="H73">
        <v>1</v>
      </c>
      <c r="I73">
        <v>1</v>
      </c>
      <c r="Q73">
        <v>3</v>
      </c>
      <c r="AO73" t="s">
        <v>3070</v>
      </c>
    </row>
    <row r="74" spans="1:42" x14ac:dyDescent="0.55000000000000004">
      <c r="A74" t="s">
        <v>3063</v>
      </c>
      <c r="B74" t="s">
        <v>3073</v>
      </c>
      <c r="D74">
        <v>47</v>
      </c>
      <c r="E74">
        <v>95</v>
      </c>
      <c r="F74">
        <v>51</v>
      </c>
      <c r="G74">
        <v>55</v>
      </c>
      <c r="H74">
        <v>1</v>
      </c>
      <c r="I74">
        <v>1</v>
      </c>
      <c r="L74">
        <v>1</v>
      </c>
      <c r="Q74">
        <v>3</v>
      </c>
      <c r="Y74">
        <v>3</v>
      </c>
      <c r="AN74" t="s">
        <v>3074</v>
      </c>
    </row>
    <row r="75" spans="1:42" x14ac:dyDescent="0.55000000000000004">
      <c r="A75" t="s">
        <v>3064</v>
      </c>
      <c r="B75" t="s">
        <v>3075</v>
      </c>
      <c r="D75">
        <v>47</v>
      </c>
      <c r="E75">
        <v>115</v>
      </c>
      <c r="F75">
        <v>73</v>
      </c>
      <c r="G75">
        <v>74</v>
      </c>
      <c r="H75">
        <v>1</v>
      </c>
      <c r="I75">
        <v>1</v>
      </c>
      <c r="Q75">
        <v>6</v>
      </c>
      <c r="Y75">
        <v>1</v>
      </c>
    </row>
    <row r="76" spans="1:42" x14ac:dyDescent="0.55000000000000004">
      <c r="A76" t="s">
        <v>3065</v>
      </c>
    </row>
    <row r="77" spans="1:42" x14ac:dyDescent="0.55000000000000004">
      <c r="A77" t="s">
        <v>3066</v>
      </c>
    </row>
    <row r="78" spans="1:42" x14ac:dyDescent="0.55000000000000004">
      <c r="A78" t="s">
        <v>3067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3E928-511E-4DE5-B0B1-8C6A2124F326}">
  <sheetPr codeName="Sheet10"/>
  <dimension ref="A1:C49"/>
  <sheetViews>
    <sheetView topLeftCell="A30" workbookViewId="0">
      <selection activeCell="A49" sqref="A49"/>
    </sheetView>
  </sheetViews>
  <sheetFormatPr defaultRowHeight="18" x14ac:dyDescent="0.55000000000000004"/>
  <cols>
    <col min="1" max="1" width="21.83203125" customWidth="1"/>
    <col min="3" max="3" width="14.08203125" customWidth="1"/>
  </cols>
  <sheetData>
    <row r="1" spans="1:3" x14ac:dyDescent="0.55000000000000004">
      <c r="A1" t="s">
        <v>293</v>
      </c>
      <c r="B1" t="str">
        <f>VLOOKUP(A1,投手データ!A:B,2,FALSE)</f>
        <v>山中</v>
      </c>
      <c r="C1" t="s">
        <v>294</v>
      </c>
    </row>
    <row r="2" spans="1:3" x14ac:dyDescent="0.55000000000000004">
      <c r="A2" t="s">
        <v>295</v>
      </c>
      <c r="B2" t="str">
        <f>VLOOKUP(A2,投手データ!A:B,2,FALSE)</f>
        <v>エクシア</v>
      </c>
      <c r="C2" t="s">
        <v>296</v>
      </c>
    </row>
    <row r="3" spans="1:3" x14ac:dyDescent="0.55000000000000004">
      <c r="A3" t="s">
        <v>311</v>
      </c>
      <c r="B3" t="str">
        <f>VLOOKUP(A3,投手データ!A:B,2,FALSE)</f>
        <v>田中</v>
      </c>
      <c r="C3" t="s">
        <v>300</v>
      </c>
    </row>
    <row r="4" spans="1:3" x14ac:dyDescent="0.55000000000000004">
      <c r="A4" t="s">
        <v>312</v>
      </c>
      <c r="B4" t="str">
        <f>VLOOKUP(A4,投手データ!A:B,2,FALSE)</f>
        <v>野上</v>
      </c>
      <c r="C4" t="s">
        <v>309</v>
      </c>
    </row>
    <row r="5" spans="1:3" x14ac:dyDescent="0.55000000000000004">
      <c r="A5" t="s">
        <v>313</v>
      </c>
      <c r="B5" t="str">
        <f>VLOOKUP(A5,投手データ!A:B,2,FALSE)</f>
        <v>北村</v>
      </c>
      <c r="C5" t="s">
        <v>300</v>
      </c>
    </row>
    <row r="6" spans="1:3" x14ac:dyDescent="0.55000000000000004">
      <c r="A6" t="s">
        <v>313</v>
      </c>
      <c r="B6" t="str">
        <f>VLOOKUP(A6,投手データ!A:B,2,FALSE)</f>
        <v>北村</v>
      </c>
      <c r="C6" t="s">
        <v>314</v>
      </c>
    </row>
    <row r="7" spans="1:3" x14ac:dyDescent="0.55000000000000004">
      <c r="A7" t="s">
        <v>315</v>
      </c>
      <c r="B7" t="str">
        <f>VLOOKUP(A7,投手データ!A:B,2,FALSE)</f>
        <v>洒居</v>
      </c>
      <c r="C7" t="s">
        <v>316</v>
      </c>
    </row>
    <row r="8" spans="1:3" x14ac:dyDescent="0.55000000000000004">
      <c r="A8" t="s">
        <v>317</v>
      </c>
      <c r="B8" t="str">
        <f>VLOOKUP(A8,投手データ!A:B,2,FALSE)</f>
        <v>伯田</v>
      </c>
      <c r="C8" t="s">
        <v>318</v>
      </c>
    </row>
    <row r="9" spans="1:3" x14ac:dyDescent="0.55000000000000004">
      <c r="A9" t="s">
        <v>319</v>
      </c>
      <c r="B9" t="str">
        <f>VLOOKUP(A9,投手データ!A:B,2,FALSE)</f>
        <v>小島</v>
      </c>
      <c r="C9" t="s">
        <v>320</v>
      </c>
    </row>
    <row r="10" spans="1:3" x14ac:dyDescent="0.55000000000000004">
      <c r="A10" t="s">
        <v>321</v>
      </c>
      <c r="B10" t="str">
        <f>VLOOKUP(A10,投手データ!A:B,2,FALSE)</f>
        <v>明石</v>
      </c>
      <c r="C10" t="s">
        <v>316</v>
      </c>
    </row>
    <row r="11" spans="1:3" x14ac:dyDescent="0.55000000000000004">
      <c r="A11" t="s">
        <v>322</v>
      </c>
      <c r="B11" t="str">
        <f>VLOOKUP(A11,投手データ!A:B,2,FALSE)</f>
        <v>石井</v>
      </c>
      <c r="C11" t="s">
        <v>323</v>
      </c>
    </row>
    <row r="12" spans="1:3" x14ac:dyDescent="0.55000000000000004">
      <c r="A12" t="s">
        <v>326</v>
      </c>
      <c r="B12" t="str">
        <f>VLOOKUP(A12,投手データ!A:B,2,FALSE)</f>
        <v>A0001</v>
      </c>
      <c r="C12" t="s">
        <v>327</v>
      </c>
    </row>
    <row r="13" spans="1:3" x14ac:dyDescent="0.55000000000000004">
      <c r="A13" t="s">
        <v>326</v>
      </c>
      <c r="B13" t="str">
        <f>VLOOKUP(A13,投手データ!A:B,2,FALSE)</f>
        <v>A0001</v>
      </c>
      <c r="C13" t="s">
        <v>296</v>
      </c>
    </row>
    <row r="14" spans="1:3" x14ac:dyDescent="0.55000000000000004">
      <c r="A14" t="s">
        <v>326</v>
      </c>
      <c r="B14" t="str">
        <f>VLOOKUP(A14,投手データ!A:B,2,FALSE)</f>
        <v>A0001</v>
      </c>
      <c r="C14" t="s">
        <v>328</v>
      </c>
    </row>
    <row r="15" spans="1:3" x14ac:dyDescent="0.55000000000000004">
      <c r="A15" t="s">
        <v>329</v>
      </c>
      <c r="B15" t="str">
        <f>VLOOKUP(A15,投手データ!A:B,2,FALSE)</f>
        <v>DD001</v>
      </c>
      <c r="C15" t="s">
        <v>309</v>
      </c>
    </row>
    <row r="16" spans="1:3" x14ac:dyDescent="0.55000000000000004">
      <c r="A16" t="s">
        <v>329</v>
      </c>
      <c r="B16" t="str">
        <f>VLOOKUP(A16,投手データ!A:B,2,FALSE)</f>
        <v>DD001</v>
      </c>
      <c r="C16" t="s">
        <v>300</v>
      </c>
    </row>
    <row r="17" spans="1:3" x14ac:dyDescent="0.55000000000000004">
      <c r="A17" t="s">
        <v>330</v>
      </c>
      <c r="B17" t="str">
        <f>VLOOKUP(A17,投手データ!A:B,2,FALSE)</f>
        <v>DD003</v>
      </c>
      <c r="C17" t="s">
        <v>314</v>
      </c>
    </row>
    <row r="18" spans="1:3" x14ac:dyDescent="0.55000000000000004">
      <c r="A18" t="s">
        <v>330</v>
      </c>
      <c r="B18" t="str">
        <f>VLOOKUP(A18,投手データ!A:B,2,FALSE)</f>
        <v>DD003</v>
      </c>
      <c r="C18" t="s">
        <v>316</v>
      </c>
    </row>
    <row r="19" spans="1:3" x14ac:dyDescent="0.55000000000000004">
      <c r="A19" t="s">
        <v>333</v>
      </c>
      <c r="B19" t="str">
        <f>VLOOKUP(A19,投手データ!A:B,2,FALSE)</f>
        <v>DD004</v>
      </c>
      <c r="C19" t="s">
        <v>334</v>
      </c>
    </row>
    <row r="20" spans="1:3" x14ac:dyDescent="0.55000000000000004">
      <c r="A20" t="s">
        <v>333</v>
      </c>
      <c r="B20" t="str">
        <f>VLOOKUP(A20,投手データ!A:B,2,FALSE)</f>
        <v>DD004</v>
      </c>
      <c r="C20" t="s">
        <v>316</v>
      </c>
    </row>
    <row r="21" spans="1:3" x14ac:dyDescent="0.55000000000000004">
      <c r="A21" t="s">
        <v>336</v>
      </c>
      <c r="B21" t="str">
        <f>VLOOKUP(A21,投手データ!A:B,2,FALSE)</f>
        <v>DD006</v>
      </c>
      <c r="C21" t="s">
        <v>323</v>
      </c>
    </row>
    <row r="22" spans="1:3" x14ac:dyDescent="0.55000000000000004">
      <c r="A22" t="s">
        <v>338</v>
      </c>
      <c r="B22" t="str">
        <f>VLOOKUP(A22,投手データ!A:B,2,FALSE)</f>
        <v>DD021</v>
      </c>
      <c r="C22" t="s">
        <v>328</v>
      </c>
    </row>
    <row r="23" spans="1:3" x14ac:dyDescent="0.55000000000000004">
      <c r="A23" t="s">
        <v>1092</v>
      </c>
      <c r="B23" t="str">
        <f>VLOOKUP(A23,投手データ!A:B,2,FALSE)</f>
        <v>DD008</v>
      </c>
      <c r="C23" t="s">
        <v>1093</v>
      </c>
    </row>
    <row r="24" spans="1:3" x14ac:dyDescent="0.55000000000000004">
      <c r="A24" t="s">
        <v>2411</v>
      </c>
      <c r="B24" t="str">
        <f>VLOOKUP(A24,投手データ!A:B,2,FALSE)</f>
        <v>TA001</v>
      </c>
      <c r="C24" t="s">
        <v>2412</v>
      </c>
    </row>
    <row r="25" spans="1:3" x14ac:dyDescent="0.55000000000000004">
      <c r="A25" t="s">
        <v>2406</v>
      </c>
      <c r="B25" t="str">
        <f>VLOOKUP(A25,投手データ!A:B,2,FALSE)</f>
        <v>TA002</v>
      </c>
      <c r="C25" t="s">
        <v>2412</v>
      </c>
    </row>
    <row r="26" spans="1:3" x14ac:dyDescent="0.55000000000000004">
      <c r="A26" t="s">
        <v>2407</v>
      </c>
      <c r="B26" t="str">
        <f>VLOOKUP(A26,投手データ!A:B,2,FALSE)</f>
        <v>TA003</v>
      </c>
      <c r="C26" t="s">
        <v>2412</v>
      </c>
    </row>
    <row r="27" spans="1:3" x14ac:dyDescent="0.55000000000000004">
      <c r="A27" t="s">
        <v>2407</v>
      </c>
      <c r="B27" t="str">
        <f>VLOOKUP(A27,投手データ!A:B,2,FALSE)</f>
        <v>TA003</v>
      </c>
      <c r="C27" t="s">
        <v>2413</v>
      </c>
    </row>
    <row r="28" spans="1:3" x14ac:dyDescent="0.55000000000000004">
      <c r="A28" t="s">
        <v>2737</v>
      </c>
      <c r="B28" t="str">
        <f>VLOOKUP(A28,投手データ!A:B,2,FALSE)</f>
        <v>KR001</v>
      </c>
      <c r="C28" t="s">
        <v>327</v>
      </c>
    </row>
    <row r="29" spans="1:3" x14ac:dyDescent="0.55000000000000004">
      <c r="A29" t="s">
        <v>2737</v>
      </c>
      <c r="B29" t="str">
        <f>VLOOKUP(A29,投手データ!A:B,2,FALSE)</f>
        <v>KR001</v>
      </c>
      <c r="C29" t="s">
        <v>296</v>
      </c>
    </row>
    <row r="30" spans="1:3" x14ac:dyDescent="0.55000000000000004">
      <c r="A30" t="s">
        <v>2737</v>
      </c>
      <c r="B30" t="str">
        <f>VLOOKUP(A30,投手データ!A:B,2,FALSE)</f>
        <v>KR001</v>
      </c>
      <c r="C30" t="s">
        <v>328</v>
      </c>
    </row>
    <row r="31" spans="1:3" x14ac:dyDescent="0.55000000000000004">
      <c r="A31" t="s">
        <v>2739</v>
      </c>
      <c r="B31" t="str">
        <f>VLOOKUP(A31,投手データ!A:B,2,FALSE)</f>
        <v>DD025</v>
      </c>
      <c r="C31" t="s">
        <v>316</v>
      </c>
    </row>
    <row r="32" spans="1:3" x14ac:dyDescent="0.55000000000000004">
      <c r="A32" t="s">
        <v>2741</v>
      </c>
      <c r="B32" t="str">
        <f>VLOOKUP(A32,投手データ!A:B,2,FALSE)</f>
        <v>DD026</v>
      </c>
      <c r="C32" t="s">
        <v>2743</v>
      </c>
    </row>
    <row r="33" spans="1:3" x14ac:dyDescent="0.55000000000000004">
      <c r="A33" t="s">
        <v>2741</v>
      </c>
      <c r="B33" t="str">
        <f>VLOOKUP(A33,投手データ!A:B,2,FALSE)</f>
        <v>DD026</v>
      </c>
      <c r="C33" t="s">
        <v>323</v>
      </c>
    </row>
    <row r="34" spans="1:3" x14ac:dyDescent="0.55000000000000004">
      <c r="A34" t="s">
        <v>2744</v>
      </c>
      <c r="B34" t="str">
        <f>VLOOKUP(A34,投手データ!A:B,2,FALSE)</f>
        <v>AD001</v>
      </c>
      <c r="C34" t="s">
        <v>2749</v>
      </c>
    </row>
    <row r="35" spans="1:3" x14ac:dyDescent="0.55000000000000004">
      <c r="A35" t="s">
        <v>2750</v>
      </c>
      <c r="B35" t="str">
        <f>VLOOKUP(A35,投手データ!A:B,2,FALSE)</f>
        <v>AD002</v>
      </c>
      <c r="C35" t="s">
        <v>2752</v>
      </c>
    </row>
    <row r="36" spans="1:3" x14ac:dyDescent="0.55000000000000004">
      <c r="A36" t="s">
        <v>2750</v>
      </c>
      <c r="B36" t="str">
        <f>VLOOKUP(A36,投手データ!A:B,2,FALSE)</f>
        <v>AD002</v>
      </c>
      <c r="C36" t="s">
        <v>2753</v>
      </c>
    </row>
    <row r="37" spans="1:3" x14ac:dyDescent="0.55000000000000004">
      <c r="A37" t="s">
        <v>2750</v>
      </c>
      <c r="B37" t="str">
        <f>VLOOKUP(A37,投手データ!A:B,2,FALSE)</f>
        <v>AD002</v>
      </c>
      <c r="C37" t="s">
        <v>2743</v>
      </c>
    </row>
    <row r="38" spans="1:3" x14ac:dyDescent="0.55000000000000004">
      <c r="A38" t="s">
        <v>2754</v>
      </c>
      <c r="B38" t="str">
        <f>VLOOKUP(A38,投手データ!A:B,2,FALSE)</f>
        <v>AD003</v>
      </c>
      <c r="C38" t="s">
        <v>2413</v>
      </c>
    </row>
    <row r="39" spans="1:3" x14ac:dyDescent="0.55000000000000004">
      <c r="A39" t="s">
        <v>2757</v>
      </c>
      <c r="B39" t="str">
        <f>VLOOKUP(A39,投手データ!A:B,2,FALSE)</f>
        <v>AD004</v>
      </c>
      <c r="C39" t="s">
        <v>2752</v>
      </c>
    </row>
    <row r="40" spans="1:3" x14ac:dyDescent="0.55000000000000004">
      <c r="A40" t="s">
        <v>2757</v>
      </c>
      <c r="B40" t="str">
        <f>VLOOKUP(A40,投手データ!A:B,2,FALSE)</f>
        <v>AD004</v>
      </c>
      <c r="C40" t="s">
        <v>2753</v>
      </c>
    </row>
    <row r="41" spans="1:3" x14ac:dyDescent="0.55000000000000004">
      <c r="A41" t="s">
        <v>2757</v>
      </c>
      <c r="B41" t="str">
        <f>VLOOKUP(A41,投手データ!A:B,2,FALSE)</f>
        <v>AD004</v>
      </c>
      <c r="C41" t="s">
        <v>2759</v>
      </c>
    </row>
    <row r="42" spans="1:3" x14ac:dyDescent="0.55000000000000004">
      <c r="A42" t="s">
        <v>2760</v>
      </c>
      <c r="B42" t="str">
        <f>VLOOKUP(A42,投手データ!A:B,2,FALSE)</f>
        <v>KR002</v>
      </c>
      <c r="C42" t="s">
        <v>327</v>
      </c>
    </row>
    <row r="43" spans="1:3" x14ac:dyDescent="0.55000000000000004">
      <c r="A43" t="s">
        <v>2764</v>
      </c>
      <c r="B43" t="str">
        <f>VLOOKUP(A43,投手データ!A:B,2,FALSE)</f>
        <v>KR002</v>
      </c>
      <c r="C43" t="s">
        <v>2743</v>
      </c>
    </row>
    <row r="44" spans="1:3" x14ac:dyDescent="0.55000000000000004">
      <c r="A44" t="s">
        <v>2762</v>
      </c>
      <c r="B44" t="str">
        <f>VLOOKUP(A44,投手データ!A:B,2,FALSE)</f>
        <v>CD001</v>
      </c>
      <c r="C44" t="s">
        <v>296</v>
      </c>
    </row>
    <row r="45" spans="1:3" x14ac:dyDescent="0.55000000000000004">
      <c r="A45" t="s">
        <v>3059</v>
      </c>
      <c r="B45" t="str">
        <f>VLOOKUP(A45,投手データ!A:B,2,FALSE)</f>
        <v>SD001</v>
      </c>
      <c r="C45" t="s">
        <v>328</v>
      </c>
    </row>
    <row r="46" spans="1:3" x14ac:dyDescent="0.55000000000000004">
      <c r="A46" t="s">
        <v>3062</v>
      </c>
      <c r="B46" t="str">
        <f>VLOOKUP(A46,投手データ!A:B,2,FALSE)</f>
        <v>DA001</v>
      </c>
      <c r="C46" t="s">
        <v>3071</v>
      </c>
    </row>
    <row r="47" spans="1:3" x14ac:dyDescent="0.55000000000000004">
      <c r="A47" t="s">
        <v>3062</v>
      </c>
      <c r="B47" t="str">
        <f>VLOOKUP(A47,投手データ!A:B,2,FALSE)</f>
        <v>DA001</v>
      </c>
      <c r="C47" t="s">
        <v>3072</v>
      </c>
    </row>
    <row r="48" spans="1:3" x14ac:dyDescent="0.55000000000000004">
      <c r="A48" t="s">
        <v>3064</v>
      </c>
      <c r="B48" t="str">
        <f>VLOOKUP(A48,投手データ!A:B,2,FALSE)</f>
        <v>HJ001</v>
      </c>
      <c r="C48" t="s">
        <v>3076</v>
      </c>
    </row>
    <row r="49" spans="1:3" x14ac:dyDescent="0.55000000000000004">
      <c r="A49" t="s">
        <v>3064</v>
      </c>
      <c r="B49" t="str">
        <f>VLOOKUP(A49,投手データ!A:B,2,FALSE)</f>
        <v>HJ001</v>
      </c>
      <c r="C49" t="s">
        <v>3077</v>
      </c>
    </row>
  </sheetData>
  <phoneticPr fontId="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08AE2-98D0-4C62-AEFE-CC843032EA01}">
  <sheetPr codeName="Sheet4"/>
  <dimension ref="A1:D5"/>
  <sheetViews>
    <sheetView workbookViewId="0">
      <selection activeCell="D4" sqref="D4"/>
    </sheetView>
  </sheetViews>
  <sheetFormatPr defaultRowHeight="18" x14ac:dyDescent="0.55000000000000004"/>
  <cols>
    <col min="1" max="1" width="15.08203125" customWidth="1"/>
    <col min="3" max="4" width="21.33203125" customWidth="1"/>
  </cols>
  <sheetData>
    <row r="1" spans="1:4" x14ac:dyDescent="0.55000000000000004">
      <c r="A1" t="s">
        <v>18</v>
      </c>
      <c r="B1" t="s">
        <v>19</v>
      </c>
      <c r="C1" t="s">
        <v>20</v>
      </c>
      <c r="D1" t="s">
        <v>21</v>
      </c>
    </row>
    <row r="2" spans="1:4" x14ac:dyDescent="0.55000000000000004">
      <c r="B2" t="s">
        <v>22</v>
      </c>
      <c r="C2" t="s">
        <v>23</v>
      </c>
      <c r="D2" t="s">
        <v>24</v>
      </c>
    </row>
    <row r="3" spans="1:4" x14ac:dyDescent="0.55000000000000004">
      <c r="B3" t="s">
        <v>25</v>
      </c>
      <c r="C3" t="s">
        <v>26</v>
      </c>
      <c r="D3" t="s">
        <v>27</v>
      </c>
    </row>
    <row r="4" spans="1:4" x14ac:dyDescent="0.55000000000000004">
      <c r="A4" t="s">
        <v>28</v>
      </c>
      <c r="B4" t="s">
        <v>29</v>
      </c>
      <c r="C4" t="s">
        <v>30</v>
      </c>
    </row>
    <row r="5" spans="1:4" x14ac:dyDescent="0.55000000000000004">
      <c r="C5" t="s">
        <v>31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35436-1600-4AED-86A6-D2B91BBB0D72}">
  <sheetPr codeName="Sheet6"/>
  <dimension ref="A1:C9"/>
  <sheetViews>
    <sheetView workbookViewId="0">
      <selection activeCell="B7" sqref="B7"/>
    </sheetView>
  </sheetViews>
  <sheetFormatPr defaultRowHeight="18" x14ac:dyDescent="0.55000000000000004"/>
  <cols>
    <col min="1" max="1" width="21.33203125" customWidth="1"/>
  </cols>
  <sheetData>
    <row r="1" spans="1:3" x14ac:dyDescent="0.55000000000000004">
      <c r="A1" t="s">
        <v>33</v>
      </c>
      <c r="B1">
        <f>COUNTA(投手データ!B:B)</f>
        <v>75</v>
      </c>
    </row>
    <row r="2" spans="1:3" x14ac:dyDescent="0.55000000000000004">
      <c r="A2" t="s">
        <v>32</v>
      </c>
      <c r="B2">
        <f>COUNTA(球種変換表!A:A)</f>
        <v>217</v>
      </c>
    </row>
    <row r="3" spans="1:3" x14ac:dyDescent="0.55000000000000004">
      <c r="A3" t="s">
        <v>34</v>
      </c>
      <c r="B3">
        <f>COUNTA(output!A:A)</f>
        <v>1401</v>
      </c>
    </row>
    <row r="4" spans="1:3" x14ac:dyDescent="0.55000000000000004">
      <c r="B4" t="s">
        <v>1516</v>
      </c>
      <c r="C4" t="s">
        <v>1515</v>
      </c>
    </row>
    <row r="5" spans="1:3" x14ac:dyDescent="0.55000000000000004">
      <c r="A5" t="s">
        <v>51</v>
      </c>
      <c r="B5">
        <v>61.823</v>
      </c>
      <c r="C5">
        <v>61.823</v>
      </c>
    </row>
    <row r="6" spans="1:3" x14ac:dyDescent="0.55000000000000004">
      <c r="B6">
        <v>6.0299999999999999E-2</v>
      </c>
      <c r="C6">
        <v>0.14360000000000001</v>
      </c>
    </row>
    <row r="8" spans="1:3" x14ac:dyDescent="0.55000000000000004">
      <c r="A8" t="s">
        <v>89</v>
      </c>
      <c r="B8">
        <f>COUNTA(球速変換!B:B)</f>
        <v>388</v>
      </c>
    </row>
    <row r="9" spans="1:3" x14ac:dyDescent="0.55000000000000004">
      <c r="A9" t="s">
        <v>437</v>
      </c>
      <c r="B9">
        <f>COUNTA(投手名変換!B:B)</f>
        <v>468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7B536-01D2-4171-BFA0-62982F1A7AC3}">
  <sheetPr codeName="Sheet7"/>
  <dimension ref="A1:Q29"/>
  <sheetViews>
    <sheetView workbookViewId="0">
      <selection activeCell="B17" sqref="B17"/>
    </sheetView>
  </sheetViews>
  <sheetFormatPr defaultRowHeight="18" x14ac:dyDescent="0.55000000000000004"/>
  <cols>
    <col min="1" max="1" width="17.83203125" customWidth="1"/>
    <col min="6" max="6" width="3.33203125" customWidth="1"/>
    <col min="7" max="7" width="3.83203125" customWidth="1"/>
  </cols>
  <sheetData>
    <row r="1" spans="1:17" x14ac:dyDescent="0.55000000000000004">
      <c r="C1" t="s">
        <v>34</v>
      </c>
      <c r="D1" t="s">
        <v>78</v>
      </c>
      <c r="E1" t="s">
        <v>88</v>
      </c>
      <c r="H1" t="s">
        <v>79</v>
      </c>
      <c r="I1" t="s">
        <v>80</v>
      </c>
      <c r="J1" t="s">
        <v>81</v>
      </c>
      <c r="K1" t="s">
        <v>82</v>
      </c>
      <c r="L1" t="s">
        <v>83</v>
      </c>
      <c r="M1" t="s">
        <v>84</v>
      </c>
      <c r="N1" t="s">
        <v>85</v>
      </c>
      <c r="O1" t="s">
        <v>86</v>
      </c>
      <c r="P1" t="s">
        <v>87</v>
      </c>
    </row>
    <row r="2" spans="1:17" x14ac:dyDescent="0.55000000000000004">
      <c r="A2" t="s">
        <v>0</v>
      </c>
      <c r="B2">
        <v>1</v>
      </c>
      <c r="C2">
        <f ca="1">COUNTIF(output!N:N,球種情報!A2)</f>
        <v>344</v>
      </c>
      <c r="D2">
        <v>3</v>
      </c>
      <c r="E2">
        <v>1</v>
      </c>
      <c r="F2" t="s">
        <v>52</v>
      </c>
      <c r="G2" t="s">
        <v>53</v>
      </c>
      <c r="H2" t="e">
        <f ca="1">INDEX(LINEST(INDIRECT("球種ごとデータ!" &amp; G2 &amp; "1:" &amp; G2 &amp; C2-D2),INDIRECT("球種ごとデータ!" &amp; F2&amp; "1:" &amp;F2 &amp; C2-D2),TRUE,FALSE),1,1)</f>
        <v>#VALUE!</v>
      </c>
      <c r="I2" t="e">
        <f ca="1">INTERCEPT(INDIRECT("球種ごとデータ!"&amp;G2&amp;":"&amp;G2),INDIRECT("球種ごとデータ!"&amp;F2&amp;":"&amp;F2))</f>
        <v>#DIV/0!</v>
      </c>
      <c r="J2" t="s">
        <v>17</v>
      </c>
      <c r="K2" t="s">
        <v>17</v>
      </c>
      <c r="L2">
        <v>15</v>
      </c>
      <c r="M2">
        <v>1</v>
      </c>
      <c r="N2" t="s">
        <v>17</v>
      </c>
      <c r="O2" t="s">
        <v>17</v>
      </c>
      <c r="P2">
        <v>4</v>
      </c>
      <c r="Q2">
        <f>200-5*L2</f>
        <v>125</v>
      </c>
    </row>
    <row r="3" spans="1:17" x14ac:dyDescent="0.55000000000000004">
      <c r="A3" t="s">
        <v>35</v>
      </c>
      <c r="B3">
        <v>2</v>
      </c>
      <c r="C3">
        <f ca="1">COUNTIF(output!N:N,球種情報!A3)</f>
        <v>337</v>
      </c>
      <c r="D3">
        <v>2</v>
      </c>
      <c r="E3">
        <v>3</v>
      </c>
      <c r="F3" t="s">
        <v>54</v>
      </c>
      <c r="G3" t="s">
        <v>55</v>
      </c>
      <c r="H3" t="e">
        <f t="shared" ref="H3:H28" ca="1" si="0">INDEX(LINEST(INDIRECT("球種ごとデータ!" &amp; G3 &amp; "1:" &amp; G3 &amp; C3-D3),INDIRECT("球種ごとデータ!" &amp; F3&amp; "1:" &amp;F3 &amp; C3-D3),TRUE,FALSE),1,1)</f>
        <v>#VALUE!</v>
      </c>
      <c r="I3" t="e">
        <f t="shared" ref="I3:I17" ca="1" si="1">INTERCEPT(INDIRECT("球種ごとデータ!"&amp;G3&amp;":"&amp;G3),INDIRECT("球種ごとデータ!"&amp;F3&amp;":"&amp;F3))</f>
        <v>#DIV/0!</v>
      </c>
      <c r="J3" t="s">
        <v>17</v>
      </c>
      <c r="K3" t="s">
        <v>17</v>
      </c>
      <c r="L3" t="s">
        <v>17</v>
      </c>
      <c r="M3" t="s">
        <v>17</v>
      </c>
      <c r="N3" t="s">
        <v>17</v>
      </c>
      <c r="O3" t="s">
        <v>17</v>
      </c>
      <c r="P3" t="s">
        <v>17</v>
      </c>
      <c r="Q3" t="e">
        <f t="shared" ref="Q3:Q29" si="2">200-5*L3</f>
        <v>#VALUE!</v>
      </c>
    </row>
    <row r="4" spans="1:17" x14ac:dyDescent="0.55000000000000004">
      <c r="A4" t="s">
        <v>147</v>
      </c>
      <c r="B4">
        <v>3</v>
      </c>
      <c r="C4">
        <f ca="1">COUNTIF(output!N:N,球種情報!A4)</f>
        <v>9</v>
      </c>
      <c r="D4">
        <v>0</v>
      </c>
      <c r="E4">
        <v>4</v>
      </c>
      <c r="F4" t="s">
        <v>56</v>
      </c>
      <c r="G4" t="s">
        <v>57</v>
      </c>
      <c r="H4" t="e">
        <f t="shared" ca="1" si="0"/>
        <v>#VALUE!</v>
      </c>
      <c r="I4" t="e">
        <f t="shared" ca="1" si="1"/>
        <v>#DIV/0!</v>
      </c>
      <c r="J4" t="s">
        <v>17</v>
      </c>
      <c r="K4" t="s">
        <v>17</v>
      </c>
      <c r="L4">
        <v>14</v>
      </c>
      <c r="M4" t="s">
        <v>17</v>
      </c>
      <c r="N4">
        <v>1</v>
      </c>
      <c r="O4" t="s">
        <v>17</v>
      </c>
      <c r="P4">
        <v>4</v>
      </c>
      <c r="Q4">
        <f t="shared" si="2"/>
        <v>130</v>
      </c>
    </row>
    <row r="5" spans="1:17" x14ac:dyDescent="0.55000000000000004">
      <c r="A5" t="s">
        <v>36</v>
      </c>
      <c r="B5">
        <v>4</v>
      </c>
      <c r="C5">
        <f ca="1">COUNTIF(output!N:N,球種情報!A5)</f>
        <v>10</v>
      </c>
      <c r="D5">
        <v>0</v>
      </c>
      <c r="E5">
        <v>5</v>
      </c>
      <c r="F5" t="s">
        <v>58</v>
      </c>
      <c r="G5" t="s">
        <v>59</v>
      </c>
      <c r="H5" t="e">
        <f t="shared" ca="1" si="0"/>
        <v>#VALUE!</v>
      </c>
      <c r="I5" t="e">
        <f t="shared" ca="1" si="1"/>
        <v>#DIV/0!</v>
      </c>
      <c r="J5" t="s">
        <v>17</v>
      </c>
      <c r="K5" t="s">
        <v>17</v>
      </c>
      <c r="L5">
        <v>13</v>
      </c>
      <c r="M5" t="s">
        <v>17</v>
      </c>
      <c r="N5">
        <v>2</v>
      </c>
      <c r="O5" t="s">
        <v>17</v>
      </c>
      <c r="P5">
        <v>4</v>
      </c>
      <c r="Q5">
        <f t="shared" si="2"/>
        <v>135</v>
      </c>
    </row>
    <row r="6" spans="1:17" x14ac:dyDescent="0.55000000000000004">
      <c r="A6" t="s">
        <v>37</v>
      </c>
      <c r="B6">
        <v>5</v>
      </c>
      <c r="C6">
        <f ca="1">COUNTIF(output!N:N,球種情報!A6)</f>
        <v>0</v>
      </c>
      <c r="D6">
        <v>0</v>
      </c>
      <c r="E6">
        <v>6</v>
      </c>
      <c r="F6" t="s">
        <v>60</v>
      </c>
      <c r="G6" t="s">
        <v>61</v>
      </c>
      <c r="H6" t="e">
        <f t="shared" ca="1" si="0"/>
        <v>#REF!</v>
      </c>
      <c r="I6" t="e">
        <f t="shared" ca="1" si="1"/>
        <v>#DIV/0!</v>
      </c>
      <c r="J6" t="s">
        <v>17</v>
      </c>
      <c r="K6" t="s">
        <v>17</v>
      </c>
      <c r="L6">
        <v>1</v>
      </c>
      <c r="M6" t="s">
        <v>17</v>
      </c>
      <c r="N6">
        <v>7</v>
      </c>
      <c r="O6" t="s">
        <v>17</v>
      </c>
      <c r="P6">
        <v>11</v>
      </c>
      <c r="Q6">
        <f t="shared" si="2"/>
        <v>195</v>
      </c>
    </row>
    <row r="7" spans="1:17" x14ac:dyDescent="0.55000000000000004">
      <c r="A7" t="s">
        <v>9</v>
      </c>
      <c r="B7">
        <v>6</v>
      </c>
      <c r="C7">
        <f ca="1">COUNTIF(output!N:N,球種情報!A7)</f>
        <v>50</v>
      </c>
      <c r="D7">
        <v>0</v>
      </c>
      <c r="E7">
        <v>7</v>
      </c>
      <c r="F7" t="s">
        <v>62</v>
      </c>
      <c r="G7" t="s">
        <v>63</v>
      </c>
      <c r="H7" t="e">
        <f t="shared" ca="1" si="0"/>
        <v>#VALUE!</v>
      </c>
      <c r="I7" t="e">
        <f t="shared" ca="1" si="1"/>
        <v>#DIV/0!</v>
      </c>
      <c r="J7">
        <v>15</v>
      </c>
      <c r="K7">
        <v>11</v>
      </c>
      <c r="L7">
        <v>11</v>
      </c>
      <c r="M7" t="s">
        <v>17</v>
      </c>
      <c r="N7">
        <v>2</v>
      </c>
      <c r="O7">
        <v>7</v>
      </c>
      <c r="P7">
        <v>4</v>
      </c>
      <c r="Q7">
        <f t="shared" si="2"/>
        <v>145</v>
      </c>
    </row>
    <row r="8" spans="1:17" x14ac:dyDescent="0.55000000000000004">
      <c r="A8" t="s">
        <v>38</v>
      </c>
      <c r="B8">
        <v>7</v>
      </c>
      <c r="C8">
        <f ca="1">COUNTIF(output!N:N,球種情報!A8)</f>
        <v>37</v>
      </c>
      <c r="D8">
        <v>0</v>
      </c>
      <c r="E8">
        <v>8</v>
      </c>
      <c r="F8" t="s">
        <v>64</v>
      </c>
      <c r="G8" t="s">
        <v>65</v>
      </c>
      <c r="H8" t="e">
        <f t="shared" ca="1" si="0"/>
        <v>#VALUE!</v>
      </c>
      <c r="I8" t="e">
        <f t="shared" ca="1" si="1"/>
        <v>#DIV/0!</v>
      </c>
      <c r="J8">
        <v>15</v>
      </c>
      <c r="K8">
        <v>9</v>
      </c>
      <c r="L8">
        <v>13</v>
      </c>
      <c r="M8" t="s">
        <v>17</v>
      </c>
      <c r="N8">
        <v>2</v>
      </c>
      <c r="O8">
        <v>8</v>
      </c>
      <c r="P8">
        <v>4</v>
      </c>
      <c r="Q8">
        <f t="shared" si="2"/>
        <v>135</v>
      </c>
    </row>
    <row r="9" spans="1:17" x14ac:dyDescent="0.55000000000000004">
      <c r="A9" t="s">
        <v>15</v>
      </c>
      <c r="B9">
        <v>8</v>
      </c>
      <c r="C9">
        <f ca="1">COUNTIF(output!N:N,球種情報!A9)</f>
        <v>30</v>
      </c>
      <c r="D9">
        <v>0</v>
      </c>
      <c r="E9">
        <v>9</v>
      </c>
      <c r="F9" t="s">
        <v>66</v>
      </c>
      <c r="G9" t="s">
        <v>67</v>
      </c>
      <c r="H9" t="e">
        <f t="shared" ca="1" si="0"/>
        <v>#VALUE!</v>
      </c>
      <c r="I9" t="e">
        <f t="shared" ca="1" si="1"/>
        <v>#DIV/0!</v>
      </c>
      <c r="J9">
        <v>14</v>
      </c>
      <c r="K9">
        <v>4</v>
      </c>
      <c r="L9">
        <v>13</v>
      </c>
      <c r="M9" t="s">
        <v>17</v>
      </c>
      <c r="N9">
        <v>1</v>
      </c>
      <c r="O9">
        <v>11</v>
      </c>
      <c r="P9">
        <v>4</v>
      </c>
      <c r="Q9">
        <f t="shared" si="2"/>
        <v>135</v>
      </c>
    </row>
    <row r="10" spans="1:17" x14ac:dyDescent="0.55000000000000004">
      <c r="A10" t="s">
        <v>4</v>
      </c>
      <c r="B10">
        <v>9</v>
      </c>
      <c r="C10">
        <f ca="1">COUNTIF(output!N:N,球種情報!A10)</f>
        <v>59</v>
      </c>
      <c r="D10">
        <v>0</v>
      </c>
      <c r="E10">
        <v>10</v>
      </c>
      <c r="F10" t="s">
        <v>68</v>
      </c>
      <c r="G10" t="s">
        <v>69</v>
      </c>
      <c r="H10" t="e">
        <f t="shared" ca="1" si="0"/>
        <v>#VALUE!</v>
      </c>
      <c r="I10" t="e">
        <f t="shared" ca="1" si="1"/>
        <v>#DIV/0!</v>
      </c>
      <c r="J10">
        <v>12</v>
      </c>
      <c r="K10">
        <v>14</v>
      </c>
      <c r="L10">
        <v>7</v>
      </c>
      <c r="M10" t="s">
        <v>17</v>
      </c>
      <c r="N10">
        <v>10</v>
      </c>
      <c r="O10">
        <v>5</v>
      </c>
      <c r="P10" s="4">
        <v>4</v>
      </c>
      <c r="Q10">
        <f t="shared" si="2"/>
        <v>165</v>
      </c>
    </row>
    <row r="11" spans="1:17" x14ac:dyDescent="0.55000000000000004">
      <c r="A11" t="s">
        <v>10</v>
      </c>
      <c r="B11">
        <v>10</v>
      </c>
      <c r="C11">
        <f ca="1">COUNTIF(output!N:N,球種情報!A11)</f>
        <v>0</v>
      </c>
      <c r="D11">
        <v>1</v>
      </c>
      <c r="E11">
        <v>11</v>
      </c>
      <c r="F11" t="s">
        <v>70</v>
      </c>
      <c r="G11" t="s">
        <v>71</v>
      </c>
      <c r="H11" t="e">
        <f t="shared" ca="1" si="0"/>
        <v>#REF!</v>
      </c>
      <c r="I11" t="e">
        <f t="shared" ca="1" si="1"/>
        <v>#DIV/0!</v>
      </c>
      <c r="J11">
        <v>12</v>
      </c>
      <c r="K11">
        <v>15</v>
      </c>
      <c r="L11">
        <v>5</v>
      </c>
      <c r="M11" t="s">
        <v>17</v>
      </c>
      <c r="N11">
        <v>12</v>
      </c>
      <c r="O11">
        <v>5</v>
      </c>
      <c r="P11">
        <v>4</v>
      </c>
      <c r="Q11">
        <f t="shared" si="2"/>
        <v>175</v>
      </c>
    </row>
    <row r="12" spans="1:17" x14ac:dyDescent="0.55000000000000004">
      <c r="A12" t="s">
        <v>39</v>
      </c>
      <c r="B12">
        <v>11</v>
      </c>
      <c r="C12">
        <f ca="1">COUNTIF(output!N:N,球種情報!A12)</f>
        <v>20</v>
      </c>
      <c r="D12">
        <v>0</v>
      </c>
      <c r="E12">
        <v>12</v>
      </c>
      <c r="F12" t="s">
        <v>72</v>
      </c>
      <c r="G12" t="s">
        <v>73</v>
      </c>
      <c r="H12" t="e">
        <f t="shared" ca="1" si="0"/>
        <v>#VALUE!</v>
      </c>
      <c r="I12" t="e">
        <f t="shared" ca="1" si="1"/>
        <v>#DIV/0!</v>
      </c>
      <c r="J12">
        <v>9</v>
      </c>
      <c r="K12">
        <v>14</v>
      </c>
      <c r="L12">
        <v>9</v>
      </c>
      <c r="M12" t="s">
        <v>17</v>
      </c>
      <c r="N12">
        <v>8</v>
      </c>
      <c r="O12">
        <v>6</v>
      </c>
      <c r="P12">
        <v>4</v>
      </c>
      <c r="Q12">
        <f t="shared" si="2"/>
        <v>155</v>
      </c>
    </row>
    <row r="13" spans="1:17" x14ac:dyDescent="0.55000000000000004">
      <c r="A13" t="s">
        <v>40</v>
      </c>
      <c r="B13">
        <v>12</v>
      </c>
      <c r="C13">
        <f ca="1">COUNTIF(output!N:N,球種情報!A13)</f>
        <v>20</v>
      </c>
      <c r="D13">
        <v>0</v>
      </c>
      <c r="E13">
        <v>13</v>
      </c>
      <c r="F13" t="s">
        <v>74</v>
      </c>
      <c r="G13" t="s">
        <v>75</v>
      </c>
      <c r="H13" t="e">
        <f t="shared" ca="1" si="0"/>
        <v>#VALUE!</v>
      </c>
      <c r="I13" t="e">
        <f t="shared" ca="1" si="1"/>
        <v>#DIV/0!</v>
      </c>
      <c r="J13">
        <v>9</v>
      </c>
      <c r="K13">
        <v>14</v>
      </c>
      <c r="L13">
        <v>9</v>
      </c>
      <c r="N13">
        <v>8</v>
      </c>
      <c r="O13">
        <v>6</v>
      </c>
      <c r="P13">
        <v>4</v>
      </c>
      <c r="Q13">
        <f t="shared" si="2"/>
        <v>155</v>
      </c>
    </row>
    <row r="14" spans="1:17" x14ac:dyDescent="0.55000000000000004">
      <c r="A14" t="s">
        <v>41</v>
      </c>
      <c r="B14">
        <v>13</v>
      </c>
      <c r="C14">
        <f ca="1">COUNTIF(output!N:N,球種情報!A14)</f>
        <v>0</v>
      </c>
      <c r="D14">
        <v>0</v>
      </c>
      <c r="E14">
        <v>14</v>
      </c>
      <c r="F14" t="s">
        <v>76</v>
      </c>
      <c r="G14" t="s">
        <v>77</v>
      </c>
      <c r="H14" t="e">
        <f t="shared" ca="1" si="0"/>
        <v>#REF!</v>
      </c>
      <c r="I14" t="e">
        <f t="shared" ca="1" si="1"/>
        <v>#DIV/0!</v>
      </c>
      <c r="J14">
        <v>12</v>
      </c>
      <c r="K14">
        <v>13</v>
      </c>
      <c r="L14">
        <v>10</v>
      </c>
      <c r="M14" t="s">
        <v>17</v>
      </c>
      <c r="N14">
        <v>2</v>
      </c>
      <c r="O14">
        <v>6</v>
      </c>
      <c r="P14">
        <v>4</v>
      </c>
      <c r="Q14">
        <f t="shared" si="2"/>
        <v>150</v>
      </c>
    </row>
    <row r="15" spans="1:17" x14ac:dyDescent="0.55000000000000004">
      <c r="A15" t="s">
        <v>16</v>
      </c>
      <c r="B15">
        <v>14</v>
      </c>
      <c r="C15">
        <f ca="1">COUNTIF(output!N:N,球種情報!A15)</f>
        <v>35</v>
      </c>
      <c r="D15">
        <v>0</v>
      </c>
      <c r="E15">
        <v>15</v>
      </c>
      <c r="F15" t="str">
        <f>"A" &amp;F2</f>
        <v>AA</v>
      </c>
      <c r="G15" t="str">
        <f>"A" &amp;G2</f>
        <v>AB</v>
      </c>
      <c r="H15" t="e">
        <f t="shared" ca="1" si="0"/>
        <v>#VALUE!</v>
      </c>
      <c r="I15" t="e">
        <f t="shared" ca="1" si="1"/>
        <v>#DIV/0!</v>
      </c>
      <c r="J15">
        <v>12</v>
      </c>
      <c r="K15" s="4">
        <v>13</v>
      </c>
      <c r="L15" s="4">
        <v>9</v>
      </c>
      <c r="M15" t="s">
        <v>17</v>
      </c>
      <c r="N15">
        <v>8</v>
      </c>
      <c r="O15">
        <v>5</v>
      </c>
      <c r="P15" s="4">
        <v>4</v>
      </c>
      <c r="Q15">
        <f t="shared" si="2"/>
        <v>155</v>
      </c>
    </row>
    <row r="16" spans="1:17" x14ac:dyDescent="0.55000000000000004">
      <c r="A16" t="s">
        <v>149</v>
      </c>
      <c r="B16">
        <v>15</v>
      </c>
      <c r="C16">
        <f ca="1">COUNTIF(output!N:N,球種情報!A16)</f>
        <v>10</v>
      </c>
      <c r="D16">
        <v>1</v>
      </c>
      <c r="E16">
        <v>27</v>
      </c>
      <c r="H16" t="e">
        <f ca="1">INDEX(LINEST(INDIRECT("球種ごとデータ!" &amp; G16 &amp; "1:" &amp; G16 &amp; C16-D16),INDIRECT("球種ごとデータ!" &amp; F16&amp; "1:" &amp;F16 &amp; C16-D16),TRUE,FALSE),1,1)</f>
        <v>#VALUE!</v>
      </c>
      <c r="I16" t="e">
        <f ca="1">INTERCEPT(INDIRECT("球種ごとデータ!"&amp;G16&amp;":"&amp;G16),INDIRECT("球種ごとデータ!"&amp;F16&amp;":"&amp;F16))</f>
        <v>#REF!</v>
      </c>
      <c r="J16" s="4">
        <v>9</v>
      </c>
      <c r="K16" s="4">
        <v>13</v>
      </c>
      <c r="L16" s="4">
        <v>10</v>
      </c>
      <c r="M16" s="4" t="s">
        <v>150</v>
      </c>
      <c r="N16" s="4">
        <v>3</v>
      </c>
      <c r="O16" s="4">
        <v>6</v>
      </c>
      <c r="P16" s="4">
        <v>4</v>
      </c>
      <c r="Q16">
        <f t="shared" si="2"/>
        <v>150</v>
      </c>
    </row>
    <row r="17" spans="1:17" x14ac:dyDescent="0.55000000000000004">
      <c r="A17" t="s">
        <v>6</v>
      </c>
      <c r="B17">
        <v>16</v>
      </c>
      <c r="C17">
        <f ca="1">COUNTIF(output!N:N,球種情報!A17)</f>
        <v>149</v>
      </c>
      <c r="D17">
        <v>0</v>
      </c>
      <c r="E17">
        <v>16</v>
      </c>
      <c r="F17" t="str">
        <f t="shared" ref="F17:G25" si="3">"A" &amp;F3</f>
        <v>AC</v>
      </c>
      <c r="G17" t="str">
        <f t="shared" si="3"/>
        <v>AD</v>
      </c>
      <c r="H17" t="e">
        <f t="shared" ca="1" si="0"/>
        <v>#VALUE!</v>
      </c>
      <c r="I17" t="e">
        <f t="shared" ca="1" si="1"/>
        <v>#DIV/0!</v>
      </c>
      <c r="J17">
        <v>8</v>
      </c>
      <c r="K17">
        <v>11</v>
      </c>
      <c r="L17">
        <v>10</v>
      </c>
      <c r="M17" t="s">
        <v>17</v>
      </c>
      <c r="N17">
        <v>2</v>
      </c>
      <c r="O17">
        <v>10</v>
      </c>
      <c r="P17">
        <v>4</v>
      </c>
      <c r="Q17">
        <f t="shared" si="2"/>
        <v>150</v>
      </c>
    </row>
    <row r="18" spans="1:17" x14ac:dyDescent="0.55000000000000004">
      <c r="A18" t="s">
        <v>42</v>
      </c>
      <c r="B18">
        <v>17</v>
      </c>
      <c r="C18">
        <f ca="1">COUNTIF(output!N:N,球種情報!A18)</f>
        <v>72</v>
      </c>
      <c r="D18">
        <v>0</v>
      </c>
      <c r="E18">
        <v>17</v>
      </c>
      <c r="F18" t="str">
        <f t="shared" si="3"/>
        <v>AE</v>
      </c>
      <c r="G18" t="str">
        <f t="shared" si="3"/>
        <v>AF</v>
      </c>
      <c r="H18" t="e">
        <f t="shared" ca="1" si="0"/>
        <v>#VALUE!</v>
      </c>
      <c r="I18" t="e">
        <f t="shared" ref="I18:I28" ca="1" si="4">INTERCEPT(INDIRECT("球種ごとデータ!"&amp;G18&amp;":"&amp;G18),INDIRECT("球種ごとデータ!"&amp;F18&amp;":"&amp;F18))</f>
        <v>#DIV/0!</v>
      </c>
      <c r="J18">
        <v>8</v>
      </c>
      <c r="K18">
        <v>13</v>
      </c>
      <c r="L18">
        <v>8</v>
      </c>
      <c r="M18" t="s">
        <v>17</v>
      </c>
      <c r="N18">
        <v>5</v>
      </c>
      <c r="O18">
        <v>5</v>
      </c>
      <c r="P18">
        <v>4</v>
      </c>
      <c r="Q18">
        <f t="shared" si="2"/>
        <v>160</v>
      </c>
    </row>
    <row r="19" spans="1:17" x14ac:dyDescent="0.55000000000000004">
      <c r="A19" t="s">
        <v>14</v>
      </c>
      <c r="B19">
        <v>18</v>
      </c>
      <c r="C19">
        <f ca="1">COUNTIF(output!N:N,球種情報!A19)</f>
        <v>0</v>
      </c>
      <c r="D19">
        <v>0</v>
      </c>
      <c r="E19">
        <v>18</v>
      </c>
      <c r="F19" t="str">
        <f t="shared" si="3"/>
        <v>AG</v>
      </c>
      <c r="G19" t="str">
        <f t="shared" si="3"/>
        <v>AH</v>
      </c>
      <c r="H19" t="e">
        <f t="shared" ca="1" si="0"/>
        <v>#REF!</v>
      </c>
      <c r="I19" t="e">
        <f t="shared" ca="1" si="4"/>
        <v>#DIV/0!</v>
      </c>
      <c r="J19">
        <v>8</v>
      </c>
      <c r="K19">
        <v>1</v>
      </c>
      <c r="L19">
        <v>8</v>
      </c>
      <c r="M19" t="s">
        <v>17</v>
      </c>
      <c r="N19">
        <v>15</v>
      </c>
      <c r="O19">
        <v>10</v>
      </c>
      <c r="P19">
        <v>4</v>
      </c>
      <c r="Q19">
        <f t="shared" si="2"/>
        <v>160</v>
      </c>
    </row>
    <row r="20" spans="1:17" x14ac:dyDescent="0.55000000000000004">
      <c r="A20" t="s">
        <v>43</v>
      </c>
      <c r="B20">
        <v>19</v>
      </c>
      <c r="C20">
        <f ca="1">COUNTIF(output!N:N,球種情報!A20)</f>
        <v>20</v>
      </c>
      <c r="D20">
        <v>0</v>
      </c>
      <c r="E20">
        <v>19</v>
      </c>
      <c r="F20" t="str">
        <f t="shared" si="3"/>
        <v>AI</v>
      </c>
      <c r="G20" t="str">
        <f t="shared" si="3"/>
        <v>AJ</v>
      </c>
      <c r="H20" t="e">
        <f t="shared" ca="1" si="0"/>
        <v>#VALUE!</v>
      </c>
      <c r="I20" t="e">
        <f t="shared" ca="1" si="4"/>
        <v>#DIV/0!</v>
      </c>
      <c r="J20">
        <v>8</v>
      </c>
      <c r="K20">
        <v>13</v>
      </c>
      <c r="L20">
        <v>11</v>
      </c>
      <c r="M20" t="s">
        <v>17</v>
      </c>
      <c r="N20">
        <v>3</v>
      </c>
      <c r="O20">
        <v>7</v>
      </c>
      <c r="P20">
        <v>4</v>
      </c>
      <c r="Q20">
        <f t="shared" si="2"/>
        <v>145</v>
      </c>
    </row>
    <row r="21" spans="1:17" x14ac:dyDescent="0.55000000000000004">
      <c r="A21" t="s">
        <v>44</v>
      </c>
      <c r="B21">
        <v>20</v>
      </c>
      <c r="C21">
        <f ca="1">COUNTIF(output!N:N,球種情報!A21)</f>
        <v>20</v>
      </c>
      <c r="D21">
        <v>0</v>
      </c>
      <c r="E21">
        <v>20</v>
      </c>
      <c r="F21" t="str">
        <f t="shared" si="3"/>
        <v>AK</v>
      </c>
      <c r="G21" t="str">
        <f t="shared" si="3"/>
        <v>AL</v>
      </c>
      <c r="H21" t="e">
        <f t="shared" ca="1" si="0"/>
        <v>#VALUE!</v>
      </c>
      <c r="I21" t="e">
        <f t="shared" ca="1" si="4"/>
        <v>#DIV/0!</v>
      </c>
      <c r="J21" t="s">
        <v>17</v>
      </c>
      <c r="K21">
        <v>13</v>
      </c>
      <c r="L21">
        <v>7</v>
      </c>
      <c r="M21" t="s">
        <v>17</v>
      </c>
      <c r="N21">
        <v>12</v>
      </c>
      <c r="O21">
        <v>5</v>
      </c>
      <c r="P21">
        <v>11</v>
      </c>
      <c r="Q21">
        <f t="shared" si="2"/>
        <v>165</v>
      </c>
    </row>
    <row r="22" spans="1:17" x14ac:dyDescent="0.55000000000000004">
      <c r="A22" t="s">
        <v>45</v>
      </c>
      <c r="B22">
        <v>21</v>
      </c>
      <c r="C22">
        <f ca="1">COUNTIF(output!N:N,球種情報!A22)</f>
        <v>29</v>
      </c>
      <c r="D22">
        <v>0</v>
      </c>
      <c r="E22">
        <v>21</v>
      </c>
      <c r="F22" t="str">
        <f t="shared" si="3"/>
        <v>AM</v>
      </c>
      <c r="G22" t="str">
        <f t="shared" si="3"/>
        <v>AN</v>
      </c>
      <c r="H22" t="e">
        <f t="shared" ca="1" si="0"/>
        <v>#VALUE!</v>
      </c>
      <c r="I22" t="e">
        <f t="shared" ca="1" si="4"/>
        <v>#DIV/0!</v>
      </c>
      <c r="J22">
        <v>8</v>
      </c>
      <c r="K22">
        <v>7</v>
      </c>
      <c r="L22">
        <v>12</v>
      </c>
      <c r="M22" t="s">
        <v>17</v>
      </c>
      <c r="N22">
        <v>1</v>
      </c>
      <c r="O22">
        <v>11</v>
      </c>
      <c r="P22">
        <v>4</v>
      </c>
      <c r="Q22">
        <f t="shared" si="2"/>
        <v>140</v>
      </c>
    </row>
    <row r="23" spans="1:17" x14ac:dyDescent="0.55000000000000004">
      <c r="A23" t="s">
        <v>8</v>
      </c>
      <c r="B23">
        <v>22</v>
      </c>
      <c r="C23">
        <f ca="1">COUNTIF(output!N:N,球種情報!A23)</f>
        <v>30</v>
      </c>
      <c r="D23">
        <v>0</v>
      </c>
      <c r="E23">
        <v>22</v>
      </c>
      <c r="F23" t="str">
        <f t="shared" si="3"/>
        <v>AO</v>
      </c>
      <c r="G23" t="str">
        <f t="shared" si="3"/>
        <v>AP</v>
      </c>
      <c r="H23" t="e">
        <f t="shared" ca="1" si="0"/>
        <v>#VALUE!</v>
      </c>
      <c r="I23" t="e">
        <f t="shared" ca="1" si="4"/>
        <v>#DIV/0!</v>
      </c>
      <c r="J23">
        <v>4</v>
      </c>
      <c r="K23">
        <v>10</v>
      </c>
      <c r="L23">
        <v>9</v>
      </c>
      <c r="M23" t="s">
        <v>17</v>
      </c>
      <c r="N23">
        <v>4</v>
      </c>
      <c r="O23">
        <v>5</v>
      </c>
      <c r="P23">
        <v>4</v>
      </c>
      <c r="Q23">
        <f t="shared" si="2"/>
        <v>155</v>
      </c>
    </row>
    <row r="24" spans="1:17" x14ac:dyDescent="0.55000000000000004">
      <c r="A24" t="s">
        <v>46</v>
      </c>
      <c r="B24">
        <v>23</v>
      </c>
      <c r="C24">
        <f ca="1">COUNTIF(output!N:N,球種情報!A24)</f>
        <v>9</v>
      </c>
      <c r="D24">
        <v>0</v>
      </c>
      <c r="E24">
        <v>23</v>
      </c>
      <c r="F24" t="str">
        <f t="shared" si="3"/>
        <v>AQ</v>
      </c>
      <c r="G24" t="str">
        <f t="shared" si="3"/>
        <v>AR</v>
      </c>
      <c r="H24" t="e">
        <f t="shared" ca="1" si="0"/>
        <v>#VALUE!</v>
      </c>
      <c r="I24" t="e">
        <f t="shared" ca="1" si="4"/>
        <v>#DIV/0!</v>
      </c>
      <c r="J24">
        <v>4</v>
      </c>
      <c r="K24">
        <v>7</v>
      </c>
      <c r="L24">
        <v>11</v>
      </c>
      <c r="M24" t="s">
        <v>17</v>
      </c>
      <c r="N24">
        <v>2</v>
      </c>
      <c r="O24">
        <v>8</v>
      </c>
      <c r="P24">
        <v>4</v>
      </c>
      <c r="Q24">
        <f t="shared" si="2"/>
        <v>145</v>
      </c>
    </row>
    <row r="25" spans="1:17" x14ac:dyDescent="0.55000000000000004">
      <c r="A25" t="s">
        <v>47</v>
      </c>
      <c r="B25">
        <v>24</v>
      </c>
      <c r="C25">
        <f ca="1">COUNTIF(output!N:N,球種情報!A25)</f>
        <v>48</v>
      </c>
      <c r="D25">
        <v>0</v>
      </c>
      <c r="E25">
        <v>24</v>
      </c>
      <c r="F25" t="str">
        <f t="shared" si="3"/>
        <v>AS</v>
      </c>
      <c r="G25" t="str">
        <f t="shared" si="3"/>
        <v>AT</v>
      </c>
      <c r="H25" t="e">
        <f t="shared" ca="1" si="0"/>
        <v>#VALUE!</v>
      </c>
      <c r="I25" t="e">
        <f t="shared" ca="1" si="4"/>
        <v>#DIV/0!</v>
      </c>
      <c r="J25">
        <v>6</v>
      </c>
      <c r="K25">
        <v>5</v>
      </c>
      <c r="L25">
        <v>8</v>
      </c>
      <c r="M25" t="s">
        <v>17</v>
      </c>
      <c r="N25">
        <v>10</v>
      </c>
      <c r="O25">
        <v>7</v>
      </c>
      <c r="P25">
        <v>4</v>
      </c>
      <c r="Q25">
        <f t="shared" si="2"/>
        <v>160</v>
      </c>
    </row>
    <row r="26" spans="1:17" x14ac:dyDescent="0.55000000000000004">
      <c r="A26" t="s">
        <v>151</v>
      </c>
      <c r="B26">
        <v>25</v>
      </c>
      <c r="C26">
        <f ca="1">COUNTIF(output!N:N,球種情報!A26)</f>
        <v>0</v>
      </c>
      <c r="D26">
        <v>1</v>
      </c>
      <c r="E26">
        <v>28</v>
      </c>
      <c r="H26" t="e">
        <f ca="1">INDEX(LINEST(INDIRECT("球種ごとデータ!" &amp; G26 &amp; "1:" &amp; G26 &amp; C26-D26),INDIRECT("球種ごとデータ!" &amp; F26&amp; "1:" &amp;F26 &amp; C26-D26),TRUE,FALSE),1,1)</f>
        <v>#REF!</v>
      </c>
      <c r="I26" t="e">
        <f ca="1">INTERCEPT(INDIRECT("球種ごとデータ!"&amp;G26&amp;":"&amp;G26),INDIRECT("球種ごとデータ!"&amp;F26&amp;":"&amp;F26))</f>
        <v>#REF!</v>
      </c>
      <c r="J26">
        <v>3</v>
      </c>
      <c r="K26">
        <v>9</v>
      </c>
      <c r="L26">
        <v>13</v>
      </c>
      <c r="M26" t="s">
        <v>150</v>
      </c>
      <c r="N26">
        <v>1</v>
      </c>
      <c r="O26">
        <v>4</v>
      </c>
      <c r="P26">
        <v>6</v>
      </c>
      <c r="Q26">
        <f t="shared" si="2"/>
        <v>135</v>
      </c>
    </row>
    <row r="27" spans="1:17" x14ac:dyDescent="0.55000000000000004">
      <c r="A27" t="s">
        <v>7</v>
      </c>
      <c r="B27">
        <v>26</v>
      </c>
      <c r="C27">
        <f ca="1">COUNTIF(output!N:N,球種情報!A27)</f>
        <v>40</v>
      </c>
      <c r="D27">
        <v>0</v>
      </c>
      <c r="E27">
        <v>25</v>
      </c>
      <c r="F27" t="str">
        <f>"A" &amp;F12</f>
        <v>AU</v>
      </c>
      <c r="G27" t="str">
        <f>"A" &amp;G12</f>
        <v>AV</v>
      </c>
      <c r="H27" t="e">
        <f t="shared" ca="1" si="0"/>
        <v>#VALUE!</v>
      </c>
      <c r="I27" t="e">
        <f t="shared" ca="1" si="4"/>
        <v>#DIV/0!</v>
      </c>
      <c r="J27">
        <v>1</v>
      </c>
      <c r="K27">
        <v>10</v>
      </c>
      <c r="L27">
        <v>12</v>
      </c>
      <c r="M27" t="s">
        <v>17</v>
      </c>
      <c r="N27">
        <v>2</v>
      </c>
      <c r="O27">
        <v>7</v>
      </c>
      <c r="P27">
        <v>4</v>
      </c>
      <c r="Q27">
        <f t="shared" si="2"/>
        <v>140</v>
      </c>
    </row>
    <row r="28" spans="1:17" x14ac:dyDescent="0.55000000000000004">
      <c r="A28" t="s">
        <v>48</v>
      </c>
      <c r="B28">
        <v>27</v>
      </c>
      <c r="C28">
        <f ca="1">COUNTIF(output!N:N,球種情報!A28)</f>
        <v>0</v>
      </c>
      <c r="D28">
        <v>0</v>
      </c>
      <c r="E28">
        <v>26</v>
      </c>
      <c r="F28" t="str">
        <f>"A" &amp;F13</f>
        <v>AW</v>
      </c>
      <c r="G28" t="str">
        <f>"A" &amp;G13</f>
        <v>AX</v>
      </c>
      <c r="H28" t="e">
        <f t="shared" ca="1" si="0"/>
        <v>#REF!</v>
      </c>
      <c r="I28" t="e">
        <f t="shared" ca="1" si="4"/>
        <v>#DIV/0!</v>
      </c>
      <c r="J28">
        <v>1</v>
      </c>
      <c r="K28">
        <v>7</v>
      </c>
      <c r="L28">
        <v>13</v>
      </c>
      <c r="M28" t="s">
        <v>17</v>
      </c>
      <c r="N28">
        <v>1</v>
      </c>
      <c r="O28">
        <v>9</v>
      </c>
      <c r="P28">
        <v>4</v>
      </c>
      <c r="Q28">
        <f t="shared" si="2"/>
        <v>135</v>
      </c>
    </row>
    <row r="29" spans="1:17" x14ac:dyDescent="0.55000000000000004">
      <c r="A29" t="s">
        <v>152</v>
      </c>
      <c r="B29">
        <v>28</v>
      </c>
      <c r="C29">
        <f ca="1">COUNTIF(output!N:N,球種情報!A29)</f>
        <v>10</v>
      </c>
      <c r="D29">
        <v>0</v>
      </c>
      <c r="E29">
        <v>29</v>
      </c>
      <c r="H29" t="e">
        <f ca="1">INDEX(LINEST(INDIRECT("球種ごとデータ!" &amp; G29 &amp; "1:" &amp; G29 &amp; C29-D29),INDIRECT("球種ごとデータ!" &amp; F29&amp; "1:" &amp;F29 &amp; C29-D29),TRUE,FALSE),1,1)</f>
        <v>#VALUE!</v>
      </c>
      <c r="I29" t="e">
        <f ca="1">INTERCEPT(INDIRECT("球種ごとデータ!"&amp;G29&amp;":"&amp;G29),INDIRECT("球種ごとデータ!"&amp;F29&amp;":"&amp;F29))</f>
        <v>#REF!</v>
      </c>
      <c r="J29">
        <v>2</v>
      </c>
      <c r="K29">
        <v>4</v>
      </c>
      <c r="L29">
        <v>13</v>
      </c>
      <c r="M29" t="s">
        <v>150</v>
      </c>
      <c r="N29">
        <v>1</v>
      </c>
      <c r="O29">
        <v>7</v>
      </c>
      <c r="P29">
        <v>4</v>
      </c>
      <c r="Q29">
        <f t="shared" si="2"/>
        <v>135</v>
      </c>
    </row>
  </sheetData>
  <phoneticPr fontId="1"/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246C9-E637-4D09-88D8-F6FC57962E61}">
  <sheetPr codeName="Sheet9"/>
  <dimension ref="A1"/>
  <sheetViews>
    <sheetView workbookViewId="0">
      <selection sqref="A1:XFD1048576"/>
    </sheetView>
  </sheetViews>
  <sheetFormatPr defaultRowHeight="18" x14ac:dyDescent="0.55000000000000004"/>
  <sheetData/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3D2FD-685F-4C15-86D0-C65EC12CA487}">
  <sheetPr codeName="Sheet11"/>
  <dimension ref="A1:B20"/>
  <sheetViews>
    <sheetView workbookViewId="0">
      <selection activeCell="B1" sqref="B1"/>
    </sheetView>
  </sheetViews>
  <sheetFormatPr defaultRowHeight="18" x14ac:dyDescent="0.55000000000000004"/>
  <cols>
    <col min="1" max="1" width="48.83203125" customWidth="1"/>
  </cols>
  <sheetData>
    <row r="1" spans="1:2" ht="218.15" customHeight="1" x14ac:dyDescent="0.55000000000000004">
      <c r="A1" s="3" t="s">
        <v>2860</v>
      </c>
      <c r="B1">
        <f>LENB(A1)/2</f>
        <v>99</v>
      </c>
    </row>
    <row r="2" spans="1:2" ht="156" customHeight="1" x14ac:dyDescent="0.55000000000000004">
      <c r="A2" s="3"/>
      <c r="B2">
        <f>LENB(A2)/2</f>
        <v>0</v>
      </c>
    </row>
    <row r="3" spans="1:2" ht="185.5" customHeight="1" x14ac:dyDescent="0.55000000000000004">
      <c r="A3" s="3" t="s">
        <v>2592</v>
      </c>
      <c r="B3">
        <f>LENB(A3)/2</f>
        <v>1</v>
      </c>
    </row>
    <row r="4" spans="1:2" ht="156" customHeight="1" x14ac:dyDescent="0.55000000000000004">
      <c r="A4" s="3" t="s">
        <v>1905</v>
      </c>
    </row>
    <row r="5" spans="1:2" ht="156" customHeight="1" x14ac:dyDescent="0.55000000000000004"/>
    <row r="6" spans="1:2" ht="156" customHeight="1" x14ac:dyDescent="0.55000000000000004"/>
    <row r="7" spans="1:2" ht="156" customHeight="1" x14ac:dyDescent="0.55000000000000004"/>
    <row r="8" spans="1:2" ht="156" customHeight="1" x14ac:dyDescent="0.55000000000000004"/>
    <row r="9" spans="1:2" ht="156" customHeight="1" x14ac:dyDescent="0.55000000000000004"/>
    <row r="10" spans="1:2" ht="156" customHeight="1" x14ac:dyDescent="0.55000000000000004"/>
    <row r="11" spans="1:2" ht="156" customHeight="1" x14ac:dyDescent="0.55000000000000004"/>
    <row r="12" spans="1:2" ht="156" customHeight="1" x14ac:dyDescent="0.55000000000000004"/>
    <row r="13" spans="1:2" ht="156" customHeight="1" x14ac:dyDescent="0.55000000000000004"/>
    <row r="14" spans="1:2" ht="156" customHeight="1" x14ac:dyDescent="0.55000000000000004"/>
    <row r="15" spans="1:2" ht="156" customHeight="1" x14ac:dyDescent="0.55000000000000004"/>
    <row r="16" spans="1:2" ht="156" customHeight="1" x14ac:dyDescent="0.55000000000000004"/>
    <row r="17" ht="156" customHeight="1" x14ac:dyDescent="0.55000000000000004"/>
    <row r="18" ht="156" customHeight="1" x14ac:dyDescent="0.55000000000000004"/>
    <row r="19" ht="156" customHeight="1" x14ac:dyDescent="0.55000000000000004"/>
    <row r="20" ht="156" customHeight="1" x14ac:dyDescent="0.55000000000000004"/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output</vt:lpstr>
      <vt:lpstr>グラフ</vt:lpstr>
      <vt:lpstr>換算球速グラフ</vt:lpstr>
      <vt:lpstr>球種変換表</vt:lpstr>
      <vt:lpstr>投手名変換</vt:lpstr>
      <vt:lpstr>球速変換</vt:lpstr>
      <vt:lpstr>投手データ</vt:lpstr>
      <vt:lpstr>投手特殊能力</vt:lpstr>
      <vt:lpstr>動画取得条件</vt:lpstr>
      <vt:lpstr>Prams</vt:lpstr>
      <vt:lpstr>球種情報</vt:lpstr>
      <vt:lpstr>球種ごとデータ</vt:lpstr>
      <vt:lpstr>Tweet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lavie url</dc:creator>
  <cp:lastModifiedBy>lavie url</cp:lastModifiedBy>
  <dcterms:created xsi:type="dcterms:W3CDTF">2020-05-24T06:34:22Z</dcterms:created>
  <dcterms:modified xsi:type="dcterms:W3CDTF">2020-09-08T14:58:59Z</dcterms:modified>
</cp:coreProperties>
</file>